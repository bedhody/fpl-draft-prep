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model'!$A$1:$BK$720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7">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15">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1" fontId="0" fillId="5" borderId="0" pivotButton="0" quotePrefix="0" xfId="0"/>
    <xf numFmtId="0" fontId="0" fillId="5" borderId="0" pivotButton="0" quotePrefix="0" xfId="0"/>
    <xf numFmtId="0" fontId="0" fillId="3" borderId="0" pivotButton="0" quotePrefix="0" xfId="0"/>
    <xf numFmtId="165" fontId="0" fillId="4" borderId="0" pivotButton="0" quotePrefix="0" xfId="0"/>
    <xf numFmtId="1" fontId="0" fillId="4" borderId="0" pivotButton="0" quotePrefix="0" xfId="0"/>
    <xf numFmtId="0" fontId="0" fillId="6" borderId="0" pivotButton="0" quotePrefix="0" xfId="0"/>
    <xf numFmtId="164" fontId="0" fillId="6"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K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3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4" customWidth="1" min="26" max="26"/>
    <col width="11" customWidth="1" min="27" max="27"/>
    <col width="11" customWidth="1" min="28" max="28"/>
    <col width="12"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hidden="1" width="11" customWidth="1" min="56" max="56"/>
    <col hidden="1" width="11" customWidth="1" min="57" max="57"/>
    <col hidden="1" width="11" customWidth="1" min="58" max="58"/>
    <col hidden="1" width="11" customWidth="1" min="59" max="59"/>
    <col hidden="1" width="11" customWidth="1" min="60" max="60"/>
    <col hidden="1" width="11" customWidth="1" min="61" max="61"/>
    <col hidden="1" width="11" customWidth="1" min="62" max="62"/>
    <col hidden="1" width="11" customWidth="1" min="63" max="63"/>
  </cols>
  <sheetData>
    <row r="1">
      <c r="A1" s="1" t="inlineStr">
        <is>
          <t>Player</t>
        </is>
      </c>
      <c r="B1" s="1" t="inlineStr">
        <is>
          <t>Team 26/27</t>
        </is>
      </c>
      <c r="C1" s="1" t="inlineStr">
        <is>
          <t>Club 25/26</t>
        </is>
      </c>
      <c r="D1" s="1" t="inlineStr">
        <is>
          <t>Moved club</t>
        </is>
      </c>
      <c r="E1" s="1" t="inlineStr">
        <is>
          <t>Pos</t>
        </is>
      </c>
      <c r="F1" s="1" t="inlineStr">
        <is>
          <t>Pos 25/26</t>
        </is>
      </c>
      <c r="G1" s="1" t="inlineStr">
        <is>
          <t>Draftable</t>
        </is>
      </c>
      <c r="H1" s="1" t="inlineStr">
        <is>
          <t>Price</t>
        </is>
      </c>
      <c r="I1" s="1" t="inlineStr">
        <is>
          <t>Status</t>
        </is>
      </c>
      <c r="J1" s="1" t="inlineStr">
        <is>
          <t>News</t>
        </is>
      </c>
      <c r="K1" s="1" t="inlineStr">
        <is>
          <t>Mins 25/26</t>
        </is>
      </c>
      <c r="L1" s="1" t="inlineStr">
        <is>
          <t>Pts 25/26</t>
        </is>
      </c>
      <c r="M1" s="1" t="inlineStr">
        <is>
          <t>xMins Solio</t>
        </is>
      </c>
      <c r="N1" s="1" t="inlineStr">
        <is>
          <t>xMins Solio adjusted</t>
        </is>
      </c>
      <c r="O1" s="1" t="inlineStr">
        <is>
          <t>Research delta</t>
        </is>
      </c>
      <c r="P1" s="1" t="inlineStr">
        <is>
          <t>Research confidence</t>
        </is>
      </c>
      <c r="Q1" s="1" t="inlineStr">
        <is>
          <t>xMins pattern</t>
        </is>
      </c>
      <c r="R1" s="1" t="inlineStr">
        <is>
          <t>xMins 26/27</t>
        </is>
      </c>
      <c r="S1" s="1" t="inlineStr">
        <is>
          <t>xMins source</t>
        </is>
      </c>
      <c r="T1" s="1" t="inlineStr">
        <is>
          <t>Research reason</t>
        </is>
      </c>
      <c r="U1" s="1" t="inlineStr">
        <is>
          <t>Mins per start</t>
        </is>
      </c>
      <c r="V1" s="1" t="inlineStr">
        <is>
          <t>Mins/start starts</t>
        </is>
      </c>
      <c r="W1" s="1" t="inlineStr">
        <is>
          <t>Matches</t>
        </is>
      </c>
      <c r="X1" s="1" t="inlineStr">
        <is>
          <t>P(CS)</t>
        </is>
      </c>
      <c r="Y1" s="1" t="inlineStr">
        <is>
          <t>xG/90</t>
        </is>
      </c>
      <c r="Z1" s="1" t="inlineStr">
        <is>
          <t>xG basis</t>
        </is>
      </c>
      <c r="AA1" s="1" t="inlineStr">
        <is>
          <t>Non-pen share</t>
        </is>
      </c>
      <c r="AB1" s="1" t="inlineStr">
        <is>
          <t>Placement ratio</t>
        </is>
      </c>
      <c r="AC1" s="1" t="inlineStr">
        <is>
          <t>Placement sample xG</t>
        </is>
      </c>
      <c r="AD1" s="1" t="inlineStr">
        <is>
          <t>xA/90</t>
        </is>
      </c>
      <c r="AE1" s="1" t="inlineStr">
        <is>
          <t>DefCon actions/90</t>
        </is>
      </c>
      <c r="AF1" s="1" t="inlineStr">
        <is>
          <t>DefCon hit %</t>
        </is>
      </c>
      <c r="AG1" s="1" t="inlineStr">
        <is>
          <t>Base BPS/90</t>
        </is>
      </c>
      <c r="AH1" s="1" t="inlineStr">
        <is>
          <t>Bonus/match</t>
        </is>
      </c>
      <c r="AI1" s="1" t="inlineStr">
        <is>
          <t>App pts 25/26</t>
        </is>
      </c>
      <c r="AJ1" s="1" t="inlineStr">
        <is>
          <t>Saves/match</t>
        </is>
      </c>
      <c r="AK1" s="1" t="inlineStr">
        <is>
          <t>Goals against/match</t>
        </is>
      </c>
      <c r="AL1" s="1" t="inlineStr">
        <is>
          <t>Card rate/90</t>
        </is>
      </c>
      <c r="AM1" s="1" t="inlineStr">
        <is>
          <t>Pens/season</t>
        </is>
      </c>
      <c r="AN1" s="1" t="inlineStr">
        <is>
          <t>Pen save pts</t>
        </is>
      </c>
      <c r="AO1" s="1" t="inlineStr">
        <is>
          <t>xG pts/90</t>
        </is>
      </c>
      <c r="AP1" s="1" t="inlineStr">
        <is>
          <t>xA pts/90</t>
        </is>
      </c>
      <c r="AQ1" s="1" t="inlineStr">
        <is>
          <t>CS pts/90</t>
        </is>
      </c>
      <c r="AR1" s="1" t="inlineStr">
        <is>
          <t>Save pts/90</t>
        </is>
      </c>
      <c r="AS1" s="1" t="inlineStr">
        <is>
          <t>GC pts/90</t>
        </is>
      </c>
      <c r="AT1" s="1" t="inlineStr">
        <is>
          <t>Cards pts/90</t>
        </is>
      </c>
      <c r="AU1" s="1" t="inlineStr">
        <is>
          <t>Rate pts/90</t>
        </is>
      </c>
      <c r="AV1" s="1" t="inlineStr">
        <is>
          <t>App pts season</t>
        </is>
      </c>
      <c r="AW1" s="1" t="inlineStr">
        <is>
          <t>DC pts season</t>
        </is>
      </c>
      <c r="AX1" s="1" t="inlineStr">
        <is>
          <t>Bonus pts season</t>
        </is>
      </c>
      <c r="AY1" s="1" t="inlineStr">
        <is>
          <t>Pen pts season</t>
        </is>
      </c>
      <c r="AZ1" s="1" t="inlineStr">
        <is>
          <t>xPts season</t>
        </is>
      </c>
      <c r="BA1" s="1" t="inlineStr">
        <is>
          <t>xPts/90</t>
        </is>
      </c>
      <c r="BB1" s="1" t="inlineStr">
        <is>
          <t>VORP</t>
        </is>
      </c>
      <c r="BC1" s="1" t="inlineStr">
        <is>
          <t>VORP per £m</t>
        </is>
      </c>
      <c r="BD1" s="1" t="inlineStr">
        <is>
          <t>_pool GKP</t>
        </is>
      </c>
      <c r="BE1" s="1" t="inlineStr">
        <is>
          <t>_pool DEF</t>
        </is>
      </c>
      <c r="BF1" s="1" t="inlineStr">
        <is>
          <t>_pool MID</t>
        </is>
      </c>
      <c r="BG1" s="1" t="inlineStr">
        <is>
          <t>_pool FWD</t>
        </is>
      </c>
      <c r="BH1" s="1" t="inlineStr">
        <is>
          <t>_app 60+</t>
        </is>
      </c>
      <c r="BI1" s="1" t="inlineStr">
        <is>
          <t>_dc pts</t>
        </is>
      </c>
      <c r="BJ1" s="1" t="inlineStr">
        <is>
          <t>_cs pts</t>
        </is>
      </c>
      <c r="BK1" s="1" t="inlineStr">
        <is>
          <t>_goal pts</t>
        </is>
      </c>
    </row>
    <row r="2">
      <c r="A2" t="inlineStr">
        <is>
          <t>Erling Haaland</t>
        </is>
      </c>
      <c r="B2" t="inlineStr">
        <is>
          <t>MCI</t>
        </is>
      </c>
      <c r="C2" t="inlineStr">
        <is>
          <t>MCI</t>
        </is>
      </c>
      <c r="D2" t="b">
        <v>0</v>
      </c>
      <c r="E2" t="inlineStr">
        <is>
          <t>FWD</t>
        </is>
      </c>
      <c r="F2" t="inlineStr">
        <is>
          <t>FWD</t>
        </is>
      </c>
      <c r="G2" t="b">
        <v>1</v>
      </c>
      <c r="H2" s="2" t="n">
        <v>15.5</v>
      </c>
      <c r="I2" t="inlineStr">
        <is>
          <t>a</t>
        </is>
      </c>
      <c r="K2" s="2" t="n">
        <v>2953</v>
      </c>
      <c r="L2" t="n">
        <v>239</v>
      </c>
      <c r="M2" s="3" t="n">
        <v>3204</v>
      </c>
      <c r="N2" s="4" t="n">
        <v>3000</v>
      </c>
      <c r="O2" s="4" t="n">
        <v>-204</v>
      </c>
      <c r="P2" s="5" t="inlineStr">
        <is>
          <t>medium</t>
        </is>
      </c>
      <c r="Q2" t="inlineStr">
        <is>
          <t>flat</t>
        </is>
      </c>
      <c r="R2" s="6" t="n">
        <v>3000</v>
      </c>
      <c r="S2" t="inlineStr">
        <is>
          <t>research</t>
        </is>
      </c>
      <c r="T2" s="5" t="inlineStr">
        <is>
          <t>Not a doubt about his place — a doubt about the first month. He played no part in pre-season after a deep World Cup run, only returned to training in the week of the Community Shield, and was expected to start that match on the bench. 3,204 would also be a career high; his best in a City shirt is 2,953 last season. Trimming to roughly last season's level rather than above it.</t>
        </is>
      </c>
      <c r="U2" s="6" t="n">
        <v>84.59999999999999</v>
      </c>
      <c r="V2" s="2" t="n">
        <v>34</v>
      </c>
      <c r="W2" s="7">
        <f>IF(N(U2)&lt;=0,0,MIN(Assumptions!$B$15,N(R2)/N(U2)))</f>
        <v/>
      </c>
      <c r="X2" s="6" t="n">
        <v>0.371</v>
      </c>
      <c r="Y2" s="3" t="n">
        <v>0.6655</v>
      </c>
      <c r="Z2" t="inlineStr">
        <is>
          <t>adjusted xGOT</t>
        </is>
      </c>
      <c r="AA2" s="3" t="n">
        <v>0.894</v>
      </c>
      <c r="AB2" s="3" t="n">
        <v>0.958</v>
      </c>
      <c r="AC2" s="3" t="n">
        <v>105.5</v>
      </c>
      <c r="AD2" s="3" t="n">
        <v>0.1246</v>
      </c>
      <c r="AE2" s="3" t="n">
        <v>3.488</v>
      </c>
      <c r="AF2" s="3" t="n">
        <v>0.0001611404032986208</v>
      </c>
      <c r="AG2" s="3" t="n">
        <v>1.785</v>
      </c>
      <c r="AH2" s="3" t="n">
        <v>0.9492313216</v>
      </c>
      <c r="AI2" s="3" t="n">
        <v>68</v>
      </c>
      <c r="AJ2" s="3" t="n">
        <v>1.9737</v>
      </c>
      <c r="AK2" s="3" t="n">
        <v>1.0365</v>
      </c>
      <c r="AL2" s="3" t="n">
        <v>-0.0908254123424939</v>
      </c>
      <c r="AM2" s="6" t="n">
        <v>6.02600782414642</v>
      </c>
      <c r="AN2" s="3" t="n">
        <v>0</v>
      </c>
      <c r="AO2" s="3" t="n">
        <v>2.662</v>
      </c>
      <c r="AP2" s="3" t="n">
        <v>0.4934160000000001</v>
      </c>
      <c r="AQ2" s="3">
        <f>N(X2)*N(BJ2)</f>
        <v/>
      </c>
      <c r="AR2" s="3" t="n">
        <v>0</v>
      </c>
      <c r="AS2" s="3" t="n">
        <v>-0</v>
      </c>
      <c r="AT2" s="3" t="n">
        <v>-0.0908254123424939</v>
      </c>
      <c r="AU2" s="3">
        <f>SUM(AO2:AT2)</f>
        <v/>
      </c>
      <c r="AV2" s="7">
        <f>IF(OR(N(W2)&lt;=0,N(BH2)=0),0,N(W2)*IF(N(R2)/N(W2)&gt;=60,N(BH2),1))</f>
        <v/>
      </c>
      <c r="AW2" s="7">
        <f>N(W2)*N(AF2)*N(BI2)</f>
        <v/>
      </c>
      <c r="AX2" s="3">
        <f>IF(N(BH2)=0,0,N(W2)*N(AH2))</f>
        <v/>
      </c>
      <c r="AY2" s="7">
        <f>N(AM2)*(Assumptions!$B$13*N(BK2)-(1-Assumptions!$B$13)*Assumptions!$B$14)+N(AN2)</f>
        <v/>
      </c>
      <c r="AZ2" s="7">
        <f>N(AU2)*N(R2)/90+N(AV2)+N(AW2)+N(AX2)+N(AY2)</f>
        <v/>
      </c>
      <c r="BA2" s="3">
        <f>IF(N(R2)&lt;=0,0,(N(AZ2)-N(AY2))*90/N(R2))</f>
        <v/>
      </c>
      <c r="BB2" s="7">
        <f>IFERROR(AZ2-VLOOKUP($E2,Assumptions!$A$40:$C$43,3,FALSE),"")</f>
        <v/>
      </c>
      <c r="BC2" s="3">
        <f>IFERROR(BB2/H2,"")</f>
        <v/>
      </c>
      <c r="BD2">
        <f>IF(AND($G2=TRUE,$E2="GKP"),AZ2,"")</f>
        <v/>
      </c>
      <c r="BE2">
        <f>IF(AND($G2=TRUE,$E2="DEF"),AZ2,"")</f>
        <v/>
      </c>
      <c r="BF2">
        <f>IF(AND($G2=TRUE,$E2="MID"),AZ2,"")</f>
        <v/>
      </c>
      <c r="BG2">
        <f>IF(AND($G2=TRUE,$E2="FWD"),AZ2,"")</f>
        <v/>
      </c>
      <c r="BH2" t="n">
        <v>2</v>
      </c>
      <c r="BI2" t="n">
        <v>2</v>
      </c>
      <c r="BJ2" t="n">
        <v>0</v>
      </c>
      <c r="BK2" t="n">
        <v>4</v>
      </c>
    </row>
    <row r="3">
      <c r="A3" t="inlineStr">
        <is>
          <t>Bruno Fernandes</t>
        </is>
      </c>
      <c r="B3" t="inlineStr">
        <is>
          <t>MUN</t>
        </is>
      </c>
      <c r="C3" t="inlineStr">
        <is>
          <t>MUN</t>
        </is>
      </c>
      <c r="D3" t="b">
        <v>0</v>
      </c>
      <c r="E3" t="inlineStr">
        <is>
          <t>MID</t>
        </is>
      </c>
      <c r="F3" t="inlineStr">
        <is>
          <t>MID</t>
        </is>
      </c>
      <c r="G3" t="b">
        <v>1</v>
      </c>
      <c r="H3" s="2" t="n">
        <v>12</v>
      </c>
      <c r="I3" t="inlineStr">
        <is>
          <t>a</t>
        </is>
      </c>
      <c r="K3" s="2" t="n">
        <v>3065</v>
      </c>
      <c r="L3" t="n">
        <v>235</v>
      </c>
      <c r="M3" s="3" t="n">
        <v>3342</v>
      </c>
      <c r="N3" s="8" t="n">
        <v>3342</v>
      </c>
      <c r="O3" s="8" t="n">
        <v>0</v>
      </c>
      <c r="Q3" t="inlineStr">
        <is>
          <t>flat</t>
        </is>
      </c>
      <c r="R3" s="6" t="n">
        <v>3342</v>
      </c>
      <c r="S3" t="inlineStr">
        <is>
          <t>Solio</t>
        </is>
      </c>
      <c r="U3" s="6" t="n">
        <v>85.90000000000001</v>
      </c>
      <c r="V3" s="2" t="n">
        <v>35</v>
      </c>
      <c r="W3" s="7">
        <f>IF(N(U3)&lt;=0,0,MIN(Assumptions!$B$15,N(R3)/N(U3)))</f>
        <v/>
      </c>
      <c r="X3" s="6" t="n">
        <v>0.334</v>
      </c>
      <c r="Y3" s="3" t="n">
        <v>0.1866</v>
      </c>
      <c r="Z3" t="inlineStr">
        <is>
          <t>adjusted xGOT</t>
        </is>
      </c>
      <c r="AA3" s="3" t="n">
        <v>0.617</v>
      </c>
      <c r="AB3" s="3" t="n">
        <v>0.954</v>
      </c>
      <c r="AC3" s="3" t="n">
        <v>39.8</v>
      </c>
      <c r="AD3" s="3" t="n">
        <v>0.441</v>
      </c>
      <c r="AE3" s="3" t="n">
        <v>8.456</v>
      </c>
      <c r="AF3" s="3" t="n">
        <v>0.1171014588947341</v>
      </c>
      <c r="AG3" s="3" t="n">
        <v>10.143</v>
      </c>
      <c r="AH3" s="3" t="n">
        <v>0.7338207936</v>
      </c>
      <c r="AI3" s="3" t="n">
        <v>69</v>
      </c>
      <c r="AJ3" s="3" t="n">
        <v>2.2165</v>
      </c>
      <c r="AK3" s="3" t="n">
        <v>1.1467</v>
      </c>
      <c r="AL3" s="3" t="n">
        <v>-0.1783755058227372</v>
      </c>
      <c r="AM3" s="6" t="n">
        <v>5.864353249388292</v>
      </c>
      <c r="AN3" s="3" t="n">
        <v>0</v>
      </c>
      <c r="AO3" s="3" t="n">
        <v>0.9329999999999999</v>
      </c>
      <c r="AP3" s="3" t="n">
        <v>1.74636</v>
      </c>
      <c r="AQ3" s="3">
        <f>N(X3)*N(BJ3)</f>
        <v/>
      </c>
      <c r="AR3" s="3" t="n">
        <v>0</v>
      </c>
      <c r="AS3" s="3" t="n">
        <v>-0</v>
      </c>
      <c r="AT3" s="3" t="n">
        <v>-0.1783755058227372</v>
      </c>
      <c r="AU3" s="3">
        <f>SUM(AO3:AT3)</f>
        <v/>
      </c>
      <c r="AV3" s="7">
        <f>IF(OR(N(W3)&lt;=0,N(BH3)=0),0,N(W3)*IF(N(R3)/N(W3)&gt;=60,N(BH3),1))</f>
        <v/>
      </c>
      <c r="AW3" s="7">
        <f>N(W3)*N(AF3)*N(BI3)</f>
        <v/>
      </c>
      <c r="AX3" s="3">
        <f>IF(N(BH3)=0,0,N(W3)*N(AH3))</f>
        <v/>
      </c>
      <c r="AY3" s="7">
        <f>N(AM3)*(Assumptions!$B$13*N(BK3)-(1-Assumptions!$B$13)*Assumptions!$B$14)+N(AN3)</f>
        <v/>
      </c>
      <c r="AZ3" s="7">
        <f>N(AU3)*N(R3)/90+N(AV3)+N(AW3)+N(AX3)+N(AY3)</f>
        <v/>
      </c>
      <c r="BA3" s="3">
        <f>IF(N(R3)&lt;=0,0,(N(AZ3)-N(AY3))*90/N(R3))</f>
        <v/>
      </c>
      <c r="BB3" s="7">
        <f>IFERROR(AZ3-VLOOKUP($E3,Assumptions!$A$40:$C$43,3,FALSE),"")</f>
        <v/>
      </c>
      <c r="BC3" s="3">
        <f>IFERROR(BB3/H3,"")</f>
        <v/>
      </c>
      <c r="BD3">
        <f>IF(AND($G3=TRUE,$E3="GKP"),AZ3,"")</f>
        <v/>
      </c>
      <c r="BE3">
        <f>IF(AND($G3=TRUE,$E3="DEF"),AZ3,"")</f>
        <v/>
      </c>
      <c r="BF3">
        <f>IF(AND($G3=TRUE,$E3="MID"),AZ3,"")</f>
        <v/>
      </c>
      <c r="BG3">
        <f>IF(AND($G3=TRUE,$E3="FWD"),AZ3,"")</f>
        <v/>
      </c>
      <c r="BH3" t="n">
        <v>2</v>
      </c>
      <c r="BI3" t="n">
        <v>2</v>
      </c>
      <c r="BJ3" t="n">
        <v>1</v>
      </c>
      <c r="BK3" t="n">
        <v>5</v>
      </c>
    </row>
    <row r="4">
      <c r="A4" t="inlineStr">
        <is>
          <t>Gabriel Magalhães</t>
        </is>
      </c>
      <c r="B4" t="inlineStr">
        <is>
          <t>ARS</t>
        </is>
      </c>
      <c r="C4" t="inlineStr">
        <is>
          <t>ARS</t>
        </is>
      </c>
      <c r="D4" t="b">
        <v>0</v>
      </c>
      <c r="E4" t="inlineStr">
        <is>
          <t>DEF</t>
        </is>
      </c>
      <c r="F4" t="inlineStr">
        <is>
          <t>DEF</t>
        </is>
      </c>
      <c r="G4" t="b">
        <v>1</v>
      </c>
      <c r="H4" s="2" t="n">
        <v>8</v>
      </c>
      <c r="I4" t="inlineStr">
        <is>
          <t>a</t>
        </is>
      </c>
      <c r="K4" s="2" t="n">
        <v>2750</v>
      </c>
      <c r="L4" t="n">
        <v>209</v>
      </c>
      <c r="M4" s="3" t="n">
        <v>3283</v>
      </c>
      <c r="N4" s="8" t="n">
        <v>3283</v>
      </c>
      <c r="O4" s="8" t="n">
        <v>0</v>
      </c>
      <c r="Q4" t="inlineStr">
        <is>
          <t>flat</t>
        </is>
      </c>
      <c r="R4" s="6" t="n">
        <v>3283</v>
      </c>
      <c r="S4" t="inlineStr">
        <is>
          <t>Solio</t>
        </is>
      </c>
      <c r="U4" s="6" t="n">
        <v>88.5</v>
      </c>
      <c r="V4" s="2" t="n">
        <v>30</v>
      </c>
      <c r="W4" s="7">
        <f>IF(N(U4)&lt;=0,0,MIN(Assumptions!$B$15,N(R4)/N(U4)))</f>
        <v/>
      </c>
      <c r="X4" s="6" t="n">
        <v>0.391</v>
      </c>
      <c r="Y4" s="3" t="n">
        <v>0.0785</v>
      </c>
      <c r="Z4" t="inlineStr">
        <is>
          <t>adjusted xGOT</t>
        </is>
      </c>
      <c r="AA4" s="3" t="n">
        <v>1</v>
      </c>
      <c r="AB4" s="3" t="n">
        <v>0.8159999999999999</v>
      </c>
      <c r="AC4" s="3" t="n">
        <v>15.2</v>
      </c>
      <c r="AD4" s="3" t="n">
        <v>0.0732</v>
      </c>
      <c r="AE4" s="3" t="n">
        <v>8.779</v>
      </c>
      <c r="AF4" s="3" t="n">
        <v>0.3643188784078821</v>
      </c>
      <c r="AG4" s="3" t="n">
        <v>8.555999999999999</v>
      </c>
      <c r="AH4" s="3" t="n">
        <v>0.3303059344</v>
      </c>
      <c r="AI4" s="3" t="n">
        <v>62</v>
      </c>
      <c r="AJ4" s="3" t="n">
        <v>2.067</v>
      </c>
      <c r="AK4" s="3" t="n">
        <v>0.9838</v>
      </c>
      <c r="AL4" s="3" t="n">
        <v>-0.1653812682758228</v>
      </c>
      <c r="AM4" s="6" t="n">
        <v>0</v>
      </c>
      <c r="AN4" s="3" t="n">
        <v>0</v>
      </c>
      <c r="AO4" s="3" t="n">
        <v>0.471</v>
      </c>
      <c r="AP4" s="3" t="n">
        <v>0.289872</v>
      </c>
      <c r="AQ4" s="3">
        <f>N(X4)*N(BJ4)</f>
        <v/>
      </c>
      <c r="AR4" s="3" t="n">
        <v>0</v>
      </c>
      <c r="AS4" s="3" t="n">
        <v>-0.2768479886568037</v>
      </c>
      <c r="AT4" s="3" t="n">
        <v>-0.1653812682758228</v>
      </c>
      <c r="AU4" s="3">
        <f>SUM(AO4:AT4)</f>
        <v/>
      </c>
      <c r="AV4" s="7">
        <f>IF(OR(N(W4)&lt;=0,N(BH4)=0),0,N(W4)*IF(N(R4)/N(W4)&gt;=60,N(BH4),1))</f>
        <v/>
      </c>
      <c r="AW4" s="7">
        <f>N(W4)*N(AF4)*N(BI4)</f>
        <v/>
      </c>
      <c r="AX4" s="3">
        <f>IF(N(BH4)=0,0,N(W4)*N(AH4))</f>
        <v/>
      </c>
      <c r="AY4" s="7">
        <f>N(AM4)*(Assumptions!$B$13*N(BK4)-(1-Assumptions!$B$13)*Assumptions!$B$14)+N(AN4)</f>
        <v/>
      </c>
      <c r="AZ4" s="7">
        <f>N(AU4)*N(R4)/90+N(AV4)+N(AW4)+N(AX4)+N(AY4)</f>
        <v/>
      </c>
      <c r="BA4" s="3">
        <f>IF(N(R4)&lt;=0,0,(N(AZ4)-N(AY4))*90/N(R4))</f>
        <v/>
      </c>
      <c r="BB4" s="7">
        <f>IFERROR(AZ4-VLOOKUP($E4,Assumptions!$A$40:$C$43,3,FALSE),"")</f>
        <v/>
      </c>
      <c r="BC4" s="3">
        <f>IFERROR(BB4/H4,"")</f>
        <v/>
      </c>
      <c r="BD4">
        <f>IF(AND($G4=TRUE,$E4="GKP"),AZ4,"")</f>
        <v/>
      </c>
      <c r="BE4">
        <f>IF(AND($G4=TRUE,$E4="DEF"),AZ4,"")</f>
        <v/>
      </c>
      <c r="BF4">
        <f>IF(AND($G4=TRUE,$E4="MID"),AZ4,"")</f>
        <v/>
      </c>
      <c r="BG4">
        <f>IF(AND($G4=TRUE,$E4="FWD"),AZ4,"")</f>
        <v/>
      </c>
      <c r="BH4" t="n">
        <v>2</v>
      </c>
      <c r="BI4" t="n">
        <v>2</v>
      </c>
      <c r="BJ4" t="n">
        <v>4</v>
      </c>
      <c r="BK4" t="n">
        <v>6</v>
      </c>
    </row>
    <row r="5">
      <c r="A5" t="inlineStr">
        <is>
          <t>Antoine Semenyo</t>
        </is>
      </c>
      <c r="B5" t="inlineStr">
        <is>
          <t>MCI</t>
        </is>
      </c>
      <c r="C5" t="inlineStr">
        <is>
          <t>MCI</t>
        </is>
      </c>
      <c r="D5" t="b">
        <v>0</v>
      </c>
      <c r="E5" t="inlineStr">
        <is>
          <t>MID</t>
        </is>
      </c>
      <c r="F5" t="inlineStr">
        <is>
          <t>MID</t>
        </is>
      </c>
      <c r="G5" t="b">
        <v>1</v>
      </c>
      <c r="H5" s="2" t="n">
        <v>8.5</v>
      </c>
      <c r="I5" t="inlineStr">
        <is>
          <t>a</t>
        </is>
      </c>
      <c r="K5" s="2" t="n">
        <v>3200</v>
      </c>
      <c r="L5" t="n">
        <v>202</v>
      </c>
      <c r="M5" s="3" t="n">
        <v>3106</v>
      </c>
      <c r="N5" s="4" t="n">
        <v>2900</v>
      </c>
      <c r="O5" s="4" t="n">
        <v>-206</v>
      </c>
      <c r="P5" s="5" t="inlineStr">
        <is>
          <t>low</t>
        </is>
      </c>
      <c r="Q5" t="inlineStr">
        <is>
          <t>flat</t>
        </is>
      </c>
      <c r="R5" s="6" t="n">
        <v>2900</v>
      </c>
      <c r="S5" t="inlineStr">
        <is>
          <t>research</t>
        </is>
      </c>
      <c r="T5" s="5" t="inlineStr">
        <is>
          <t>Lowest-confidence delta in this file, and included partly to keep the budget honest. 3,106 minutes is 34.5 full matches, which would make him the most-used City winger of the Guardiola-to-Maresca era. His 3,200 minutes last season were largely banked at Bournemouth before January, where he was genuinely nailed; at City he is in a rotation with Doku, Cherki, Savinho, Foden and Monga that Opta lists as one of the club's deepest areas. Small trim only — he was outstanding in pre-season and nothing suggests he loses his place.</t>
        </is>
      </c>
      <c r="U5" s="6" t="n">
        <v>85.09999999999999</v>
      </c>
      <c r="V5" s="2" t="n">
        <v>37</v>
      </c>
      <c r="W5" s="7">
        <f>IF(N(U5)&lt;=0,0,MIN(Assumptions!$B$15,N(R5)/N(U5)))</f>
        <v/>
      </c>
      <c r="X5" s="6" t="n">
        <v>0.371</v>
      </c>
      <c r="Y5" s="3" t="n">
        <v>0.3139</v>
      </c>
      <c r="Z5" t="inlineStr">
        <is>
          <t>adjusted xGOT</t>
        </is>
      </c>
      <c r="AA5" s="3" t="n">
        <v>0.881</v>
      </c>
      <c r="AB5" s="3" t="n">
        <v>1.141</v>
      </c>
      <c r="AC5" s="3" t="n">
        <v>25.7</v>
      </c>
      <c r="AD5" s="3" t="n">
        <v>0.102</v>
      </c>
      <c r="AE5" s="3" t="n">
        <v>6.994</v>
      </c>
      <c r="AF5" s="3" t="n">
        <v>0.03775900965641876</v>
      </c>
      <c r="AG5" s="3" t="n">
        <v>3.52</v>
      </c>
      <c r="AH5" s="3" t="n">
        <v>0.4018236352</v>
      </c>
      <c r="AI5" s="3" t="n">
        <v>72</v>
      </c>
      <c r="AJ5" s="3" t="n">
        <v>1.9737</v>
      </c>
      <c r="AK5" s="3" t="n">
        <v>1.0365</v>
      </c>
      <c r="AL5" s="3" t="n">
        <v>-0.2354149219812201</v>
      </c>
      <c r="AM5" s="6" t="n">
        <v>0.331298897539341</v>
      </c>
      <c r="AN5" s="3" t="n">
        <v>0</v>
      </c>
      <c r="AO5" s="3" t="n">
        <v>1.5695</v>
      </c>
      <c r="AP5" s="3" t="n">
        <v>0.40392</v>
      </c>
      <c r="AQ5" s="3">
        <f>N(X5)*N(BJ5)</f>
        <v/>
      </c>
      <c r="AR5" s="3" t="n">
        <v>0</v>
      </c>
      <c r="AS5" s="3" t="n">
        <v>-0</v>
      </c>
      <c r="AT5" s="3" t="n">
        <v>-0.2354149219812201</v>
      </c>
      <c r="AU5" s="3">
        <f>SUM(AO5:AT5)</f>
        <v/>
      </c>
      <c r="AV5" s="7">
        <f>IF(OR(N(W5)&lt;=0,N(BH5)=0),0,N(W5)*IF(N(R5)/N(W5)&gt;=60,N(BH5),1))</f>
        <v/>
      </c>
      <c r="AW5" s="7">
        <f>N(W5)*N(AF5)*N(BI5)</f>
        <v/>
      </c>
      <c r="AX5" s="3">
        <f>IF(N(BH5)=0,0,N(W5)*N(AH5))</f>
        <v/>
      </c>
      <c r="AY5" s="7">
        <f>N(AM5)*(Assumptions!$B$13*N(BK5)-(1-Assumptions!$B$13)*Assumptions!$B$14)+N(AN5)</f>
        <v/>
      </c>
      <c r="AZ5" s="7">
        <f>N(AU5)*N(R5)/90+N(AV5)+N(AW5)+N(AX5)+N(AY5)</f>
        <v/>
      </c>
      <c r="BA5" s="3">
        <f>IF(N(R5)&lt;=0,0,(N(AZ5)-N(AY5))*90/N(R5))</f>
        <v/>
      </c>
      <c r="BB5" s="7">
        <f>IFERROR(AZ5-VLOOKUP($E5,Assumptions!$A$40:$C$43,3,FALSE),"")</f>
        <v/>
      </c>
      <c r="BC5" s="3">
        <f>IFERROR(BB5/H5,"")</f>
        <v/>
      </c>
      <c r="BD5">
        <f>IF(AND($G5=TRUE,$E5="GKP"),AZ5,"")</f>
        <v/>
      </c>
      <c r="BE5">
        <f>IF(AND($G5=TRUE,$E5="DEF"),AZ5,"")</f>
        <v/>
      </c>
      <c r="BF5">
        <f>IF(AND($G5=TRUE,$E5="MID"),AZ5,"")</f>
        <v/>
      </c>
      <c r="BG5">
        <f>IF(AND($G5=TRUE,$E5="FWD"),AZ5,"")</f>
        <v/>
      </c>
      <c r="BH5" t="n">
        <v>2</v>
      </c>
      <c r="BI5" t="n">
        <v>2</v>
      </c>
      <c r="BJ5" t="n">
        <v>1</v>
      </c>
      <c r="BK5" t="n">
        <v>5</v>
      </c>
    </row>
    <row r="6">
      <c r="A6" t="inlineStr">
        <is>
          <t>Morgan Gibbs-White</t>
        </is>
      </c>
      <c r="B6" t="inlineStr">
        <is>
          <t>NFO</t>
        </is>
      </c>
      <c r="C6" t="inlineStr">
        <is>
          <t>NFO</t>
        </is>
      </c>
      <c r="D6" t="b">
        <v>0</v>
      </c>
      <c r="E6" t="inlineStr">
        <is>
          <t>MID</t>
        </is>
      </c>
      <c r="F6" t="inlineStr">
        <is>
          <t>MID</t>
        </is>
      </c>
      <c r="G6" t="b">
        <v>1</v>
      </c>
      <c r="H6" s="2" t="n">
        <v>8</v>
      </c>
      <c r="I6" t="inlineStr">
        <is>
          <t>a</t>
        </is>
      </c>
      <c r="K6" s="2" t="n">
        <v>3101</v>
      </c>
      <c r="L6" t="n">
        <v>188</v>
      </c>
      <c r="M6" s="3" t="n">
        <v>3301</v>
      </c>
      <c r="N6" s="4" t="n">
        <v>3150</v>
      </c>
      <c r="O6" s="4" t="n">
        <v>-151</v>
      </c>
      <c r="P6" s="5" t="inlineStr">
        <is>
          <t>medium</t>
        </is>
      </c>
      <c r="Q6" t="inlineStr">
        <is>
          <t>flat</t>
        </is>
      </c>
      <c r="R6" s="6" t="n">
        <v>3150</v>
      </c>
      <c r="S6" t="inlineStr">
        <is>
          <t>research</t>
        </is>
      </c>
      <c r="T6" s="5" t="inlineStr">
        <is>
          <t>Staying at Forest and central to Glasner's plans, so the headline number is broadly right. Trimmed because Solio projects 200 minutes above his own 2025-26 total of 3,101, and an attacking midfielder in a two-ten system is the profile most often substituted late.</t>
        </is>
      </c>
      <c r="U6" s="6" t="n">
        <v>85.3</v>
      </c>
      <c r="V6" s="2" t="n">
        <v>35</v>
      </c>
      <c r="W6" s="7">
        <f>IF(N(U6)&lt;=0,0,MIN(Assumptions!$B$15,N(R6)/N(U6)))</f>
        <v/>
      </c>
      <c r="X6" s="6" t="n">
        <v>0.224</v>
      </c>
      <c r="Y6" s="3" t="n">
        <v>0.2899</v>
      </c>
      <c r="Z6" t="inlineStr">
        <is>
          <t>adjusted xGOT</t>
        </is>
      </c>
      <c r="AA6" s="3" t="n">
        <v>0.9350000000000001</v>
      </c>
      <c r="AB6" s="3" t="n">
        <v>0.989</v>
      </c>
      <c r="AC6" s="3" t="n">
        <v>30.5</v>
      </c>
      <c r="AD6" s="3" t="n">
        <v>0.1076</v>
      </c>
      <c r="AE6" s="3" t="n">
        <v>5.809</v>
      </c>
      <c r="AF6" s="3" t="n">
        <v>0.0110688280569039</v>
      </c>
      <c r="AG6" s="3" t="n">
        <v>5.041</v>
      </c>
      <c r="AH6" s="3" t="n">
        <v>0.4480882</v>
      </c>
      <c r="AI6" s="3" t="n">
        <v>72</v>
      </c>
      <c r="AJ6" s="3" t="n">
        <v>3.1134</v>
      </c>
      <c r="AK6" s="3" t="n">
        <v>1.5588</v>
      </c>
      <c r="AL6" s="3" t="n">
        <v>-0.1751960287699131</v>
      </c>
      <c r="AM6" s="6" t="n">
        <v>3.588896383734543</v>
      </c>
      <c r="AN6" s="3" t="n">
        <v>0</v>
      </c>
      <c r="AO6" s="3" t="n">
        <v>1.4495</v>
      </c>
      <c r="AP6" s="3" t="n">
        <v>0.426096</v>
      </c>
      <c r="AQ6" s="3">
        <f>N(X6)*N(BJ6)</f>
        <v/>
      </c>
      <c r="AR6" s="3" t="n">
        <v>0</v>
      </c>
      <c r="AS6" s="3" t="n">
        <v>-0</v>
      </c>
      <c r="AT6" s="3" t="n">
        <v>-0.1751960287699131</v>
      </c>
      <c r="AU6" s="3">
        <f>SUM(AO6:AT6)</f>
        <v/>
      </c>
      <c r="AV6" s="7">
        <f>IF(OR(N(W6)&lt;=0,N(BH6)=0),0,N(W6)*IF(N(R6)/N(W6)&gt;=60,N(BH6),1))</f>
        <v/>
      </c>
      <c r="AW6" s="7">
        <f>N(W6)*N(AF6)*N(BI6)</f>
        <v/>
      </c>
      <c r="AX6" s="3">
        <f>IF(N(BH6)=0,0,N(W6)*N(AH6))</f>
        <v/>
      </c>
      <c r="AY6" s="7">
        <f>N(AM6)*(Assumptions!$B$13*N(BK6)-(1-Assumptions!$B$13)*Assumptions!$B$14)+N(AN6)</f>
        <v/>
      </c>
      <c r="AZ6" s="7">
        <f>N(AU6)*N(R6)/90+N(AV6)+N(AW6)+N(AX6)+N(AY6)</f>
        <v/>
      </c>
      <c r="BA6" s="3">
        <f>IF(N(R6)&lt;=0,0,(N(AZ6)-N(AY6))*90/N(R6))</f>
        <v/>
      </c>
      <c r="BB6" s="7">
        <f>IFERROR(AZ6-VLOOKUP($E6,Assumptions!$A$40:$C$43,3,FALSE),"")</f>
        <v/>
      </c>
      <c r="BC6" s="3">
        <f>IFERROR(BB6/H6,"")</f>
        <v/>
      </c>
      <c r="BD6">
        <f>IF(AND($G6=TRUE,$E6="GKP"),AZ6,"")</f>
        <v/>
      </c>
      <c r="BE6">
        <f>IF(AND($G6=TRUE,$E6="DEF"),AZ6,"")</f>
        <v/>
      </c>
      <c r="BF6">
        <f>IF(AND($G6=TRUE,$E6="MID"),AZ6,"")</f>
        <v/>
      </c>
      <c r="BG6">
        <f>IF(AND($G6=TRUE,$E6="FWD"),AZ6,"")</f>
        <v/>
      </c>
      <c r="BH6" t="n">
        <v>2</v>
      </c>
      <c r="BI6" t="n">
        <v>2</v>
      </c>
      <c r="BJ6" t="n">
        <v>1</v>
      </c>
      <c r="BK6" t="n">
        <v>5</v>
      </c>
    </row>
    <row r="7">
      <c r="A7" t="inlineStr">
        <is>
          <t>Declan Rice</t>
        </is>
      </c>
      <c r="B7" t="inlineStr">
        <is>
          <t>ARS</t>
        </is>
      </c>
      <c r="C7" t="inlineStr">
        <is>
          <t>ARS</t>
        </is>
      </c>
      <c r="D7" t="b">
        <v>0</v>
      </c>
      <c r="E7" t="inlineStr">
        <is>
          <t>MID</t>
        </is>
      </c>
      <c r="F7" t="inlineStr">
        <is>
          <t>MID</t>
        </is>
      </c>
      <c r="G7" t="b">
        <v>1</v>
      </c>
      <c r="H7" s="2" t="n">
        <v>7.5</v>
      </c>
      <c r="I7" t="inlineStr">
        <is>
          <t>a</t>
        </is>
      </c>
      <c r="K7" s="2" t="n">
        <v>3093</v>
      </c>
      <c r="L7" t="n">
        <v>184</v>
      </c>
      <c r="M7" s="3" t="n">
        <v>3106</v>
      </c>
      <c r="N7" s="4" t="n">
        <v>2950</v>
      </c>
      <c r="O7" s="4" t="n">
        <v>-156</v>
      </c>
      <c r="P7" s="5" t="inlineStr">
        <is>
          <t>low</t>
        </is>
      </c>
      <c r="Q7" t="inlineStr">
        <is>
          <t>flat</t>
        </is>
      </c>
      <c r="R7" s="6" t="n">
        <v>2950</v>
      </c>
      <c r="S7" t="inlineStr">
        <is>
          <t>research</t>
        </is>
      </c>
      <c r="T7" s="5" t="inlineStr">
        <is>
          <t>Rice is fit and available, so no large cut is warranted - but Solio's 3106 would be his heaviest league season yet on the back of hamstring nerve pain he has been managing since December, a knee problem, and a World Cup that ran to the third-place play-off. Fantasy Football Scout's 14 August guide flags that Rice has 'only just returned to training after the World Cup' and that early minutes may be managed. A 5% trim for load management, no more.</t>
        </is>
      </c>
      <c r="U7" s="6" t="n">
        <v>86</v>
      </c>
      <c r="V7" s="2" t="n">
        <v>35</v>
      </c>
      <c r="W7" s="7">
        <f>IF(N(U7)&lt;=0,0,MIN(Assumptions!$B$15,N(R7)/N(U7)))</f>
        <v/>
      </c>
      <c r="X7" s="6" t="n">
        <v>0.391</v>
      </c>
      <c r="Y7" s="3" t="n">
        <v>0.1037</v>
      </c>
      <c r="Z7" t="inlineStr">
        <is>
          <t>adjusted xGOT</t>
        </is>
      </c>
      <c r="AA7" s="3" t="n">
        <v>1</v>
      </c>
      <c r="AB7" s="3" t="n">
        <v>1.132</v>
      </c>
      <c r="AC7" s="3" t="n">
        <v>12.6</v>
      </c>
      <c r="AD7" s="3" t="n">
        <v>0.2252</v>
      </c>
      <c r="AE7" s="3" t="n">
        <v>10.494</v>
      </c>
      <c r="AF7" s="3" t="n">
        <v>0.3063672703400486</v>
      </c>
      <c r="AG7" s="3" t="n">
        <v>10.33</v>
      </c>
      <c r="AH7" s="3" t="n">
        <v>0.37636176</v>
      </c>
      <c r="AI7" s="3" t="n">
        <v>71</v>
      </c>
      <c r="AJ7" s="3" t="n">
        <v>2.067</v>
      </c>
      <c r="AK7" s="3" t="n">
        <v>0.9838</v>
      </c>
      <c r="AL7" s="3" t="n">
        <v>-0.1506210597641032</v>
      </c>
      <c r="AM7" s="6" t="n">
        <v>0</v>
      </c>
      <c r="AN7" s="3" t="n">
        <v>0</v>
      </c>
      <c r="AO7" s="3" t="n">
        <v>0.5185</v>
      </c>
      <c r="AP7" s="3" t="n">
        <v>0.891792</v>
      </c>
      <c r="AQ7" s="3">
        <f>N(X7)*N(BJ7)</f>
        <v/>
      </c>
      <c r="AR7" s="3" t="n">
        <v>0</v>
      </c>
      <c r="AS7" s="3" t="n">
        <v>-0</v>
      </c>
      <c r="AT7" s="3" t="n">
        <v>-0.1506210597641032</v>
      </c>
      <c r="AU7" s="3">
        <f>SUM(AO7:AT7)</f>
        <v/>
      </c>
      <c r="AV7" s="7">
        <f>IF(OR(N(W7)&lt;=0,N(BH7)=0),0,N(W7)*IF(N(R7)/N(W7)&gt;=60,N(BH7),1))</f>
        <v/>
      </c>
      <c r="AW7" s="7">
        <f>N(W7)*N(AF7)*N(BI7)</f>
        <v/>
      </c>
      <c r="AX7" s="3">
        <f>IF(N(BH7)=0,0,N(W7)*N(AH7))</f>
        <v/>
      </c>
      <c r="AY7" s="7">
        <f>N(AM7)*(Assumptions!$B$13*N(BK7)-(1-Assumptions!$B$13)*Assumptions!$B$14)+N(AN7)</f>
        <v/>
      </c>
      <c r="AZ7" s="7">
        <f>N(AU7)*N(R7)/90+N(AV7)+N(AW7)+N(AX7)+N(AY7)</f>
        <v/>
      </c>
      <c r="BA7" s="3">
        <f>IF(N(R7)&lt;=0,0,(N(AZ7)-N(AY7))*90/N(R7))</f>
        <v/>
      </c>
      <c r="BB7" s="7">
        <f>IFERROR(AZ7-VLOOKUP($E7,Assumptions!$A$40:$C$43,3,FALSE),"")</f>
        <v/>
      </c>
      <c r="BC7" s="3">
        <f>IFERROR(BB7/H7,"")</f>
        <v/>
      </c>
      <c r="BD7">
        <f>IF(AND($G7=TRUE,$E7="GKP"),AZ7,"")</f>
        <v/>
      </c>
      <c r="BE7">
        <f>IF(AND($G7=TRUE,$E7="DEF"),AZ7,"")</f>
        <v/>
      </c>
      <c r="BF7">
        <f>IF(AND($G7=TRUE,$E7="MID"),AZ7,"")</f>
        <v/>
      </c>
      <c r="BG7">
        <f>IF(AND($G7=TRUE,$E7="FWD"),AZ7,"")</f>
        <v/>
      </c>
      <c r="BH7" t="n">
        <v>2</v>
      </c>
      <c r="BI7" t="n">
        <v>2</v>
      </c>
      <c r="BJ7" t="n">
        <v>1</v>
      </c>
      <c r="BK7" t="n">
        <v>5</v>
      </c>
    </row>
    <row r="8">
      <c r="A8" t="inlineStr">
        <is>
          <t>Igor Thiago</t>
        </is>
      </c>
      <c r="B8" t="inlineStr">
        <is>
          <t>BRE</t>
        </is>
      </c>
      <c r="C8" t="inlineStr">
        <is>
          <t>BRE</t>
        </is>
      </c>
      <c r="D8" t="b">
        <v>0</v>
      </c>
      <c r="E8" t="inlineStr">
        <is>
          <t>FWD</t>
        </is>
      </c>
      <c r="F8" t="inlineStr">
        <is>
          <t>FWD</t>
        </is>
      </c>
      <c r="G8" t="b">
        <v>1</v>
      </c>
      <c r="H8" s="2" t="n">
        <v>8</v>
      </c>
      <c r="I8" t="inlineStr">
        <is>
          <t>a</t>
        </is>
      </c>
      <c r="K8" s="2" t="n">
        <v>3282</v>
      </c>
      <c r="L8" t="n">
        <v>181</v>
      </c>
      <c r="M8" s="3" t="n">
        <v>3209</v>
      </c>
      <c r="N8" s="4" t="n">
        <v>3050</v>
      </c>
      <c r="O8" s="4" t="n">
        <v>-159</v>
      </c>
      <c r="P8" s="5" t="inlineStr">
        <is>
          <t>low</t>
        </is>
      </c>
      <c r="Q8" t="inlineStr">
        <is>
          <t>flat</t>
        </is>
      </c>
      <c r="R8" s="6" t="n">
        <v>3050</v>
      </c>
      <c r="S8" t="inlineStr">
        <is>
          <t>research</t>
        </is>
      </c>
      <c r="T8" s="5" t="inlineStr">
        <is>
          <t>Small trim only. Brentford signed Callum Wilson on a free on 9 July, and he replaced Thiago at half-time against Rennes and registered two assists. Solio's 3209 assumes essentially no in-game rotation at centre-forward; a dedicated deputy with 95 Premier League goals makes a modest number of early substitutions and rested matches likelier. Thiago remains the undisputed starter.</t>
        </is>
      </c>
      <c r="U8" s="6" t="n">
        <v>85.90000000000001</v>
      </c>
      <c r="V8" s="2" t="n">
        <v>37</v>
      </c>
      <c r="W8" s="7">
        <f>IF(N(U8)&lt;=0,0,MIN(Assumptions!$B$15,N(R8)/N(U8)))</f>
        <v/>
      </c>
      <c r="X8" s="6" t="n">
        <v>0.228</v>
      </c>
      <c r="Y8" s="3" t="n">
        <v>0.3992</v>
      </c>
      <c r="Z8" t="inlineStr">
        <is>
          <t>adjusted xGOT</t>
        </is>
      </c>
      <c r="AA8" s="3" t="n">
        <v>0.723</v>
      </c>
      <c r="AB8" s="3" t="n">
        <v>0.978</v>
      </c>
      <c r="AC8" s="3" t="n">
        <v>20.7</v>
      </c>
      <c r="AD8" s="3" t="n">
        <v>0.07240000000000001</v>
      </c>
      <c r="AE8" s="3" t="n">
        <v>5.675</v>
      </c>
      <c r="AF8" s="3" t="n">
        <v>0.009845651064124272</v>
      </c>
      <c r="AG8" s="3" t="n">
        <v>0.168</v>
      </c>
      <c r="AH8" s="3" t="n">
        <v>0.5706336376</v>
      </c>
      <c r="AI8" s="3" t="n">
        <v>75</v>
      </c>
      <c r="AJ8" s="3" t="n">
        <v>3.2371</v>
      </c>
      <c r="AK8" s="3" t="n">
        <v>1.5396</v>
      </c>
      <c r="AL8" s="3" t="n">
        <v>-0.1909662885404408</v>
      </c>
      <c r="AM8" s="6" t="n">
        <v>4.189117494674605</v>
      </c>
      <c r="AN8" s="3" t="n">
        <v>0</v>
      </c>
      <c r="AO8" s="3" t="n">
        <v>1.5968</v>
      </c>
      <c r="AP8" s="3" t="n">
        <v>0.286704</v>
      </c>
      <c r="AQ8" s="3">
        <f>N(X8)*N(BJ8)</f>
        <v/>
      </c>
      <c r="AR8" s="3" t="n">
        <v>0</v>
      </c>
      <c r="AS8" s="3" t="n">
        <v>-0</v>
      </c>
      <c r="AT8" s="3" t="n">
        <v>-0.1909662885404408</v>
      </c>
      <c r="AU8" s="3">
        <f>SUM(AO8:AT8)</f>
        <v/>
      </c>
      <c r="AV8" s="7">
        <f>IF(OR(N(W8)&lt;=0,N(BH8)=0),0,N(W8)*IF(N(R8)/N(W8)&gt;=60,N(BH8),1))</f>
        <v/>
      </c>
      <c r="AW8" s="7">
        <f>N(W8)*N(AF8)*N(BI8)</f>
        <v/>
      </c>
      <c r="AX8" s="3">
        <f>IF(N(BH8)=0,0,N(W8)*N(AH8))</f>
        <v/>
      </c>
      <c r="AY8" s="7">
        <f>N(AM8)*(Assumptions!$B$13*N(BK8)-(1-Assumptions!$B$13)*Assumptions!$B$14)+N(AN8)</f>
        <v/>
      </c>
      <c r="AZ8" s="7">
        <f>N(AU8)*N(R8)/90+N(AV8)+N(AW8)+N(AX8)+N(AY8)</f>
        <v/>
      </c>
      <c r="BA8" s="3">
        <f>IF(N(R8)&lt;=0,0,(N(AZ8)-N(AY8))*90/N(R8))</f>
        <v/>
      </c>
      <c r="BB8" s="7">
        <f>IFERROR(AZ8-VLOOKUP($E8,Assumptions!$A$40:$C$43,3,FALSE),"")</f>
        <v/>
      </c>
      <c r="BC8" s="3">
        <f>IFERROR(BB8/H8,"")</f>
        <v/>
      </c>
      <c r="BD8">
        <f>IF(AND($G8=TRUE,$E8="GKP"),AZ8,"")</f>
        <v/>
      </c>
      <c r="BE8">
        <f>IF(AND($G8=TRUE,$E8="DEF"),AZ8,"")</f>
        <v/>
      </c>
      <c r="BF8">
        <f>IF(AND($G8=TRUE,$E8="MID"),AZ8,"")</f>
        <v/>
      </c>
      <c r="BG8">
        <f>IF(AND($G8=TRUE,$E8="FWD"),AZ8,"")</f>
        <v/>
      </c>
      <c r="BH8" t="n">
        <v>2</v>
      </c>
      <c r="BI8" t="n">
        <v>2</v>
      </c>
      <c r="BJ8" t="n">
        <v>0</v>
      </c>
      <c r="BK8" t="n">
        <v>4</v>
      </c>
    </row>
    <row r="9">
      <c r="A9" s="9" t="inlineStr">
        <is>
          <t>Elliot Anderson</t>
        </is>
      </c>
      <c r="B9" t="inlineStr">
        <is>
          <t>MCI</t>
        </is>
      </c>
      <c r="C9" s="9" t="inlineStr">
        <is>
          <t>NFO</t>
        </is>
      </c>
      <c r="D9" t="b">
        <v>1</v>
      </c>
      <c r="E9" t="inlineStr">
        <is>
          <t>MID</t>
        </is>
      </c>
      <c r="F9" t="inlineStr">
        <is>
          <t>MID</t>
        </is>
      </c>
      <c r="G9" t="b">
        <v>1</v>
      </c>
      <c r="H9" s="2" t="n">
        <v>6.5</v>
      </c>
      <c r="I9" t="inlineStr">
        <is>
          <t>a</t>
        </is>
      </c>
      <c r="K9" s="2" t="n">
        <v>3332</v>
      </c>
      <c r="L9" t="n">
        <v>180</v>
      </c>
      <c r="M9" s="3" t="n">
        <v>2096</v>
      </c>
      <c r="N9" s="4" t="n">
        <v>2700</v>
      </c>
      <c r="O9" s="4" t="n">
        <v>604</v>
      </c>
      <c r="P9" s="5" t="inlineStr">
        <is>
          <t>high</t>
        </is>
      </c>
      <c r="Q9" t="inlineStr">
        <is>
          <t>flat</t>
        </is>
      </c>
      <c r="R9" s="6" t="n">
        <v>2700</v>
      </c>
      <c r="S9" t="inlineStr">
        <is>
          <t>research</t>
        </is>
      </c>
      <c r="T9" s="5" t="inlineStr">
        <is>
          <t>Resolves the flagged question. The 'more likely to start on the bench' read is real but it is about one match, not the season: he had only four days' training with the squad before the Community Shield, which is why one preview made Nico Gonzalez the safer bet for that game. Everything longer-range points the other way — British-record £116m fee for an English player, reported as central to Maresca's midfield plans from the restart, Maresca himself mapping him as both a six and an eight, Reijnders sold and Rodri unavailable. Bench for one match, starter for the season.</t>
        </is>
      </c>
      <c r="U9" s="6" t="n">
        <v>87</v>
      </c>
      <c r="V9" s="2" t="n">
        <v>37</v>
      </c>
      <c r="W9" s="7">
        <f>IF(N(U9)&lt;=0,0,MIN(Assumptions!$B$15,N(R9)/N(U9)))</f>
        <v/>
      </c>
      <c r="X9" s="6" t="n">
        <v>0.371</v>
      </c>
      <c r="Y9" s="10" t="n">
        <v>0.0558</v>
      </c>
      <c r="Z9" t="inlineStr">
        <is>
          <t>adjusted xGOT</t>
        </is>
      </c>
      <c r="AA9" s="3" t="n">
        <v>0.779</v>
      </c>
      <c r="AB9" s="3" t="n">
        <v>0.902</v>
      </c>
      <c r="AC9" s="3" t="n">
        <v>7.8</v>
      </c>
      <c r="AD9" s="10" t="n">
        <v>0.1301</v>
      </c>
      <c r="AE9" s="3" t="n">
        <v>12.963</v>
      </c>
      <c r="AF9" s="3" t="n">
        <v>0.5975914507580702</v>
      </c>
      <c r="AG9" s="3" t="n">
        <v>11.149</v>
      </c>
      <c r="AH9" s="3" t="n">
        <v>0.2533953344</v>
      </c>
      <c r="AI9" s="3" t="n">
        <v>75</v>
      </c>
      <c r="AJ9" s="3" t="n">
        <v>1.9737</v>
      </c>
      <c r="AK9" s="3" t="n">
        <v>1.0365</v>
      </c>
      <c r="AL9" s="3" t="n">
        <v>-0.2595103024449674</v>
      </c>
      <c r="AM9" s="6" t="n">
        <v>0</v>
      </c>
      <c r="AN9" s="3" t="n">
        <v>0</v>
      </c>
      <c r="AO9" s="10" t="n">
        <v>0.279</v>
      </c>
      <c r="AP9" s="10" t="n">
        <v>0.515196</v>
      </c>
      <c r="AQ9" s="3">
        <f>N(X9)*N(BJ9)</f>
        <v/>
      </c>
      <c r="AR9" s="3" t="n">
        <v>0</v>
      </c>
      <c r="AS9" s="3" t="n">
        <v>-0</v>
      </c>
      <c r="AT9" s="3" t="n">
        <v>-0.2595103024449674</v>
      </c>
      <c r="AU9" s="3">
        <f>SUM(AO9:AT9)</f>
        <v/>
      </c>
      <c r="AV9" s="7">
        <f>IF(OR(N(W9)&lt;=0,N(BH9)=0),0,N(W9)*IF(N(R9)/N(W9)&gt;=60,N(BH9),1))</f>
        <v/>
      </c>
      <c r="AW9" s="7">
        <f>N(W9)*N(AF9)*N(BI9)</f>
        <v/>
      </c>
      <c r="AX9" s="3">
        <f>IF(N(BH9)=0,0,N(W9)*N(AH9))</f>
        <v/>
      </c>
      <c r="AY9" s="7">
        <f>N(AM9)*(Assumptions!$B$13*N(BK9)-(1-Assumptions!$B$13)*Assumptions!$B$14)+N(AN9)</f>
        <v/>
      </c>
      <c r="AZ9" s="7">
        <f>N(AU9)*N(R9)/90+N(AV9)+N(AW9)+N(AX9)+N(AY9)</f>
        <v/>
      </c>
      <c r="BA9" s="3">
        <f>IF(N(R9)&lt;=0,0,(N(AZ9)-N(AY9))*90/N(R9))</f>
        <v/>
      </c>
      <c r="BB9" s="7">
        <f>IFERROR(AZ9-VLOOKUP($E9,Assumptions!$A$40:$C$43,3,FALSE),"")</f>
        <v/>
      </c>
      <c r="BC9" s="3">
        <f>IFERROR(BB9/H9,"")</f>
        <v/>
      </c>
      <c r="BD9">
        <f>IF(AND($G9=TRUE,$E9="GKP"),AZ9,"")</f>
        <v/>
      </c>
      <c r="BE9">
        <f>IF(AND($G9=TRUE,$E9="DEF"),AZ9,"")</f>
        <v/>
      </c>
      <c r="BF9">
        <f>IF(AND($G9=TRUE,$E9="MID"),AZ9,"")</f>
        <v/>
      </c>
      <c r="BG9">
        <f>IF(AND($G9=TRUE,$E9="FWD"),AZ9,"")</f>
        <v/>
      </c>
      <c r="BH9" t="n">
        <v>2</v>
      </c>
      <c r="BI9" t="n">
        <v>2</v>
      </c>
      <c r="BJ9" t="n">
        <v>1</v>
      </c>
      <c r="BK9" t="n">
        <v>5</v>
      </c>
    </row>
    <row r="10">
      <c r="A10" t="inlineStr">
        <is>
          <t>Marc Guéhi</t>
        </is>
      </c>
      <c r="B10" t="inlineStr">
        <is>
          <t>MCI</t>
        </is>
      </c>
      <c r="C10" t="inlineStr">
        <is>
          <t>MCI</t>
        </is>
      </c>
      <c r="D10" t="b">
        <v>0</v>
      </c>
      <c r="E10" t="inlineStr">
        <is>
          <t>DEF</t>
        </is>
      </c>
      <c r="F10" t="inlineStr">
        <is>
          <t>DEF</t>
        </is>
      </c>
      <c r="G10" t="b">
        <v>1</v>
      </c>
      <c r="H10" s="2" t="n">
        <v>6</v>
      </c>
      <c r="I10" t="inlineStr">
        <is>
          <t>a</t>
        </is>
      </c>
      <c r="K10" s="2" t="n">
        <v>3150</v>
      </c>
      <c r="L10" t="n">
        <v>179</v>
      </c>
      <c r="M10" s="3" t="n">
        <v>2611</v>
      </c>
      <c r="N10" s="8" t="n">
        <v>2611</v>
      </c>
      <c r="O10" s="8" t="n">
        <v>0</v>
      </c>
      <c r="Q10" t="inlineStr">
        <is>
          <t>flat</t>
        </is>
      </c>
      <c r="R10" s="6" t="n">
        <v>2611</v>
      </c>
      <c r="S10" t="inlineStr">
        <is>
          <t>Solio</t>
        </is>
      </c>
      <c r="U10" s="6" t="n">
        <v>89</v>
      </c>
      <c r="V10" s="2" t="n">
        <v>35</v>
      </c>
      <c r="W10" s="7">
        <f>IF(N(U10)&lt;=0,0,MIN(Assumptions!$B$15,N(R10)/N(U10)))</f>
        <v/>
      </c>
      <c r="X10" s="6" t="n">
        <v>0.371</v>
      </c>
      <c r="Y10" s="3" t="n">
        <v>0.1254</v>
      </c>
      <c r="Z10" t="inlineStr">
        <is>
          <t>adjusted xGOT</t>
        </is>
      </c>
      <c r="AA10" s="3" t="n">
        <v>1</v>
      </c>
      <c r="AB10" s="3" t="n">
        <v>1.084</v>
      </c>
      <c r="AC10" s="3" t="n">
        <v>8</v>
      </c>
      <c r="AD10" s="3" t="n">
        <v>0.0728</v>
      </c>
      <c r="AE10" s="3" t="n">
        <v>7.895</v>
      </c>
      <c r="AF10" s="3" t="n">
        <v>0.2597697676143359</v>
      </c>
      <c r="AG10" s="3" t="n">
        <v>8.977</v>
      </c>
      <c r="AH10" s="3" t="n">
        <v>0.4031493664</v>
      </c>
      <c r="AI10" s="3" t="n">
        <v>70</v>
      </c>
      <c r="AJ10" s="3" t="n">
        <v>1.9737</v>
      </c>
      <c r="AK10" s="3" t="n">
        <v>1.0365</v>
      </c>
      <c r="AL10" s="3" t="n">
        <v>-0.1945595673769788</v>
      </c>
      <c r="AM10" s="6" t="n">
        <v>0</v>
      </c>
      <c r="AN10" s="3" t="n">
        <v>0</v>
      </c>
      <c r="AO10" s="3" t="n">
        <v>0.7524000000000001</v>
      </c>
      <c r="AP10" s="3" t="n">
        <v>0.288288</v>
      </c>
      <c r="AQ10" s="3">
        <f>N(X10)*N(BJ10)</f>
        <v/>
      </c>
      <c r="AR10" s="3" t="n">
        <v>0</v>
      </c>
      <c r="AS10" s="3" t="n">
        <v>-0.2997019479071323</v>
      </c>
      <c r="AT10" s="3" t="n">
        <v>-0.1945595673769788</v>
      </c>
      <c r="AU10" s="3">
        <f>SUM(AO10:AT10)</f>
        <v/>
      </c>
      <c r="AV10" s="7">
        <f>IF(OR(N(W10)&lt;=0,N(BH10)=0),0,N(W10)*IF(N(R10)/N(W10)&gt;=60,N(BH10),1))</f>
        <v/>
      </c>
      <c r="AW10" s="7">
        <f>N(W10)*N(AF10)*N(BI10)</f>
        <v/>
      </c>
      <c r="AX10" s="3">
        <f>IF(N(BH10)=0,0,N(W10)*N(AH10))</f>
        <v/>
      </c>
      <c r="AY10" s="7">
        <f>N(AM10)*(Assumptions!$B$13*N(BK10)-(1-Assumptions!$B$13)*Assumptions!$B$14)+N(AN10)</f>
        <v/>
      </c>
      <c r="AZ10" s="7">
        <f>N(AU10)*N(R10)/90+N(AV10)+N(AW10)+N(AX10)+N(AY10)</f>
        <v/>
      </c>
      <c r="BA10" s="3">
        <f>IF(N(R10)&lt;=0,0,(N(AZ10)-N(AY10))*90/N(R10))</f>
        <v/>
      </c>
      <c r="BB10" s="7">
        <f>IFERROR(AZ10-VLOOKUP($E10,Assumptions!$A$40:$C$43,3,FALSE),"")</f>
        <v/>
      </c>
      <c r="BC10" s="3">
        <f>IFERROR(BB10/H10,"")</f>
        <v/>
      </c>
      <c r="BD10">
        <f>IF(AND($G10=TRUE,$E10="GKP"),AZ10,"")</f>
        <v/>
      </c>
      <c r="BE10">
        <f>IF(AND($G10=TRUE,$E10="DEF"),AZ10,"")</f>
        <v/>
      </c>
      <c r="BF10">
        <f>IF(AND($G10=TRUE,$E10="MID"),AZ10,"")</f>
        <v/>
      </c>
      <c r="BG10">
        <f>IF(AND($G10=TRUE,$E10="FWD"),AZ10,"")</f>
        <v/>
      </c>
      <c r="BH10" t="n">
        <v>2</v>
      </c>
      <c r="BI10" t="n">
        <v>2</v>
      </c>
      <c r="BJ10" t="n">
        <v>4</v>
      </c>
      <c r="BK10" t="n">
        <v>6</v>
      </c>
    </row>
    <row r="11">
      <c r="A11" t="inlineStr">
        <is>
          <t>João Pedro</t>
        </is>
      </c>
      <c r="B11" t="inlineStr">
        <is>
          <t>CHE</t>
        </is>
      </c>
      <c r="C11" t="inlineStr">
        <is>
          <t>CHE</t>
        </is>
      </c>
      <c r="D11" t="b">
        <v>0</v>
      </c>
      <c r="E11" t="inlineStr">
        <is>
          <t>FWD</t>
        </is>
      </c>
      <c r="F11" t="inlineStr">
        <is>
          <t>FWD</t>
        </is>
      </c>
      <c r="G11" t="b">
        <v>1</v>
      </c>
      <c r="H11" s="2" t="n">
        <v>7.5</v>
      </c>
      <c r="I11" t="inlineStr">
        <is>
          <t>a</t>
        </is>
      </c>
      <c r="K11" s="2" t="n">
        <v>2658</v>
      </c>
      <c r="L11" t="n">
        <v>177</v>
      </c>
      <c r="M11" s="3" t="n">
        <v>2890</v>
      </c>
      <c r="N11" s="8" t="n">
        <v>2890</v>
      </c>
      <c r="O11" s="8" t="n">
        <v>0</v>
      </c>
      <c r="Q11" t="inlineStr">
        <is>
          <t>flat</t>
        </is>
      </c>
      <c r="R11" s="6" t="n">
        <v>2890</v>
      </c>
      <c r="S11" t="inlineStr">
        <is>
          <t>Solio</t>
        </is>
      </c>
      <c r="U11" s="6" t="n">
        <v>81.09999999999999</v>
      </c>
      <c r="V11" s="2" t="n">
        <v>31</v>
      </c>
      <c r="W11" s="7">
        <f>IF(N(U11)&lt;=0,0,MIN(Assumptions!$B$15,N(R11)/N(U11)))</f>
        <v/>
      </c>
      <c r="X11" s="6" t="n">
        <v>0.322</v>
      </c>
      <c r="Y11" s="3" t="n">
        <v>0.5062</v>
      </c>
      <c r="Z11" t="inlineStr">
        <is>
          <t>adjusted xGOT</t>
        </is>
      </c>
      <c r="AA11" s="3" t="n">
        <v>1</v>
      </c>
      <c r="AB11" s="3" t="n">
        <v>1.003</v>
      </c>
      <c r="AC11" s="3" t="n">
        <v>35.9</v>
      </c>
      <c r="AD11" s="3" t="n">
        <v>0.1006</v>
      </c>
      <c r="AE11" s="3" t="n">
        <v>4.698</v>
      </c>
      <c r="AF11" s="3" t="n">
        <v>0.001466394974463547</v>
      </c>
      <c r="AG11" s="3" t="n">
        <v>3.242</v>
      </c>
      <c r="AH11" s="3" t="n">
        <v>0.7175191920999999</v>
      </c>
      <c r="AI11" s="3" t="n">
        <v>65</v>
      </c>
      <c r="AJ11" s="3" t="n">
        <v>2.4232</v>
      </c>
      <c r="AK11" s="3" t="n">
        <v>1.1851</v>
      </c>
      <c r="AL11" s="3" t="n">
        <v>-0.1716179423924405</v>
      </c>
      <c r="AM11" s="6" t="n">
        <v>0</v>
      </c>
      <c r="AN11" s="3" t="n">
        <v>0</v>
      </c>
      <c r="AO11" s="3" t="n">
        <v>2.0248</v>
      </c>
      <c r="AP11" s="3" t="n">
        <v>0.398376</v>
      </c>
      <c r="AQ11" s="3">
        <f>N(X11)*N(BJ11)</f>
        <v/>
      </c>
      <c r="AR11" s="3" t="n">
        <v>0</v>
      </c>
      <c r="AS11" s="3" t="n">
        <v>-0</v>
      </c>
      <c r="AT11" s="3" t="n">
        <v>-0.1716179423924405</v>
      </c>
      <c r="AU11" s="3">
        <f>SUM(AO11:AT11)</f>
        <v/>
      </c>
      <c r="AV11" s="7">
        <f>IF(OR(N(W11)&lt;=0,N(BH11)=0),0,N(W11)*IF(N(R11)/N(W11)&gt;=60,N(BH11),1))</f>
        <v/>
      </c>
      <c r="AW11" s="7">
        <f>N(W11)*N(AF11)*N(BI11)</f>
        <v/>
      </c>
      <c r="AX11" s="3">
        <f>IF(N(BH11)=0,0,N(W11)*N(AH11))</f>
        <v/>
      </c>
      <c r="AY11" s="7">
        <f>N(AM11)*(Assumptions!$B$13*N(BK11)-(1-Assumptions!$B$13)*Assumptions!$B$14)+N(AN11)</f>
        <v/>
      </c>
      <c r="AZ11" s="7">
        <f>N(AU11)*N(R11)/90+N(AV11)+N(AW11)+N(AX11)+N(AY11)</f>
        <v/>
      </c>
      <c r="BA11" s="3">
        <f>IF(N(R11)&lt;=0,0,(N(AZ11)-N(AY11))*90/N(R11))</f>
        <v/>
      </c>
      <c r="BB11" s="7">
        <f>IFERROR(AZ11-VLOOKUP($E11,Assumptions!$A$40:$C$43,3,FALSE),"")</f>
        <v/>
      </c>
      <c r="BC11" s="3">
        <f>IFERROR(BB11/H11,"")</f>
        <v/>
      </c>
      <c r="BD11">
        <f>IF(AND($G11=TRUE,$E11="GKP"),AZ11,"")</f>
        <v/>
      </c>
      <c r="BE11">
        <f>IF(AND($G11=TRUE,$E11="DEF"),AZ11,"")</f>
        <v/>
      </c>
      <c r="BF11">
        <f>IF(AND($G11=TRUE,$E11="MID"),AZ11,"")</f>
        <v/>
      </c>
      <c r="BG11">
        <f>IF(AND($G11=TRUE,$E11="FWD"),AZ11,"")</f>
        <v/>
      </c>
      <c r="BH11" t="n">
        <v>2</v>
      </c>
      <c r="BI11" t="n">
        <v>2</v>
      </c>
      <c r="BJ11" t="n">
        <v>0</v>
      </c>
      <c r="BK11" t="n">
        <v>4</v>
      </c>
    </row>
    <row r="12">
      <c r="A12" t="inlineStr">
        <is>
          <t>Virgil van Dijk</t>
        </is>
      </c>
      <c r="B12" t="inlineStr">
        <is>
          <t>LIV</t>
        </is>
      </c>
      <c r="C12" t="inlineStr">
        <is>
          <t>LIV</t>
        </is>
      </c>
      <c r="D12" t="b">
        <v>0</v>
      </c>
      <c r="E12" t="inlineStr">
        <is>
          <t>DEF</t>
        </is>
      </c>
      <c r="F12" t="inlineStr">
        <is>
          <t>DEF</t>
        </is>
      </c>
      <c r="G12" t="b">
        <v>1</v>
      </c>
      <c r="H12" s="2" t="n">
        <v>6.5</v>
      </c>
      <c r="I12" t="inlineStr">
        <is>
          <t>a</t>
        </is>
      </c>
      <c r="K12" s="2" t="n">
        <v>3420</v>
      </c>
      <c r="L12" t="n">
        <v>175</v>
      </c>
      <c r="M12" s="3" t="n">
        <v>3340</v>
      </c>
      <c r="N12" s="8" t="n">
        <v>3340</v>
      </c>
      <c r="O12" s="8" t="n">
        <v>0</v>
      </c>
      <c r="Q12" t="inlineStr">
        <is>
          <t>flat</t>
        </is>
      </c>
      <c r="R12" s="6" t="n">
        <v>3340</v>
      </c>
      <c r="S12" t="inlineStr">
        <is>
          <t>Solio</t>
        </is>
      </c>
      <c r="U12" s="6" t="n">
        <v>89.09999999999999</v>
      </c>
      <c r="V12" s="2" t="n">
        <v>38</v>
      </c>
      <c r="W12" s="7">
        <f>IF(N(U12)&lt;=0,0,MIN(Assumptions!$B$15,N(R12)/N(U12)))</f>
        <v/>
      </c>
      <c r="X12" s="6" t="n">
        <v>0.342</v>
      </c>
      <c r="Y12" s="3" t="n">
        <v>0.0983</v>
      </c>
      <c r="Z12" t="inlineStr">
        <is>
          <t>adjusted xGOT</t>
        </is>
      </c>
      <c r="AA12" s="3" t="n">
        <v>1</v>
      </c>
      <c r="AB12" s="3" t="n">
        <v>0.991</v>
      </c>
      <c r="AC12" s="3" t="n">
        <v>11.4</v>
      </c>
      <c r="AD12" s="3" t="n">
        <v>0.0233</v>
      </c>
      <c r="AE12" s="3" t="n">
        <v>8.989000000000001</v>
      </c>
      <c r="AF12" s="3" t="n">
        <v>0.3993014485030754</v>
      </c>
      <c r="AG12" s="3" t="n">
        <v>8.077999999999999</v>
      </c>
      <c r="AH12" s="3" t="n">
        <v>0.2591274054</v>
      </c>
      <c r="AI12" s="3" t="n">
        <v>76</v>
      </c>
      <c r="AJ12" s="3" t="n">
        <v>2.409</v>
      </c>
      <c r="AK12" s="3" t="n">
        <v>1.1228</v>
      </c>
      <c r="AL12" s="3" t="n">
        <v>-0.1444627501042969</v>
      </c>
      <c r="AM12" s="6" t="n">
        <v>0</v>
      </c>
      <c r="AN12" s="3" t="n">
        <v>0</v>
      </c>
      <c r="AO12" s="3" t="n">
        <v>0.5898</v>
      </c>
      <c r="AP12" s="3" t="n">
        <v>0.092268</v>
      </c>
      <c r="AQ12" s="3">
        <f>N(X12)*N(BJ12)</f>
        <v/>
      </c>
      <c r="AR12" s="3" t="n">
        <v>0</v>
      </c>
      <c r="AS12" s="3" t="n">
        <v>-0.3378660007281162</v>
      </c>
      <c r="AT12" s="3" t="n">
        <v>-0.1444627501042969</v>
      </c>
      <c r="AU12" s="3">
        <f>SUM(AO12:AT12)</f>
        <v/>
      </c>
      <c r="AV12" s="7">
        <f>IF(OR(N(W12)&lt;=0,N(BH12)=0),0,N(W12)*IF(N(R12)/N(W12)&gt;=60,N(BH12),1))</f>
        <v/>
      </c>
      <c r="AW12" s="7">
        <f>N(W12)*N(AF12)*N(BI12)</f>
        <v/>
      </c>
      <c r="AX12" s="3">
        <f>IF(N(BH12)=0,0,N(W12)*N(AH12))</f>
        <v/>
      </c>
      <c r="AY12" s="7">
        <f>N(AM12)*(Assumptions!$B$13*N(BK12)-(1-Assumptions!$B$13)*Assumptions!$B$14)+N(AN12)</f>
        <v/>
      </c>
      <c r="AZ12" s="7">
        <f>N(AU12)*N(R12)/90+N(AV12)+N(AW12)+N(AX12)+N(AY12)</f>
        <v/>
      </c>
      <c r="BA12" s="3">
        <f>IF(N(R12)&lt;=0,0,(N(AZ12)-N(AY12))*90/N(R12))</f>
        <v/>
      </c>
      <c r="BB12" s="7">
        <f>IFERROR(AZ12-VLOOKUP($E12,Assumptions!$A$40:$C$43,3,FALSE),"")</f>
        <v/>
      </c>
      <c r="BC12" s="3">
        <f>IFERROR(BB12/H12,"")</f>
        <v/>
      </c>
      <c r="BD12">
        <f>IF(AND($G12=TRUE,$E12="GKP"),AZ12,"")</f>
        <v/>
      </c>
      <c r="BE12">
        <f>IF(AND($G12=TRUE,$E12="DEF"),AZ12,"")</f>
        <v/>
      </c>
      <c r="BF12">
        <f>IF(AND($G12=TRUE,$E12="MID"),AZ12,"")</f>
        <v/>
      </c>
      <c r="BG12">
        <f>IF(AND($G12=TRUE,$E12="FWD"),AZ12,"")</f>
        <v/>
      </c>
      <c r="BH12" t="n">
        <v>2</v>
      </c>
      <c r="BI12" t="n">
        <v>2</v>
      </c>
      <c r="BJ12" t="n">
        <v>4</v>
      </c>
      <c r="BK12" t="n">
        <v>6</v>
      </c>
    </row>
    <row r="13">
      <c r="A13" s="9" t="inlineStr">
        <is>
          <t>Marcos Senesi</t>
        </is>
      </c>
      <c r="B13" t="inlineStr">
        <is>
          <t>TOT</t>
        </is>
      </c>
      <c r="C13" s="9" t="inlineStr">
        <is>
          <t>BOU</t>
        </is>
      </c>
      <c r="D13" t="b">
        <v>1</v>
      </c>
      <c r="E13" t="inlineStr">
        <is>
          <t>DEF</t>
        </is>
      </c>
      <c r="F13" t="inlineStr">
        <is>
          <t>DEF</t>
        </is>
      </c>
      <c r="G13" t="b">
        <v>1</v>
      </c>
      <c r="H13" s="2" t="n">
        <v>6</v>
      </c>
      <c r="I13" t="inlineStr">
        <is>
          <t>a</t>
        </is>
      </c>
      <c r="K13" s="2" t="n">
        <v>3288</v>
      </c>
      <c r="L13" t="n">
        <v>175</v>
      </c>
      <c r="M13" s="3" t="n">
        <v>1573</v>
      </c>
      <c r="N13" s="4" t="n">
        <v>1950</v>
      </c>
      <c r="O13" s="4" t="n">
        <v>377</v>
      </c>
      <c r="P13" s="5" t="inlineStr">
        <is>
          <t>medium</t>
        </is>
      </c>
      <c r="Q13" t="inlineStr">
        <is>
          <t>flat</t>
        </is>
      </c>
      <c r="R13" s="6" t="n">
        <v>1950</v>
      </c>
      <c r="S13" t="inlineStr">
        <is>
          <t>research</t>
        </is>
      </c>
      <c r="T13" s="5" t="inlineStr">
        <is>
          <t>Solio's 1,573 reads Senesi as a squad centre-back. He is a rotation option behind the intended van Hecke-van de Ven pairing, but he started alongside van Hecke against Hoffenheim and is in line to start the opening fixtures while van de Ven builds fitness. With Romero sold, Vuskovic and Phillips sold and Dragusin loaned out, Senesi is the third of only four senior centre-backs.</t>
        </is>
      </c>
      <c r="U13" s="6" t="n">
        <v>88.09999999999999</v>
      </c>
      <c r="V13" s="2" t="n">
        <v>37</v>
      </c>
      <c r="W13" s="7">
        <f>IF(N(U13)&lt;=0,0,MIN(Assumptions!$B$15,N(R13)/N(U13)))</f>
        <v/>
      </c>
      <c r="X13" s="6" t="n">
        <v>0.286</v>
      </c>
      <c r="Y13" s="10" t="n">
        <v>0.0335</v>
      </c>
      <c r="Z13" t="inlineStr">
        <is>
          <t>adjusted xGOT</t>
        </is>
      </c>
      <c r="AA13" s="3" t="n">
        <v>1</v>
      </c>
      <c r="AB13" s="3" t="n">
        <v>0.799</v>
      </c>
      <c r="AC13" s="3" t="n">
        <v>6</v>
      </c>
      <c r="AD13" s="10" t="n">
        <v>0.1197</v>
      </c>
      <c r="AE13" s="3" t="n">
        <v>10.789</v>
      </c>
      <c r="AF13" s="3" t="n">
        <v>0.6100438310350587</v>
      </c>
      <c r="AG13" s="3" t="n">
        <v>8.619999999999999</v>
      </c>
      <c r="AH13" s="3" t="n">
        <v>0.2590085752</v>
      </c>
      <c r="AI13" s="3" t="n">
        <v>74</v>
      </c>
      <c r="AJ13" s="3" t="n">
        <v>2.5739</v>
      </c>
      <c r="AK13" s="3" t="n">
        <v>1.3096</v>
      </c>
      <c r="AL13" s="3" t="n">
        <v>-0.2951650613022939</v>
      </c>
      <c r="AM13" s="6" t="n">
        <v>0</v>
      </c>
      <c r="AN13" s="3" t="n">
        <v>0</v>
      </c>
      <c r="AO13" s="10" t="n">
        <v>0.201</v>
      </c>
      <c r="AP13" s="10" t="n">
        <v>0.474012</v>
      </c>
      <c r="AQ13" s="3">
        <f>N(X13)*N(BJ13)</f>
        <v/>
      </c>
      <c r="AR13" s="3" t="n">
        <v>0</v>
      </c>
      <c r="AS13" s="3" t="n">
        <v>-0.4230152821052008</v>
      </c>
      <c r="AT13" s="3" t="n">
        <v>-0.2951650613022939</v>
      </c>
      <c r="AU13" s="3">
        <f>SUM(AO13:AT13)</f>
        <v/>
      </c>
      <c r="AV13" s="7">
        <f>IF(OR(N(W13)&lt;=0,N(BH13)=0),0,N(W13)*IF(N(R13)/N(W13)&gt;=60,N(BH13),1))</f>
        <v/>
      </c>
      <c r="AW13" s="7">
        <f>N(W13)*N(AF13)*N(BI13)</f>
        <v/>
      </c>
      <c r="AX13" s="3">
        <f>IF(N(BH13)=0,0,N(W13)*N(AH13))</f>
        <v/>
      </c>
      <c r="AY13" s="7">
        <f>N(AM13)*(Assumptions!$B$13*N(BK13)-(1-Assumptions!$B$13)*Assumptions!$B$14)+N(AN13)</f>
        <v/>
      </c>
      <c r="AZ13" s="7">
        <f>N(AU13)*N(R13)/90+N(AV13)+N(AW13)+N(AX13)+N(AY13)</f>
        <v/>
      </c>
      <c r="BA13" s="3">
        <f>IF(N(R13)&lt;=0,0,(N(AZ13)-N(AY13))*90/N(R13))</f>
        <v/>
      </c>
      <c r="BB13" s="7">
        <f>IFERROR(AZ13-VLOOKUP($E13,Assumptions!$A$40:$C$43,3,FALSE),"")</f>
        <v/>
      </c>
      <c r="BC13" s="3">
        <f>IFERROR(BB13/H13,"")</f>
        <v/>
      </c>
      <c r="BD13">
        <f>IF(AND($G13=TRUE,$E13="GKP"),AZ13,"")</f>
        <v/>
      </c>
      <c r="BE13">
        <f>IF(AND($G13=TRUE,$E13="DEF"),AZ13,"")</f>
        <v/>
      </c>
      <c r="BF13">
        <f>IF(AND($G13=TRUE,$E13="MID"),AZ13,"")</f>
        <v/>
      </c>
      <c r="BG13">
        <f>IF(AND($G13=TRUE,$E13="FWD"),AZ13,"")</f>
        <v/>
      </c>
      <c r="BH13" t="n">
        <v>2</v>
      </c>
      <c r="BI13" t="n">
        <v>2</v>
      </c>
      <c r="BJ13" t="n">
        <v>4</v>
      </c>
      <c r="BK13" t="n">
        <v>6</v>
      </c>
    </row>
    <row r="14">
      <c r="A14" t="inlineStr">
        <is>
          <t>James Tarkowski</t>
        </is>
      </c>
      <c r="B14" t="inlineStr">
        <is>
          <t>EVE</t>
        </is>
      </c>
      <c r="C14" t="inlineStr">
        <is>
          <t>EVE</t>
        </is>
      </c>
      <c r="D14" t="b">
        <v>0</v>
      </c>
      <c r="E14" t="inlineStr">
        <is>
          <t>DEF</t>
        </is>
      </c>
      <c r="F14" t="inlineStr">
        <is>
          <t>DEF</t>
        </is>
      </c>
      <c r="G14" t="b">
        <v>1</v>
      </c>
      <c r="H14" s="2" t="n">
        <v>6</v>
      </c>
      <c r="I14" t="inlineStr">
        <is>
          <t>a</t>
        </is>
      </c>
      <c r="K14" s="2" t="n">
        <v>3330</v>
      </c>
      <c r="L14" t="n">
        <v>170</v>
      </c>
      <c r="M14" s="3" t="n">
        <v>3266</v>
      </c>
      <c r="N14" s="8" t="n">
        <v>3266</v>
      </c>
      <c r="O14" s="8" t="n">
        <v>0</v>
      </c>
      <c r="Q14" t="inlineStr">
        <is>
          <t>flat</t>
        </is>
      </c>
      <c r="R14" s="6" t="n">
        <v>3266</v>
      </c>
      <c r="S14" t="inlineStr">
        <is>
          <t>Solio</t>
        </is>
      </c>
      <c r="U14" s="6" t="n">
        <v>89</v>
      </c>
      <c r="V14" s="2" t="n">
        <v>37</v>
      </c>
      <c r="W14" s="7">
        <f>IF(N(U14)&lt;=0,0,MIN(Assumptions!$B$15,N(R14)/N(U14)))</f>
        <v/>
      </c>
      <c r="X14" s="6" t="n">
        <v>0.231</v>
      </c>
      <c r="Y14" s="3" t="n">
        <v>0.0555</v>
      </c>
      <c r="Z14" t="inlineStr">
        <is>
          <t>adjusted xGOT</t>
        </is>
      </c>
      <c r="AA14" s="3" t="n">
        <v>1</v>
      </c>
      <c r="AB14" s="3" t="n">
        <v>0.8120000000000001</v>
      </c>
      <c r="AC14" s="3" t="n">
        <v>9.4</v>
      </c>
      <c r="AD14" s="3" t="n">
        <v>0.0562</v>
      </c>
      <c r="AE14" s="3" t="n">
        <v>9.722</v>
      </c>
      <c r="AF14" s="3" t="n">
        <v>0.4929438581653922</v>
      </c>
      <c r="AG14" s="3" t="n">
        <v>8.872999999999999</v>
      </c>
      <c r="AH14" s="3" t="n">
        <v>0.2231495362</v>
      </c>
      <c r="AI14" s="3" t="n">
        <v>74</v>
      </c>
      <c r="AJ14" s="3" t="n">
        <v>3.0311</v>
      </c>
      <c r="AK14" s="3" t="n">
        <v>1.5252</v>
      </c>
      <c r="AL14" s="3" t="n">
        <v>-0.2371340111807672</v>
      </c>
      <c r="AM14" s="6" t="n">
        <v>0</v>
      </c>
      <c r="AN14" s="3" t="n">
        <v>0</v>
      </c>
      <c r="AO14" s="3" t="n">
        <v>0.333</v>
      </c>
      <c r="AP14" s="3" t="n">
        <v>0.222552</v>
      </c>
      <c r="AQ14" s="3">
        <f>N(X14)*N(BJ14)</f>
        <v/>
      </c>
      <c r="AR14" s="3" t="n">
        <v>0</v>
      </c>
      <c r="AS14" s="3" t="n">
        <v>-0.524434996152324</v>
      </c>
      <c r="AT14" s="3" t="n">
        <v>-0.2371340111807672</v>
      </c>
      <c r="AU14" s="3">
        <f>SUM(AO14:AT14)</f>
        <v/>
      </c>
      <c r="AV14" s="7">
        <f>IF(OR(N(W14)&lt;=0,N(BH14)=0),0,N(W14)*IF(N(R14)/N(W14)&gt;=60,N(BH14),1))</f>
        <v/>
      </c>
      <c r="AW14" s="7">
        <f>N(W14)*N(AF14)*N(BI14)</f>
        <v/>
      </c>
      <c r="AX14" s="3">
        <f>IF(N(BH14)=0,0,N(W14)*N(AH14))</f>
        <v/>
      </c>
      <c r="AY14" s="7">
        <f>N(AM14)*(Assumptions!$B$13*N(BK14)-(1-Assumptions!$B$13)*Assumptions!$B$14)+N(AN14)</f>
        <v/>
      </c>
      <c r="AZ14" s="7">
        <f>N(AU14)*N(R14)/90+N(AV14)+N(AW14)+N(AX14)+N(AY14)</f>
        <v/>
      </c>
      <c r="BA14" s="3">
        <f>IF(N(R14)&lt;=0,0,(N(AZ14)-N(AY14))*90/N(R14))</f>
        <v/>
      </c>
      <c r="BB14" s="7">
        <f>IFERROR(AZ14-VLOOKUP($E14,Assumptions!$A$40:$C$43,3,FALSE),"")</f>
        <v/>
      </c>
      <c r="BC14" s="3">
        <f>IFERROR(BB14/H14,"")</f>
        <v/>
      </c>
      <c r="BD14">
        <f>IF(AND($G14=TRUE,$E14="GKP"),AZ14,"")</f>
        <v/>
      </c>
      <c r="BE14">
        <f>IF(AND($G14=TRUE,$E14="DEF"),AZ14,"")</f>
        <v/>
      </c>
      <c r="BF14">
        <f>IF(AND($G14=TRUE,$E14="MID"),AZ14,"")</f>
        <v/>
      </c>
      <c r="BG14">
        <f>IF(AND($G14=TRUE,$E14="FWD"),AZ14,"")</f>
        <v/>
      </c>
      <c r="BH14" t="n">
        <v>2</v>
      </c>
      <c r="BI14" t="n">
        <v>2</v>
      </c>
      <c r="BJ14" t="n">
        <v>4</v>
      </c>
      <c r="BK14" t="n">
        <v>6</v>
      </c>
    </row>
    <row r="15">
      <c r="A15" s="9" t="inlineStr">
        <is>
          <t>Morgan Rogers</t>
        </is>
      </c>
      <c r="B15" t="inlineStr">
        <is>
          <t>CHE</t>
        </is>
      </c>
      <c r="C15" s="9" t="inlineStr">
        <is>
          <t>AVL</t>
        </is>
      </c>
      <c r="D15" t="b">
        <v>1</v>
      </c>
      <c r="E15" t="inlineStr">
        <is>
          <t>MID</t>
        </is>
      </c>
      <c r="F15" t="inlineStr">
        <is>
          <t>MID</t>
        </is>
      </c>
      <c r="G15" t="b">
        <v>1</v>
      </c>
      <c r="H15" s="2" t="n">
        <v>7.5</v>
      </c>
      <c r="I15" t="inlineStr">
        <is>
          <t>a</t>
        </is>
      </c>
      <c r="K15" s="2" t="n">
        <v>3280</v>
      </c>
      <c r="L15" t="n">
        <v>169</v>
      </c>
      <c r="M15" s="3" t="n">
        <v>2890</v>
      </c>
      <c r="N15" s="8" t="n">
        <v>2890</v>
      </c>
      <c r="O15" s="8" t="n">
        <v>0</v>
      </c>
      <c r="Q15" t="inlineStr">
        <is>
          <t>flat</t>
        </is>
      </c>
      <c r="R15" s="6" t="n">
        <v>2890</v>
      </c>
      <c r="S15" t="inlineStr">
        <is>
          <t>Solio</t>
        </is>
      </c>
      <c r="U15" s="6" t="n">
        <v>86.8</v>
      </c>
      <c r="V15" s="2" t="n">
        <v>37</v>
      </c>
      <c r="W15" s="7">
        <f>IF(N(U15)&lt;=0,0,MIN(Assumptions!$B$15,N(R15)/N(U15)))</f>
        <v/>
      </c>
      <c r="X15" s="6" t="n">
        <v>0.322</v>
      </c>
      <c r="Y15" s="10" t="n">
        <v>0.2094</v>
      </c>
      <c r="Z15" t="inlineStr">
        <is>
          <t>adjusted xGOT</t>
        </is>
      </c>
      <c r="AA15" s="3" t="n">
        <v>1</v>
      </c>
      <c r="AB15" s="3" t="n">
        <v>1.116</v>
      </c>
      <c r="AC15" s="3" t="n">
        <v>14.7</v>
      </c>
      <c r="AD15" s="10" t="n">
        <v>0.1618</v>
      </c>
      <c r="AE15" s="3" t="n">
        <v>6.719</v>
      </c>
      <c r="AF15" s="3" t="n">
        <v>0.03322825115749717</v>
      </c>
      <c r="AG15" s="3" t="n">
        <v>3.944</v>
      </c>
      <c r="AH15" s="3" t="n">
        <v>0.3129679939</v>
      </c>
      <c r="AI15" s="3" t="n">
        <v>74</v>
      </c>
      <c r="AJ15" s="3" t="n">
        <v>2.4232</v>
      </c>
      <c r="AK15" s="3" t="n">
        <v>1.1851</v>
      </c>
      <c r="AL15" s="3" t="n">
        <v>-0.2453439170694833</v>
      </c>
      <c r="AM15" s="6" t="n">
        <v>0</v>
      </c>
      <c r="AN15" s="3" t="n">
        <v>0</v>
      </c>
      <c r="AO15" s="10" t="n">
        <v>1.047</v>
      </c>
      <c r="AP15" s="10" t="n">
        <v>0.6407280000000001</v>
      </c>
      <c r="AQ15" s="3">
        <f>N(X15)*N(BJ15)</f>
        <v/>
      </c>
      <c r="AR15" s="3" t="n">
        <v>0</v>
      </c>
      <c r="AS15" s="3" t="n">
        <v>-0</v>
      </c>
      <c r="AT15" s="3" t="n">
        <v>-0.2453439170694833</v>
      </c>
      <c r="AU15" s="3">
        <f>SUM(AO15:AT15)</f>
        <v/>
      </c>
      <c r="AV15" s="7">
        <f>IF(OR(N(W15)&lt;=0,N(BH15)=0),0,N(W15)*IF(N(R15)/N(W15)&gt;=60,N(BH15),1))</f>
        <v/>
      </c>
      <c r="AW15" s="7">
        <f>N(W15)*N(AF15)*N(BI15)</f>
        <v/>
      </c>
      <c r="AX15" s="3">
        <f>IF(N(BH15)=0,0,N(W15)*N(AH15))</f>
        <v/>
      </c>
      <c r="AY15" s="7">
        <f>N(AM15)*(Assumptions!$B$13*N(BK15)-(1-Assumptions!$B$13)*Assumptions!$B$14)+N(AN15)</f>
        <v/>
      </c>
      <c r="AZ15" s="7">
        <f>N(AU15)*N(R15)/90+N(AV15)+N(AW15)+N(AX15)+N(AY15)</f>
        <v/>
      </c>
      <c r="BA15" s="3">
        <f>IF(N(R15)&lt;=0,0,(N(AZ15)-N(AY15))*90/N(R15))</f>
        <v/>
      </c>
      <c r="BB15" s="7">
        <f>IFERROR(AZ15-VLOOKUP($E15,Assumptions!$A$40:$C$43,3,FALSE),"")</f>
        <v/>
      </c>
      <c r="BC15" s="3">
        <f>IFERROR(BB15/H15,"")</f>
        <v/>
      </c>
      <c r="BD15">
        <f>IF(AND($G15=TRUE,$E15="GKP"),AZ15,"")</f>
        <v/>
      </c>
      <c r="BE15">
        <f>IF(AND($G15=TRUE,$E15="DEF"),AZ15,"")</f>
        <v/>
      </c>
      <c r="BF15">
        <f>IF(AND($G15=TRUE,$E15="MID"),AZ15,"")</f>
        <v/>
      </c>
      <c r="BG15">
        <f>IF(AND($G15=TRUE,$E15="FWD"),AZ15,"")</f>
        <v/>
      </c>
      <c r="BH15" t="n">
        <v>2</v>
      </c>
      <c r="BI15" t="n">
        <v>2</v>
      </c>
      <c r="BJ15" t="n">
        <v>1</v>
      </c>
      <c r="BK15" t="n">
        <v>5</v>
      </c>
    </row>
    <row r="16">
      <c r="A16" s="9" t="inlineStr">
        <is>
          <t>Harry Wilson</t>
        </is>
      </c>
      <c r="B16" t="inlineStr">
        <is>
          <t>LEE</t>
        </is>
      </c>
      <c r="C16" s="9" t="inlineStr">
        <is>
          <t>FUL</t>
        </is>
      </c>
      <c r="D16" t="b">
        <v>1</v>
      </c>
      <c r="E16" t="inlineStr">
        <is>
          <t>MID</t>
        </is>
      </c>
      <c r="F16" t="inlineStr">
        <is>
          <t>MID</t>
        </is>
      </c>
      <c r="G16" t="b">
        <v>1</v>
      </c>
      <c r="H16" s="2" t="n">
        <v>6.5</v>
      </c>
      <c r="I16" t="inlineStr">
        <is>
          <t>a</t>
        </is>
      </c>
      <c r="K16" s="2" t="n">
        <v>2674</v>
      </c>
      <c r="L16" t="n">
        <v>168</v>
      </c>
      <c r="M16" s="3" t="n">
        <v>2810</v>
      </c>
      <c r="N16" s="8" t="n">
        <v>2810</v>
      </c>
      <c r="O16" s="8" t="n">
        <v>0</v>
      </c>
      <c r="Q16" t="inlineStr">
        <is>
          <t>flat</t>
        </is>
      </c>
      <c r="R16" s="6" t="n">
        <v>2810</v>
      </c>
      <c r="S16" t="inlineStr">
        <is>
          <t>Solio</t>
        </is>
      </c>
      <c r="U16" s="6" t="n">
        <v>80.7</v>
      </c>
      <c r="V16" s="2" t="n">
        <v>32</v>
      </c>
      <c r="W16" s="7">
        <f>IF(N(U16)&lt;=0,0,MIN(Assumptions!$B$15,N(R16)/N(U16)))</f>
        <v/>
      </c>
      <c r="X16" s="6" t="n">
        <v>0.218</v>
      </c>
      <c r="Y16" s="10" t="n">
        <v>0.2446</v>
      </c>
      <c r="Z16" t="inlineStr">
        <is>
          <t>adjusted xGOT</t>
        </is>
      </c>
      <c r="AA16" s="3" t="n">
        <v>1</v>
      </c>
      <c r="AB16" s="3" t="n">
        <v>1.236</v>
      </c>
      <c r="AC16" s="3" t="n">
        <v>15.6</v>
      </c>
      <c r="AD16" s="10" t="n">
        <v>0.1729</v>
      </c>
      <c r="AE16" s="3" t="n">
        <v>6.513</v>
      </c>
      <c r="AF16" s="3" t="n">
        <v>0.01672141455125842</v>
      </c>
      <c r="AG16" s="3" t="n">
        <v>5.735</v>
      </c>
      <c r="AH16" s="3" t="n">
        <v>0.425479522</v>
      </c>
      <c r="AI16" s="3" t="n">
        <v>66</v>
      </c>
      <c r="AJ16" s="3" t="n">
        <v>3.0611</v>
      </c>
      <c r="AK16" s="3" t="n">
        <v>1.5875</v>
      </c>
      <c r="AL16" s="3" t="n">
        <v>-0.2446193857303975</v>
      </c>
      <c r="AM16" s="6" t="n">
        <v>0</v>
      </c>
      <c r="AN16" s="3" t="n">
        <v>0</v>
      </c>
      <c r="AO16" s="10" t="n">
        <v>1.223</v>
      </c>
      <c r="AP16" s="10" t="n">
        <v>0.684684</v>
      </c>
      <c r="AQ16" s="3">
        <f>N(X16)*N(BJ16)</f>
        <v/>
      </c>
      <c r="AR16" s="3" t="n">
        <v>0</v>
      </c>
      <c r="AS16" s="3" t="n">
        <v>-0</v>
      </c>
      <c r="AT16" s="3" t="n">
        <v>-0.2446193857303975</v>
      </c>
      <c r="AU16" s="3">
        <f>SUM(AO16:AT16)</f>
        <v/>
      </c>
      <c r="AV16" s="7">
        <f>IF(OR(N(W16)&lt;=0,N(BH16)=0),0,N(W16)*IF(N(R16)/N(W16)&gt;=60,N(BH16),1))</f>
        <v/>
      </c>
      <c r="AW16" s="7">
        <f>N(W16)*N(AF16)*N(BI16)</f>
        <v/>
      </c>
      <c r="AX16" s="3">
        <f>IF(N(BH16)=0,0,N(W16)*N(AH16))</f>
        <v/>
      </c>
      <c r="AY16" s="7">
        <f>N(AM16)*(Assumptions!$B$13*N(BK16)-(1-Assumptions!$B$13)*Assumptions!$B$14)+N(AN16)</f>
        <v/>
      </c>
      <c r="AZ16" s="7">
        <f>N(AU16)*N(R16)/90+N(AV16)+N(AW16)+N(AX16)+N(AY16)</f>
        <v/>
      </c>
      <c r="BA16" s="3">
        <f>IF(N(R16)&lt;=0,0,(N(AZ16)-N(AY16))*90/N(R16))</f>
        <v/>
      </c>
      <c r="BB16" s="7">
        <f>IFERROR(AZ16-VLOOKUP($E16,Assumptions!$A$40:$C$43,3,FALSE),"")</f>
        <v/>
      </c>
      <c r="BC16" s="3">
        <f>IFERROR(BB16/H16,"")</f>
        <v/>
      </c>
      <c r="BD16">
        <f>IF(AND($G16=TRUE,$E16="GKP"),AZ16,"")</f>
        <v/>
      </c>
      <c r="BE16">
        <f>IF(AND($G16=TRUE,$E16="DEF"),AZ16,"")</f>
        <v/>
      </c>
      <c r="BF16">
        <f>IF(AND($G16=TRUE,$E16="MID"),AZ16,"")</f>
        <v/>
      </c>
      <c r="BG16">
        <f>IF(AND($G16=TRUE,$E16="FWD"),AZ16,"")</f>
        <v/>
      </c>
      <c r="BH16" t="n">
        <v>2</v>
      </c>
      <c r="BI16" t="n">
        <v>2</v>
      </c>
      <c r="BJ16" t="n">
        <v>1</v>
      </c>
      <c r="BK16" t="n">
        <v>5</v>
      </c>
    </row>
    <row r="17">
      <c r="A17" t="inlineStr">
        <is>
          <t>Ollie Watkins</t>
        </is>
      </c>
      <c r="B17" t="inlineStr">
        <is>
          <t>AVL</t>
        </is>
      </c>
      <c r="C17" t="inlineStr">
        <is>
          <t>AVL</t>
        </is>
      </c>
      <c r="D17" t="b">
        <v>0</v>
      </c>
      <c r="E17" t="inlineStr">
        <is>
          <t>FWD</t>
        </is>
      </c>
      <c r="F17" t="inlineStr">
        <is>
          <t>FWD</t>
        </is>
      </c>
      <c r="G17" t="b">
        <v>1</v>
      </c>
      <c r="H17" s="2" t="n">
        <v>8</v>
      </c>
      <c r="I17" t="inlineStr">
        <is>
          <t>a</t>
        </is>
      </c>
      <c r="K17" s="2" t="n">
        <v>2833</v>
      </c>
      <c r="L17" t="n">
        <v>167</v>
      </c>
      <c r="M17" s="3" t="n">
        <v>2679</v>
      </c>
      <c r="N17" s="8" t="n">
        <v>2679</v>
      </c>
      <c r="O17" s="8" t="n">
        <v>0</v>
      </c>
      <c r="Q17" t="inlineStr">
        <is>
          <t>flat</t>
        </is>
      </c>
      <c r="R17" s="6" t="n">
        <v>2679</v>
      </c>
      <c r="S17" t="inlineStr">
        <is>
          <t>Solio</t>
        </is>
      </c>
      <c r="U17" s="6" t="n">
        <v>81.2</v>
      </c>
      <c r="V17" s="2" t="n">
        <v>33</v>
      </c>
      <c r="W17" s="7">
        <f>IF(N(U17)&lt;=0,0,MIN(Assumptions!$B$15,N(R17)/N(U17)))</f>
        <v/>
      </c>
      <c r="X17" s="6" t="n">
        <v>0.273</v>
      </c>
      <c r="Y17" s="3" t="n">
        <v>0.5014999999999999</v>
      </c>
      <c r="Z17" t="inlineStr">
        <is>
          <t>adjusted xGOT</t>
        </is>
      </c>
      <c r="AA17" s="3" t="n">
        <v>1</v>
      </c>
      <c r="AB17" s="3" t="n">
        <v>1.025</v>
      </c>
      <c r="AC17" s="3" t="n">
        <v>63.4</v>
      </c>
      <c r="AD17" s="3" t="n">
        <v>0.0635</v>
      </c>
      <c r="AE17" s="3" t="n">
        <v>3.352</v>
      </c>
      <c r="AF17" s="3" t="n">
        <v>7.692078045240525e-05</v>
      </c>
      <c r="AG17" s="3" t="n">
        <v>1.044</v>
      </c>
      <c r="AH17" s="3" t="n">
        <v>0.6400579790000001</v>
      </c>
      <c r="AI17" s="3" t="n">
        <v>69</v>
      </c>
      <c r="AJ17" s="3" t="n">
        <v>2.7451</v>
      </c>
      <c r="AK17" s="3" t="n">
        <v>1.3575</v>
      </c>
      <c r="AL17" s="3" t="n">
        <v>-0.1306008267290482</v>
      </c>
      <c r="AM17" s="6" t="n">
        <v>0.7635839833842955</v>
      </c>
      <c r="AN17" s="3" t="n">
        <v>0</v>
      </c>
      <c r="AO17" s="3" t="n">
        <v>2.006</v>
      </c>
      <c r="AP17" s="3" t="n">
        <v>0.25146</v>
      </c>
      <c r="AQ17" s="3">
        <f>N(X17)*N(BJ17)</f>
        <v/>
      </c>
      <c r="AR17" s="3" t="n">
        <v>0</v>
      </c>
      <c r="AS17" s="3" t="n">
        <v>-0</v>
      </c>
      <c r="AT17" s="3" t="n">
        <v>-0.1306008267290482</v>
      </c>
      <c r="AU17" s="3">
        <f>SUM(AO17:AT17)</f>
        <v/>
      </c>
      <c r="AV17" s="7">
        <f>IF(OR(N(W17)&lt;=0,N(BH17)=0),0,N(W17)*IF(N(R17)/N(W17)&gt;=60,N(BH17),1))</f>
        <v/>
      </c>
      <c r="AW17" s="7">
        <f>N(W17)*N(AF17)*N(BI17)</f>
        <v/>
      </c>
      <c r="AX17" s="3">
        <f>IF(N(BH17)=0,0,N(W17)*N(AH17))</f>
        <v/>
      </c>
      <c r="AY17" s="7">
        <f>N(AM17)*(Assumptions!$B$13*N(BK17)-(1-Assumptions!$B$13)*Assumptions!$B$14)+N(AN17)</f>
        <v/>
      </c>
      <c r="AZ17" s="7">
        <f>N(AU17)*N(R17)/90+N(AV17)+N(AW17)+N(AX17)+N(AY17)</f>
        <v/>
      </c>
      <c r="BA17" s="3">
        <f>IF(N(R17)&lt;=0,0,(N(AZ17)-N(AY17))*90/N(R17))</f>
        <v/>
      </c>
      <c r="BB17" s="7">
        <f>IFERROR(AZ17-VLOOKUP($E17,Assumptions!$A$40:$C$43,3,FALSE),"")</f>
        <v/>
      </c>
      <c r="BC17" s="3">
        <f>IFERROR(BB17/H17,"")</f>
        <v/>
      </c>
      <c r="BD17">
        <f>IF(AND($G17=TRUE,$E17="GKP"),AZ17,"")</f>
        <v/>
      </c>
      <c r="BE17">
        <f>IF(AND($G17=TRUE,$E17="DEF"),AZ17,"")</f>
        <v/>
      </c>
      <c r="BF17">
        <f>IF(AND($G17=TRUE,$E17="MID"),AZ17,"")</f>
        <v/>
      </c>
      <c r="BG17">
        <f>IF(AND($G17=TRUE,$E17="FWD"),AZ17,"")</f>
        <v/>
      </c>
      <c r="BH17" t="n">
        <v>2</v>
      </c>
      <c r="BI17" t="n">
        <v>2</v>
      </c>
      <c r="BJ17" t="n">
        <v>0</v>
      </c>
      <c r="BK17" t="n">
        <v>4</v>
      </c>
    </row>
    <row r="18">
      <c r="A18" t="inlineStr">
        <is>
          <t>Adrien Truffert</t>
        </is>
      </c>
      <c r="B18" t="inlineStr">
        <is>
          <t>BOU</t>
        </is>
      </c>
      <c r="C18" t="inlineStr">
        <is>
          <t>BOU</t>
        </is>
      </c>
      <c r="D18" t="b">
        <v>0</v>
      </c>
      <c r="E18" t="inlineStr">
        <is>
          <t>DEF</t>
        </is>
      </c>
      <c r="F18" t="inlineStr">
        <is>
          <t>DEF</t>
        </is>
      </c>
      <c r="G18" t="b">
        <v>1</v>
      </c>
      <c r="H18" s="2" t="n">
        <v>5.5</v>
      </c>
      <c r="I18" t="inlineStr">
        <is>
          <t>a</t>
        </is>
      </c>
      <c r="K18" s="2" t="n">
        <v>3378</v>
      </c>
      <c r="L18" t="n">
        <v>165</v>
      </c>
      <c r="M18" s="3" t="n">
        <v>3266</v>
      </c>
      <c r="N18" s="8" t="n">
        <v>3266</v>
      </c>
      <c r="O18" s="8" t="n">
        <v>0</v>
      </c>
      <c r="Q18" t="inlineStr">
        <is>
          <t>flat</t>
        </is>
      </c>
      <c r="R18" s="6" t="n">
        <v>3266</v>
      </c>
      <c r="S18" t="inlineStr">
        <is>
          <t>Solio</t>
        </is>
      </c>
      <c r="U18" s="6" t="n">
        <v>88.2</v>
      </c>
      <c r="V18" s="2" t="n">
        <v>38</v>
      </c>
      <c r="W18" s="7">
        <f>IF(N(U18)&lt;=0,0,MIN(Assumptions!$B$15,N(R18)/N(U18)))</f>
        <v/>
      </c>
      <c r="X18" s="6" t="n">
        <v>0.23</v>
      </c>
      <c r="Y18" s="3" t="n">
        <v>0.0369</v>
      </c>
      <c r="Z18" t="inlineStr">
        <is>
          <t>adjusted xGOT</t>
        </is>
      </c>
      <c r="AA18" s="3" t="n">
        <v>1</v>
      </c>
      <c r="AB18" s="3" t="n">
        <v>1.027</v>
      </c>
      <c r="AC18" s="3" t="n">
        <v>1.4</v>
      </c>
      <c r="AD18" s="3" t="n">
        <v>0.09959999999999999</v>
      </c>
      <c r="AE18" s="3" t="n">
        <v>7.961</v>
      </c>
      <c r="AF18" s="3" t="n">
        <v>0.259105901528311</v>
      </c>
      <c r="AG18" s="3" t="n">
        <v>8.868</v>
      </c>
      <c r="AH18" s="3" t="n">
        <v>0.2254480515</v>
      </c>
      <c r="AI18" s="3" t="n">
        <v>76</v>
      </c>
      <c r="AJ18" s="3" t="n">
        <v>3.0957</v>
      </c>
      <c r="AK18" s="3" t="n">
        <v>1.53</v>
      </c>
      <c r="AL18" s="3" t="n">
        <v>-0.1693904092894715</v>
      </c>
      <c r="AM18" s="6" t="n">
        <v>0</v>
      </c>
      <c r="AN18" s="3" t="n">
        <v>0</v>
      </c>
      <c r="AO18" s="3" t="n">
        <v>0.2214</v>
      </c>
      <c r="AP18" s="3" t="n">
        <v>0.3944159999999999</v>
      </c>
      <c r="AQ18" s="3">
        <f>N(X18)*N(BJ18)</f>
        <v/>
      </c>
      <c r="AR18" s="3" t="n">
        <v>0</v>
      </c>
      <c r="AS18" s="3" t="n">
        <v>-0.5267219238049191</v>
      </c>
      <c r="AT18" s="3" t="n">
        <v>-0.1693904092894715</v>
      </c>
      <c r="AU18" s="3">
        <f>SUM(AO18:AT18)</f>
        <v/>
      </c>
      <c r="AV18" s="7">
        <f>IF(OR(N(W18)&lt;=0,N(BH18)=0),0,N(W18)*IF(N(R18)/N(W18)&gt;=60,N(BH18),1))</f>
        <v/>
      </c>
      <c r="AW18" s="7">
        <f>N(W18)*N(AF18)*N(BI18)</f>
        <v/>
      </c>
      <c r="AX18" s="3">
        <f>IF(N(BH18)=0,0,N(W18)*N(AH18))</f>
        <v/>
      </c>
      <c r="AY18" s="7">
        <f>N(AM18)*(Assumptions!$B$13*N(BK18)-(1-Assumptions!$B$13)*Assumptions!$B$14)+N(AN18)</f>
        <v/>
      </c>
      <c r="AZ18" s="7">
        <f>N(AU18)*N(R18)/90+N(AV18)+N(AW18)+N(AX18)+N(AY18)</f>
        <v/>
      </c>
      <c r="BA18" s="3">
        <f>IF(N(R18)&lt;=0,0,(N(AZ18)-N(AY18))*90/N(R18))</f>
        <v/>
      </c>
      <c r="BB18" s="7">
        <f>IFERROR(AZ18-VLOOKUP($E18,Assumptions!$A$40:$C$43,3,FALSE),"")</f>
        <v/>
      </c>
      <c r="BC18" s="3">
        <f>IFERROR(BB18/H18,"")</f>
        <v/>
      </c>
      <c r="BD18">
        <f>IF(AND($G18=TRUE,$E18="GKP"),AZ18,"")</f>
        <v/>
      </c>
      <c r="BE18">
        <f>IF(AND($G18=TRUE,$E18="DEF"),AZ18,"")</f>
        <v/>
      </c>
      <c r="BF18">
        <f>IF(AND($G18=TRUE,$E18="MID"),AZ18,"")</f>
        <v/>
      </c>
      <c r="BG18">
        <f>IF(AND($G18=TRUE,$E18="FWD"),AZ18,"")</f>
        <v/>
      </c>
      <c r="BH18" t="n">
        <v>2</v>
      </c>
      <c r="BI18" t="n">
        <v>2</v>
      </c>
      <c r="BJ18" t="n">
        <v>4</v>
      </c>
      <c r="BK18" t="n">
        <v>6</v>
      </c>
    </row>
    <row r="19">
      <c r="A19" t="inlineStr">
        <is>
          <t>David Raya</t>
        </is>
      </c>
      <c r="B19" t="inlineStr">
        <is>
          <t>ARS</t>
        </is>
      </c>
      <c r="C19" t="inlineStr">
        <is>
          <t>ARS</t>
        </is>
      </c>
      <c r="D19" t="b">
        <v>0</v>
      </c>
      <c r="E19" t="inlineStr">
        <is>
          <t>GKP</t>
        </is>
      </c>
      <c r="F19" t="inlineStr">
        <is>
          <t>GKP</t>
        </is>
      </c>
      <c r="G19" t="b">
        <v>1</v>
      </c>
      <c r="H19" s="2" t="n">
        <v>6</v>
      </c>
      <c r="I19" t="inlineStr">
        <is>
          <t>a</t>
        </is>
      </c>
      <c r="K19" s="2" t="n">
        <v>3330</v>
      </c>
      <c r="L19" t="n">
        <v>162</v>
      </c>
      <c r="M19" s="3" t="n">
        <v>3385</v>
      </c>
      <c r="N19" s="8" t="n">
        <v>3385</v>
      </c>
      <c r="O19" s="8" t="n">
        <v>0</v>
      </c>
      <c r="Q19" t="inlineStr">
        <is>
          <t>flat</t>
        </is>
      </c>
      <c r="R19" s="6" t="n">
        <v>3385</v>
      </c>
      <c r="S19" t="inlineStr">
        <is>
          <t>Solio</t>
        </is>
      </c>
      <c r="U19" s="6" t="n">
        <v>90</v>
      </c>
      <c r="V19" s="2" t="n">
        <v>37</v>
      </c>
      <c r="W19" s="7">
        <f>IF(N(U19)&lt;=0,0,MIN(Assumptions!$B$15,N(R19)/N(U19)))</f>
        <v/>
      </c>
      <c r="X19" s="6" t="n">
        <v>0.391</v>
      </c>
      <c r="Y19" s="3" t="n">
        <v>0</v>
      </c>
      <c r="Z19" t="inlineStr">
        <is>
          <t>adjusted xGOT</t>
        </is>
      </c>
      <c r="AA19" s="3" t="n">
        <v>1</v>
      </c>
      <c r="AB19" s="3" t="n">
        <v>0.986</v>
      </c>
      <c r="AC19" s="3" t="n">
        <v>0.1</v>
      </c>
      <c r="AD19" s="3" t="n">
        <v>0.003</v>
      </c>
      <c r="AE19" s="3" t="n">
        <v>0</v>
      </c>
      <c r="AF19" s="3" t="n">
        <v>0</v>
      </c>
      <c r="AG19" s="3" t="n">
        <v>5.209</v>
      </c>
      <c r="AH19" s="3" t="n">
        <v>0.1693624512</v>
      </c>
      <c r="AI19" s="3" t="n">
        <v>74</v>
      </c>
      <c r="AJ19" s="3" t="n">
        <v>2.067</v>
      </c>
      <c r="AK19" s="3" t="n">
        <v>0.9838</v>
      </c>
      <c r="AL19" s="3" t="n">
        <v>-0.056840824704898</v>
      </c>
      <c r="AM19" s="6" t="n">
        <v>0</v>
      </c>
      <c r="AN19" s="3" t="n">
        <v>2.07881333697145</v>
      </c>
      <c r="AO19" s="3" t="n">
        <v>0</v>
      </c>
      <c r="AP19" s="3" t="n">
        <v>0.01188</v>
      </c>
      <c r="AQ19" s="3">
        <f>N(X19)*N(BJ19)</f>
        <v/>
      </c>
      <c r="AR19" s="3" t="n">
        <v>0.3608597487600056</v>
      </c>
      <c r="AS19" s="3" t="n">
        <v>-0.2768479886568037</v>
      </c>
      <c r="AT19" s="3" t="n">
        <v>-0.056840824704898</v>
      </c>
      <c r="AU19" s="3">
        <f>SUM(AO19:AT19)</f>
        <v/>
      </c>
      <c r="AV19" s="7">
        <f>IF(OR(N(W19)&lt;=0,N(BH19)=0),0,N(W19)*IF(N(R19)/N(W19)&gt;=60,N(BH19),1))</f>
        <v/>
      </c>
      <c r="AW19" s="7">
        <f>N(W19)*N(AF19)*N(BI19)</f>
        <v/>
      </c>
      <c r="AX19" s="3">
        <f>IF(N(BH19)=0,0,N(W19)*N(AH19))</f>
        <v/>
      </c>
      <c r="AY19" s="7">
        <f>N(AM19)*(Assumptions!$B$13*N(BK19)-(1-Assumptions!$B$13)*Assumptions!$B$14)+N(AN19)</f>
        <v/>
      </c>
      <c r="AZ19" s="7">
        <f>N(AU19)*N(R19)/90+N(AV19)+N(AW19)+N(AX19)+N(AY19)</f>
        <v/>
      </c>
      <c r="BA19" s="3">
        <f>IF(N(R19)&lt;=0,0,(N(AZ19)-N(AY19))*90/N(R19))</f>
        <v/>
      </c>
      <c r="BB19" s="7">
        <f>IFERROR(AZ19-VLOOKUP($E19,Assumptions!$A$40:$C$43,3,FALSE),"")</f>
        <v/>
      </c>
      <c r="BC19" s="3">
        <f>IFERROR(BB19/H19,"")</f>
        <v/>
      </c>
      <c r="BD19">
        <f>IF(AND($G19=TRUE,$E19="GKP"),AZ19,"")</f>
        <v/>
      </c>
      <c r="BE19">
        <f>IF(AND($G19=TRUE,$E19="DEF"),AZ19,"")</f>
        <v/>
      </c>
      <c r="BF19">
        <f>IF(AND($G19=TRUE,$E19="MID"),AZ19,"")</f>
        <v/>
      </c>
      <c r="BG19">
        <f>IF(AND($G19=TRUE,$E19="FWD"),AZ19,"")</f>
        <v/>
      </c>
      <c r="BH19" t="n">
        <v>2</v>
      </c>
      <c r="BI19" t="n">
        <v>0</v>
      </c>
      <c r="BJ19" t="n">
        <v>4</v>
      </c>
      <c r="BK19" t="n">
        <v>10</v>
      </c>
    </row>
    <row r="20">
      <c r="A20" t="inlineStr">
        <is>
          <t>Dominik Szoboszlai</t>
        </is>
      </c>
      <c r="B20" t="inlineStr">
        <is>
          <t>LIV</t>
        </is>
      </c>
      <c r="C20" t="inlineStr">
        <is>
          <t>LIV</t>
        </is>
      </c>
      <c r="D20" t="b">
        <v>0</v>
      </c>
      <c r="E20" t="inlineStr">
        <is>
          <t>MID</t>
        </is>
      </c>
      <c r="F20" t="inlineStr">
        <is>
          <t>MID</t>
        </is>
      </c>
      <c r="G20" t="b">
        <v>1</v>
      </c>
      <c r="H20" s="2" t="n">
        <v>7</v>
      </c>
      <c r="I20" t="inlineStr">
        <is>
          <t>a</t>
        </is>
      </c>
      <c r="K20" s="2" t="n">
        <v>3232</v>
      </c>
      <c r="L20" t="n">
        <v>160</v>
      </c>
      <c r="M20" s="3" t="n">
        <v>3344</v>
      </c>
      <c r="N20" s="8" t="n">
        <v>3344</v>
      </c>
      <c r="O20" s="8" t="n">
        <v>0</v>
      </c>
      <c r="Q20" t="inlineStr">
        <is>
          <t>flat</t>
        </is>
      </c>
      <c r="R20" s="6" t="n">
        <v>3344</v>
      </c>
      <c r="S20" t="inlineStr">
        <is>
          <t>Solio</t>
        </is>
      </c>
      <c r="U20" s="6" t="n">
        <v>87.59999999999999</v>
      </c>
      <c r="V20" s="2" t="n">
        <v>35</v>
      </c>
      <c r="W20" s="7">
        <f>IF(N(U20)&lt;=0,0,MIN(Assumptions!$B$15,N(R20)/N(U20)))</f>
        <v/>
      </c>
      <c r="X20" s="6" t="n">
        <v>0.342</v>
      </c>
      <c r="Y20" s="3" t="n">
        <v>0.0886</v>
      </c>
      <c r="Z20" t="inlineStr">
        <is>
          <t>adjusted xGOT</t>
        </is>
      </c>
      <c r="AA20" s="3" t="n">
        <v>0.839</v>
      </c>
      <c r="AB20" s="3" t="n">
        <v>0.797</v>
      </c>
      <c r="AC20" s="3" t="n">
        <v>15.3</v>
      </c>
      <c r="AD20" s="3" t="n">
        <v>0.2181</v>
      </c>
      <c r="AE20" s="3" t="n">
        <v>9.26</v>
      </c>
      <c r="AF20" s="3" t="n">
        <v>0.1982611837142924</v>
      </c>
      <c r="AG20" s="3" t="n">
        <v>10.394</v>
      </c>
      <c r="AH20" s="3" t="n">
        <v>0.3789854192</v>
      </c>
      <c r="AI20" s="3" t="n">
        <v>72</v>
      </c>
      <c r="AJ20" s="3" t="n">
        <v>2.409</v>
      </c>
      <c r="AK20" s="3" t="n">
        <v>1.1228</v>
      </c>
      <c r="AL20" s="3" t="n">
        <v>-0.2118356850631689</v>
      </c>
      <c r="AM20" s="6" t="n">
        <v>2.165971915184847</v>
      </c>
      <c r="AN20" s="3" t="n">
        <v>0</v>
      </c>
      <c r="AO20" s="3" t="n">
        <v>0.443</v>
      </c>
      <c r="AP20" s="3" t="n">
        <v>0.863676</v>
      </c>
      <c r="AQ20" s="3">
        <f>N(X20)*N(BJ20)</f>
        <v/>
      </c>
      <c r="AR20" s="3" t="n">
        <v>0</v>
      </c>
      <c r="AS20" s="3" t="n">
        <v>-0</v>
      </c>
      <c r="AT20" s="3" t="n">
        <v>-0.2118356850631689</v>
      </c>
      <c r="AU20" s="3">
        <f>SUM(AO20:AT20)</f>
        <v/>
      </c>
      <c r="AV20" s="7">
        <f>IF(OR(N(W20)&lt;=0,N(BH20)=0),0,N(W20)*IF(N(R20)/N(W20)&gt;=60,N(BH20),1))</f>
        <v/>
      </c>
      <c r="AW20" s="7">
        <f>N(W20)*N(AF20)*N(BI20)</f>
        <v/>
      </c>
      <c r="AX20" s="3">
        <f>IF(N(BH20)=0,0,N(W20)*N(AH20))</f>
        <v/>
      </c>
      <c r="AY20" s="7">
        <f>N(AM20)*(Assumptions!$B$13*N(BK20)-(1-Assumptions!$B$13)*Assumptions!$B$14)+N(AN20)</f>
        <v/>
      </c>
      <c r="AZ20" s="7">
        <f>N(AU20)*N(R20)/90+N(AV20)+N(AW20)+N(AX20)+N(AY20)</f>
        <v/>
      </c>
      <c r="BA20" s="3">
        <f>IF(N(R20)&lt;=0,0,(N(AZ20)-N(AY20))*90/N(R20))</f>
        <v/>
      </c>
      <c r="BB20" s="7">
        <f>IFERROR(AZ20-VLOOKUP($E20,Assumptions!$A$40:$C$43,3,FALSE),"")</f>
        <v/>
      </c>
      <c r="BC20" s="3">
        <f>IFERROR(BB20/H20,"")</f>
        <v/>
      </c>
      <c r="BD20">
        <f>IF(AND($G20=TRUE,$E20="GKP"),AZ20,"")</f>
        <v/>
      </c>
      <c r="BE20">
        <f>IF(AND($G20=TRUE,$E20="DEF"),AZ20,"")</f>
        <v/>
      </c>
      <c r="BF20">
        <f>IF(AND($G20=TRUE,$E20="MID"),AZ20,"")</f>
        <v/>
      </c>
      <c r="BG20">
        <f>IF(AND($G20=TRUE,$E20="FWD"),AZ20,"")</f>
        <v/>
      </c>
      <c r="BH20" t="n">
        <v>2</v>
      </c>
      <c r="BI20" t="n">
        <v>2</v>
      </c>
      <c r="BJ20" t="n">
        <v>1</v>
      </c>
      <c r="BK20" t="n">
        <v>5</v>
      </c>
    </row>
    <row r="21">
      <c r="A21" t="inlineStr">
        <is>
          <t>Nico O'Reilly</t>
        </is>
      </c>
      <c r="B21" t="inlineStr">
        <is>
          <t>MCI</t>
        </is>
      </c>
      <c r="C21" t="inlineStr">
        <is>
          <t>MCI</t>
        </is>
      </c>
      <c r="D21" t="b">
        <v>0</v>
      </c>
      <c r="E21" t="inlineStr">
        <is>
          <t>DEF</t>
        </is>
      </c>
      <c r="F21" t="inlineStr">
        <is>
          <t>DEF</t>
        </is>
      </c>
      <c r="G21" t="b">
        <v>1</v>
      </c>
      <c r="H21" s="2" t="n">
        <v>6.5</v>
      </c>
      <c r="I21" t="inlineStr">
        <is>
          <t>a</t>
        </is>
      </c>
      <c r="K21" s="2" t="n">
        <v>2643</v>
      </c>
      <c r="L21" t="n">
        <v>160</v>
      </c>
      <c r="M21" s="3" t="n">
        <v>2753</v>
      </c>
      <c r="N21" s="8" t="n">
        <v>2753</v>
      </c>
      <c r="O21" s="8" t="n">
        <v>0</v>
      </c>
      <c r="Q21" t="inlineStr">
        <is>
          <t>flat</t>
        </is>
      </c>
      <c r="R21" s="6" t="n">
        <v>2753</v>
      </c>
      <c r="S21" t="inlineStr">
        <is>
          <t>Solio</t>
        </is>
      </c>
      <c r="U21" s="6" t="n">
        <v>86.3</v>
      </c>
      <c r="V21" s="2" t="n">
        <v>29</v>
      </c>
      <c r="W21" s="7">
        <f>IF(N(U21)&lt;=0,0,MIN(Assumptions!$B$15,N(R21)/N(U21)))</f>
        <v/>
      </c>
      <c r="X21" s="6" t="n">
        <v>0.371</v>
      </c>
      <c r="Y21" s="3" t="n">
        <v>0.2165</v>
      </c>
      <c r="Z21" t="inlineStr">
        <is>
          <t>adjusted xGOT</t>
        </is>
      </c>
      <c r="AA21" s="3" t="n">
        <v>1</v>
      </c>
      <c r="AB21" s="3" t="n">
        <v>1.039</v>
      </c>
      <c r="AC21" s="3" t="n">
        <v>7.4</v>
      </c>
      <c r="AD21" s="3" t="n">
        <v>0.111</v>
      </c>
      <c r="AE21" s="3" t="n">
        <v>6.248</v>
      </c>
      <c r="AF21" s="3" t="n">
        <v>0.08331530663100983</v>
      </c>
      <c r="AG21" s="3" t="n">
        <v>6.861</v>
      </c>
      <c r="AH21" s="3" t="n">
        <v>0.4157584192</v>
      </c>
      <c r="AI21" s="3" t="n">
        <v>62</v>
      </c>
      <c r="AJ21" s="3" t="n">
        <v>1.9737</v>
      </c>
      <c r="AK21" s="3" t="n">
        <v>1.0365</v>
      </c>
      <c r="AL21" s="3" t="n">
        <v>-0.1835423809503319</v>
      </c>
      <c r="AM21" s="6" t="n">
        <v>0</v>
      </c>
      <c r="AN21" s="3" t="n">
        <v>0</v>
      </c>
      <c r="AO21" s="3" t="n">
        <v>1.299</v>
      </c>
      <c r="AP21" s="3" t="n">
        <v>0.4395600000000001</v>
      </c>
      <c r="AQ21" s="3">
        <f>N(X21)*N(BJ21)</f>
        <v/>
      </c>
      <c r="AR21" s="3" t="n">
        <v>0</v>
      </c>
      <c r="AS21" s="3" t="n">
        <v>-0.2997019479071323</v>
      </c>
      <c r="AT21" s="3" t="n">
        <v>-0.1835423809503319</v>
      </c>
      <c r="AU21" s="3">
        <f>SUM(AO21:AT21)</f>
        <v/>
      </c>
      <c r="AV21" s="7">
        <f>IF(OR(N(W21)&lt;=0,N(BH21)=0),0,N(W21)*IF(N(R21)/N(W21)&gt;=60,N(BH21),1))</f>
        <v/>
      </c>
      <c r="AW21" s="7">
        <f>N(W21)*N(AF21)*N(BI21)</f>
        <v/>
      </c>
      <c r="AX21" s="3">
        <f>IF(N(BH21)=0,0,N(W21)*N(AH21))</f>
        <v/>
      </c>
      <c r="AY21" s="7">
        <f>N(AM21)*(Assumptions!$B$13*N(BK21)-(1-Assumptions!$B$13)*Assumptions!$B$14)+N(AN21)</f>
        <v/>
      </c>
      <c r="AZ21" s="7">
        <f>N(AU21)*N(R21)/90+N(AV21)+N(AW21)+N(AX21)+N(AY21)</f>
        <v/>
      </c>
      <c r="BA21" s="3">
        <f>IF(N(R21)&lt;=0,0,(N(AZ21)-N(AY21))*90/N(R21))</f>
        <v/>
      </c>
      <c r="BB21" s="7">
        <f>IFERROR(AZ21-VLOOKUP($E21,Assumptions!$A$40:$C$43,3,FALSE),"")</f>
        <v/>
      </c>
      <c r="BC21" s="3">
        <f>IFERROR(BB21/H21,"")</f>
        <v/>
      </c>
      <c r="BD21">
        <f>IF(AND($G21=TRUE,$E21="GKP"),AZ21,"")</f>
        <v/>
      </c>
      <c r="BE21">
        <f>IF(AND($G21=TRUE,$E21="DEF"),AZ21,"")</f>
        <v/>
      </c>
      <c r="BF21">
        <f>IF(AND($G21=TRUE,$E21="MID"),AZ21,"")</f>
        <v/>
      </c>
      <c r="BG21">
        <f>IF(AND($G21=TRUE,$E21="FWD"),AZ21,"")</f>
        <v/>
      </c>
      <c r="BH21" t="n">
        <v>2</v>
      </c>
      <c r="BI21" t="n">
        <v>2</v>
      </c>
      <c r="BJ21" t="n">
        <v>4</v>
      </c>
      <c r="BK21" t="n">
        <v>6</v>
      </c>
    </row>
    <row r="22">
      <c r="A22" t="inlineStr">
        <is>
          <t>James Garner</t>
        </is>
      </c>
      <c r="B22" t="inlineStr">
        <is>
          <t>EVE</t>
        </is>
      </c>
      <c r="C22" t="inlineStr">
        <is>
          <t>EVE</t>
        </is>
      </c>
      <c r="D22" t="b">
        <v>0</v>
      </c>
      <c r="E22" t="inlineStr">
        <is>
          <t>MID</t>
        </is>
      </c>
      <c r="F22" t="inlineStr">
        <is>
          <t>MID</t>
        </is>
      </c>
      <c r="G22" t="b">
        <v>1</v>
      </c>
      <c r="H22" s="2" t="n">
        <v>6</v>
      </c>
      <c r="I22" t="inlineStr">
        <is>
          <t>i</t>
        </is>
      </c>
      <c r="J22" t="inlineStr">
        <is>
          <t>Groin injury - Expected back 22 Aug</t>
        </is>
      </c>
      <c r="K22" s="2" t="n">
        <v>3413</v>
      </c>
      <c r="L22" t="n">
        <v>159</v>
      </c>
      <c r="M22" s="3" t="n">
        <v>3310</v>
      </c>
      <c r="N22" s="4" t="n">
        <v>2850</v>
      </c>
      <c r="O22" s="4" t="n">
        <v>-460</v>
      </c>
      <c r="P22" s="5" t="inlineStr">
        <is>
          <t>medium</t>
        </is>
      </c>
      <c r="Q22" t="inlineStr">
        <is>
          <t>flat</t>
        </is>
      </c>
      <c r="R22" s="6" t="n">
        <v>2850</v>
      </c>
      <c r="S22" t="inlineStr">
        <is>
          <t>research</t>
        </is>
      </c>
      <c r="T22" s="5" t="inlineStr">
        <is>
          <t>Solio's second-highest Everton projection for a player who has had groin surgery and has not played a minute of pre-season. Read Everton's injury tracker on 14 August: 'Still recovering from groin surgery and has missed every pre-season friendly so far. Now genuinely up against it to be involved for the start of the league season.' The official FPL game lists him status 'i' with a 0% chance of playing and an expected return of 22 August - the day of the Crystal Palace opener itself. He is still the closest thing Everton have to a nailed central midfielder, so the cut is a month of games plus a re-integration allowance, not a re-rating.</t>
        </is>
      </c>
      <c r="U22" s="6" t="n">
        <v>87.8</v>
      </c>
      <c r="V22" s="2" t="n">
        <v>38</v>
      </c>
      <c r="W22" s="7">
        <f>IF(N(U22)&lt;=0,0,MIN(Assumptions!$B$15,N(R22)/N(U22)))</f>
        <v/>
      </c>
      <c r="X22" s="6" t="n">
        <v>0.231</v>
      </c>
      <c r="Y22" s="3" t="n">
        <v>0.0507</v>
      </c>
      <c r="Z22" t="inlineStr">
        <is>
          <t>adjusted xGOT</t>
        </is>
      </c>
      <c r="AA22" s="3" t="n">
        <v>1</v>
      </c>
      <c r="AB22" s="3" t="n">
        <v>0.916</v>
      </c>
      <c r="AC22" s="3" t="n">
        <v>6.1</v>
      </c>
      <c r="AD22" s="3" t="n">
        <v>0.1615</v>
      </c>
      <c r="AE22" s="3" t="n">
        <v>11.468</v>
      </c>
      <c r="AF22" s="3" t="n">
        <v>0.4431252012309268</v>
      </c>
      <c r="AG22" s="3" t="n">
        <v>11.782</v>
      </c>
      <c r="AH22" s="3" t="n">
        <v>0.3575995594</v>
      </c>
      <c r="AI22" s="3" t="n">
        <v>76</v>
      </c>
      <c r="AJ22" s="3" t="n">
        <v>3.0311</v>
      </c>
      <c r="AK22" s="3" t="n">
        <v>1.5252</v>
      </c>
      <c r="AL22" s="3" t="n">
        <v>-0.2862280811763025</v>
      </c>
      <c r="AM22" s="6" t="n">
        <v>0.07930555085420241</v>
      </c>
      <c r="AN22" s="3" t="n">
        <v>0</v>
      </c>
      <c r="AO22" s="3" t="n">
        <v>0.2535</v>
      </c>
      <c r="AP22" s="3" t="n">
        <v>0.6395400000000001</v>
      </c>
      <c r="AQ22" s="3">
        <f>N(X22)*N(BJ22)</f>
        <v/>
      </c>
      <c r="AR22" s="3" t="n">
        <v>0</v>
      </c>
      <c r="AS22" s="3" t="n">
        <v>-0</v>
      </c>
      <c r="AT22" s="3" t="n">
        <v>-0.2862280811763025</v>
      </c>
      <c r="AU22" s="3">
        <f>SUM(AO22:AT22)</f>
        <v/>
      </c>
      <c r="AV22" s="7">
        <f>IF(OR(N(W22)&lt;=0,N(BH22)=0),0,N(W22)*IF(N(R22)/N(W22)&gt;=60,N(BH22),1))</f>
        <v/>
      </c>
      <c r="AW22" s="7">
        <f>N(W22)*N(AF22)*N(BI22)</f>
        <v/>
      </c>
      <c r="AX22" s="3">
        <f>IF(N(BH22)=0,0,N(W22)*N(AH22))</f>
        <v/>
      </c>
      <c r="AY22" s="7">
        <f>N(AM22)*(Assumptions!$B$13*N(BK22)-(1-Assumptions!$B$13)*Assumptions!$B$14)+N(AN22)</f>
        <v/>
      </c>
      <c r="AZ22" s="7">
        <f>N(AU22)*N(R22)/90+N(AV22)+N(AW22)+N(AX22)+N(AY22)</f>
        <v/>
      </c>
      <c r="BA22" s="3">
        <f>IF(N(R22)&lt;=0,0,(N(AZ22)-N(AY22))*90/N(R22))</f>
        <v/>
      </c>
      <c r="BB22" s="7">
        <f>IFERROR(AZ22-VLOOKUP($E22,Assumptions!$A$40:$C$43,3,FALSE),"")</f>
        <v/>
      </c>
      <c r="BC22" s="3">
        <f>IFERROR(BB22/H22,"")</f>
        <v/>
      </c>
      <c r="BD22">
        <f>IF(AND($G22=TRUE,$E22="GKP"),AZ22,"")</f>
        <v/>
      </c>
      <c r="BE22">
        <f>IF(AND($G22=TRUE,$E22="DEF"),AZ22,"")</f>
        <v/>
      </c>
      <c r="BF22">
        <f>IF(AND($G22=TRUE,$E22="MID"),AZ22,"")</f>
        <v/>
      </c>
      <c r="BG22">
        <f>IF(AND($G22=TRUE,$E22="FWD"),AZ22,"")</f>
        <v/>
      </c>
      <c r="BH22" t="n">
        <v>2</v>
      </c>
      <c r="BI22" t="n">
        <v>2</v>
      </c>
      <c r="BJ22" t="n">
        <v>1</v>
      </c>
      <c r="BK22" t="n">
        <v>5</v>
      </c>
    </row>
    <row r="23">
      <c r="A23" t="inlineStr">
        <is>
          <t>Enzo Fernández</t>
        </is>
      </c>
      <c r="B23" t="inlineStr">
        <is>
          <t>CHE</t>
        </is>
      </c>
      <c r="C23" t="inlineStr">
        <is>
          <t>CHE</t>
        </is>
      </c>
      <c r="D23" t="b">
        <v>0</v>
      </c>
      <c r="E23" t="inlineStr">
        <is>
          <t>MID</t>
        </is>
      </c>
      <c r="F23" t="inlineStr">
        <is>
          <t>MID</t>
        </is>
      </c>
      <c r="G23" t="b">
        <v>1</v>
      </c>
      <c r="H23" s="2" t="n">
        <v>7</v>
      </c>
      <c r="I23" t="inlineStr">
        <is>
          <t>a</t>
        </is>
      </c>
      <c r="K23" s="2" t="n">
        <v>3114</v>
      </c>
      <c r="L23" t="n">
        <v>157</v>
      </c>
      <c r="M23" s="3" t="n">
        <v>3146</v>
      </c>
      <c r="N23" s="4" t="n">
        <v>2800</v>
      </c>
      <c r="O23" s="4" t="n">
        <v>-346</v>
      </c>
      <c r="P23" s="5" t="inlineStr">
        <is>
          <t>medium</t>
        </is>
      </c>
      <c r="Q23" t="inlineStr">
        <is>
          <t>flat</t>
        </is>
      </c>
      <c r="R23" s="6" t="n">
        <v>2800</v>
      </c>
      <c r="S23" t="inlineStr">
        <is>
          <t>research</t>
        </is>
      </c>
      <c r="T23" s="5" t="inlineStr">
        <is>
          <t>Trimmed from 92% of every available minute. He was a substitute, not a starter, in the final pre-season friendly - the XI Last Word on Football calls 'likely the strongest XI for the start of the league campaign' - with captain Reece James starting the pivot alongside Caicedo after Enzo's late return from the World Cup final. He also carries live exit interest (Real Madrid; Chelsea asking around EUR 140m, rated 'Low' likelihood). Still projected as a heavy-minutes starter, just not an ever-present.</t>
        </is>
      </c>
      <c r="U23" s="6" t="n">
        <v>86.2</v>
      </c>
      <c r="V23" s="2" t="n">
        <v>35</v>
      </c>
      <c r="W23" s="7">
        <f>IF(N(U23)&lt;=0,0,MIN(Assumptions!$B$15,N(R23)/N(U23)))</f>
        <v/>
      </c>
      <c r="X23" s="6" t="n">
        <v>0.322</v>
      </c>
      <c r="Y23" s="3" t="n">
        <v>0.3008</v>
      </c>
      <c r="Z23" t="inlineStr">
        <is>
          <t>adjusted xGOT</t>
        </is>
      </c>
      <c r="AA23" s="3" t="n">
        <v>0.872</v>
      </c>
      <c r="AB23" s="3" t="n">
        <v>1.06</v>
      </c>
      <c r="AC23" s="3" t="n">
        <v>24</v>
      </c>
      <c r="AD23" s="3" t="n">
        <v>0.233</v>
      </c>
      <c r="AE23" s="3" t="n">
        <v>7.338</v>
      </c>
      <c r="AF23" s="3" t="n">
        <v>0.05463250663240771</v>
      </c>
      <c r="AG23" s="3" t="n">
        <v>7.719</v>
      </c>
      <c r="AH23" s="3" t="n">
        <v>0.6407112706000001</v>
      </c>
      <c r="AI23" s="3" t="n">
        <v>71</v>
      </c>
      <c r="AJ23" s="3" t="n">
        <v>2.4232</v>
      </c>
      <c r="AK23" s="3" t="n">
        <v>1.1851</v>
      </c>
      <c r="AL23" s="3" t="n">
        <v>-0.2764082197869656</v>
      </c>
      <c r="AM23" s="6" t="n">
        <v>0.8435822915217317</v>
      </c>
      <c r="AN23" s="3" t="n">
        <v>0</v>
      </c>
      <c r="AO23" s="3" t="n">
        <v>1.504</v>
      </c>
      <c r="AP23" s="3" t="n">
        <v>0.9226800000000002</v>
      </c>
      <c r="AQ23" s="3">
        <f>N(X23)*N(BJ23)</f>
        <v/>
      </c>
      <c r="AR23" s="3" t="n">
        <v>0</v>
      </c>
      <c r="AS23" s="3" t="n">
        <v>-0</v>
      </c>
      <c r="AT23" s="3" t="n">
        <v>-0.2764082197869656</v>
      </c>
      <c r="AU23" s="3">
        <f>SUM(AO23:AT23)</f>
        <v/>
      </c>
      <c r="AV23" s="7">
        <f>IF(OR(N(W23)&lt;=0,N(BH23)=0),0,N(W23)*IF(N(R23)/N(W23)&gt;=60,N(BH23),1))</f>
        <v/>
      </c>
      <c r="AW23" s="7">
        <f>N(W23)*N(AF23)*N(BI23)</f>
        <v/>
      </c>
      <c r="AX23" s="3">
        <f>IF(N(BH23)=0,0,N(W23)*N(AH23))</f>
        <v/>
      </c>
      <c r="AY23" s="7">
        <f>N(AM23)*(Assumptions!$B$13*N(BK23)-(1-Assumptions!$B$13)*Assumptions!$B$14)+N(AN23)</f>
        <v/>
      </c>
      <c r="AZ23" s="7">
        <f>N(AU23)*N(R23)/90+N(AV23)+N(AW23)+N(AX23)+N(AY23)</f>
        <v/>
      </c>
      <c r="BA23" s="3">
        <f>IF(N(R23)&lt;=0,0,(N(AZ23)-N(AY23))*90/N(R23))</f>
        <v/>
      </c>
      <c r="BB23" s="7">
        <f>IFERROR(AZ23-VLOOKUP($E23,Assumptions!$A$40:$C$43,3,FALSE),"")</f>
        <v/>
      </c>
      <c r="BC23" s="3">
        <f>IFERROR(BB23/H23,"")</f>
        <v/>
      </c>
      <c r="BD23">
        <f>IF(AND($G23=TRUE,$E23="GKP"),AZ23,"")</f>
        <v/>
      </c>
      <c r="BE23">
        <f>IF(AND($G23=TRUE,$E23="DEF"),AZ23,"")</f>
        <v/>
      </c>
      <c r="BF23">
        <f>IF(AND($G23=TRUE,$E23="MID"),AZ23,"")</f>
        <v/>
      </c>
      <c r="BG23">
        <f>IF(AND($G23=TRUE,$E23="FWD"),AZ23,"")</f>
        <v/>
      </c>
      <c r="BH23" t="n">
        <v>2</v>
      </c>
      <c r="BI23" t="n">
        <v>2</v>
      </c>
      <c r="BJ23" t="n">
        <v>1</v>
      </c>
      <c r="BK23" t="n">
        <v>5</v>
      </c>
    </row>
    <row r="24">
      <c r="A24" t="inlineStr">
        <is>
          <t>Bukayo Saka</t>
        </is>
      </c>
      <c r="B24" t="inlineStr">
        <is>
          <t>ARS</t>
        </is>
      </c>
      <c r="C24" t="inlineStr">
        <is>
          <t>ARS</t>
        </is>
      </c>
      <c r="D24" t="b">
        <v>0</v>
      </c>
      <c r="E24" t="inlineStr">
        <is>
          <t>MID</t>
        </is>
      </c>
      <c r="F24" t="inlineStr">
        <is>
          <t>MID</t>
        </is>
      </c>
      <c r="G24" t="b">
        <v>1</v>
      </c>
      <c r="H24" s="2" t="n">
        <v>9.5</v>
      </c>
      <c r="I24" t="inlineStr">
        <is>
          <t>a</t>
        </is>
      </c>
      <c r="K24" s="2" t="n">
        <v>2218</v>
      </c>
      <c r="L24" t="n">
        <v>157</v>
      </c>
      <c r="M24" s="3" t="n">
        <v>2827</v>
      </c>
      <c r="N24" s="8" t="n">
        <v>2827</v>
      </c>
      <c r="O24" s="8" t="n">
        <v>0</v>
      </c>
      <c r="Q24" t="inlineStr">
        <is>
          <t>flat</t>
        </is>
      </c>
      <c r="R24" s="6" t="n">
        <v>2827</v>
      </c>
      <c r="S24" t="inlineStr">
        <is>
          <t>Solio</t>
        </is>
      </c>
      <c r="U24" s="6" t="n">
        <v>81.7</v>
      </c>
      <c r="V24" s="2" t="n">
        <v>25</v>
      </c>
      <c r="W24" s="7">
        <f>IF(N(U24)&lt;=0,0,MIN(Assumptions!$B$15,N(R24)/N(U24)))</f>
        <v/>
      </c>
      <c r="X24" s="6" t="n">
        <v>0.391</v>
      </c>
      <c r="Y24" s="3" t="n">
        <v>0.2699</v>
      </c>
      <c r="Z24" t="inlineStr">
        <is>
          <t>adjusted xGOT</t>
        </is>
      </c>
      <c r="AA24" s="3" t="n">
        <v>0.913</v>
      </c>
      <c r="AB24" s="3" t="n">
        <v>0.963</v>
      </c>
      <c r="AC24" s="3" t="n">
        <v>41.3</v>
      </c>
      <c r="AD24" s="3" t="n">
        <v>0.3188</v>
      </c>
      <c r="AE24" s="3" t="n">
        <v>7.738</v>
      </c>
      <c r="AF24" s="3" t="n">
        <v>0.05445878206049681</v>
      </c>
      <c r="AG24" s="3" t="n">
        <v>6.656</v>
      </c>
      <c r="AH24" s="3" t="n">
        <v>0.526058816</v>
      </c>
      <c r="AI24" s="3" t="n">
        <v>54</v>
      </c>
      <c r="AJ24" s="3" t="n">
        <v>2.067</v>
      </c>
      <c r="AK24" s="3" t="n">
        <v>0.9838</v>
      </c>
      <c r="AL24" s="3" t="n">
        <v>-0.1485443152936058</v>
      </c>
      <c r="AM24" s="6" t="n">
        <v>5.487350807519032</v>
      </c>
      <c r="AN24" s="3" t="n">
        <v>0</v>
      </c>
      <c r="AO24" s="3" t="n">
        <v>1.3495</v>
      </c>
      <c r="AP24" s="3" t="n">
        <v>1.262448</v>
      </c>
      <c r="AQ24" s="3">
        <f>N(X24)*N(BJ24)</f>
        <v/>
      </c>
      <c r="AR24" s="3" t="n">
        <v>0</v>
      </c>
      <c r="AS24" s="3" t="n">
        <v>-0</v>
      </c>
      <c r="AT24" s="3" t="n">
        <v>-0.1485443152936058</v>
      </c>
      <c r="AU24" s="3">
        <f>SUM(AO24:AT24)</f>
        <v/>
      </c>
      <c r="AV24" s="7">
        <f>IF(OR(N(W24)&lt;=0,N(BH24)=0),0,N(W24)*IF(N(R24)/N(W24)&gt;=60,N(BH24),1))</f>
        <v/>
      </c>
      <c r="AW24" s="7">
        <f>N(W24)*N(AF24)*N(BI24)</f>
        <v/>
      </c>
      <c r="AX24" s="3">
        <f>IF(N(BH24)=0,0,N(W24)*N(AH24))</f>
        <v/>
      </c>
      <c r="AY24" s="7">
        <f>N(AM24)*(Assumptions!$B$13*N(BK24)-(1-Assumptions!$B$13)*Assumptions!$B$14)+N(AN24)</f>
        <v/>
      </c>
      <c r="AZ24" s="7">
        <f>N(AU24)*N(R24)/90+N(AV24)+N(AW24)+N(AX24)+N(AY24)</f>
        <v/>
      </c>
      <c r="BA24" s="3">
        <f>IF(N(R24)&lt;=0,0,(N(AZ24)-N(AY24))*90/N(R24))</f>
        <v/>
      </c>
      <c r="BB24" s="7">
        <f>IFERROR(AZ24-VLOOKUP($E24,Assumptions!$A$40:$C$43,3,FALSE),"")</f>
        <v/>
      </c>
      <c r="BC24" s="3">
        <f>IFERROR(BB24/H24,"")</f>
        <v/>
      </c>
      <c r="BD24">
        <f>IF(AND($G24=TRUE,$E24="GKP"),AZ24,"")</f>
        <v/>
      </c>
      <c r="BE24">
        <f>IF(AND($G24=TRUE,$E24="DEF"),AZ24,"")</f>
        <v/>
      </c>
      <c r="BF24">
        <f>IF(AND($G24=TRUE,$E24="MID"),AZ24,"")</f>
        <v/>
      </c>
      <c r="BG24">
        <f>IF(AND($G24=TRUE,$E24="FWD"),AZ24,"")</f>
        <v/>
      </c>
      <c r="BH24" t="n">
        <v>2</v>
      </c>
      <c r="BI24" t="n">
        <v>2</v>
      </c>
      <c r="BJ24" t="n">
        <v>1</v>
      </c>
      <c r="BK24" t="n">
        <v>5</v>
      </c>
    </row>
    <row r="25">
      <c r="A25" s="9" t="inlineStr">
        <is>
          <t>Maxence Lacroix</t>
        </is>
      </c>
      <c r="B25" t="inlineStr">
        <is>
          <t>CHE</t>
        </is>
      </c>
      <c r="C25" s="9" t="inlineStr">
        <is>
          <t>CRY</t>
        </is>
      </c>
      <c r="D25" t="b">
        <v>1</v>
      </c>
      <c r="E25" t="inlineStr">
        <is>
          <t>DEF</t>
        </is>
      </c>
      <c r="F25" t="inlineStr">
        <is>
          <t>DEF</t>
        </is>
      </c>
      <c r="G25" t="b">
        <v>1</v>
      </c>
      <c r="H25" s="2" t="n">
        <v>6</v>
      </c>
      <c r="I25" t="inlineStr">
        <is>
          <t>a</t>
        </is>
      </c>
      <c r="K25" s="2" t="n">
        <v>3085</v>
      </c>
      <c r="L25" t="n">
        <v>154</v>
      </c>
      <c r="M25" s="3" t="n">
        <v>2189</v>
      </c>
      <c r="N25" s="8" t="n">
        <v>2189</v>
      </c>
      <c r="O25" s="8" t="n">
        <v>0</v>
      </c>
      <c r="Q25" t="inlineStr">
        <is>
          <t>flat</t>
        </is>
      </c>
      <c r="R25" s="6" t="n">
        <v>2189</v>
      </c>
      <c r="S25" t="inlineStr">
        <is>
          <t>Solio</t>
        </is>
      </c>
      <c r="U25" s="6" t="n">
        <v>88.3</v>
      </c>
      <c r="V25" s="2" t="n">
        <v>34</v>
      </c>
      <c r="W25" s="7">
        <f>IF(N(U25)&lt;=0,0,MIN(Assumptions!$B$15,N(R25)/N(U25)))</f>
        <v/>
      </c>
      <c r="X25" s="6" t="n">
        <v>0.322</v>
      </c>
      <c r="Y25" s="10" t="n">
        <v>0.0574</v>
      </c>
      <c r="Z25" t="inlineStr">
        <is>
          <t>adjusted xGOT</t>
        </is>
      </c>
      <c r="AA25" s="3" t="n">
        <v>1</v>
      </c>
      <c r="AB25" s="3" t="n">
        <v>0.803</v>
      </c>
      <c r="AC25" s="3" t="n">
        <v>6</v>
      </c>
      <c r="AD25" s="10" t="n">
        <v>0.0309</v>
      </c>
      <c r="AE25" s="3" t="n">
        <v>10.206</v>
      </c>
      <c r="AF25" s="3" t="n">
        <v>0.543723143089231</v>
      </c>
      <c r="AG25" s="3" t="n">
        <v>8.731999999999999</v>
      </c>
      <c r="AH25" s="3" t="n">
        <v>0.267577115</v>
      </c>
      <c r="AI25" s="3" t="n">
        <v>69</v>
      </c>
      <c r="AJ25" s="3" t="n">
        <v>2.4232</v>
      </c>
      <c r="AK25" s="3" t="n">
        <v>1.1851</v>
      </c>
      <c r="AL25" s="3" t="n">
        <v>-0.1610023163996321</v>
      </c>
      <c r="AM25" s="6" t="n">
        <v>0</v>
      </c>
      <c r="AN25" s="3" t="n">
        <v>0</v>
      </c>
      <c r="AO25" s="10" t="n">
        <v>0.3444</v>
      </c>
      <c r="AP25" s="10" t="n">
        <v>0.122364</v>
      </c>
      <c r="AQ25" s="3">
        <f>N(X25)*N(BJ25)</f>
        <v/>
      </c>
      <c r="AR25" s="3" t="n">
        <v>0</v>
      </c>
      <c r="AS25" s="3" t="n">
        <v>-0.365915508000572</v>
      </c>
      <c r="AT25" s="3" t="n">
        <v>-0.1610023163996321</v>
      </c>
      <c r="AU25" s="3">
        <f>SUM(AO25:AT25)</f>
        <v/>
      </c>
      <c r="AV25" s="7">
        <f>IF(OR(N(W25)&lt;=0,N(BH25)=0),0,N(W25)*IF(N(R25)/N(W25)&gt;=60,N(BH25),1))</f>
        <v/>
      </c>
      <c r="AW25" s="7">
        <f>N(W25)*N(AF25)*N(BI25)</f>
        <v/>
      </c>
      <c r="AX25" s="3">
        <f>IF(N(BH25)=0,0,N(W25)*N(AH25))</f>
        <v/>
      </c>
      <c r="AY25" s="7">
        <f>N(AM25)*(Assumptions!$B$13*N(BK25)-(1-Assumptions!$B$13)*Assumptions!$B$14)+N(AN25)</f>
        <v/>
      </c>
      <c r="AZ25" s="7">
        <f>N(AU25)*N(R25)/90+N(AV25)+N(AW25)+N(AX25)+N(AY25)</f>
        <v/>
      </c>
      <c r="BA25" s="3">
        <f>IF(N(R25)&lt;=0,0,(N(AZ25)-N(AY25))*90/N(R25))</f>
        <v/>
      </c>
      <c r="BB25" s="7">
        <f>IFERROR(AZ25-VLOOKUP($E25,Assumptions!$A$40:$C$43,3,FALSE),"")</f>
        <v/>
      </c>
      <c r="BC25" s="3">
        <f>IFERROR(BB25/H25,"")</f>
        <v/>
      </c>
      <c r="BD25">
        <f>IF(AND($G25=TRUE,$E25="GKP"),AZ25,"")</f>
        <v/>
      </c>
      <c r="BE25">
        <f>IF(AND($G25=TRUE,$E25="DEF"),AZ25,"")</f>
        <v/>
      </c>
      <c r="BF25">
        <f>IF(AND($G25=TRUE,$E25="MID"),AZ25,"")</f>
        <v/>
      </c>
      <c r="BG25">
        <f>IF(AND($G25=TRUE,$E25="FWD"),AZ25,"")</f>
        <v/>
      </c>
      <c r="BH25" t="n">
        <v>2</v>
      </c>
      <c r="BI25" t="n">
        <v>2</v>
      </c>
      <c r="BJ25" t="n">
        <v>4</v>
      </c>
      <c r="BK25" t="n">
        <v>6</v>
      </c>
    </row>
    <row r="26">
      <c r="A26" s="9" t="inlineStr">
        <is>
          <t>Bruno Guimarães</t>
        </is>
      </c>
      <c r="B26" t="inlineStr">
        <is>
          <t>ARS</t>
        </is>
      </c>
      <c r="C26" s="9" t="inlineStr">
        <is>
          <t>NEW</t>
        </is>
      </c>
      <c r="D26" t="b">
        <v>1</v>
      </c>
      <c r="E26" t="inlineStr">
        <is>
          <t>MID</t>
        </is>
      </c>
      <c r="F26" t="inlineStr">
        <is>
          <t>MID</t>
        </is>
      </c>
      <c r="G26" t="b">
        <v>1</v>
      </c>
      <c r="H26" s="2" t="n">
        <v>7</v>
      </c>
      <c r="I26" t="inlineStr">
        <is>
          <t>a</t>
        </is>
      </c>
      <c r="K26" s="2" t="n">
        <v>2456</v>
      </c>
      <c r="L26" t="n">
        <v>154</v>
      </c>
      <c r="M26" s="3" t="n">
        <v>2816</v>
      </c>
      <c r="N26" s="8" t="n">
        <v>2816</v>
      </c>
      <c r="O26" s="8" t="n">
        <v>0</v>
      </c>
      <c r="Q26" t="inlineStr">
        <is>
          <t>flat</t>
        </is>
      </c>
      <c r="R26" s="6" t="n">
        <v>2816</v>
      </c>
      <c r="S26" t="inlineStr">
        <is>
          <t>Solio</t>
        </is>
      </c>
      <c r="U26" s="6" t="n">
        <v>86.09999999999999</v>
      </c>
      <c r="V26" s="2" t="n">
        <v>27</v>
      </c>
      <c r="W26" s="7">
        <f>IF(N(U26)&lt;=0,0,MIN(Assumptions!$B$15,N(R26)/N(U26)))</f>
        <v/>
      </c>
      <c r="X26" s="6" t="n">
        <v>0.391</v>
      </c>
      <c r="Y26" s="10" t="n">
        <v>0.1744</v>
      </c>
      <c r="Z26" t="inlineStr">
        <is>
          <t>adjusted xGOT</t>
        </is>
      </c>
      <c r="AA26" s="3" t="n">
        <v>0.769</v>
      </c>
      <c r="AB26" s="3" t="n">
        <v>1.107</v>
      </c>
      <c r="AC26" s="3" t="n">
        <v>17.7</v>
      </c>
      <c r="AD26" s="10" t="n">
        <v>0.1618</v>
      </c>
      <c r="AE26" s="3" t="n">
        <v>9.057</v>
      </c>
      <c r="AF26" s="3" t="n">
        <v>0.1657075948110678</v>
      </c>
      <c r="AG26" s="3" t="n">
        <v>9.249000000000001</v>
      </c>
      <c r="AH26" s="3" t="n">
        <v>0.4071439264</v>
      </c>
      <c r="AI26" s="3" t="n">
        <v>56</v>
      </c>
      <c r="AJ26" s="3" t="n">
        <v>2.067</v>
      </c>
      <c r="AK26" s="3" t="n">
        <v>0.9838</v>
      </c>
      <c r="AL26" s="3" t="n">
        <v>-0.2250178554833891</v>
      </c>
      <c r="AM26" s="6" t="n">
        <v>0</v>
      </c>
      <c r="AN26" s="3" t="n">
        <v>0</v>
      </c>
      <c r="AO26" s="10" t="n">
        <v>0.872</v>
      </c>
      <c r="AP26" s="10" t="n">
        <v>0.6407280000000001</v>
      </c>
      <c r="AQ26" s="3">
        <f>N(X26)*N(BJ26)</f>
        <v/>
      </c>
      <c r="AR26" s="3" t="n">
        <v>0</v>
      </c>
      <c r="AS26" s="3" t="n">
        <v>-0</v>
      </c>
      <c r="AT26" s="3" t="n">
        <v>-0.2250178554833891</v>
      </c>
      <c r="AU26" s="3">
        <f>SUM(AO26:AT26)</f>
        <v/>
      </c>
      <c r="AV26" s="7">
        <f>IF(OR(N(W26)&lt;=0,N(BH26)=0),0,N(W26)*IF(N(R26)/N(W26)&gt;=60,N(BH26),1))</f>
        <v/>
      </c>
      <c r="AW26" s="7">
        <f>N(W26)*N(AF26)*N(BI26)</f>
        <v/>
      </c>
      <c r="AX26" s="3">
        <f>IF(N(BH26)=0,0,N(W26)*N(AH26))</f>
        <v/>
      </c>
      <c r="AY26" s="7">
        <f>N(AM26)*(Assumptions!$B$13*N(BK26)-(1-Assumptions!$B$13)*Assumptions!$B$14)+N(AN26)</f>
        <v/>
      </c>
      <c r="AZ26" s="7">
        <f>N(AU26)*N(R26)/90+N(AV26)+N(AW26)+N(AX26)+N(AY26)</f>
        <v/>
      </c>
      <c r="BA26" s="3">
        <f>IF(N(R26)&lt;=0,0,(N(AZ26)-N(AY26))*90/N(R26))</f>
        <v/>
      </c>
      <c r="BB26" s="7">
        <f>IFERROR(AZ26-VLOOKUP($E26,Assumptions!$A$40:$C$43,3,FALSE),"")</f>
        <v/>
      </c>
      <c r="BC26" s="3">
        <f>IFERROR(BB26/H26,"")</f>
        <v/>
      </c>
      <c r="BD26">
        <f>IF(AND($G26=TRUE,$E26="GKP"),AZ26,"")</f>
        <v/>
      </c>
      <c r="BE26">
        <f>IF(AND($G26=TRUE,$E26="DEF"),AZ26,"")</f>
        <v/>
      </c>
      <c r="BF26">
        <f>IF(AND($G26=TRUE,$E26="MID"),AZ26,"")</f>
        <v/>
      </c>
      <c r="BG26">
        <f>IF(AND($G26=TRUE,$E26="FWD"),AZ26,"")</f>
        <v/>
      </c>
      <c r="BH26" t="n">
        <v>2</v>
      </c>
      <c r="BI26" t="n">
        <v>2</v>
      </c>
      <c r="BJ26" t="n">
        <v>1</v>
      </c>
      <c r="BK26" t="n">
        <v>5</v>
      </c>
    </row>
    <row r="27">
      <c r="A27" t="inlineStr">
        <is>
          <t>Matheus Nunes</t>
        </is>
      </c>
      <c r="B27" t="inlineStr">
        <is>
          <t>MCI</t>
        </is>
      </c>
      <c r="C27" t="inlineStr">
        <is>
          <t>MCI</t>
        </is>
      </c>
      <c r="D27" t="b">
        <v>0</v>
      </c>
      <c r="E27" t="inlineStr">
        <is>
          <t>DEF</t>
        </is>
      </c>
      <c r="F27" t="inlineStr">
        <is>
          <t>DEF</t>
        </is>
      </c>
      <c r="G27" t="b">
        <v>1</v>
      </c>
      <c r="H27" s="2" t="n">
        <v>6</v>
      </c>
      <c r="I27" t="inlineStr">
        <is>
          <t>a</t>
        </is>
      </c>
      <c r="K27" s="2" t="n">
        <v>2861</v>
      </c>
      <c r="L27" t="n">
        <v>154</v>
      </c>
      <c r="M27" s="3" t="n">
        <v>2896</v>
      </c>
      <c r="N27" s="8" t="n">
        <v>2896</v>
      </c>
      <c r="O27" s="8" t="n">
        <v>0</v>
      </c>
      <c r="Q27" t="inlineStr">
        <is>
          <t>flat</t>
        </is>
      </c>
      <c r="R27" s="6" t="n">
        <v>2896</v>
      </c>
      <c r="S27" t="inlineStr">
        <is>
          <t>Solio</t>
        </is>
      </c>
      <c r="U27" s="6" t="n">
        <v>86.8</v>
      </c>
      <c r="V27" s="2" t="n">
        <v>32</v>
      </c>
      <c r="W27" s="7">
        <f>IF(N(U27)&lt;=0,0,MIN(Assumptions!$B$15,N(R27)/N(U27)))</f>
        <v/>
      </c>
      <c r="X27" s="6" t="n">
        <v>0.371</v>
      </c>
      <c r="Y27" s="3" t="n">
        <v>0.0105</v>
      </c>
      <c r="Z27" t="inlineStr">
        <is>
          <t>adjusted xGOT</t>
        </is>
      </c>
      <c r="AA27" s="3" t="n">
        <v>1</v>
      </c>
      <c r="AB27" s="3" t="n">
        <v>0.98</v>
      </c>
      <c r="AC27" s="3" t="n">
        <v>4.8</v>
      </c>
      <c r="AD27" s="3" t="n">
        <v>0.0838</v>
      </c>
      <c r="AE27" s="3" t="n">
        <v>6.446</v>
      </c>
      <c r="AF27" s="3" t="n">
        <v>0.09965671525463371</v>
      </c>
      <c r="AG27" s="3" t="n">
        <v>10.041</v>
      </c>
      <c r="AH27" s="3" t="n">
        <v>0.3385418432</v>
      </c>
      <c r="AI27" s="3" t="n">
        <v>64</v>
      </c>
      <c r="AJ27" s="3" t="n">
        <v>1.9737</v>
      </c>
      <c r="AK27" s="3" t="n">
        <v>1.0365</v>
      </c>
      <c r="AL27" s="3" t="n">
        <v>-0.1862247745547449</v>
      </c>
      <c r="AM27" s="6" t="n">
        <v>0.0076126736796148</v>
      </c>
      <c r="AN27" s="3" t="n">
        <v>0</v>
      </c>
      <c r="AO27" s="3" t="n">
        <v>0.063</v>
      </c>
      <c r="AP27" s="3" t="n">
        <v>0.331848</v>
      </c>
      <c r="AQ27" s="3">
        <f>N(X27)*N(BJ27)</f>
        <v/>
      </c>
      <c r="AR27" s="3" t="n">
        <v>0</v>
      </c>
      <c r="AS27" s="3" t="n">
        <v>-0.2997019479071323</v>
      </c>
      <c r="AT27" s="3" t="n">
        <v>-0.1862247745547449</v>
      </c>
      <c r="AU27" s="3">
        <f>SUM(AO27:AT27)</f>
        <v/>
      </c>
      <c r="AV27" s="7">
        <f>IF(OR(N(W27)&lt;=0,N(BH27)=0),0,N(W27)*IF(N(R27)/N(W27)&gt;=60,N(BH27),1))</f>
        <v/>
      </c>
      <c r="AW27" s="7">
        <f>N(W27)*N(AF27)*N(BI27)</f>
        <v/>
      </c>
      <c r="AX27" s="3">
        <f>IF(N(BH27)=0,0,N(W27)*N(AH27))</f>
        <v/>
      </c>
      <c r="AY27" s="7">
        <f>N(AM27)*(Assumptions!$B$13*N(BK27)-(1-Assumptions!$B$13)*Assumptions!$B$14)+N(AN27)</f>
        <v/>
      </c>
      <c r="AZ27" s="7">
        <f>N(AU27)*N(R27)/90+N(AV27)+N(AW27)+N(AX27)+N(AY27)</f>
        <v/>
      </c>
      <c r="BA27" s="3">
        <f>IF(N(R27)&lt;=0,0,(N(AZ27)-N(AY27))*90/N(R27))</f>
        <v/>
      </c>
      <c r="BB27" s="7">
        <f>IFERROR(AZ27-VLOOKUP($E27,Assumptions!$A$40:$C$43,3,FALSE),"")</f>
        <v/>
      </c>
      <c r="BC27" s="3">
        <f>IFERROR(BB27/H27,"")</f>
        <v/>
      </c>
      <c r="BD27">
        <f>IF(AND($G27=TRUE,$E27="GKP"),AZ27,"")</f>
        <v/>
      </c>
      <c r="BE27">
        <f>IF(AND($G27=TRUE,$E27="DEF"),AZ27,"")</f>
        <v/>
      </c>
      <c r="BF27">
        <f>IF(AND($G27=TRUE,$E27="MID"),AZ27,"")</f>
        <v/>
      </c>
      <c r="BG27">
        <f>IF(AND($G27=TRUE,$E27="FWD"),AZ27,"")</f>
        <v/>
      </c>
      <c r="BH27" t="n">
        <v>2</v>
      </c>
      <c r="BI27" t="n">
        <v>2</v>
      </c>
      <c r="BJ27" t="n">
        <v>4</v>
      </c>
      <c r="BK27" t="n">
        <v>6</v>
      </c>
    </row>
    <row r="28">
      <c r="A28" t="inlineStr">
        <is>
          <t>Nordi Mukiele</t>
        </is>
      </c>
      <c r="B28" t="inlineStr">
        <is>
          <t>SUN</t>
        </is>
      </c>
      <c r="C28" t="inlineStr">
        <is>
          <t>SUN</t>
        </is>
      </c>
      <c r="D28" t="b">
        <v>0</v>
      </c>
      <c r="E28" t="inlineStr">
        <is>
          <t>DEF</t>
        </is>
      </c>
      <c r="F28" t="inlineStr">
        <is>
          <t>DEF</t>
        </is>
      </c>
      <c r="G28" t="b">
        <v>1</v>
      </c>
      <c r="H28" s="2" t="n">
        <v>5.5</v>
      </c>
      <c r="I28" t="inlineStr">
        <is>
          <t>d</t>
        </is>
      </c>
      <c r="J28" t="inlineStr">
        <is>
          <t>Knock - 75% chance of playing</t>
        </is>
      </c>
      <c r="K28" s="2" t="n">
        <v>2784</v>
      </c>
      <c r="L28" t="n">
        <v>151</v>
      </c>
      <c r="M28" s="3" t="n">
        <v>3312</v>
      </c>
      <c r="N28" s="4" t="n">
        <v>2050</v>
      </c>
      <c r="O28" s="4" t="n">
        <v>-1262</v>
      </c>
      <c r="P28" s="5" t="inlineStr">
        <is>
          <t>medium</t>
        </is>
      </c>
      <c r="Q28" t="inlineStr">
        <is>
          <t>flat</t>
        </is>
      </c>
      <c r="R28" s="6" t="n">
        <v>2050</v>
      </c>
      <c r="S28" t="inlineStr">
        <is>
          <t>research</t>
        </is>
      </c>
      <c r="T28" s="5" t="inlineStr">
        <is>
          <t>Solio has Mukiele as Sunderland's highest-minute defender at essentially every available minute. Two things contradict that. First, he picked up a knock in the final game of the US tour, missed both the Lens and Rennes friendlies, and is flagged 75% by FPL as of 09 Aug; the 11 Aug preview says he 'might not be ready to start' at Portman Road, so he begins the season behind O'Nien. Second and larger: Solio's whole Sunderland allocation is shaped like a back five (16,463 minutes to FPL-classified defenders against the 13,680 a four-man defence can supply), whereas the confirmed 15 Aug XI and the opener preview both use a back four in a 4-2-3-1. Mukiele carries the biggest share of that structural correction because he is the one whose Solio number is furthest above what a rotating four-man defence with a Europa League schedule can pay out.</t>
        </is>
      </c>
      <c r="U28" s="6" t="n">
        <v>86.59999999999999</v>
      </c>
      <c r="V28" s="2" t="n">
        <v>32</v>
      </c>
      <c r="W28" s="7">
        <f>IF(N(U28)&lt;=0,0,MIN(Assumptions!$B$15,N(R28)/N(U28)))</f>
        <v/>
      </c>
      <c r="X28" s="6" t="n">
        <v>0.204</v>
      </c>
      <c r="Y28" s="3" t="n">
        <v>0.0506</v>
      </c>
      <c r="Z28" t="inlineStr">
        <is>
          <t>adjusted xGOT</t>
        </is>
      </c>
      <c r="AA28" s="3" t="n">
        <v>1</v>
      </c>
      <c r="AB28" s="3" t="n">
        <v>0.967</v>
      </c>
      <c r="AC28" s="3" t="n">
        <v>1.6</v>
      </c>
      <c r="AD28" s="3" t="n">
        <v>0.0873</v>
      </c>
      <c r="AE28" s="3" t="n">
        <v>8.590999999999999</v>
      </c>
      <c r="AF28" s="3" t="n">
        <v>0.3169374988913874</v>
      </c>
      <c r="AG28" s="3" t="n">
        <v>7.691</v>
      </c>
      <c r="AH28" s="3" t="n">
        <v>0.1846192345</v>
      </c>
      <c r="AI28" s="3" t="n">
        <v>63</v>
      </c>
      <c r="AJ28" s="3" t="n">
        <v>3.3348</v>
      </c>
      <c r="AK28" s="3" t="n">
        <v>1.6498</v>
      </c>
      <c r="AL28" s="3" t="n">
        <v>-0.1902298193445376</v>
      </c>
      <c r="AM28" s="6" t="n">
        <v>0</v>
      </c>
      <c r="AN28" s="3" t="n">
        <v>0</v>
      </c>
      <c r="AO28" s="3" t="n">
        <v>0.3036</v>
      </c>
      <c r="AP28" s="3" t="n">
        <v>0.3457080000000001</v>
      </c>
      <c r="AQ28" s="3">
        <f>N(X28)*N(BJ28)</f>
        <v/>
      </c>
      <c r="AR28" s="3" t="n">
        <v>0</v>
      </c>
      <c r="AS28" s="3" t="n">
        <v>-0.5841244809045405</v>
      </c>
      <c r="AT28" s="3" t="n">
        <v>-0.1902298193445376</v>
      </c>
      <c r="AU28" s="3">
        <f>SUM(AO28:AT28)</f>
        <v/>
      </c>
      <c r="AV28" s="7">
        <f>IF(OR(N(W28)&lt;=0,N(BH28)=0),0,N(W28)*IF(N(R28)/N(W28)&gt;=60,N(BH28),1))</f>
        <v/>
      </c>
      <c r="AW28" s="7">
        <f>N(W28)*N(AF28)*N(BI28)</f>
        <v/>
      </c>
      <c r="AX28" s="3">
        <f>IF(N(BH28)=0,0,N(W28)*N(AH28))</f>
        <v/>
      </c>
      <c r="AY28" s="7">
        <f>N(AM28)*(Assumptions!$B$13*N(BK28)-(1-Assumptions!$B$13)*Assumptions!$B$14)+N(AN28)</f>
        <v/>
      </c>
      <c r="AZ28" s="7">
        <f>N(AU28)*N(R28)/90+N(AV28)+N(AW28)+N(AX28)+N(AY28)</f>
        <v/>
      </c>
      <c r="BA28" s="3">
        <f>IF(N(R28)&lt;=0,0,(N(AZ28)-N(AY28))*90/N(R28))</f>
        <v/>
      </c>
      <c r="BB28" s="7">
        <f>IFERROR(AZ28-VLOOKUP($E28,Assumptions!$A$40:$C$43,3,FALSE),"")</f>
        <v/>
      </c>
      <c r="BC28" s="3">
        <f>IFERROR(BB28/H28,"")</f>
        <v/>
      </c>
      <c r="BD28">
        <f>IF(AND($G28=TRUE,$E28="GKP"),AZ28,"")</f>
        <v/>
      </c>
      <c r="BE28">
        <f>IF(AND($G28=TRUE,$E28="DEF"),AZ28,"")</f>
        <v/>
      </c>
      <c r="BF28">
        <f>IF(AND($G28=TRUE,$E28="MID"),AZ28,"")</f>
        <v/>
      </c>
      <c r="BG28">
        <f>IF(AND($G28=TRUE,$E28="FWD"),AZ28,"")</f>
        <v/>
      </c>
      <c r="BH28" t="n">
        <v>2</v>
      </c>
      <c r="BI28" t="n">
        <v>2</v>
      </c>
      <c r="BJ28" t="n">
        <v>4</v>
      </c>
      <c r="BK28" t="n">
        <v>6</v>
      </c>
    </row>
    <row r="29">
      <c r="A29" t="inlineStr">
        <is>
          <t>Kiernan Dewsbury-Hall</t>
        </is>
      </c>
      <c r="B29" t="inlineStr">
        <is>
          <t>EVE</t>
        </is>
      </c>
      <c r="C29" t="inlineStr">
        <is>
          <t>EVE</t>
        </is>
      </c>
      <c r="D29" t="b">
        <v>0</v>
      </c>
      <c r="E29" t="inlineStr">
        <is>
          <t>MID</t>
        </is>
      </c>
      <c r="F29" t="inlineStr">
        <is>
          <t>MID</t>
        </is>
      </c>
      <c r="G29" t="b">
        <v>1</v>
      </c>
      <c r="H29" s="2" t="n">
        <v>6.5</v>
      </c>
      <c r="I29" t="inlineStr">
        <is>
          <t>a</t>
        </is>
      </c>
      <c r="K29" s="2" t="n">
        <v>2629</v>
      </c>
      <c r="L29" t="n">
        <v>151</v>
      </c>
      <c r="M29" s="3" t="n">
        <v>3152</v>
      </c>
      <c r="N29" s="8" t="n">
        <v>3152</v>
      </c>
      <c r="O29" s="8" t="n">
        <v>0</v>
      </c>
      <c r="Q29" t="inlineStr">
        <is>
          <t>flat</t>
        </is>
      </c>
      <c r="R29" s="6" t="n">
        <v>3152</v>
      </c>
      <c r="S29" t="inlineStr">
        <is>
          <t>Solio</t>
        </is>
      </c>
      <c r="U29" s="6" t="n">
        <v>84.59999999999999</v>
      </c>
      <c r="V29" s="2" t="n">
        <v>30</v>
      </c>
      <c r="W29" s="7">
        <f>IF(N(U29)&lt;=0,0,MIN(Assumptions!$B$15,N(R29)/N(U29)))</f>
        <v/>
      </c>
      <c r="X29" s="6" t="n">
        <v>0.231</v>
      </c>
      <c r="Y29" s="3" t="n">
        <v>0.1525</v>
      </c>
      <c r="Z29" t="inlineStr">
        <is>
          <t>adjusted xGOT</t>
        </is>
      </c>
      <c r="AA29" s="3" t="n">
        <v>1</v>
      </c>
      <c r="AB29" s="3" t="n">
        <v>1.024</v>
      </c>
      <c r="AC29" s="3" t="n">
        <v>6.7</v>
      </c>
      <c r="AD29" s="3" t="n">
        <v>0.2039</v>
      </c>
      <c r="AE29" s="3" t="n">
        <v>8.025</v>
      </c>
      <c r="AF29" s="3" t="n">
        <v>0.08181281538052476</v>
      </c>
      <c r="AG29" s="3" t="n">
        <v>6.857</v>
      </c>
      <c r="AH29" s="3" t="n">
        <v>0.3553444745</v>
      </c>
      <c r="AI29" s="3" t="n">
        <v>60</v>
      </c>
      <c r="AJ29" s="3" t="n">
        <v>3.0311</v>
      </c>
      <c r="AK29" s="3" t="n">
        <v>1.5252</v>
      </c>
      <c r="AL29" s="3" t="n">
        <v>-0.2124929604617916</v>
      </c>
      <c r="AM29" s="6" t="n">
        <v>0</v>
      </c>
      <c r="AN29" s="3" t="n">
        <v>0</v>
      </c>
      <c r="AO29" s="3" t="n">
        <v>0.7625</v>
      </c>
      <c r="AP29" s="3" t="n">
        <v>0.8074440000000001</v>
      </c>
      <c r="AQ29" s="3">
        <f>N(X29)*N(BJ29)</f>
        <v/>
      </c>
      <c r="AR29" s="3" t="n">
        <v>0</v>
      </c>
      <c r="AS29" s="3" t="n">
        <v>-0</v>
      </c>
      <c r="AT29" s="3" t="n">
        <v>-0.2124929604617916</v>
      </c>
      <c r="AU29" s="3">
        <f>SUM(AO29:AT29)</f>
        <v/>
      </c>
      <c r="AV29" s="7">
        <f>IF(OR(N(W29)&lt;=0,N(BH29)=0),0,N(W29)*IF(N(R29)/N(W29)&gt;=60,N(BH29),1))</f>
        <v/>
      </c>
      <c r="AW29" s="7">
        <f>N(W29)*N(AF29)*N(BI29)</f>
        <v/>
      </c>
      <c r="AX29" s="3">
        <f>IF(N(BH29)=0,0,N(W29)*N(AH29))</f>
        <v/>
      </c>
      <c r="AY29" s="7">
        <f>N(AM29)*(Assumptions!$B$13*N(BK29)-(1-Assumptions!$B$13)*Assumptions!$B$14)+N(AN29)</f>
        <v/>
      </c>
      <c r="AZ29" s="7">
        <f>N(AU29)*N(R29)/90+N(AV29)+N(AW29)+N(AX29)+N(AY29)</f>
        <v/>
      </c>
      <c r="BA29" s="3">
        <f>IF(N(R29)&lt;=0,0,(N(AZ29)-N(AY29))*90/N(R29))</f>
        <v/>
      </c>
      <c r="BB29" s="7">
        <f>IFERROR(AZ29-VLOOKUP($E29,Assumptions!$A$40:$C$43,3,FALSE),"")</f>
        <v/>
      </c>
      <c r="BC29" s="3">
        <f>IFERROR(BB29/H29,"")</f>
        <v/>
      </c>
      <c r="BD29">
        <f>IF(AND($G29=TRUE,$E29="GKP"),AZ29,"")</f>
        <v/>
      </c>
      <c r="BE29">
        <f>IF(AND($G29=TRUE,$E29="DEF"),AZ29,"")</f>
        <v/>
      </c>
      <c r="BF29">
        <f>IF(AND($G29=TRUE,$E29="MID"),AZ29,"")</f>
        <v/>
      </c>
      <c r="BG29">
        <f>IF(AND($G29=TRUE,$E29="FWD"),AZ29,"")</f>
        <v/>
      </c>
      <c r="BH29" t="n">
        <v>2</v>
      </c>
      <c r="BI29" t="n">
        <v>2</v>
      </c>
      <c r="BJ29" t="n">
        <v>1</v>
      </c>
      <c r="BK29" t="n">
        <v>5</v>
      </c>
    </row>
    <row r="30">
      <c r="A30" t="inlineStr">
        <is>
          <t>Jurriën Timber</t>
        </is>
      </c>
      <c r="B30" t="inlineStr">
        <is>
          <t>ARS</t>
        </is>
      </c>
      <c r="C30" t="inlineStr">
        <is>
          <t>ARS</t>
        </is>
      </c>
      <c r="D30" t="b">
        <v>0</v>
      </c>
      <c r="E30" t="inlineStr">
        <is>
          <t>DEF</t>
        </is>
      </c>
      <c r="F30" t="inlineStr">
        <is>
          <t>DEF</t>
        </is>
      </c>
      <c r="G30" t="b">
        <v>1</v>
      </c>
      <c r="H30" s="2" t="n">
        <v>6.5</v>
      </c>
      <c r="I30" t="inlineStr">
        <is>
          <t>i</t>
        </is>
      </c>
      <c r="J30" t="inlineStr">
        <is>
          <t>Groin injury - Unknown return date</t>
        </is>
      </c>
      <c r="K30" s="2" t="n">
        <v>2452</v>
      </c>
      <c r="L30" t="n">
        <v>149</v>
      </c>
      <c r="M30" s="3" t="n">
        <v>2878</v>
      </c>
      <c r="N30" s="4" t="n">
        <v>2200</v>
      </c>
      <c r="O30" s="4" t="n">
        <v>-678</v>
      </c>
      <c r="P30" s="5" t="inlineStr">
        <is>
          <t>high</t>
        </is>
      </c>
      <c r="Q30" t="inlineStr">
        <is>
          <t>flat</t>
        </is>
      </c>
      <c r="R30" s="6" t="n">
        <v>2200</v>
      </c>
      <c r="S30" t="inlineStr">
        <is>
          <t>research</t>
        </is>
      </c>
      <c r="T30" s="5" t="inlineStr">
        <is>
          <t>Groin surgery in June for an issue first seen in mid-March. Arteta on 14 August: 'he is on a good trajectory, but there is still a few weeks to go... He needs to start to train with the group in the next week or so.' He will miss the opener and Arseblog notes he has not played competitive football for close to six months bar a Champions League final cameo that caused a setback, so he must be eased back rather than thrown straight in. 2200 assumes he misses roughly the first five league matches and is then a regular starter with some further management.</t>
        </is>
      </c>
      <c r="U30" s="6" t="n">
        <v>85.3</v>
      </c>
      <c r="V30" s="2" t="n">
        <v>28</v>
      </c>
      <c r="W30" s="7">
        <f>IF(N(U30)&lt;=0,0,MIN(Assumptions!$B$15,N(R30)/N(U30)))</f>
        <v/>
      </c>
      <c r="X30" s="6" t="n">
        <v>0.391</v>
      </c>
      <c r="Y30" s="3" t="n">
        <v>0.1612</v>
      </c>
      <c r="Z30" t="inlineStr">
        <is>
          <t>adjusted xGOT</t>
        </is>
      </c>
      <c r="AA30" s="3" t="n">
        <v>1</v>
      </c>
      <c r="AB30" s="3" t="n">
        <v>0.9330000000000001</v>
      </c>
      <c r="AC30" s="3" t="n">
        <v>5.9</v>
      </c>
      <c r="AD30" s="3" t="n">
        <v>0.0756</v>
      </c>
      <c r="AE30" s="3" t="n">
        <v>5.944</v>
      </c>
      <c r="AF30" s="3" t="n">
        <v>0.0610028782740677</v>
      </c>
      <c r="AG30" s="3" t="n">
        <v>6.774</v>
      </c>
      <c r="AH30" s="3" t="n">
        <v>0.3510069888</v>
      </c>
      <c r="AI30" s="3" t="n">
        <v>56</v>
      </c>
      <c r="AJ30" s="3" t="n">
        <v>2.067</v>
      </c>
      <c r="AK30" s="3" t="n">
        <v>0.9838</v>
      </c>
      <c r="AL30" s="3" t="n">
        <v>-0.2379965855651725</v>
      </c>
      <c r="AM30" s="6" t="n">
        <v>0</v>
      </c>
      <c r="AN30" s="3" t="n">
        <v>0</v>
      </c>
      <c r="AO30" s="3" t="n">
        <v>0.9672000000000001</v>
      </c>
      <c r="AP30" s="3" t="n">
        <v>0.299376</v>
      </c>
      <c r="AQ30" s="3">
        <f>N(X30)*N(BJ30)</f>
        <v/>
      </c>
      <c r="AR30" s="3" t="n">
        <v>0</v>
      </c>
      <c r="AS30" s="3" t="n">
        <v>-0.2768479886568037</v>
      </c>
      <c r="AT30" s="3" t="n">
        <v>-0.2379965855651725</v>
      </c>
      <c r="AU30" s="3">
        <f>SUM(AO30:AT30)</f>
        <v/>
      </c>
      <c r="AV30" s="7">
        <f>IF(OR(N(W30)&lt;=0,N(BH30)=0),0,N(W30)*IF(N(R30)/N(W30)&gt;=60,N(BH30),1))</f>
        <v/>
      </c>
      <c r="AW30" s="7">
        <f>N(W30)*N(AF30)*N(BI30)</f>
        <v/>
      </c>
      <c r="AX30" s="3">
        <f>IF(N(BH30)=0,0,N(W30)*N(AH30))</f>
        <v/>
      </c>
      <c r="AY30" s="7">
        <f>N(AM30)*(Assumptions!$B$13*N(BK30)-(1-Assumptions!$B$13)*Assumptions!$B$14)+N(AN30)</f>
        <v/>
      </c>
      <c r="AZ30" s="7">
        <f>N(AU30)*N(R30)/90+N(AV30)+N(AW30)+N(AX30)+N(AY30)</f>
        <v/>
      </c>
      <c r="BA30" s="3">
        <f>IF(N(R30)&lt;=0,0,(N(AZ30)-N(AY30))*90/N(R30))</f>
        <v/>
      </c>
      <c r="BB30" s="7">
        <f>IFERROR(AZ30-VLOOKUP($E30,Assumptions!$A$40:$C$43,3,FALSE),"")</f>
        <v/>
      </c>
      <c r="BC30" s="3">
        <f>IFERROR(BB30/H30,"")</f>
        <v/>
      </c>
      <c r="BD30">
        <f>IF(AND($G30=TRUE,$E30="GKP"),AZ30,"")</f>
        <v/>
      </c>
      <c r="BE30">
        <f>IF(AND($G30=TRUE,$E30="DEF"),AZ30,"")</f>
        <v/>
      </c>
      <c r="BF30">
        <f>IF(AND($G30=TRUE,$E30="MID"),AZ30,"")</f>
        <v/>
      </c>
      <c r="BG30">
        <f>IF(AND($G30=TRUE,$E30="FWD"),AZ30,"")</f>
        <v/>
      </c>
      <c r="BH30" t="n">
        <v>2</v>
      </c>
      <c r="BI30" t="n">
        <v>2</v>
      </c>
      <c r="BJ30" t="n">
        <v>4</v>
      </c>
      <c r="BK30" t="n">
        <v>6</v>
      </c>
    </row>
    <row r="31">
      <c r="A31" t="inlineStr">
        <is>
          <t>Bryan Mbeumo</t>
        </is>
      </c>
      <c r="B31" t="inlineStr">
        <is>
          <t>MUN</t>
        </is>
      </c>
      <c r="C31" t="inlineStr">
        <is>
          <t>MUN</t>
        </is>
      </c>
      <c r="D31" t="b">
        <v>0</v>
      </c>
      <c r="E31" t="inlineStr">
        <is>
          <t>MID</t>
        </is>
      </c>
      <c r="F31" t="inlineStr">
        <is>
          <t>MID</t>
        </is>
      </c>
      <c r="G31" t="b">
        <v>1</v>
      </c>
      <c r="H31" s="2" t="n">
        <v>8</v>
      </c>
      <c r="I31" t="inlineStr">
        <is>
          <t>a</t>
        </is>
      </c>
      <c r="K31" s="2" t="n">
        <v>2611</v>
      </c>
      <c r="L31" t="n">
        <v>148</v>
      </c>
      <c r="M31" s="3" t="n">
        <v>2822</v>
      </c>
      <c r="N31" s="8" t="n">
        <v>2822</v>
      </c>
      <c r="O31" s="8" t="n">
        <v>0</v>
      </c>
      <c r="Q31" t="inlineStr">
        <is>
          <t>flat</t>
        </is>
      </c>
      <c r="R31" s="6" t="n">
        <v>2822</v>
      </c>
      <c r="S31" t="inlineStr">
        <is>
          <t>Solio</t>
        </is>
      </c>
      <c r="U31" s="6" t="n">
        <v>82.40000000000001</v>
      </c>
      <c r="V31" s="2" t="n">
        <v>31</v>
      </c>
      <c r="W31" s="7">
        <f>IF(N(U31)&lt;=0,0,MIN(Assumptions!$B$15,N(R31)/N(U31)))</f>
        <v/>
      </c>
      <c r="X31" s="6" t="n">
        <v>0.334</v>
      </c>
      <c r="Y31" s="3" t="n">
        <v>0.4251</v>
      </c>
      <c r="Z31" t="inlineStr">
        <is>
          <t>adjusted xGOT</t>
        </is>
      </c>
      <c r="AA31" s="3" t="n">
        <v>1</v>
      </c>
      <c r="AB31" s="3" t="n">
        <v>1.029</v>
      </c>
      <c r="AC31" s="3" t="n">
        <v>43.7</v>
      </c>
      <c r="AD31" s="3" t="n">
        <v>0.1737</v>
      </c>
      <c r="AE31" s="3" t="n">
        <v>5.61</v>
      </c>
      <c r="AF31" s="3" t="n">
        <v>0.006671565669880364</v>
      </c>
      <c r="AG31" s="3" t="n">
        <v>4.446</v>
      </c>
      <c r="AH31" s="3" t="n">
        <v>0.593004816</v>
      </c>
      <c r="AI31" s="3" t="n">
        <v>64</v>
      </c>
      <c r="AJ31" s="3" t="n">
        <v>2.2165</v>
      </c>
      <c r="AK31" s="3" t="n">
        <v>1.1467</v>
      </c>
      <c r="AL31" s="3" t="n">
        <v>-0.1446565307742253</v>
      </c>
      <c r="AM31" s="6" t="n">
        <v>0.1129377635553132</v>
      </c>
      <c r="AN31" s="3" t="n">
        <v>0</v>
      </c>
      <c r="AO31" s="3" t="n">
        <v>2.1255</v>
      </c>
      <c r="AP31" s="3" t="n">
        <v>0.687852</v>
      </c>
      <c r="AQ31" s="3">
        <f>N(X31)*N(BJ31)</f>
        <v/>
      </c>
      <c r="AR31" s="3" t="n">
        <v>0</v>
      </c>
      <c r="AS31" s="3" t="n">
        <v>-0</v>
      </c>
      <c r="AT31" s="3" t="n">
        <v>-0.1446565307742253</v>
      </c>
      <c r="AU31" s="3">
        <f>SUM(AO31:AT31)</f>
        <v/>
      </c>
      <c r="AV31" s="7">
        <f>IF(OR(N(W31)&lt;=0,N(BH31)=0),0,N(W31)*IF(N(R31)/N(W31)&gt;=60,N(BH31),1))</f>
        <v/>
      </c>
      <c r="AW31" s="7">
        <f>N(W31)*N(AF31)*N(BI31)</f>
        <v/>
      </c>
      <c r="AX31" s="3">
        <f>IF(N(BH31)=0,0,N(W31)*N(AH31))</f>
        <v/>
      </c>
      <c r="AY31" s="7">
        <f>N(AM31)*(Assumptions!$B$13*N(BK31)-(1-Assumptions!$B$13)*Assumptions!$B$14)+N(AN31)</f>
        <v/>
      </c>
      <c r="AZ31" s="7">
        <f>N(AU31)*N(R31)/90+N(AV31)+N(AW31)+N(AX31)+N(AY31)</f>
        <v/>
      </c>
      <c r="BA31" s="3">
        <f>IF(N(R31)&lt;=0,0,(N(AZ31)-N(AY31))*90/N(R31))</f>
        <v/>
      </c>
      <c r="BB31" s="7">
        <f>IFERROR(AZ31-VLOOKUP($E31,Assumptions!$A$40:$C$43,3,FALSE),"")</f>
        <v/>
      </c>
      <c r="BC31" s="3">
        <f>IFERROR(BB31/H31,"")</f>
        <v/>
      </c>
      <c r="BD31">
        <f>IF(AND($G31=TRUE,$E31="GKP"),AZ31,"")</f>
        <v/>
      </c>
      <c r="BE31">
        <f>IF(AND($G31=TRUE,$E31="DEF"),AZ31,"")</f>
        <v/>
      </c>
      <c r="BF31">
        <f>IF(AND($G31=TRUE,$E31="MID"),AZ31,"")</f>
        <v/>
      </c>
      <c r="BG31">
        <f>IF(AND($G31=TRUE,$E31="FWD"),AZ31,"")</f>
        <v/>
      </c>
      <c r="BH31" t="n">
        <v>2</v>
      </c>
      <c r="BI31" t="n">
        <v>2</v>
      </c>
      <c r="BJ31" t="n">
        <v>1</v>
      </c>
      <c r="BK31" t="n">
        <v>5</v>
      </c>
    </row>
    <row r="32">
      <c r="A32" s="9" t="inlineStr">
        <is>
          <t>Jan Paul van Hecke</t>
        </is>
      </c>
      <c r="B32" t="inlineStr">
        <is>
          <t>TOT</t>
        </is>
      </c>
      <c r="C32" s="9" t="inlineStr">
        <is>
          <t>BHA</t>
        </is>
      </c>
      <c r="D32" t="b">
        <v>1</v>
      </c>
      <c r="E32" t="inlineStr">
        <is>
          <t>DEF</t>
        </is>
      </c>
      <c r="F32" t="inlineStr">
        <is>
          <t>DEF</t>
        </is>
      </c>
      <c r="G32" t="b">
        <v>1</v>
      </c>
      <c r="H32" s="2" t="n">
        <v>5</v>
      </c>
      <c r="I32" t="inlineStr">
        <is>
          <t>a</t>
        </is>
      </c>
      <c r="K32" s="2" t="n">
        <v>3210</v>
      </c>
      <c r="L32" t="n">
        <v>148</v>
      </c>
      <c r="M32" s="3" t="n">
        <v>3181</v>
      </c>
      <c r="N32" s="8" t="n">
        <v>3181</v>
      </c>
      <c r="O32" s="8" t="n">
        <v>0</v>
      </c>
      <c r="Q32" t="inlineStr">
        <is>
          <t>flat</t>
        </is>
      </c>
      <c r="R32" s="6" t="n">
        <v>3181</v>
      </c>
      <c r="S32" t="inlineStr">
        <is>
          <t>Solio</t>
        </is>
      </c>
      <c r="U32" s="6" t="n">
        <v>88.40000000000001</v>
      </c>
      <c r="V32" s="2" t="n">
        <v>36</v>
      </c>
      <c r="W32" s="7">
        <f>IF(N(U32)&lt;=0,0,MIN(Assumptions!$B$15,N(R32)/N(U32)))</f>
        <v/>
      </c>
      <c r="X32" s="6" t="n">
        <v>0.286</v>
      </c>
      <c r="Y32" s="10" t="n">
        <v>0.09030000000000001</v>
      </c>
      <c r="Z32" t="inlineStr">
        <is>
          <t>adjusted xGOT</t>
        </is>
      </c>
      <c r="AA32" s="3" t="n">
        <v>1</v>
      </c>
      <c r="AB32" s="3" t="n">
        <v>0.973</v>
      </c>
      <c r="AC32" s="3" t="n">
        <v>6.6</v>
      </c>
      <c r="AD32" s="10" t="n">
        <v>0.0364</v>
      </c>
      <c r="AE32" s="3" t="n">
        <v>8.667</v>
      </c>
      <c r="AF32" s="3" t="n">
        <v>0.3487048763704732</v>
      </c>
      <c r="AG32" s="3" t="n">
        <v>8.897</v>
      </c>
      <c r="AH32" s="3" t="n">
        <v>0.2725661192</v>
      </c>
      <c r="AI32" s="3" t="n">
        <v>72</v>
      </c>
      <c r="AJ32" s="3" t="n">
        <v>2.5739</v>
      </c>
      <c r="AK32" s="3" t="n">
        <v>1.3096</v>
      </c>
      <c r="AL32" s="3" t="n">
        <v>-0.2303329357267622</v>
      </c>
      <c r="AM32" s="6" t="n">
        <v>0</v>
      </c>
      <c r="AN32" s="3" t="n">
        <v>0</v>
      </c>
      <c r="AO32" s="10" t="n">
        <v>0.5418000000000001</v>
      </c>
      <c r="AP32" s="10" t="n">
        <v>0.144144</v>
      </c>
      <c r="AQ32" s="3">
        <f>N(X32)*N(BJ32)</f>
        <v/>
      </c>
      <c r="AR32" s="3" t="n">
        <v>0</v>
      </c>
      <c r="AS32" s="3" t="n">
        <v>-0.4230152821052008</v>
      </c>
      <c r="AT32" s="3" t="n">
        <v>-0.2303329357267622</v>
      </c>
      <c r="AU32" s="3">
        <f>SUM(AO32:AT32)</f>
        <v/>
      </c>
      <c r="AV32" s="7">
        <f>IF(OR(N(W32)&lt;=0,N(BH32)=0),0,N(W32)*IF(N(R32)/N(W32)&gt;=60,N(BH32),1))</f>
        <v/>
      </c>
      <c r="AW32" s="7">
        <f>N(W32)*N(AF32)*N(BI32)</f>
        <v/>
      </c>
      <c r="AX32" s="3">
        <f>IF(N(BH32)=0,0,N(W32)*N(AH32))</f>
        <v/>
      </c>
      <c r="AY32" s="7">
        <f>N(AM32)*(Assumptions!$B$13*N(BK32)-(1-Assumptions!$B$13)*Assumptions!$B$14)+N(AN32)</f>
        <v/>
      </c>
      <c r="AZ32" s="7">
        <f>N(AU32)*N(R32)/90+N(AV32)+N(AW32)+N(AX32)+N(AY32)</f>
        <v/>
      </c>
      <c r="BA32" s="3">
        <f>IF(N(R32)&lt;=0,0,(N(AZ32)-N(AY32))*90/N(R32))</f>
        <v/>
      </c>
      <c r="BB32" s="7">
        <f>IFERROR(AZ32-VLOOKUP($E32,Assumptions!$A$40:$C$43,3,FALSE),"")</f>
        <v/>
      </c>
      <c r="BC32" s="3">
        <f>IFERROR(BB32/H32,"")</f>
        <v/>
      </c>
      <c r="BD32">
        <f>IF(AND($G32=TRUE,$E32="GKP"),AZ32,"")</f>
        <v/>
      </c>
      <c r="BE32">
        <f>IF(AND($G32=TRUE,$E32="DEF"),AZ32,"")</f>
        <v/>
      </c>
      <c r="BF32">
        <f>IF(AND($G32=TRUE,$E32="MID"),AZ32,"")</f>
        <v/>
      </c>
      <c r="BG32">
        <f>IF(AND($G32=TRUE,$E32="FWD"),AZ32,"")</f>
        <v/>
      </c>
      <c r="BH32" t="n">
        <v>2</v>
      </c>
      <c r="BI32" t="n">
        <v>2</v>
      </c>
      <c r="BJ32" t="n">
        <v>4</v>
      </c>
      <c r="BK32" t="n">
        <v>6</v>
      </c>
    </row>
    <row r="33">
      <c r="A33" t="inlineStr">
        <is>
          <t>Enzo Le Fée</t>
        </is>
      </c>
      <c r="B33" t="inlineStr">
        <is>
          <t>SUN</t>
        </is>
      </c>
      <c r="C33" t="inlineStr">
        <is>
          <t>SUN</t>
        </is>
      </c>
      <c r="D33" t="b">
        <v>0</v>
      </c>
      <c r="E33" t="inlineStr">
        <is>
          <t>MID</t>
        </is>
      </c>
      <c r="F33" t="inlineStr">
        <is>
          <t>MID</t>
        </is>
      </c>
      <c r="G33" t="b">
        <v>1</v>
      </c>
      <c r="H33" s="2" t="n">
        <v>6</v>
      </c>
      <c r="I33" t="inlineStr">
        <is>
          <t>a</t>
        </is>
      </c>
      <c r="K33" s="2" t="n">
        <v>2930</v>
      </c>
      <c r="L33" t="n">
        <v>147</v>
      </c>
      <c r="M33" s="3" t="n">
        <v>3324</v>
      </c>
      <c r="N33" s="8" t="n">
        <v>3324</v>
      </c>
      <c r="O33" s="8" t="n">
        <v>0</v>
      </c>
      <c r="Q33" t="inlineStr">
        <is>
          <t>flat</t>
        </is>
      </c>
      <c r="R33" s="6" t="n">
        <v>3324</v>
      </c>
      <c r="S33" t="inlineStr">
        <is>
          <t>Solio</t>
        </is>
      </c>
      <c r="U33" s="6" t="n">
        <v>85.7</v>
      </c>
      <c r="V33" s="2" t="n">
        <v>33</v>
      </c>
      <c r="W33" s="7">
        <f>IF(N(U33)&lt;=0,0,MIN(Assumptions!$B$15,N(R33)/N(U33)))</f>
        <v/>
      </c>
      <c r="X33" s="6" t="n">
        <v>0.204</v>
      </c>
      <c r="Y33" s="3" t="n">
        <v>0.06610000000000001</v>
      </c>
      <c r="Z33" t="inlineStr">
        <is>
          <t>adjusted xGOT</t>
        </is>
      </c>
      <c r="AA33" s="3" t="n">
        <v>0.422</v>
      </c>
      <c r="AB33" s="3" t="n">
        <v>0.976</v>
      </c>
      <c r="AC33" s="3" t="n">
        <v>5.2</v>
      </c>
      <c r="AD33" s="3" t="n">
        <v>0.2073</v>
      </c>
      <c r="AE33" s="3" t="n">
        <v>9.558</v>
      </c>
      <c r="AF33" s="3" t="n">
        <v>0.2069328639438638</v>
      </c>
      <c r="AG33" s="3" t="n">
        <v>7.89</v>
      </c>
      <c r="AH33" s="3" t="n">
        <v>0.2607263006</v>
      </c>
      <c r="AI33" s="3" t="n">
        <v>69</v>
      </c>
      <c r="AJ33" s="3" t="n">
        <v>3.3348</v>
      </c>
      <c r="AK33" s="3" t="n">
        <v>1.6498</v>
      </c>
      <c r="AL33" s="3" t="n">
        <v>-0.185318592085168</v>
      </c>
      <c r="AM33" s="6" t="n">
        <v>2.083953488716728</v>
      </c>
      <c r="AN33" s="3" t="n">
        <v>0</v>
      </c>
      <c r="AO33" s="3" t="n">
        <v>0.3305</v>
      </c>
      <c r="AP33" s="3" t="n">
        <v>0.8209080000000001</v>
      </c>
      <c r="AQ33" s="3">
        <f>N(X33)*N(BJ33)</f>
        <v/>
      </c>
      <c r="AR33" s="3" t="n">
        <v>0</v>
      </c>
      <c r="AS33" s="3" t="n">
        <v>-0</v>
      </c>
      <c r="AT33" s="3" t="n">
        <v>-0.185318592085168</v>
      </c>
      <c r="AU33" s="3">
        <f>SUM(AO33:AT33)</f>
        <v/>
      </c>
      <c r="AV33" s="7">
        <f>IF(OR(N(W33)&lt;=0,N(BH33)=0),0,N(W33)*IF(N(R33)/N(W33)&gt;=60,N(BH33),1))</f>
        <v/>
      </c>
      <c r="AW33" s="7">
        <f>N(W33)*N(AF33)*N(BI33)</f>
        <v/>
      </c>
      <c r="AX33" s="3">
        <f>IF(N(BH33)=0,0,N(W33)*N(AH33))</f>
        <v/>
      </c>
      <c r="AY33" s="7">
        <f>N(AM33)*(Assumptions!$B$13*N(BK33)-(1-Assumptions!$B$13)*Assumptions!$B$14)+N(AN33)</f>
        <v/>
      </c>
      <c r="AZ33" s="7">
        <f>N(AU33)*N(R33)/90+N(AV33)+N(AW33)+N(AX33)+N(AY33)</f>
        <v/>
      </c>
      <c r="BA33" s="3">
        <f>IF(N(R33)&lt;=0,0,(N(AZ33)-N(AY33))*90/N(R33))</f>
        <v/>
      </c>
      <c r="BB33" s="7">
        <f>IFERROR(AZ33-VLOOKUP($E33,Assumptions!$A$40:$C$43,3,FALSE),"")</f>
        <v/>
      </c>
      <c r="BC33" s="3">
        <f>IFERROR(BB33/H33,"")</f>
        <v/>
      </c>
      <c r="BD33">
        <f>IF(AND($G33=TRUE,$E33="GKP"),AZ33,"")</f>
        <v/>
      </c>
      <c r="BE33">
        <f>IF(AND($G33=TRUE,$E33="DEF"),AZ33,"")</f>
        <v/>
      </c>
      <c r="BF33">
        <f>IF(AND($G33=TRUE,$E33="MID"),AZ33,"")</f>
        <v/>
      </c>
      <c r="BG33">
        <f>IF(AND($G33=TRUE,$E33="FWD"),AZ33,"")</f>
        <v/>
      </c>
      <c r="BH33" t="n">
        <v>2</v>
      </c>
      <c r="BI33" t="n">
        <v>2</v>
      </c>
      <c r="BJ33" t="n">
        <v>1</v>
      </c>
      <c r="BK33" t="n">
        <v>5</v>
      </c>
    </row>
    <row r="34">
      <c r="A34" t="inlineStr">
        <is>
          <t>Ryan Gravenberch</t>
        </is>
      </c>
      <c r="B34" t="inlineStr">
        <is>
          <t>LIV</t>
        </is>
      </c>
      <c r="C34" t="inlineStr">
        <is>
          <t>LIV</t>
        </is>
      </c>
      <c r="D34" t="b">
        <v>0</v>
      </c>
      <c r="E34" t="inlineStr">
        <is>
          <t>MID</t>
        </is>
      </c>
      <c r="F34" t="inlineStr">
        <is>
          <t>MID</t>
        </is>
      </c>
      <c r="G34" t="b">
        <v>1</v>
      </c>
      <c r="H34" s="2" t="n">
        <v>6</v>
      </c>
      <c r="I34" t="inlineStr">
        <is>
          <t>a</t>
        </is>
      </c>
      <c r="K34" s="2" t="n">
        <v>2991</v>
      </c>
      <c r="L34" t="n">
        <v>144</v>
      </c>
      <c r="M34" s="3" t="n">
        <v>2964</v>
      </c>
      <c r="N34" s="8" t="n">
        <v>2964</v>
      </c>
      <c r="O34" s="8" t="n">
        <v>0</v>
      </c>
      <c r="Q34" t="inlineStr">
        <is>
          <t>flat</t>
        </is>
      </c>
      <c r="R34" s="6" t="n">
        <v>2964</v>
      </c>
      <c r="S34" t="inlineStr">
        <is>
          <t>Solio</t>
        </is>
      </c>
      <c r="U34" s="6" t="n">
        <v>84.90000000000001</v>
      </c>
      <c r="V34" s="2" t="n">
        <v>34</v>
      </c>
      <c r="W34" s="7">
        <f>IF(N(U34)&lt;=0,0,MIN(Assumptions!$B$15,N(R34)/N(U34)))</f>
        <v/>
      </c>
      <c r="X34" s="6" t="n">
        <v>0.342</v>
      </c>
      <c r="Y34" s="3" t="n">
        <v>0.056</v>
      </c>
      <c r="Z34" t="inlineStr">
        <is>
          <t>adjusted xGOT</t>
        </is>
      </c>
      <c r="AA34" s="3" t="n">
        <v>1</v>
      </c>
      <c r="AB34" s="3" t="n">
        <v>0.985</v>
      </c>
      <c r="AC34" s="3" t="n">
        <v>5.1</v>
      </c>
      <c r="AD34" s="3" t="n">
        <v>0.0696</v>
      </c>
      <c r="AE34" s="3" t="n">
        <v>8.891</v>
      </c>
      <c r="AF34" s="3" t="n">
        <v>0.1418750921518946</v>
      </c>
      <c r="AG34" s="3" t="n">
        <v>8.948</v>
      </c>
      <c r="AH34" s="3" t="n">
        <v>0.1479631878</v>
      </c>
      <c r="AI34" s="3" t="n">
        <v>69</v>
      </c>
      <c r="AJ34" s="3" t="n">
        <v>2.409</v>
      </c>
      <c r="AK34" s="3" t="n">
        <v>1.1228</v>
      </c>
      <c r="AL34" s="3" t="n">
        <v>-0.1653791475997056</v>
      </c>
      <c r="AM34" s="6" t="n">
        <v>0</v>
      </c>
      <c r="AN34" s="3" t="n">
        <v>0</v>
      </c>
      <c r="AO34" s="3" t="n">
        <v>0.28</v>
      </c>
      <c r="AP34" s="3" t="n">
        <v>0.275616</v>
      </c>
      <c r="AQ34" s="3">
        <f>N(X34)*N(BJ34)</f>
        <v/>
      </c>
      <c r="AR34" s="3" t="n">
        <v>0</v>
      </c>
      <c r="AS34" s="3" t="n">
        <v>-0</v>
      </c>
      <c r="AT34" s="3" t="n">
        <v>-0.1653791475997056</v>
      </c>
      <c r="AU34" s="3">
        <f>SUM(AO34:AT34)</f>
        <v/>
      </c>
      <c r="AV34" s="7">
        <f>IF(OR(N(W34)&lt;=0,N(BH34)=0),0,N(W34)*IF(N(R34)/N(W34)&gt;=60,N(BH34),1))</f>
        <v/>
      </c>
      <c r="AW34" s="7">
        <f>N(W34)*N(AF34)*N(BI34)</f>
        <v/>
      </c>
      <c r="AX34" s="3">
        <f>IF(N(BH34)=0,0,N(W34)*N(AH34))</f>
        <v/>
      </c>
      <c r="AY34" s="7">
        <f>N(AM34)*(Assumptions!$B$13*N(BK34)-(1-Assumptions!$B$13)*Assumptions!$B$14)+N(AN34)</f>
        <v/>
      </c>
      <c r="AZ34" s="7">
        <f>N(AU34)*N(R34)/90+N(AV34)+N(AW34)+N(AX34)+N(AY34)</f>
        <v/>
      </c>
      <c r="BA34" s="3">
        <f>IF(N(R34)&lt;=0,0,(N(AZ34)-N(AY34))*90/N(R34))</f>
        <v/>
      </c>
      <c r="BB34" s="7">
        <f>IFERROR(AZ34-VLOOKUP($E34,Assumptions!$A$40:$C$43,3,FALSE),"")</f>
        <v/>
      </c>
      <c r="BC34" s="3">
        <f>IFERROR(BB34/H34,"")</f>
        <v/>
      </c>
      <c r="BD34">
        <f>IF(AND($G34=TRUE,$E34="GKP"),AZ34,"")</f>
        <v/>
      </c>
      <c r="BE34">
        <f>IF(AND($G34=TRUE,$E34="DEF"),AZ34,"")</f>
        <v/>
      </c>
      <c r="BF34">
        <f>IF(AND($G34=TRUE,$E34="MID"),AZ34,"")</f>
        <v/>
      </c>
      <c r="BG34">
        <f>IF(AND($G34=TRUE,$E34="FWD"),AZ34,"")</f>
        <v/>
      </c>
      <c r="BH34" t="n">
        <v>2</v>
      </c>
      <c r="BI34" t="n">
        <v>2</v>
      </c>
      <c r="BJ34" t="n">
        <v>1</v>
      </c>
      <c r="BK34" t="n">
        <v>5</v>
      </c>
    </row>
    <row r="35">
      <c r="A35" t="inlineStr">
        <is>
          <t>Matheus Cunha</t>
        </is>
      </c>
      <c r="B35" t="inlineStr">
        <is>
          <t>MUN</t>
        </is>
      </c>
      <c r="C35" t="inlineStr">
        <is>
          <t>MUN</t>
        </is>
      </c>
      <c r="D35" t="b">
        <v>0</v>
      </c>
      <c r="E35" t="inlineStr">
        <is>
          <t>MID</t>
        </is>
      </c>
      <c r="F35" t="inlineStr">
        <is>
          <t>MID</t>
        </is>
      </c>
      <c r="G35" t="b">
        <v>1</v>
      </c>
      <c r="H35" s="2" t="n">
        <v>8</v>
      </c>
      <c r="I35" t="inlineStr">
        <is>
          <t>a</t>
        </is>
      </c>
      <c r="K35" s="2" t="n">
        <v>2493</v>
      </c>
      <c r="L35" t="n">
        <v>143</v>
      </c>
      <c r="M35" s="3" t="n">
        <v>2616</v>
      </c>
      <c r="N35" s="8" t="n">
        <v>2616</v>
      </c>
      <c r="O35" s="8" t="n">
        <v>0</v>
      </c>
      <c r="Q35" t="inlineStr">
        <is>
          <t>flat</t>
        </is>
      </c>
      <c r="R35" s="6" t="n">
        <v>2616</v>
      </c>
      <c r="S35" t="inlineStr">
        <is>
          <t>Solio</t>
        </is>
      </c>
      <c r="U35" s="6" t="n">
        <v>82.09999999999999</v>
      </c>
      <c r="V35" s="2" t="n">
        <v>29</v>
      </c>
      <c r="W35" s="7">
        <f>IF(N(U35)&lt;=0,0,MIN(Assumptions!$B$15,N(R35)/N(U35)))</f>
        <v/>
      </c>
      <c r="X35" s="6" t="n">
        <v>0.334</v>
      </c>
      <c r="Y35" s="3" t="n">
        <v>0.2624</v>
      </c>
      <c r="Z35" t="inlineStr">
        <is>
          <t>adjusted xGOT</t>
        </is>
      </c>
      <c r="AA35" s="3" t="n">
        <v>1</v>
      </c>
      <c r="AB35" s="3" t="n">
        <v>1.053</v>
      </c>
      <c r="AC35" s="3" t="n">
        <v>26.8</v>
      </c>
      <c r="AD35" s="3" t="n">
        <v>0.1274</v>
      </c>
      <c r="AE35" s="3" t="n">
        <v>7.832</v>
      </c>
      <c r="AF35" s="3" t="n">
        <v>0.06014974171423693</v>
      </c>
      <c r="AG35" s="3" t="n">
        <v>6.628</v>
      </c>
      <c r="AH35" s="3" t="n">
        <v>0.40364168</v>
      </c>
      <c r="AI35" s="3" t="n">
        <v>61</v>
      </c>
      <c r="AJ35" s="3" t="n">
        <v>2.2165</v>
      </c>
      <c r="AK35" s="3" t="n">
        <v>1.1467</v>
      </c>
      <c r="AL35" s="3" t="n">
        <v>-0.2002389947220909</v>
      </c>
      <c r="AM35" s="6" t="n">
        <v>0</v>
      </c>
      <c r="AN35" s="3" t="n">
        <v>0</v>
      </c>
      <c r="AO35" s="3" t="n">
        <v>1.312</v>
      </c>
      <c r="AP35" s="3" t="n">
        <v>0.5045040000000001</v>
      </c>
      <c r="AQ35" s="3">
        <f>N(X35)*N(BJ35)</f>
        <v/>
      </c>
      <c r="AR35" s="3" t="n">
        <v>0</v>
      </c>
      <c r="AS35" s="3" t="n">
        <v>-0</v>
      </c>
      <c r="AT35" s="3" t="n">
        <v>-0.2002389947220909</v>
      </c>
      <c r="AU35" s="3">
        <f>SUM(AO35:AT35)</f>
        <v/>
      </c>
      <c r="AV35" s="7">
        <f>IF(OR(N(W35)&lt;=0,N(BH35)=0),0,N(W35)*IF(N(R35)/N(W35)&gt;=60,N(BH35),1))</f>
        <v/>
      </c>
      <c r="AW35" s="7">
        <f>N(W35)*N(AF35)*N(BI35)</f>
        <v/>
      </c>
      <c r="AX35" s="3">
        <f>IF(N(BH35)=0,0,N(W35)*N(AH35))</f>
        <v/>
      </c>
      <c r="AY35" s="7">
        <f>N(AM35)*(Assumptions!$B$13*N(BK35)-(1-Assumptions!$B$13)*Assumptions!$B$14)+N(AN35)</f>
        <v/>
      </c>
      <c r="AZ35" s="7">
        <f>N(AU35)*N(R35)/90+N(AV35)+N(AW35)+N(AX35)+N(AY35)</f>
        <v/>
      </c>
      <c r="BA35" s="3">
        <f>IF(N(R35)&lt;=0,0,(N(AZ35)-N(AY35))*90/N(R35))</f>
        <v/>
      </c>
      <c r="BB35" s="7">
        <f>IFERROR(AZ35-VLOOKUP($E35,Assumptions!$A$40:$C$43,3,FALSE),"")</f>
        <v/>
      </c>
      <c r="BC35" s="3">
        <f>IFERROR(BB35/H35,"")</f>
        <v/>
      </c>
      <c r="BD35">
        <f>IF(AND($G35=TRUE,$E35="GKP"),AZ35,"")</f>
        <v/>
      </c>
      <c r="BE35">
        <f>IF(AND($G35=TRUE,$E35="DEF"),AZ35,"")</f>
        <v/>
      </c>
      <c r="BF35">
        <f>IF(AND($G35=TRUE,$E35="MID"),AZ35,"")</f>
        <v/>
      </c>
      <c r="BG35">
        <f>IF(AND($G35=TRUE,$E35="FWD"),AZ35,"")</f>
        <v/>
      </c>
      <c r="BH35" t="n">
        <v>2</v>
      </c>
      <c r="BI35" t="n">
        <v>2</v>
      </c>
      <c r="BJ35" t="n">
        <v>1</v>
      </c>
      <c r="BK35" t="n">
        <v>5</v>
      </c>
    </row>
    <row r="36">
      <c r="A36" t="inlineStr">
        <is>
          <t>Caoimhín Kelleher</t>
        </is>
      </c>
      <c r="B36" t="inlineStr">
        <is>
          <t>BRE</t>
        </is>
      </c>
      <c r="C36" t="inlineStr">
        <is>
          <t>BRE</t>
        </is>
      </c>
      <c r="D36" t="b">
        <v>0</v>
      </c>
      <c r="E36" t="inlineStr">
        <is>
          <t>GKP</t>
        </is>
      </c>
      <c r="F36" t="inlineStr">
        <is>
          <t>GKP</t>
        </is>
      </c>
      <c r="G36" t="b">
        <v>1</v>
      </c>
      <c r="H36" s="2" t="n">
        <v>5</v>
      </c>
      <c r="I36" t="inlineStr">
        <is>
          <t>a</t>
        </is>
      </c>
      <c r="K36" s="2" t="n">
        <v>3330</v>
      </c>
      <c r="L36" t="n">
        <v>143</v>
      </c>
      <c r="M36" s="3" t="n">
        <v>3385</v>
      </c>
      <c r="N36" s="8" t="n">
        <v>3385</v>
      </c>
      <c r="O36" s="8" t="n">
        <v>0</v>
      </c>
      <c r="Q36" t="inlineStr">
        <is>
          <t>flat</t>
        </is>
      </c>
      <c r="R36" s="6" t="n">
        <v>3385</v>
      </c>
      <c r="S36" t="inlineStr">
        <is>
          <t>Solio</t>
        </is>
      </c>
      <c r="U36" s="6" t="n">
        <v>90</v>
      </c>
      <c r="V36" s="2" t="n">
        <v>37</v>
      </c>
      <c r="W36" s="7">
        <f>IF(N(U36)&lt;=0,0,MIN(Assumptions!$B$15,N(R36)/N(U36)))</f>
        <v/>
      </c>
      <c r="X36" s="6" t="n">
        <v>0.228</v>
      </c>
      <c r="Y36" s="3" t="n">
        <v>0</v>
      </c>
      <c r="Z36" t="inlineStr">
        <is>
          <t>blended xG</t>
        </is>
      </c>
      <c r="AA36" s="3" t="n">
        <v>1</v>
      </c>
      <c r="AB36" s="3" t="n">
        <v>1</v>
      </c>
      <c r="AC36" s="3" t="n">
        <v>0</v>
      </c>
      <c r="AD36" s="3" t="n">
        <v>0.0044</v>
      </c>
      <c r="AE36" s="3" t="n">
        <v>0</v>
      </c>
      <c r="AF36" s="3" t="n">
        <v>0</v>
      </c>
      <c r="AG36" s="3" t="n">
        <v>5.439</v>
      </c>
      <c r="AH36" s="3" t="n">
        <v>0.2395251659</v>
      </c>
      <c r="AI36" s="3" t="n">
        <v>74</v>
      </c>
      <c r="AJ36" s="3" t="n">
        <v>3.2371</v>
      </c>
      <c r="AK36" s="3" t="n">
        <v>1.5396</v>
      </c>
      <c r="AL36" s="3" t="n">
        <v>-0.0374651075801383</v>
      </c>
      <c r="AM36" s="6" t="n">
        <v>0</v>
      </c>
      <c r="AN36" s="3" t="n">
        <v>3.253202468356684</v>
      </c>
      <c r="AO36" s="3" t="n">
        <v>0</v>
      </c>
      <c r="AP36" s="3" t="n">
        <v>0.017424</v>
      </c>
      <c r="AQ36" s="3">
        <f>N(X36)*N(BJ36)</f>
        <v/>
      </c>
      <c r="AR36" s="3" t="n">
        <v>0.7437492341118994</v>
      </c>
      <c r="AS36" s="3" t="n">
        <v>-0.5312990096912251</v>
      </c>
      <c r="AT36" s="3" t="n">
        <v>-0.0374651075801383</v>
      </c>
      <c r="AU36" s="3">
        <f>SUM(AO36:AT36)</f>
        <v/>
      </c>
      <c r="AV36" s="7">
        <f>IF(OR(N(W36)&lt;=0,N(BH36)=0),0,N(W36)*IF(N(R36)/N(W36)&gt;=60,N(BH36),1))</f>
        <v/>
      </c>
      <c r="AW36" s="7">
        <f>N(W36)*N(AF36)*N(BI36)</f>
        <v/>
      </c>
      <c r="AX36" s="3">
        <f>IF(N(BH36)=0,0,N(W36)*N(AH36))</f>
        <v/>
      </c>
      <c r="AY36" s="7">
        <f>N(AM36)*(Assumptions!$B$13*N(BK36)-(1-Assumptions!$B$13)*Assumptions!$B$14)+N(AN36)</f>
        <v/>
      </c>
      <c r="AZ36" s="7">
        <f>N(AU36)*N(R36)/90+N(AV36)+N(AW36)+N(AX36)+N(AY36)</f>
        <v/>
      </c>
      <c r="BA36" s="3">
        <f>IF(N(R36)&lt;=0,0,(N(AZ36)-N(AY36))*90/N(R36))</f>
        <v/>
      </c>
      <c r="BB36" s="7">
        <f>IFERROR(AZ36-VLOOKUP($E36,Assumptions!$A$40:$C$43,3,FALSE),"")</f>
        <v/>
      </c>
      <c r="BC36" s="3">
        <f>IFERROR(BB36/H36,"")</f>
        <v/>
      </c>
      <c r="BD36">
        <f>IF(AND($G36=TRUE,$E36="GKP"),AZ36,"")</f>
        <v/>
      </c>
      <c r="BE36">
        <f>IF(AND($G36=TRUE,$E36="DEF"),AZ36,"")</f>
        <v/>
      </c>
      <c r="BF36">
        <f>IF(AND($G36=TRUE,$E36="MID"),AZ36,"")</f>
        <v/>
      </c>
      <c r="BG36">
        <f>IF(AND($G36=TRUE,$E36="FWD"),AZ36,"")</f>
        <v/>
      </c>
      <c r="BH36" t="n">
        <v>2</v>
      </c>
      <c r="BI36" t="n">
        <v>0</v>
      </c>
      <c r="BJ36" t="n">
        <v>4</v>
      </c>
      <c r="BK36" t="n">
        <v>10</v>
      </c>
    </row>
    <row r="37">
      <c r="A37" t="inlineStr">
        <is>
          <t>Dominic Calvert-Lewin</t>
        </is>
      </c>
      <c r="B37" t="inlineStr">
        <is>
          <t>LEE</t>
        </is>
      </c>
      <c r="C37" t="inlineStr">
        <is>
          <t>LEE</t>
        </is>
      </c>
      <c r="D37" t="b">
        <v>0</v>
      </c>
      <c r="E37" t="inlineStr">
        <is>
          <t>FWD</t>
        </is>
      </c>
      <c r="F37" t="inlineStr">
        <is>
          <t>FWD</t>
        </is>
      </c>
      <c r="G37" t="b">
        <v>1</v>
      </c>
      <c r="H37" s="2" t="n">
        <v>6</v>
      </c>
      <c r="I37" t="inlineStr">
        <is>
          <t>a</t>
        </is>
      </c>
      <c r="K37" s="2" t="n">
        <v>2721</v>
      </c>
      <c r="L37" t="n">
        <v>142</v>
      </c>
      <c r="M37" s="3" t="n">
        <v>3084</v>
      </c>
      <c r="N37" s="8" t="n">
        <v>3084</v>
      </c>
      <c r="O37" s="8" t="n">
        <v>0</v>
      </c>
      <c r="Q37" t="inlineStr">
        <is>
          <t>flat</t>
        </is>
      </c>
      <c r="R37" s="6" t="n">
        <v>3084</v>
      </c>
      <c r="S37" t="inlineStr">
        <is>
          <t>Solio</t>
        </is>
      </c>
      <c r="U37" s="6" t="n">
        <v>84.59999999999999</v>
      </c>
      <c r="V37" s="2" t="n">
        <v>30</v>
      </c>
      <c r="W37" s="7">
        <f>IF(N(U37)&lt;=0,0,MIN(Assumptions!$B$15,N(R37)/N(U37)))</f>
        <v/>
      </c>
      <c r="X37" s="6" t="n">
        <v>0.218</v>
      </c>
      <c r="Y37" s="3" t="n">
        <v>0.3558</v>
      </c>
      <c r="Z37" t="inlineStr">
        <is>
          <t>adjusted xGOT</t>
        </is>
      </c>
      <c r="AA37" s="3" t="n">
        <v>0.796</v>
      </c>
      <c r="AB37" s="3" t="n">
        <v>0.868</v>
      </c>
      <c r="AC37" s="3" t="n">
        <v>40.9</v>
      </c>
      <c r="AD37" s="3" t="n">
        <v>0.0431</v>
      </c>
      <c r="AE37" s="3" t="n">
        <v>3.749</v>
      </c>
      <c r="AF37" s="3" t="n">
        <v>0.0003070250262409147</v>
      </c>
      <c r="AG37" s="3" t="n">
        <v>-0.6860000000000001</v>
      </c>
      <c r="AH37" s="3" t="n">
        <v>0.434647687</v>
      </c>
      <c r="AI37" s="3" t="n">
        <v>65</v>
      </c>
      <c r="AJ37" s="3" t="n">
        <v>3.0611</v>
      </c>
      <c r="AK37" s="3" t="n">
        <v>1.5875</v>
      </c>
      <c r="AL37" s="3" t="n">
        <v>-0.1259791020661446</v>
      </c>
      <c r="AM37" s="6" t="n">
        <v>3.856888360752881</v>
      </c>
      <c r="AN37" s="3" t="n">
        <v>0</v>
      </c>
      <c r="AO37" s="3" t="n">
        <v>1.4232</v>
      </c>
      <c r="AP37" s="3" t="n">
        <v>0.170676</v>
      </c>
      <c r="AQ37" s="3">
        <f>N(X37)*N(BJ37)</f>
        <v/>
      </c>
      <c r="AR37" s="3" t="n">
        <v>0</v>
      </c>
      <c r="AS37" s="3" t="n">
        <v>-0</v>
      </c>
      <c r="AT37" s="3" t="n">
        <v>-0.1259791020661446</v>
      </c>
      <c r="AU37" s="3">
        <f>SUM(AO37:AT37)</f>
        <v/>
      </c>
      <c r="AV37" s="7">
        <f>IF(OR(N(W37)&lt;=0,N(BH37)=0),0,N(W37)*IF(N(R37)/N(W37)&gt;=60,N(BH37),1))</f>
        <v/>
      </c>
      <c r="AW37" s="7">
        <f>N(W37)*N(AF37)*N(BI37)</f>
        <v/>
      </c>
      <c r="AX37" s="3">
        <f>IF(N(BH37)=0,0,N(W37)*N(AH37))</f>
        <v/>
      </c>
      <c r="AY37" s="7">
        <f>N(AM37)*(Assumptions!$B$13*N(BK37)-(1-Assumptions!$B$13)*Assumptions!$B$14)+N(AN37)</f>
        <v/>
      </c>
      <c r="AZ37" s="7">
        <f>N(AU37)*N(R37)/90+N(AV37)+N(AW37)+N(AX37)+N(AY37)</f>
        <v/>
      </c>
      <c r="BA37" s="3">
        <f>IF(N(R37)&lt;=0,0,(N(AZ37)-N(AY37))*90/N(R37))</f>
        <v/>
      </c>
      <c r="BB37" s="7">
        <f>IFERROR(AZ37-VLOOKUP($E37,Assumptions!$A$40:$C$43,3,FALSE),"")</f>
        <v/>
      </c>
      <c r="BC37" s="3">
        <f>IFERROR(BB37/H37,"")</f>
        <v/>
      </c>
      <c r="BD37">
        <f>IF(AND($G37=TRUE,$E37="GKP"),AZ37,"")</f>
        <v/>
      </c>
      <c r="BE37">
        <f>IF(AND($G37=TRUE,$E37="DEF"),AZ37,"")</f>
        <v/>
      </c>
      <c r="BF37">
        <f>IF(AND($G37=TRUE,$E37="MID"),AZ37,"")</f>
        <v/>
      </c>
      <c r="BG37">
        <f>IF(AND($G37=TRUE,$E37="FWD"),AZ37,"")</f>
        <v/>
      </c>
      <c r="BH37" t="n">
        <v>2</v>
      </c>
      <c r="BI37" t="n">
        <v>2</v>
      </c>
      <c r="BJ37" t="n">
        <v>0</v>
      </c>
      <c r="BK37" t="n">
        <v>4</v>
      </c>
    </row>
    <row r="38">
      <c r="A38" t="inlineStr">
        <is>
          <t>Marcus Tavernier</t>
        </is>
      </c>
      <c r="B38" t="inlineStr">
        <is>
          <t>BOU</t>
        </is>
      </c>
      <c r="C38" t="inlineStr">
        <is>
          <t>BOU</t>
        </is>
      </c>
      <c r="D38" t="b">
        <v>0</v>
      </c>
      <c r="E38" t="inlineStr">
        <is>
          <t>MID</t>
        </is>
      </c>
      <c r="F38" t="inlineStr">
        <is>
          <t>MID</t>
        </is>
      </c>
      <c r="G38" t="b">
        <v>1</v>
      </c>
      <c r="H38" s="2" t="n">
        <v>6</v>
      </c>
      <c r="I38" t="inlineStr">
        <is>
          <t>a</t>
        </is>
      </c>
      <c r="K38" s="2" t="n">
        <v>2732</v>
      </c>
      <c r="L38" t="n">
        <v>137</v>
      </c>
      <c r="M38" s="3" t="n">
        <v>3061</v>
      </c>
      <c r="N38" s="8" t="n">
        <v>3061</v>
      </c>
      <c r="O38" s="8" t="n">
        <v>0</v>
      </c>
      <c r="Q38" t="inlineStr">
        <is>
          <t>flat</t>
        </is>
      </c>
      <c r="R38" s="6" t="n">
        <v>3061</v>
      </c>
      <c r="S38" t="inlineStr">
        <is>
          <t>Solio</t>
        </is>
      </c>
      <c r="U38" s="6" t="n">
        <v>84.5</v>
      </c>
      <c r="V38" s="2" t="n">
        <v>31</v>
      </c>
      <c r="W38" s="7">
        <f>IF(N(U38)&lt;=0,0,MIN(Assumptions!$B$15,N(R38)/N(U38)))</f>
        <v/>
      </c>
      <c r="X38" s="6" t="n">
        <v>0.23</v>
      </c>
      <c r="Y38" s="3" t="n">
        <v>0.2232</v>
      </c>
      <c r="Z38" t="inlineStr">
        <is>
          <t>adjusted xGOT</t>
        </is>
      </c>
      <c r="AA38" s="3" t="n">
        <v>0.838</v>
      </c>
      <c r="AB38" s="3" t="n">
        <v>0.892</v>
      </c>
      <c r="AC38" s="3" t="n">
        <v>21.6</v>
      </c>
      <c r="AD38" s="3" t="n">
        <v>0.1772</v>
      </c>
      <c r="AE38" s="3" t="n">
        <v>8.333</v>
      </c>
      <c r="AF38" s="3" t="n">
        <v>0.09962347267701688</v>
      </c>
      <c r="AG38" s="3" t="n">
        <v>6.519</v>
      </c>
      <c r="AH38" s="3" t="n">
        <v>0.4452831851</v>
      </c>
      <c r="AI38" s="3" t="n">
        <v>65</v>
      </c>
      <c r="AJ38" s="3" t="n">
        <v>3.0957</v>
      </c>
      <c r="AK38" s="3" t="n">
        <v>1.53</v>
      </c>
      <c r="AL38" s="3" t="n">
        <v>-0.220433198522874</v>
      </c>
      <c r="AM38" s="6" t="n">
        <v>0.7071243305185803</v>
      </c>
      <c r="AN38" s="3" t="n">
        <v>0</v>
      </c>
      <c r="AO38" s="3" t="n">
        <v>1.116</v>
      </c>
      <c r="AP38" s="3" t="n">
        <v>0.701712</v>
      </c>
      <c r="AQ38" s="3">
        <f>N(X38)*N(BJ38)</f>
        <v/>
      </c>
      <c r="AR38" s="3" t="n">
        <v>0</v>
      </c>
      <c r="AS38" s="3" t="n">
        <v>-0</v>
      </c>
      <c r="AT38" s="3" t="n">
        <v>-0.220433198522874</v>
      </c>
      <c r="AU38" s="3">
        <f>SUM(AO38:AT38)</f>
        <v/>
      </c>
      <c r="AV38" s="7">
        <f>IF(OR(N(W38)&lt;=0,N(BH38)=0),0,N(W38)*IF(N(R38)/N(W38)&gt;=60,N(BH38),1))</f>
        <v/>
      </c>
      <c r="AW38" s="7">
        <f>N(W38)*N(AF38)*N(BI38)</f>
        <v/>
      </c>
      <c r="AX38" s="3">
        <f>IF(N(BH38)=0,0,N(W38)*N(AH38))</f>
        <v/>
      </c>
      <c r="AY38" s="7">
        <f>N(AM38)*(Assumptions!$B$13*N(BK38)-(1-Assumptions!$B$13)*Assumptions!$B$14)+N(AN38)</f>
        <v/>
      </c>
      <c r="AZ38" s="7">
        <f>N(AU38)*N(R38)/90+N(AV38)+N(AW38)+N(AX38)+N(AY38)</f>
        <v/>
      </c>
      <c r="BA38" s="3">
        <f>IF(N(R38)&lt;=0,0,(N(AZ38)-N(AY38))*90/N(R38))</f>
        <v/>
      </c>
      <c r="BB38" s="7">
        <f>IFERROR(AZ38-VLOOKUP($E38,Assumptions!$A$40:$C$43,3,FALSE),"")</f>
        <v/>
      </c>
      <c r="BC38" s="3">
        <f>IFERROR(BB38/H38,"")</f>
        <v/>
      </c>
      <c r="BD38">
        <f>IF(AND($G38=TRUE,$E38="GKP"),AZ38,"")</f>
        <v/>
      </c>
      <c r="BE38">
        <f>IF(AND($G38=TRUE,$E38="DEF"),AZ38,"")</f>
        <v/>
      </c>
      <c r="BF38">
        <f>IF(AND($G38=TRUE,$E38="MID"),AZ38,"")</f>
        <v/>
      </c>
      <c r="BG38">
        <f>IF(AND($G38=TRUE,$E38="FWD"),AZ38,"")</f>
        <v/>
      </c>
      <c r="BH38" t="n">
        <v>2</v>
      </c>
      <c r="BI38" t="n">
        <v>2</v>
      </c>
      <c r="BJ38" t="n">
        <v>1</v>
      </c>
      <c r="BK38" t="n">
        <v>5</v>
      </c>
    </row>
    <row r="39">
      <c r="A39" t="inlineStr">
        <is>
          <t>William Saliba</t>
        </is>
      </c>
      <c r="B39" t="inlineStr">
        <is>
          <t>ARS</t>
        </is>
      </c>
      <c r="C39" t="inlineStr">
        <is>
          <t>ARS</t>
        </is>
      </c>
      <c r="D39" t="b">
        <v>0</v>
      </c>
      <c r="E39" t="inlineStr">
        <is>
          <t>DEF</t>
        </is>
      </c>
      <c r="F39" t="inlineStr">
        <is>
          <t>DEF</t>
        </is>
      </c>
      <c r="G39" t="b">
        <v>1</v>
      </c>
      <c r="H39" s="2" t="n">
        <v>6</v>
      </c>
      <c r="I39" t="inlineStr">
        <is>
          <t>i</t>
        </is>
      </c>
      <c r="J39" t="inlineStr">
        <is>
          <t>Back injury - Unknown return date</t>
        </is>
      </c>
      <c r="K39" s="2" t="n">
        <v>2614</v>
      </c>
      <c r="L39" t="n">
        <v>137</v>
      </c>
      <c r="M39" s="3" t="n">
        <v>3278</v>
      </c>
      <c r="N39" s="4" t="n">
        <v>1700</v>
      </c>
      <c r="O39" s="4" t="n">
        <v>-1578</v>
      </c>
      <c r="P39" s="5" t="inlineStr">
        <is>
          <t>high</t>
        </is>
      </c>
      <c r="Q39" t="inlineStr">
        <is>
          <t>ramp-up (injury / late WC return)</t>
        </is>
      </c>
      <c r="R39" s="6" t="n">
        <v>1700</v>
      </c>
      <c r="S39" t="inlineStr">
        <is>
          <t>research</t>
        </is>
      </c>
      <c r="T39" s="5" t="inlineStr">
        <is>
          <t>Long-term back injury aggravated in France's World Cup semi-final. Arteta on 10 August: Saliba is 'in rest mode... for two weeks. He had to do almost nothing... It's going to take some time to heal.' Arsenal.com on 14 August: 'it's more a long-term injury'. Arseblog's own estimate is that a return 'could be November or December all going well', and adds that he historically needs time to find rhythm after a layoff. Sports Mole on 13 August reports the club line of an 'extended period' and suggests he may not play again in 2026. A December return leaves roughly 22 league matches; 1700 assumes he starts most of them but not at full load immediately. Solio's 3278 implies a near ever-present season, which is not compatible with any of the reporting.</t>
        </is>
      </c>
      <c r="U39" s="6" t="n">
        <v>85.59999999999999</v>
      </c>
      <c r="V39" s="2" t="n">
        <v>30</v>
      </c>
      <c r="W39" s="7">
        <f>IF(N(U39)&lt;=0,0,MIN(Assumptions!$B$15,N(R39)/N(U39)))</f>
        <v/>
      </c>
      <c r="X39" s="6" t="n">
        <v>0.391</v>
      </c>
      <c r="Y39" s="3" t="n">
        <v>0.0287</v>
      </c>
      <c r="Z39" t="inlineStr">
        <is>
          <t>adjusted xGOT</t>
        </is>
      </c>
      <c r="AA39" s="3" t="n">
        <v>1</v>
      </c>
      <c r="AB39" s="3" t="n">
        <v>0.949</v>
      </c>
      <c r="AC39" s="3" t="n">
        <v>5.9</v>
      </c>
      <c r="AD39" s="3" t="n">
        <v>0.0433</v>
      </c>
      <c r="AE39" s="3" t="n">
        <v>6.87</v>
      </c>
      <c r="AF39" s="3" t="n">
        <v>0.1255641554707737</v>
      </c>
      <c r="AG39" s="3" t="n">
        <v>8.826000000000001</v>
      </c>
      <c r="AH39" s="3" t="n">
        <v>0.2555240608</v>
      </c>
      <c r="AI39" s="3" t="n">
        <v>59</v>
      </c>
      <c r="AJ39" s="3" t="n">
        <v>2.067</v>
      </c>
      <c r="AK39" s="3" t="n">
        <v>0.9838</v>
      </c>
      <c r="AL39" s="3" t="n">
        <v>-0.1172580621154681</v>
      </c>
      <c r="AM39" s="6" t="n">
        <v>0</v>
      </c>
      <c r="AN39" s="3" t="n">
        <v>0</v>
      </c>
      <c r="AO39" s="3" t="n">
        <v>0.1722</v>
      </c>
      <c r="AP39" s="3" t="n">
        <v>0.171468</v>
      </c>
      <c r="AQ39" s="3">
        <f>N(X39)*N(BJ39)</f>
        <v/>
      </c>
      <c r="AR39" s="3" t="n">
        <v>0</v>
      </c>
      <c r="AS39" s="3" t="n">
        <v>-0.2768479886568037</v>
      </c>
      <c r="AT39" s="3" t="n">
        <v>-0.1172580621154681</v>
      </c>
      <c r="AU39" s="3">
        <f>SUM(AO39:AT39)</f>
        <v/>
      </c>
      <c r="AV39" s="7">
        <f>IF(OR(N(W39)&lt;=0,N(BH39)=0),0,N(W39)*IF(N(R39)/N(W39)&gt;=60,N(BH39),1))</f>
        <v/>
      </c>
      <c r="AW39" s="7">
        <f>N(W39)*N(AF39)*N(BI39)</f>
        <v/>
      </c>
      <c r="AX39" s="3">
        <f>IF(N(BH39)=0,0,N(W39)*N(AH39))</f>
        <v/>
      </c>
      <c r="AY39" s="7">
        <f>N(AM39)*(Assumptions!$B$13*N(BK39)-(1-Assumptions!$B$13)*Assumptions!$B$14)+N(AN39)</f>
        <v/>
      </c>
      <c r="AZ39" s="7">
        <f>N(AU39)*N(R39)/90+N(AV39)+N(AW39)+N(AX39)+N(AY39)</f>
        <v/>
      </c>
      <c r="BA39" s="3">
        <f>IF(N(R39)&lt;=0,0,(N(AZ39)-N(AY39))*90/N(R39))</f>
        <v/>
      </c>
      <c r="BB39" s="7">
        <f>IFERROR(AZ39-VLOOKUP($E39,Assumptions!$A$40:$C$43,3,FALSE),"")</f>
        <v/>
      </c>
      <c r="BC39" s="3">
        <f>IFERROR(BB39/H39,"")</f>
        <v/>
      </c>
      <c r="BD39">
        <f>IF(AND($G39=TRUE,$E39="GKP"),AZ39,"")</f>
        <v/>
      </c>
      <c r="BE39">
        <f>IF(AND($G39=TRUE,$E39="DEF"),AZ39,"")</f>
        <v/>
      </c>
      <c r="BF39">
        <f>IF(AND($G39=TRUE,$E39="MID"),AZ39,"")</f>
        <v/>
      </c>
      <c r="BG39">
        <f>IF(AND($G39=TRUE,$E39="FWD"),AZ39,"")</f>
        <v/>
      </c>
      <c r="BH39" t="n">
        <v>2</v>
      </c>
      <c r="BI39" t="n">
        <v>2</v>
      </c>
      <c r="BJ39" t="n">
        <v>4</v>
      </c>
      <c r="BK39" t="n">
        <v>6</v>
      </c>
    </row>
    <row r="40">
      <c r="A40" t="inlineStr">
        <is>
          <t>Anton Stach</t>
        </is>
      </c>
      <c r="B40" t="inlineStr">
        <is>
          <t>LEE</t>
        </is>
      </c>
      <c r="C40" t="inlineStr">
        <is>
          <t>LEE</t>
        </is>
      </c>
      <c r="D40" t="b">
        <v>0</v>
      </c>
      <c r="E40" t="inlineStr">
        <is>
          <t>MID</t>
        </is>
      </c>
      <c r="F40" t="inlineStr">
        <is>
          <t>MID</t>
        </is>
      </c>
      <c r="G40" t="b">
        <v>1</v>
      </c>
      <c r="H40" s="2" t="n">
        <v>6</v>
      </c>
      <c r="I40" t="inlineStr">
        <is>
          <t>a</t>
        </is>
      </c>
      <c r="K40" s="2" t="n">
        <v>2369</v>
      </c>
      <c r="L40" t="n">
        <v>137</v>
      </c>
      <c r="M40" s="3" t="n">
        <v>2964</v>
      </c>
      <c r="N40" s="8" t="n">
        <v>2964</v>
      </c>
      <c r="O40" s="8" t="n">
        <v>0</v>
      </c>
      <c r="Q40" t="inlineStr">
        <is>
          <t>flat</t>
        </is>
      </c>
      <c r="R40" s="6" t="n">
        <v>2964</v>
      </c>
      <c r="S40" t="inlineStr">
        <is>
          <t>Solio</t>
        </is>
      </c>
      <c r="U40" s="6" t="n">
        <v>82.59999999999999</v>
      </c>
      <c r="V40" s="2" t="n">
        <v>28</v>
      </c>
      <c r="W40" s="7">
        <f>IF(N(U40)&lt;=0,0,MIN(Assumptions!$B$15,N(R40)/N(U40)))</f>
        <v/>
      </c>
      <c r="X40" s="6" t="n">
        <v>0.218</v>
      </c>
      <c r="Y40" s="3" t="n">
        <v>0.1096</v>
      </c>
      <c r="Z40" t="inlineStr">
        <is>
          <t>adjusted xGOT</t>
        </is>
      </c>
      <c r="AA40" s="3" t="n">
        <v>1</v>
      </c>
      <c r="AB40" s="3" t="n">
        <v>1.002</v>
      </c>
      <c r="AC40" s="3" t="n">
        <v>2.9</v>
      </c>
      <c r="AD40" s="3" t="n">
        <v>0.1981</v>
      </c>
      <c r="AE40" s="3" t="n">
        <v>9.749000000000001</v>
      </c>
      <c r="AF40" s="3" t="n">
        <v>0.1919198811033382</v>
      </c>
      <c r="AG40" s="3" t="n">
        <v>7.906</v>
      </c>
      <c r="AH40" s="3" t="n">
        <v>0.3077911855</v>
      </c>
      <c r="AI40" s="3" t="n">
        <v>56</v>
      </c>
      <c r="AJ40" s="3" t="n">
        <v>3.0611</v>
      </c>
      <c r="AK40" s="3" t="n">
        <v>1.5875</v>
      </c>
      <c r="AL40" s="3" t="n">
        <v>-0.162906319216979</v>
      </c>
      <c r="AM40" s="6" t="n">
        <v>0</v>
      </c>
      <c r="AN40" s="3" t="n">
        <v>0</v>
      </c>
      <c r="AO40" s="3" t="n">
        <v>0.548</v>
      </c>
      <c r="AP40" s="3" t="n">
        <v>0.7844760000000001</v>
      </c>
      <c r="AQ40" s="3">
        <f>N(X40)*N(BJ40)</f>
        <v/>
      </c>
      <c r="AR40" s="3" t="n">
        <v>0</v>
      </c>
      <c r="AS40" s="3" t="n">
        <v>-0</v>
      </c>
      <c r="AT40" s="3" t="n">
        <v>-0.162906319216979</v>
      </c>
      <c r="AU40" s="3">
        <f>SUM(AO40:AT40)</f>
        <v/>
      </c>
      <c r="AV40" s="7">
        <f>IF(OR(N(W40)&lt;=0,N(BH40)=0),0,N(W40)*IF(N(R40)/N(W40)&gt;=60,N(BH40),1))</f>
        <v/>
      </c>
      <c r="AW40" s="7">
        <f>N(W40)*N(AF40)*N(BI40)</f>
        <v/>
      </c>
      <c r="AX40" s="3">
        <f>IF(N(BH40)=0,0,N(W40)*N(AH40))</f>
        <v/>
      </c>
      <c r="AY40" s="7">
        <f>N(AM40)*(Assumptions!$B$13*N(BK40)-(1-Assumptions!$B$13)*Assumptions!$B$14)+N(AN40)</f>
        <v/>
      </c>
      <c r="AZ40" s="7">
        <f>N(AU40)*N(R40)/90+N(AV40)+N(AW40)+N(AX40)+N(AY40)</f>
        <v/>
      </c>
      <c r="BA40" s="3">
        <f>IF(N(R40)&lt;=0,0,(N(AZ40)-N(AY40))*90/N(R40))</f>
        <v/>
      </c>
      <c r="BB40" s="7">
        <f>IFERROR(AZ40-VLOOKUP($E40,Assumptions!$A$40:$C$43,3,FALSE),"")</f>
        <v/>
      </c>
      <c r="BC40" s="3">
        <f>IFERROR(BB40/H40,"")</f>
        <v/>
      </c>
      <c r="BD40">
        <f>IF(AND($G40=TRUE,$E40="GKP"),AZ40,"")</f>
        <v/>
      </c>
      <c r="BE40">
        <f>IF(AND($G40=TRUE,$E40="DEF"),AZ40,"")</f>
        <v/>
      </c>
      <c r="BF40">
        <f>IF(AND($G40=TRUE,$E40="MID"),AZ40,"")</f>
        <v/>
      </c>
      <c r="BG40">
        <f>IF(AND($G40=TRUE,$E40="FWD"),AZ40,"")</f>
        <v/>
      </c>
      <c r="BH40" t="n">
        <v>2</v>
      </c>
      <c r="BI40" t="n">
        <v>2</v>
      </c>
      <c r="BJ40" t="n">
        <v>1</v>
      </c>
      <c r="BK40" t="n">
        <v>5</v>
      </c>
    </row>
    <row r="41">
      <c r="A41" t="inlineStr">
        <is>
          <t>Daniel Muñoz</t>
        </is>
      </c>
      <c r="B41" t="inlineStr">
        <is>
          <t>CRY</t>
        </is>
      </c>
      <c r="C41" t="inlineStr">
        <is>
          <t>CRY</t>
        </is>
      </c>
      <c r="D41" t="b">
        <v>0</v>
      </c>
      <c r="E41" t="inlineStr">
        <is>
          <t>DEF</t>
        </is>
      </c>
      <c r="F41" t="inlineStr">
        <is>
          <t>DEF</t>
        </is>
      </c>
      <c r="G41" t="b">
        <v>1</v>
      </c>
      <c r="H41" s="2" t="n">
        <v>5.5</v>
      </c>
      <c r="I41" t="inlineStr">
        <is>
          <t>a</t>
        </is>
      </c>
      <c r="K41" s="2" t="n">
        <v>2400</v>
      </c>
      <c r="L41" t="n">
        <v>136</v>
      </c>
      <c r="M41" s="3" t="n">
        <v>3055</v>
      </c>
      <c r="N41" s="4" t="n">
        <v>2600</v>
      </c>
      <c r="O41" s="4" t="n">
        <v>-455</v>
      </c>
      <c r="P41" s="5" t="inlineStr">
        <is>
          <t>medium</t>
        </is>
      </c>
      <c r="Q41" t="inlineStr">
        <is>
          <t>flat</t>
        </is>
      </c>
      <c r="R41" s="6" t="n">
        <v>2600</v>
      </c>
      <c r="S41" t="inlineStr">
        <is>
          <t>research</t>
        </is>
      </c>
      <c r="T41" s="5" t="inlineStr">
        <is>
          <t>Still the first-choice right wing-back, but Palace added two players who can fill that slot after Solio's cut-off: Mingueza on 9 July and Khalaili on 15 August, the latter explicitly as competition on the right. Combined with the Europa League league phase, 34 full matches is too high a ceiling.</t>
        </is>
      </c>
      <c r="U41" s="6" t="n">
        <v>83.5</v>
      </c>
      <c r="V41" s="2" t="n">
        <v>29</v>
      </c>
      <c r="W41" s="7">
        <f>IF(N(U41)&lt;=0,0,MIN(Assumptions!$B$15,N(R41)/N(U41)))</f>
        <v/>
      </c>
      <c r="X41" s="6" t="n">
        <v>0.216</v>
      </c>
      <c r="Y41" s="3" t="n">
        <v>0.08119999999999999</v>
      </c>
      <c r="Z41" t="inlineStr">
        <is>
          <t>adjusted xGOT</t>
        </is>
      </c>
      <c r="AA41" s="3" t="n">
        <v>1</v>
      </c>
      <c r="AB41" s="3" t="n">
        <v>0.884</v>
      </c>
      <c r="AC41" s="3" t="n">
        <v>8.6</v>
      </c>
      <c r="AD41" s="3" t="n">
        <v>0.1689</v>
      </c>
      <c r="AE41" s="3" t="n">
        <v>7.427</v>
      </c>
      <c r="AF41" s="3" t="n">
        <v>0.1585865234751795</v>
      </c>
      <c r="AG41" s="3" t="n">
        <v>7.945</v>
      </c>
      <c r="AH41" s="3" t="n">
        <v>0.248236493</v>
      </c>
      <c r="AI41" s="3" t="n">
        <v>55</v>
      </c>
      <c r="AJ41" s="3" t="n">
        <v>3.2035</v>
      </c>
      <c r="AK41" s="3" t="n">
        <v>1.5923</v>
      </c>
      <c r="AL41" s="3" t="n">
        <v>-0.269567792305615</v>
      </c>
      <c r="AM41" s="6" t="n">
        <v>0</v>
      </c>
      <c r="AN41" s="3" t="n">
        <v>0</v>
      </c>
      <c r="AO41" s="3" t="n">
        <v>0.4872</v>
      </c>
      <c r="AP41" s="3" t="n">
        <v>0.6688439999999999</v>
      </c>
      <c r="AQ41" s="3">
        <f>N(X41)*N(BJ41)</f>
        <v/>
      </c>
      <c r="AR41" s="3" t="n">
        <v>0</v>
      </c>
      <c r="AS41" s="3" t="n">
        <v>-0.5564987001023466</v>
      </c>
      <c r="AT41" s="3" t="n">
        <v>-0.269567792305615</v>
      </c>
      <c r="AU41" s="3">
        <f>SUM(AO41:AT41)</f>
        <v/>
      </c>
      <c r="AV41" s="7">
        <f>IF(OR(N(W41)&lt;=0,N(BH41)=0),0,N(W41)*IF(N(R41)/N(W41)&gt;=60,N(BH41),1))</f>
        <v/>
      </c>
      <c r="AW41" s="7">
        <f>N(W41)*N(AF41)*N(BI41)</f>
        <v/>
      </c>
      <c r="AX41" s="3">
        <f>IF(N(BH41)=0,0,N(W41)*N(AH41))</f>
        <v/>
      </c>
      <c r="AY41" s="7">
        <f>N(AM41)*(Assumptions!$B$13*N(BK41)-(1-Assumptions!$B$13)*Assumptions!$B$14)+N(AN41)</f>
        <v/>
      </c>
      <c r="AZ41" s="7">
        <f>N(AU41)*N(R41)/90+N(AV41)+N(AW41)+N(AX41)+N(AY41)</f>
        <v/>
      </c>
      <c r="BA41" s="3">
        <f>IF(N(R41)&lt;=0,0,(N(AZ41)-N(AY41))*90/N(R41))</f>
        <v/>
      </c>
      <c r="BB41" s="7">
        <f>IFERROR(AZ41-VLOOKUP($E41,Assumptions!$A$40:$C$43,3,FALSE),"")</f>
        <v/>
      </c>
      <c r="BC41" s="3">
        <f>IFERROR(BB41/H41,"")</f>
        <v/>
      </c>
      <c r="BD41">
        <f>IF(AND($G41=TRUE,$E41="GKP"),AZ41,"")</f>
        <v/>
      </c>
      <c r="BE41">
        <f>IF(AND($G41=TRUE,$E41="DEF"),AZ41,"")</f>
        <v/>
      </c>
      <c r="BF41">
        <f>IF(AND($G41=TRUE,$E41="MID"),AZ41,"")</f>
        <v/>
      </c>
      <c r="BG41">
        <f>IF(AND($G41=TRUE,$E41="FWD"),AZ41,"")</f>
        <v/>
      </c>
      <c r="BH41" t="n">
        <v>2</v>
      </c>
      <c r="BI41" t="n">
        <v>2</v>
      </c>
      <c r="BJ41" t="n">
        <v>4</v>
      </c>
      <c r="BK41" t="n">
        <v>6</v>
      </c>
    </row>
    <row r="42">
      <c r="A42" t="inlineStr">
        <is>
          <t>Trevoh Chalobah</t>
        </is>
      </c>
      <c r="B42" t="inlineStr">
        <is>
          <t>CHE</t>
        </is>
      </c>
      <c r="C42" t="inlineStr">
        <is>
          <t>CHE</t>
        </is>
      </c>
      <c r="D42" t="b">
        <v>0</v>
      </c>
      <c r="E42" t="inlineStr">
        <is>
          <t>DEF</t>
        </is>
      </c>
      <c r="F42" t="inlineStr">
        <is>
          <t>DEF</t>
        </is>
      </c>
      <c r="G42" t="b">
        <v>1</v>
      </c>
      <c r="H42" s="2" t="n">
        <v>5.5</v>
      </c>
      <c r="I42" t="inlineStr">
        <is>
          <t>u</t>
        </is>
      </c>
      <c r="J42" t="inlineStr">
        <is>
          <t>Has joined Como permanently</t>
        </is>
      </c>
      <c r="K42" s="2" t="n">
        <v>2780</v>
      </c>
      <c r="L42" t="n">
        <v>136</v>
      </c>
      <c r="M42" s="3" t="n"/>
      <c r="N42" s="4" t="n">
        <v>0</v>
      </c>
      <c r="O42" s="4" t="n">
        <v>-2780</v>
      </c>
      <c r="P42" s="5" t="inlineStr">
        <is>
          <t>high</t>
        </is>
      </c>
      <c r="R42" s="6" t="n">
        <v>0</v>
      </c>
      <c r="S42" t="inlineStr">
        <is>
          <t>research</t>
        </is>
      </c>
      <c r="T42" s="5" t="inlineStr">
        <is>
          <t>Left the club. Permanent transfer to Como on 9 August 2026 for GBP 25.7m. The official FPL game flagged him unavailable on 2026-08-10 with the note 'Has joined Como permanently'. He cannot play a single Premier League minute for Chelsea, so Solio's 2,780 is pure error and is on its own 89% of the club's over-allocation.</t>
        </is>
      </c>
      <c r="U42" s="6" t="n">
        <v>88.3</v>
      </c>
      <c r="V42" s="2" t="n">
        <v>30</v>
      </c>
      <c r="W42" s="7">
        <f>IF(N(U42)&lt;=0,0,MIN(Assumptions!$B$15,N(R42)/N(U42)))</f>
        <v/>
      </c>
      <c r="X42" s="6" t="n">
        <v>0.322</v>
      </c>
      <c r="Y42" s="3" t="n">
        <v>0.0555</v>
      </c>
      <c r="Z42" t="inlineStr">
        <is>
          <t>adjusted xGOT</t>
        </is>
      </c>
      <c r="AA42" s="3" t="n">
        <v>1</v>
      </c>
      <c r="AB42" s="3" t="n">
        <v>1.19</v>
      </c>
      <c r="AC42" s="3" t="n">
        <v>4.4</v>
      </c>
      <c r="AD42" s="3" t="n">
        <v>0.0269</v>
      </c>
      <c r="AE42" s="3" t="n">
        <v>8.395</v>
      </c>
      <c r="AF42" s="3" t="n">
        <v>0.3131100739185544</v>
      </c>
      <c r="AG42" s="3" t="n">
        <v>9.319000000000001</v>
      </c>
      <c r="AH42" s="3" t="n">
        <v>0.2742440384</v>
      </c>
      <c r="AI42" s="3" t="n">
        <v>64</v>
      </c>
      <c r="AJ42" s="3" t="n">
        <v>2.4232</v>
      </c>
      <c r="AK42" s="3" t="n">
        <v>1.1851</v>
      </c>
      <c r="AL42" s="3" t="n">
        <v>-0.1478183144863072</v>
      </c>
      <c r="AM42" s="6" t="n">
        <v>0</v>
      </c>
      <c r="AN42" s="3" t="n">
        <v>0</v>
      </c>
      <c r="AO42" s="3" t="n">
        <v>0.333</v>
      </c>
      <c r="AP42" s="3" t="n">
        <v>0.106524</v>
      </c>
      <c r="AQ42" s="3">
        <f>N(X42)*N(BJ42)</f>
        <v/>
      </c>
      <c r="AR42" s="3" t="n">
        <v>0</v>
      </c>
      <c r="AS42" s="3" t="n">
        <v>-0.365915508000572</v>
      </c>
      <c r="AT42" s="3" t="n">
        <v>-0.1478183144863072</v>
      </c>
      <c r="AU42" s="3">
        <f>SUM(AO42:AT42)</f>
        <v/>
      </c>
      <c r="AV42" s="7">
        <f>IF(OR(N(W42)&lt;=0,N(BH42)=0),0,N(W42)*IF(N(R42)/N(W42)&gt;=60,N(BH42),1))</f>
        <v/>
      </c>
      <c r="AW42" s="7">
        <f>N(W42)*N(AF42)*N(BI42)</f>
        <v/>
      </c>
      <c r="AX42" s="3">
        <f>IF(N(BH42)=0,0,N(W42)*N(AH42))</f>
        <v/>
      </c>
      <c r="AY42" s="7">
        <f>N(AM42)*(Assumptions!$B$13*N(BK42)-(1-Assumptions!$B$13)*Assumptions!$B$14)+N(AN42)</f>
        <v/>
      </c>
      <c r="AZ42" s="7">
        <f>N(AU42)*N(R42)/90+N(AV42)+N(AW42)+N(AX42)+N(AY42)</f>
        <v/>
      </c>
      <c r="BA42" s="3">
        <f>IF(N(R42)&lt;=0,0,(N(AZ42)-N(AY42))*90/N(R42))</f>
        <v/>
      </c>
      <c r="BB42" s="7">
        <f>IFERROR(AZ42-VLOOKUP($E42,Assumptions!$A$40:$C$43,3,FALSE),"")</f>
        <v/>
      </c>
      <c r="BC42" s="3">
        <f>IFERROR(BB42/H42,"")</f>
        <v/>
      </c>
      <c r="BD42">
        <f>IF(AND($G42=TRUE,$E42="GKP"),AZ42,"")</f>
        <v/>
      </c>
      <c r="BE42">
        <f>IF(AND($G42=TRUE,$E42="DEF"),AZ42,"")</f>
        <v/>
      </c>
      <c r="BF42">
        <f>IF(AND($G42=TRUE,$E42="MID"),AZ42,"")</f>
        <v/>
      </c>
      <c r="BG42">
        <f>IF(AND($G42=TRUE,$E42="FWD"),AZ42,"")</f>
        <v/>
      </c>
      <c r="BH42" t="n">
        <v>2</v>
      </c>
      <c r="BI42" t="n">
        <v>2</v>
      </c>
      <c r="BJ42" t="n">
        <v>4</v>
      </c>
      <c r="BK42" t="n">
        <v>6</v>
      </c>
    </row>
    <row r="43">
      <c r="A43" t="inlineStr">
        <is>
          <t>Robin Roefs</t>
        </is>
      </c>
      <c r="B43" t="inlineStr">
        <is>
          <t>SUN</t>
        </is>
      </c>
      <c r="C43" t="inlineStr">
        <is>
          <t>SUN</t>
        </is>
      </c>
      <c r="D43" t="b">
        <v>0</v>
      </c>
      <c r="E43" t="inlineStr">
        <is>
          <t>GKP</t>
        </is>
      </c>
      <c r="F43" t="inlineStr">
        <is>
          <t>GKP</t>
        </is>
      </c>
      <c r="G43" t="b">
        <v>1</v>
      </c>
      <c r="H43" s="2" t="n">
        <v>5</v>
      </c>
      <c r="I43" t="inlineStr">
        <is>
          <t>a</t>
        </is>
      </c>
      <c r="K43" s="2" t="n">
        <v>3150</v>
      </c>
      <c r="L43" t="n">
        <v>136</v>
      </c>
      <c r="M43" s="3" t="n">
        <v>3420</v>
      </c>
      <c r="N43" s="8" t="n">
        <v>3420</v>
      </c>
      <c r="O43" s="8" t="n">
        <v>0</v>
      </c>
      <c r="Q43" t="inlineStr">
        <is>
          <t>flat</t>
        </is>
      </c>
      <c r="R43" s="6" t="n">
        <v>3420</v>
      </c>
      <c r="S43" t="inlineStr">
        <is>
          <t>Solio</t>
        </is>
      </c>
      <c r="U43" s="6" t="n">
        <v>90</v>
      </c>
      <c r="V43" s="2" t="n">
        <v>35</v>
      </c>
      <c r="W43" s="7">
        <f>IF(N(U43)&lt;=0,0,MIN(Assumptions!$B$15,N(R43)/N(U43)))</f>
        <v/>
      </c>
      <c r="X43" s="6" t="n">
        <v>0.204</v>
      </c>
      <c r="Y43" s="3" t="n">
        <v>0</v>
      </c>
      <c r="Z43" t="inlineStr">
        <is>
          <t>blended xG</t>
        </is>
      </c>
      <c r="AA43" s="3" t="n">
        <v>1</v>
      </c>
      <c r="AB43" s="3" t="n">
        <v>1</v>
      </c>
      <c r="AC43" s="3" t="n">
        <v>0</v>
      </c>
      <c r="AD43" s="3" t="n">
        <v>0.0115</v>
      </c>
      <c r="AE43" s="3" t="n">
        <v>0</v>
      </c>
      <c r="AF43" s="3" t="n">
        <v>0</v>
      </c>
      <c r="AG43" s="3" t="n">
        <v>6.396</v>
      </c>
      <c r="AH43" s="3" t="n">
        <v>0.2622222634</v>
      </c>
      <c r="AI43" s="3" t="n">
        <v>70</v>
      </c>
      <c r="AJ43" s="3" t="n">
        <v>3.3348</v>
      </c>
      <c r="AK43" s="3" t="n">
        <v>1.6498</v>
      </c>
      <c r="AL43" s="3" t="n">
        <v>-0.1044073085244976</v>
      </c>
      <c r="AM43" s="6" t="n">
        <v>0</v>
      </c>
      <c r="AN43" s="3" t="n">
        <v>3.522067439248842</v>
      </c>
      <c r="AO43" s="3" t="n">
        <v>0</v>
      </c>
      <c r="AP43" s="3" t="n">
        <v>0.04554</v>
      </c>
      <c r="AQ43" s="3">
        <f>N(X43)*N(BJ43)</f>
        <v/>
      </c>
      <c r="AR43" s="3" t="n">
        <v>0.7764218657798218</v>
      </c>
      <c r="AS43" s="3" t="n">
        <v>-0.5841244809045405</v>
      </c>
      <c r="AT43" s="3" t="n">
        <v>-0.1044073085244976</v>
      </c>
      <c r="AU43" s="3">
        <f>SUM(AO43:AT43)</f>
        <v/>
      </c>
      <c r="AV43" s="7">
        <f>IF(OR(N(W43)&lt;=0,N(BH43)=0),0,N(W43)*IF(N(R43)/N(W43)&gt;=60,N(BH43),1))</f>
        <v/>
      </c>
      <c r="AW43" s="7">
        <f>N(W43)*N(AF43)*N(BI43)</f>
        <v/>
      </c>
      <c r="AX43" s="3">
        <f>IF(N(BH43)=0,0,N(W43)*N(AH43))</f>
        <v/>
      </c>
      <c r="AY43" s="7">
        <f>N(AM43)*(Assumptions!$B$13*N(BK43)-(1-Assumptions!$B$13)*Assumptions!$B$14)+N(AN43)</f>
        <v/>
      </c>
      <c r="AZ43" s="7">
        <f>N(AU43)*N(R43)/90+N(AV43)+N(AW43)+N(AX43)+N(AY43)</f>
        <v/>
      </c>
      <c r="BA43" s="3">
        <f>IF(N(R43)&lt;=0,0,(N(AZ43)-N(AY43))*90/N(R43))</f>
        <v/>
      </c>
      <c r="BB43" s="7">
        <f>IFERROR(AZ43-VLOOKUP($E43,Assumptions!$A$40:$C$43,3,FALSE),"")</f>
        <v/>
      </c>
      <c r="BC43" s="3">
        <f>IFERROR(BB43/H43,"")</f>
        <v/>
      </c>
      <c r="BD43">
        <f>IF(AND($G43=TRUE,$E43="GKP"),AZ43,"")</f>
        <v/>
      </c>
      <c r="BE43">
        <f>IF(AND($G43=TRUE,$E43="DEF"),AZ43,"")</f>
        <v/>
      </c>
      <c r="BF43">
        <f>IF(AND($G43=TRUE,$E43="MID"),AZ43,"")</f>
        <v/>
      </c>
      <c r="BG43">
        <f>IF(AND($G43=TRUE,$E43="FWD"),AZ43,"")</f>
        <v/>
      </c>
      <c r="BH43" t="n">
        <v>2</v>
      </c>
      <c r="BI43" t="n">
        <v>0</v>
      </c>
      <c r="BJ43" t="n">
        <v>4</v>
      </c>
      <c r="BK43" t="n">
        <v>10</v>
      </c>
    </row>
    <row r="44">
      <c r="A44" t="inlineStr">
        <is>
          <t>Dango Ouattara</t>
        </is>
      </c>
      <c r="B44" t="inlineStr">
        <is>
          <t>BRE</t>
        </is>
      </c>
      <c r="C44" t="inlineStr">
        <is>
          <t>BRE</t>
        </is>
      </c>
      <c r="D44" t="b">
        <v>0</v>
      </c>
      <c r="E44" t="inlineStr">
        <is>
          <t>MID</t>
        </is>
      </c>
      <c r="F44" t="inlineStr">
        <is>
          <t>MID</t>
        </is>
      </c>
      <c r="G44" t="b">
        <v>1</v>
      </c>
      <c r="H44" s="2" t="n">
        <v>6.5</v>
      </c>
      <c r="I44" t="inlineStr">
        <is>
          <t>a</t>
        </is>
      </c>
      <c r="K44" s="2" t="n">
        <v>2271</v>
      </c>
      <c r="L44" t="n">
        <v>136</v>
      </c>
      <c r="M44" s="3" t="n">
        <v>2878</v>
      </c>
      <c r="N44" s="8" t="n">
        <v>2878</v>
      </c>
      <c r="O44" s="8" t="n">
        <v>0</v>
      </c>
      <c r="Q44" t="inlineStr">
        <is>
          <t>flat</t>
        </is>
      </c>
      <c r="R44" s="6" t="n">
        <v>2878</v>
      </c>
      <c r="S44" t="inlineStr">
        <is>
          <t>Solio</t>
        </is>
      </c>
      <c r="U44" s="6" t="n">
        <v>83.09999999999999</v>
      </c>
      <c r="V44" s="2" t="n">
        <v>25</v>
      </c>
      <c r="W44" s="7">
        <f>IF(N(U44)&lt;=0,0,MIN(Assumptions!$B$15,N(R44)/N(U44)))</f>
        <v/>
      </c>
      <c r="X44" s="6" t="n">
        <v>0.228</v>
      </c>
      <c r="Y44" s="3" t="n">
        <v>0.2639</v>
      </c>
      <c r="Z44" t="inlineStr">
        <is>
          <t>adjusted xGOT</t>
        </is>
      </c>
      <c r="AA44" s="3" t="n">
        <v>1</v>
      </c>
      <c r="AB44" s="3" t="n">
        <v>0.838</v>
      </c>
      <c r="AC44" s="3" t="n">
        <v>22.5</v>
      </c>
      <c r="AD44" s="3" t="n">
        <v>0.1978</v>
      </c>
      <c r="AE44" s="3" t="n">
        <v>7.631</v>
      </c>
      <c r="AF44" s="3" t="n">
        <v>0.05545287080309569</v>
      </c>
      <c r="AG44" s="3" t="n">
        <v>3.174</v>
      </c>
      <c r="AH44" s="3" t="n">
        <v>0.3722941389</v>
      </c>
      <c r="AI44" s="3" t="n">
        <v>56</v>
      </c>
      <c r="AJ44" s="3" t="n">
        <v>3.2371</v>
      </c>
      <c r="AK44" s="3" t="n">
        <v>1.5396</v>
      </c>
      <c r="AL44" s="3" t="n">
        <v>-0.203302718715831</v>
      </c>
      <c r="AM44" s="6" t="n">
        <v>0</v>
      </c>
      <c r="AN44" s="3" t="n">
        <v>0</v>
      </c>
      <c r="AO44" s="3" t="n">
        <v>1.3195</v>
      </c>
      <c r="AP44" s="3" t="n">
        <v>0.7832880000000001</v>
      </c>
      <c r="AQ44" s="3">
        <f>N(X44)*N(BJ44)</f>
        <v/>
      </c>
      <c r="AR44" s="3" t="n">
        <v>0</v>
      </c>
      <c r="AS44" s="3" t="n">
        <v>-0</v>
      </c>
      <c r="AT44" s="3" t="n">
        <v>-0.203302718715831</v>
      </c>
      <c r="AU44" s="3">
        <f>SUM(AO44:AT44)</f>
        <v/>
      </c>
      <c r="AV44" s="7">
        <f>IF(OR(N(W44)&lt;=0,N(BH44)=0),0,N(W44)*IF(N(R44)/N(W44)&gt;=60,N(BH44),1))</f>
        <v/>
      </c>
      <c r="AW44" s="7">
        <f>N(W44)*N(AF44)*N(BI44)</f>
        <v/>
      </c>
      <c r="AX44" s="3">
        <f>IF(N(BH44)=0,0,N(W44)*N(AH44))</f>
        <v/>
      </c>
      <c r="AY44" s="7">
        <f>N(AM44)*(Assumptions!$B$13*N(BK44)-(1-Assumptions!$B$13)*Assumptions!$B$14)+N(AN44)</f>
        <v/>
      </c>
      <c r="AZ44" s="7">
        <f>N(AU44)*N(R44)/90+N(AV44)+N(AW44)+N(AX44)+N(AY44)</f>
        <v/>
      </c>
      <c r="BA44" s="3">
        <f>IF(N(R44)&lt;=0,0,(N(AZ44)-N(AY44))*90/N(R44))</f>
        <v/>
      </c>
      <c r="BB44" s="7">
        <f>IFERROR(AZ44-VLOOKUP($E44,Assumptions!$A$40:$C$43,3,FALSE),"")</f>
        <v/>
      </c>
      <c r="BC44" s="3">
        <f>IFERROR(BB44/H44,"")</f>
        <v/>
      </c>
      <c r="BD44">
        <f>IF(AND($G44=TRUE,$E44="GKP"),AZ44,"")</f>
        <v/>
      </c>
      <c r="BE44">
        <f>IF(AND($G44=TRUE,$E44="DEF"),AZ44,"")</f>
        <v/>
      </c>
      <c r="BF44">
        <f>IF(AND($G44=TRUE,$E44="MID"),AZ44,"")</f>
        <v/>
      </c>
      <c r="BG44">
        <f>IF(AND($G44=TRUE,$E44="FWD"),AZ44,"")</f>
        <v/>
      </c>
      <c r="BH44" t="n">
        <v>2</v>
      </c>
      <c r="BI44" t="n">
        <v>2</v>
      </c>
      <c r="BJ44" t="n">
        <v>1</v>
      </c>
      <c r="BK44" t="n">
        <v>5</v>
      </c>
    </row>
    <row r="45">
      <c r="A45" t="inlineStr">
        <is>
          <t>Alex Scott</t>
        </is>
      </c>
      <c r="B45" t="inlineStr">
        <is>
          <t>BOU</t>
        </is>
      </c>
      <c r="C45" t="inlineStr">
        <is>
          <t>BOU</t>
        </is>
      </c>
      <c r="D45" t="b">
        <v>0</v>
      </c>
      <c r="E45" t="inlineStr">
        <is>
          <t>MID</t>
        </is>
      </c>
      <c r="F45" t="inlineStr">
        <is>
          <t>MID</t>
        </is>
      </c>
      <c r="G45" t="b">
        <v>1</v>
      </c>
      <c r="H45" s="2" t="n">
        <v>6</v>
      </c>
      <c r="I45" t="inlineStr">
        <is>
          <t>a</t>
        </is>
      </c>
      <c r="K45" s="2" t="n">
        <v>2848</v>
      </c>
      <c r="L45" t="n">
        <v>136</v>
      </c>
      <c r="M45" s="3" t="n">
        <v>3175</v>
      </c>
      <c r="N45" s="4" t="n">
        <v>2800</v>
      </c>
      <c r="O45" s="4" t="n">
        <v>-375</v>
      </c>
      <c r="P45" s="5" t="inlineStr">
        <is>
          <t>low</t>
        </is>
      </c>
      <c r="Q45" t="inlineStr">
        <is>
          <t>flat</t>
        </is>
      </c>
      <c r="R45" s="6" t="n">
        <v>2800</v>
      </c>
      <c r="S45" t="inlineStr">
        <is>
          <t>research</t>
        </is>
      </c>
      <c r="T45" s="5" t="inlineStr">
        <is>
          <t>A trim, not a demotion - Scott is a first-choice midfielder and started vs Betis. But he was missing from both the XI and the bench for the 15 Aug Mainz friendly with no explanation given, Chelsea had a reported GBP 64m bid rejected in late July with two years left on his contract, and 3175 minutes is 93% of a midfield slot for a club playing European football for the first time.</t>
        </is>
      </c>
      <c r="U45" s="6" t="n">
        <v>80.3</v>
      </c>
      <c r="V45" s="2" t="n">
        <v>34</v>
      </c>
      <c r="W45" s="7">
        <f>IF(N(U45)&lt;=0,0,MIN(Assumptions!$B$15,N(R45)/N(U45)))</f>
        <v/>
      </c>
      <c r="X45" s="6" t="n">
        <v>0.23</v>
      </c>
      <c r="Y45" s="3" t="n">
        <v>0.116</v>
      </c>
      <c r="Z45" t="inlineStr">
        <is>
          <t>adjusted xGOT</t>
        </is>
      </c>
      <c r="AA45" s="3" t="n">
        <v>1</v>
      </c>
      <c r="AB45" s="3" t="n">
        <v>0.966</v>
      </c>
      <c r="AC45" s="3" t="n">
        <v>5.4</v>
      </c>
      <c r="AD45" s="3" t="n">
        <v>0.0921</v>
      </c>
      <c r="AE45" s="3" t="n">
        <v>11.467</v>
      </c>
      <c r="AF45" s="3" t="n">
        <v>0.3297899588476669</v>
      </c>
      <c r="AG45" s="3" t="n">
        <v>9.119999999999999</v>
      </c>
      <c r="AH45" s="3" t="n">
        <v>0.257008783</v>
      </c>
      <c r="AI45" s="3" t="n">
        <v>70</v>
      </c>
      <c r="AJ45" s="3" t="n">
        <v>3.0957</v>
      </c>
      <c r="AK45" s="3" t="n">
        <v>1.53</v>
      </c>
      <c r="AL45" s="3" t="n">
        <v>-0.2127229798922649</v>
      </c>
      <c r="AM45" s="6" t="n">
        <v>0</v>
      </c>
      <c r="AN45" s="3" t="n">
        <v>0</v>
      </c>
      <c r="AO45" s="3" t="n">
        <v>0.5800000000000001</v>
      </c>
      <c r="AP45" s="3" t="n">
        <v>0.364716</v>
      </c>
      <c r="AQ45" s="3">
        <f>N(X45)*N(BJ45)</f>
        <v/>
      </c>
      <c r="AR45" s="3" t="n">
        <v>0</v>
      </c>
      <c r="AS45" s="3" t="n">
        <v>-0</v>
      </c>
      <c r="AT45" s="3" t="n">
        <v>-0.2127229798922649</v>
      </c>
      <c r="AU45" s="3">
        <f>SUM(AO45:AT45)</f>
        <v/>
      </c>
      <c r="AV45" s="7">
        <f>IF(OR(N(W45)&lt;=0,N(BH45)=0),0,N(W45)*IF(N(R45)/N(W45)&gt;=60,N(BH45),1))</f>
        <v/>
      </c>
      <c r="AW45" s="7">
        <f>N(W45)*N(AF45)*N(BI45)</f>
        <v/>
      </c>
      <c r="AX45" s="3">
        <f>IF(N(BH45)=0,0,N(W45)*N(AH45))</f>
        <v/>
      </c>
      <c r="AY45" s="7">
        <f>N(AM45)*(Assumptions!$B$13*N(BK45)-(1-Assumptions!$B$13)*Assumptions!$B$14)+N(AN45)</f>
        <v/>
      </c>
      <c r="AZ45" s="7">
        <f>N(AU45)*N(R45)/90+N(AV45)+N(AW45)+N(AX45)+N(AY45)</f>
        <v/>
      </c>
      <c r="BA45" s="3">
        <f>IF(N(R45)&lt;=0,0,(N(AZ45)-N(AY45))*90/N(R45))</f>
        <v/>
      </c>
      <c r="BB45" s="7">
        <f>IFERROR(AZ45-VLOOKUP($E45,Assumptions!$A$40:$C$43,3,FALSE),"")</f>
        <v/>
      </c>
      <c r="BC45" s="3">
        <f>IFERROR(BB45/H45,"")</f>
        <v/>
      </c>
      <c r="BD45">
        <f>IF(AND($G45=TRUE,$E45="GKP"),AZ45,"")</f>
        <v/>
      </c>
      <c r="BE45">
        <f>IF(AND($G45=TRUE,$E45="DEF"),AZ45,"")</f>
        <v/>
      </c>
      <c r="BF45">
        <f>IF(AND($G45=TRUE,$E45="MID"),AZ45,"")</f>
        <v/>
      </c>
      <c r="BG45">
        <f>IF(AND($G45=TRUE,$E45="FWD"),AZ45,"")</f>
        <v/>
      </c>
      <c r="BH45" t="n">
        <v>2</v>
      </c>
      <c r="BI45" t="n">
        <v>2</v>
      </c>
      <c r="BJ45" t="n">
        <v>1</v>
      </c>
      <c r="BK45" t="n">
        <v>5</v>
      </c>
    </row>
    <row r="46">
      <c r="A46" s="9" t="inlineStr">
        <is>
          <t>Mateus Fernandes</t>
        </is>
      </c>
      <c r="B46" t="inlineStr">
        <is>
          <t>TOT</t>
        </is>
      </c>
      <c r="C46" s="9" t="inlineStr">
        <is>
          <t>WHU</t>
        </is>
      </c>
      <c r="D46" t="b">
        <v>1</v>
      </c>
      <c r="E46" t="inlineStr">
        <is>
          <t>MID</t>
        </is>
      </c>
      <c r="F46" t="inlineStr">
        <is>
          <t>MID</t>
        </is>
      </c>
      <c r="G46" t="b">
        <v>1</v>
      </c>
      <c r="H46" s="2" t="n">
        <v>6</v>
      </c>
      <c r="I46" t="inlineStr">
        <is>
          <t>a</t>
        </is>
      </c>
      <c r="K46" s="2" t="n">
        <v>3017</v>
      </c>
      <c r="L46" t="n">
        <v>135</v>
      </c>
      <c r="M46" s="3" t="n">
        <v>3089</v>
      </c>
      <c r="N46" s="8" t="n">
        <v>3089</v>
      </c>
      <c r="O46" s="8" t="n">
        <v>0</v>
      </c>
      <c r="Q46" t="inlineStr">
        <is>
          <t>flat</t>
        </is>
      </c>
      <c r="R46" s="6" t="n">
        <v>3089</v>
      </c>
      <c r="S46" t="inlineStr">
        <is>
          <t>Solio</t>
        </is>
      </c>
      <c r="U46" s="6" t="n">
        <v>84.3</v>
      </c>
      <c r="V46" s="2" t="n">
        <v>35</v>
      </c>
      <c r="W46" s="7">
        <f>IF(N(U46)&lt;=0,0,MIN(Assumptions!$B$15,N(R46)/N(U46)))</f>
        <v/>
      </c>
      <c r="X46" s="6" t="n">
        <v>0.286</v>
      </c>
      <c r="Y46" s="10" t="n">
        <v>0.0501</v>
      </c>
      <c r="Z46" t="inlineStr">
        <is>
          <t>adjusted xGOT</t>
        </is>
      </c>
      <c r="AA46" s="3" t="n">
        <v>1</v>
      </c>
      <c r="AB46" s="3" t="n">
        <v>0.843</v>
      </c>
      <c r="AC46" s="3" t="n">
        <v>6.1</v>
      </c>
      <c r="AD46" s="10" t="n">
        <v>0.0939</v>
      </c>
      <c r="AE46" s="3" t="n">
        <v>10.539</v>
      </c>
      <c r="AF46" s="3" t="n">
        <v>0.2887100025918433</v>
      </c>
      <c r="AG46" s="3" t="n">
        <v>9.923999999999999</v>
      </c>
      <c r="AH46" s="3" t="n">
        <v>0.170500012</v>
      </c>
      <c r="AI46" s="3" t="n">
        <v>70</v>
      </c>
      <c r="AJ46" s="3" t="n">
        <v>2.5739</v>
      </c>
      <c r="AK46" s="3" t="n">
        <v>1.3096</v>
      </c>
      <c r="AL46" s="3" t="n">
        <v>-0.2341130422141206</v>
      </c>
      <c r="AM46" s="6" t="n">
        <v>0</v>
      </c>
      <c r="AN46" s="3" t="n">
        <v>0</v>
      </c>
      <c r="AO46" s="10" t="n">
        <v>0.2505</v>
      </c>
      <c r="AP46" s="10" t="n">
        <v>0.371844</v>
      </c>
      <c r="AQ46" s="3">
        <f>N(X46)*N(BJ46)</f>
        <v/>
      </c>
      <c r="AR46" s="3" t="n">
        <v>0</v>
      </c>
      <c r="AS46" s="3" t="n">
        <v>-0</v>
      </c>
      <c r="AT46" s="3" t="n">
        <v>-0.2341130422141206</v>
      </c>
      <c r="AU46" s="3">
        <f>SUM(AO46:AT46)</f>
        <v/>
      </c>
      <c r="AV46" s="7">
        <f>IF(OR(N(W46)&lt;=0,N(BH46)=0),0,N(W46)*IF(N(R46)/N(W46)&gt;=60,N(BH46),1))</f>
        <v/>
      </c>
      <c r="AW46" s="7">
        <f>N(W46)*N(AF46)*N(BI46)</f>
        <v/>
      </c>
      <c r="AX46" s="3">
        <f>IF(N(BH46)=0,0,N(W46)*N(AH46))</f>
        <v/>
      </c>
      <c r="AY46" s="7">
        <f>N(AM46)*(Assumptions!$B$13*N(BK46)-(1-Assumptions!$B$13)*Assumptions!$B$14)+N(AN46)</f>
        <v/>
      </c>
      <c r="AZ46" s="7">
        <f>N(AU46)*N(R46)/90+N(AV46)+N(AW46)+N(AX46)+N(AY46)</f>
        <v/>
      </c>
      <c r="BA46" s="3">
        <f>IF(N(R46)&lt;=0,0,(N(AZ46)-N(AY46))*90/N(R46))</f>
        <v/>
      </c>
      <c r="BB46" s="7">
        <f>IFERROR(AZ46-VLOOKUP($E46,Assumptions!$A$40:$C$43,3,FALSE),"")</f>
        <v/>
      </c>
      <c r="BC46" s="3">
        <f>IFERROR(BB46/H46,"")</f>
        <v/>
      </c>
      <c r="BD46">
        <f>IF(AND($G46=TRUE,$E46="GKP"),AZ46,"")</f>
        <v/>
      </c>
      <c r="BE46">
        <f>IF(AND($G46=TRUE,$E46="DEF"),AZ46,"")</f>
        <v/>
      </c>
      <c r="BF46">
        <f>IF(AND($G46=TRUE,$E46="MID"),AZ46,"")</f>
        <v/>
      </c>
      <c r="BG46">
        <f>IF(AND($G46=TRUE,$E46="FWD"),AZ46,"")</f>
        <v/>
      </c>
      <c r="BH46" t="n">
        <v>2</v>
      </c>
      <c r="BI46" t="n">
        <v>2</v>
      </c>
      <c r="BJ46" t="n">
        <v>1</v>
      </c>
      <c r="BK46" t="n">
        <v>5</v>
      </c>
    </row>
    <row r="47">
      <c r="A47" t="inlineStr">
        <is>
          <t>Rayan Cherki</t>
        </is>
      </c>
      <c r="B47" t="inlineStr">
        <is>
          <t>MCI</t>
        </is>
      </c>
      <c r="C47" t="inlineStr">
        <is>
          <t>MCI</t>
        </is>
      </c>
      <c r="D47" t="b">
        <v>0</v>
      </c>
      <c r="E47" t="inlineStr">
        <is>
          <t>MID</t>
        </is>
      </c>
      <c r="F47" t="inlineStr">
        <is>
          <t>MID</t>
        </is>
      </c>
      <c r="G47" t="b">
        <v>1</v>
      </c>
      <c r="H47" s="2" t="n">
        <v>7.5</v>
      </c>
      <c r="I47" t="inlineStr">
        <is>
          <t>a</t>
        </is>
      </c>
      <c r="K47" s="2" t="n">
        <v>1772</v>
      </c>
      <c r="L47" t="n">
        <v>135</v>
      </c>
      <c r="M47" s="3" t="n">
        <v>1796</v>
      </c>
      <c r="N47" s="8" t="n">
        <v>1796</v>
      </c>
      <c r="O47" s="8" t="n">
        <v>0</v>
      </c>
      <c r="Q47" t="inlineStr">
        <is>
          <t>flat</t>
        </is>
      </c>
      <c r="R47" s="6" t="n">
        <v>1796</v>
      </c>
      <c r="S47" t="inlineStr">
        <is>
          <t>Solio</t>
        </is>
      </c>
      <c r="U47" s="6" t="n">
        <v>78.09999999999999</v>
      </c>
      <c r="V47" s="2" t="n">
        <v>19</v>
      </c>
      <c r="W47" s="7">
        <f>IF(N(U47)&lt;=0,0,MIN(Assumptions!$B$15,N(R47)/N(U47)))</f>
        <v/>
      </c>
      <c r="X47" s="6" t="n">
        <v>0.371</v>
      </c>
      <c r="Y47" s="3" t="n">
        <v>0.2231</v>
      </c>
      <c r="Z47" t="inlineStr">
        <is>
          <t>adjusted xGOT</t>
        </is>
      </c>
      <c r="AA47" s="3" t="n">
        <v>1</v>
      </c>
      <c r="AB47" s="3" t="n">
        <v>1.026</v>
      </c>
      <c r="AC47" s="3" t="n">
        <v>4.3</v>
      </c>
      <c r="AD47" s="3" t="n">
        <v>0.4991</v>
      </c>
      <c r="AE47" s="3" t="n">
        <v>7.354</v>
      </c>
      <c r="AF47" s="3" t="n">
        <v>0.03013623829695611</v>
      </c>
      <c r="AG47" s="3" t="n">
        <v>9.616</v>
      </c>
      <c r="AH47" s="3" t="n">
        <v>0.6766580320000001</v>
      </c>
      <c r="AI47" s="3" t="n">
        <v>49</v>
      </c>
      <c r="AJ47" s="3" t="n">
        <v>1.9737</v>
      </c>
      <c r="AK47" s="3" t="n">
        <v>1.0365</v>
      </c>
      <c r="AL47" s="3" t="n">
        <v>-0.1340533133526679</v>
      </c>
      <c r="AM47" s="6" t="n">
        <v>0</v>
      </c>
      <c r="AN47" s="3" t="n">
        <v>0</v>
      </c>
      <c r="AO47" s="3" t="n">
        <v>1.1155</v>
      </c>
      <c r="AP47" s="3" t="n">
        <v>1.976436</v>
      </c>
      <c r="AQ47" s="3">
        <f>N(X47)*N(BJ47)</f>
        <v/>
      </c>
      <c r="AR47" s="3" t="n">
        <v>0</v>
      </c>
      <c r="AS47" s="3" t="n">
        <v>-0</v>
      </c>
      <c r="AT47" s="3" t="n">
        <v>-0.1340533133526679</v>
      </c>
      <c r="AU47" s="3">
        <f>SUM(AO47:AT47)</f>
        <v/>
      </c>
      <c r="AV47" s="7">
        <f>IF(OR(N(W47)&lt;=0,N(BH47)=0),0,N(W47)*IF(N(R47)/N(W47)&gt;=60,N(BH47),1))</f>
        <v/>
      </c>
      <c r="AW47" s="7">
        <f>N(W47)*N(AF47)*N(BI47)</f>
        <v/>
      </c>
      <c r="AX47" s="3">
        <f>IF(N(BH47)=0,0,N(W47)*N(AH47))</f>
        <v/>
      </c>
      <c r="AY47" s="7">
        <f>N(AM47)*(Assumptions!$B$13*N(BK47)-(1-Assumptions!$B$13)*Assumptions!$B$14)+N(AN47)</f>
        <v/>
      </c>
      <c r="AZ47" s="7">
        <f>N(AU47)*N(R47)/90+N(AV47)+N(AW47)+N(AX47)+N(AY47)</f>
        <v/>
      </c>
      <c r="BA47" s="3">
        <f>IF(N(R47)&lt;=0,0,(N(AZ47)-N(AY47))*90/N(R47))</f>
        <v/>
      </c>
      <c r="BB47" s="7">
        <f>IFERROR(AZ47-VLOOKUP($E47,Assumptions!$A$40:$C$43,3,FALSE),"")</f>
        <v/>
      </c>
      <c r="BC47" s="3">
        <f>IFERROR(BB47/H47,"")</f>
        <v/>
      </c>
      <c r="BD47">
        <f>IF(AND($G47=TRUE,$E47="GKP"),AZ47,"")</f>
        <v/>
      </c>
      <c r="BE47">
        <f>IF(AND($G47=TRUE,$E47="DEF"),AZ47,"")</f>
        <v/>
      </c>
      <c r="BF47">
        <f>IF(AND($G47=TRUE,$E47="MID"),AZ47,"")</f>
        <v/>
      </c>
      <c r="BG47">
        <f>IF(AND($G47=TRUE,$E47="FWD"),AZ47,"")</f>
        <v/>
      </c>
      <c r="BH47" t="n">
        <v>2</v>
      </c>
      <c r="BI47" t="n">
        <v>2</v>
      </c>
      <c r="BJ47" t="n">
        <v>1</v>
      </c>
      <c r="BK47" t="n">
        <v>5</v>
      </c>
    </row>
    <row r="48">
      <c r="A48" t="inlineStr">
        <is>
          <t>Jordan Pickford</t>
        </is>
      </c>
      <c r="B48" t="inlineStr">
        <is>
          <t>EVE</t>
        </is>
      </c>
      <c r="C48" t="inlineStr">
        <is>
          <t>EVE</t>
        </is>
      </c>
      <c r="D48" t="b">
        <v>0</v>
      </c>
      <c r="E48" t="inlineStr">
        <is>
          <t>GKP</t>
        </is>
      </c>
      <c r="F48" t="inlineStr">
        <is>
          <t>GKP</t>
        </is>
      </c>
      <c r="G48" t="b">
        <v>1</v>
      </c>
      <c r="H48" s="2" t="n">
        <v>5.5</v>
      </c>
      <c r="I48" t="inlineStr">
        <is>
          <t>a</t>
        </is>
      </c>
      <c r="K48" s="2" t="n">
        <v>3420</v>
      </c>
      <c r="L48" t="n">
        <v>135</v>
      </c>
      <c r="M48" s="3" t="n">
        <v>3385</v>
      </c>
      <c r="N48" s="8" t="n">
        <v>3385</v>
      </c>
      <c r="O48" s="8" t="n">
        <v>0</v>
      </c>
      <c r="Q48" t="inlineStr">
        <is>
          <t>flat</t>
        </is>
      </c>
      <c r="R48" s="6" t="n">
        <v>3385</v>
      </c>
      <c r="S48" t="inlineStr">
        <is>
          <t>Solio</t>
        </is>
      </c>
      <c r="U48" s="6" t="n">
        <v>90</v>
      </c>
      <c r="V48" s="2" t="n">
        <v>38</v>
      </c>
      <c r="W48" s="7">
        <f>IF(N(U48)&lt;=0,0,MIN(Assumptions!$B$15,N(R48)/N(U48)))</f>
        <v/>
      </c>
      <c r="X48" s="6" t="n">
        <v>0.231</v>
      </c>
      <c r="Y48" s="3" t="n">
        <v>0</v>
      </c>
      <c r="Z48" t="inlineStr">
        <is>
          <t>blended xG</t>
        </is>
      </c>
      <c r="AA48" s="3" t="n">
        <v>1</v>
      </c>
      <c r="AB48" s="3" t="n">
        <v>1</v>
      </c>
      <c r="AC48" s="3" t="n">
        <v>0</v>
      </c>
      <c r="AD48" s="3" t="n">
        <v>0.0057</v>
      </c>
      <c r="AE48" s="3" t="n">
        <v>0</v>
      </c>
      <c r="AF48" s="3" t="n">
        <v>0</v>
      </c>
      <c r="AG48" s="3" t="n">
        <v>5.308</v>
      </c>
      <c r="AH48" s="3" t="n">
        <v>0.1974018632</v>
      </c>
      <c r="AI48" s="3" t="n">
        <v>76</v>
      </c>
      <c r="AJ48" s="3" t="n">
        <v>3.0311</v>
      </c>
      <c r="AK48" s="3" t="n">
        <v>1.5252</v>
      </c>
      <c r="AL48" s="3" t="n">
        <v>-0.1265887351193527</v>
      </c>
      <c r="AM48" s="6" t="n">
        <v>0</v>
      </c>
      <c r="AN48" s="3" t="n">
        <v>3.222841840244168</v>
      </c>
      <c r="AO48" s="3" t="n">
        <v>0</v>
      </c>
      <c r="AP48" s="3" t="n">
        <v>0.022572</v>
      </c>
      <c r="AQ48" s="3">
        <f>N(X48)*N(BJ48)</f>
        <v/>
      </c>
      <c r="AR48" s="3" t="n">
        <v>0.67496810501903</v>
      </c>
      <c r="AS48" s="3" t="n">
        <v>-0.524434996152324</v>
      </c>
      <c r="AT48" s="3" t="n">
        <v>-0.1265887351193527</v>
      </c>
      <c r="AU48" s="3">
        <f>SUM(AO48:AT48)</f>
        <v/>
      </c>
      <c r="AV48" s="7">
        <f>IF(OR(N(W48)&lt;=0,N(BH48)=0),0,N(W48)*IF(N(R48)/N(W48)&gt;=60,N(BH48),1))</f>
        <v/>
      </c>
      <c r="AW48" s="7">
        <f>N(W48)*N(AF48)*N(BI48)</f>
        <v/>
      </c>
      <c r="AX48" s="3">
        <f>IF(N(BH48)=0,0,N(W48)*N(AH48))</f>
        <v/>
      </c>
      <c r="AY48" s="7">
        <f>N(AM48)*(Assumptions!$B$13*N(BK48)-(1-Assumptions!$B$13)*Assumptions!$B$14)+N(AN48)</f>
        <v/>
      </c>
      <c r="AZ48" s="7">
        <f>N(AU48)*N(R48)/90+N(AV48)+N(AW48)+N(AX48)+N(AY48)</f>
        <v/>
      </c>
      <c r="BA48" s="3">
        <f>IF(N(R48)&lt;=0,0,(N(AZ48)-N(AY48))*90/N(R48))</f>
        <v/>
      </c>
      <c r="BB48" s="7">
        <f>IFERROR(AZ48-VLOOKUP($E48,Assumptions!$A$40:$C$43,3,FALSE),"")</f>
        <v/>
      </c>
      <c r="BC48" s="3">
        <f>IFERROR(BB48/H48,"")</f>
        <v/>
      </c>
      <c r="BD48">
        <f>IF(AND($G48=TRUE,$E48="GKP"),AZ48,"")</f>
        <v/>
      </c>
      <c r="BE48">
        <f>IF(AND($G48=TRUE,$E48="DEF"),AZ48,"")</f>
        <v/>
      </c>
      <c r="BF48">
        <f>IF(AND($G48=TRUE,$E48="MID"),AZ48,"")</f>
        <v/>
      </c>
      <c r="BG48">
        <f>IF(AND($G48=TRUE,$E48="FWD"),AZ48,"")</f>
        <v/>
      </c>
      <c r="BH48" t="n">
        <v>2</v>
      </c>
      <c r="BI48" t="n">
        <v>0</v>
      </c>
      <c r="BJ48" t="n">
        <v>4</v>
      </c>
      <c r="BK48" t="n">
        <v>10</v>
      </c>
    </row>
    <row r="49">
      <c r="A49" t="inlineStr">
        <is>
          <t>Gianluigi Donnarumma</t>
        </is>
      </c>
      <c r="B49" t="inlineStr">
        <is>
          <t>MCI</t>
        </is>
      </c>
      <c r="C49" t="inlineStr">
        <is>
          <t>MCI</t>
        </is>
      </c>
      <c r="D49" t="b">
        <v>0</v>
      </c>
      <c r="E49" t="inlineStr">
        <is>
          <t>GKP</t>
        </is>
      </c>
      <c r="F49" t="inlineStr">
        <is>
          <t>GKP</t>
        </is>
      </c>
      <c r="G49" t="b">
        <v>1</v>
      </c>
      <c r="H49" s="2" t="n">
        <v>5.5</v>
      </c>
      <c r="I49" t="inlineStr">
        <is>
          <t>a</t>
        </is>
      </c>
      <c r="K49" s="2" t="n">
        <v>3060</v>
      </c>
      <c r="L49" t="n">
        <v>135</v>
      </c>
      <c r="M49" s="3" t="n">
        <v>3420</v>
      </c>
      <c r="N49" s="8" t="n">
        <v>3420</v>
      </c>
      <c r="O49" s="8" t="n">
        <v>0</v>
      </c>
      <c r="Q49" t="inlineStr">
        <is>
          <t>flat</t>
        </is>
      </c>
      <c r="R49" s="6" t="n">
        <v>3420</v>
      </c>
      <c r="S49" t="inlineStr">
        <is>
          <t>Solio</t>
        </is>
      </c>
      <c r="U49" s="6" t="n">
        <v>90</v>
      </c>
      <c r="V49" s="2" t="n">
        <v>34</v>
      </c>
      <c r="W49" s="7">
        <f>IF(N(U49)&lt;=0,0,MIN(Assumptions!$B$15,N(R49)/N(U49)))</f>
        <v/>
      </c>
      <c r="X49" s="6" t="n">
        <v>0.371</v>
      </c>
      <c r="Y49" s="3" t="n">
        <v>0</v>
      </c>
      <c r="Z49" t="inlineStr">
        <is>
          <t>blended xG</t>
        </is>
      </c>
      <c r="AA49" s="3" t="n">
        <v>1</v>
      </c>
      <c r="AB49" s="3" t="n">
        <v>1</v>
      </c>
      <c r="AC49" s="3" t="n">
        <v>0</v>
      </c>
      <c r="AD49" s="3" t="n">
        <v>0.0019</v>
      </c>
      <c r="AE49" s="3" t="n">
        <v>0</v>
      </c>
      <c r="AF49" s="3" t="n">
        <v>0</v>
      </c>
      <c r="AG49" s="3" t="n">
        <v>5.396</v>
      </c>
      <c r="AH49" s="3" t="n">
        <v>0.159493792</v>
      </c>
      <c r="AI49" s="3" t="n">
        <v>68</v>
      </c>
      <c r="AJ49" s="3" t="n">
        <v>1.9737</v>
      </c>
      <c r="AK49" s="3" t="n">
        <v>1.0365</v>
      </c>
      <c r="AL49" s="3" t="n">
        <v>-0.1864362396236553</v>
      </c>
      <c r="AM49" s="6" t="n">
        <v>0</v>
      </c>
      <c r="AN49" s="3" t="n">
        <v>2.212837240750548</v>
      </c>
      <c r="AO49" s="3" t="n">
        <v>0</v>
      </c>
      <c r="AP49" s="3" t="n">
        <v>0.007524</v>
      </c>
      <c r="AQ49" s="3">
        <f>N(X49)*N(BJ49)</f>
        <v/>
      </c>
      <c r="AR49" s="3" t="n">
        <v>0.3320553475083804</v>
      </c>
      <c r="AS49" s="3" t="n">
        <v>-0.2997019479071323</v>
      </c>
      <c r="AT49" s="3" t="n">
        <v>-0.1864362396236553</v>
      </c>
      <c r="AU49" s="3">
        <f>SUM(AO49:AT49)</f>
        <v/>
      </c>
      <c r="AV49" s="7">
        <f>IF(OR(N(W49)&lt;=0,N(BH49)=0),0,N(W49)*IF(N(R49)/N(W49)&gt;=60,N(BH49),1))</f>
        <v/>
      </c>
      <c r="AW49" s="7">
        <f>N(W49)*N(AF49)*N(BI49)</f>
        <v/>
      </c>
      <c r="AX49" s="3">
        <f>IF(N(BH49)=0,0,N(W49)*N(AH49))</f>
        <v/>
      </c>
      <c r="AY49" s="7">
        <f>N(AM49)*(Assumptions!$B$13*N(BK49)-(1-Assumptions!$B$13)*Assumptions!$B$14)+N(AN49)</f>
        <v/>
      </c>
      <c r="AZ49" s="7">
        <f>N(AU49)*N(R49)/90+N(AV49)+N(AW49)+N(AX49)+N(AY49)</f>
        <v/>
      </c>
      <c r="BA49" s="3">
        <f>IF(N(R49)&lt;=0,0,(N(AZ49)-N(AY49))*90/N(R49))</f>
        <v/>
      </c>
      <c r="BB49" s="7">
        <f>IFERROR(AZ49-VLOOKUP($E49,Assumptions!$A$40:$C$43,3,FALSE),"")</f>
        <v/>
      </c>
      <c r="BC49" s="3">
        <f>IFERROR(BB49/H49,"")</f>
        <v/>
      </c>
      <c r="BD49">
        <f>IF(AND($G49=TRUE,$E49="GKP"),AZ49,"")</f>
        <v/>
      </c>
      <c r="BE49">
        <f>IF(AND($G49=TRUE,$E49="DEF"),AZ49,"")</f>
        <v/>
      </c>
      <c r="BF49">
        <f>IF(AND($G49=TRUE,$E49="MID"),AZ49,"")</f>
        <v/>
      </c>
      <c r="BG49">
        <f>IF(AND($G49=TRUE,$E49="FWD"),AZ49,"")</f>
        <v/>
      </c>
      <c r="BH49" t="n">
        <v>2</v>
      </c>
      <c r="BI49" t="n">
        <v>0</v>
      </c>
      <c r="BJ49" t="n">
        <v>4</v>
      </c>
      <c r="BK49" t="n">
        <v>10</v>
      </c>
    </row>
    <row r="50">
      <c r="A50" t="inlineStr">
        <is>
          <t>Tyrick Mitchell</t>
        </is>
      </c>
      <c r="B50" t="inlineStr">
        <is>
          <t>CRY</t>
        </is>
      </c>
      <c r="C50" t="inlineStr">
        <is>
          <t>CRY</t>
        </is>
      </c>
      <c r="D50" t="b">
        <v>0</v>
      </c>
      <c r="E50" t="inlineStr">
        <is>
          <t>DEF</t>
        </is>
      </c>
      <c r="F50" t="inlineStr">
        <is>
          <t>DEF</t>
        </is>
      </c>
      <c r="G50" t="b">
        <v>1</v>
      </c>
      <c r="H50" s="2" t="n">
        <v>4.5</v>
      </c>
      <c r="I50" t="inlineStr">
        <is>
          <t>a</t>
        </is>
      </c>
      <c r="K50" s="2" t="n">
        <v>3253</v>
      </c>
      <c r="L50" t="n">
        <v>135</v>
      </c>
      <c r="M50" s="3" t="n">
        <v>2554</v>
      </c>
      <c r="N50" s="8" t="n">
        <v>2554</v>
      </c>
      <c r="O50" s="8" t="n">
        <v>0</v>
      </c>
      <c r="Q50" t="inlineStr">
        <is>
          <t>flat</t>
        </is>
      </c>
      <c r="R50" s="6" t="n">
        <v>2554</v>
      </c>
      <c r="S50" t="inlineStr">
        <is>
          <t>Solio</t>
        </is>
      </c>
      <c r="U50" s="6" t="n">
        <v>87.3</v>
      </c>
      <c r="V50" s="2" t="n">
        <v>36</v>
      </c>
      <c r="W50" s="7">
        <f>IF(N(U50)&lt;=0,0,MIN(Assumptions!$B$15,N(R50)/N(U50)))</f>
        <v/>
      </c>
      <c r="X50" s="6" t="n">
        <v>0.216</v>
      </c>
      <c r="Y50" s="3" t="n">
        <v>0.0427</v>
      </c>
      <c r="Z50" t="inlineStr">
        <is>
          <t>adjusted xGOT</t>
        </is>
      </c>
      <c r="AA50" s="3" t="n">
        <v>1</v>
      </c>
      <c r="AB50" s="3" t="n">
        <v>0.97</v>
      </c>
      <c r="AC50" s="3" t="n">
        <v>4.8</v>
      </c>
      <c r="AD50" s="3" t="n">
        <v>0.077</v>
      </c>
      <c r="AE50" s="3" t="n">
        <v>6.943</v>
      </c>
      <c r="AF50" s="3" t="n">
        <v>0.1436523826451379</v>
      </c>
      <c r="AG50" s="3" t="n">
        <v>7.408</v>
      </c>
      <c r="AH50" s="3" t="n">
        <v>0.1633211085</v>
      </c>
      <c r="AI50" s="3" t="n">
        <v>73</v>
      </c>
      <c r="AJ50" s="3" t="n">
        <v>3.2035</v>
      </c>
      <c r="AK50" s="3" t="n">
        <v>1.5923</v>
      </c>
      <c r="AL50" s="3" t="n">
        <v>-0.1652843226846004</v>
      </c>
      <c r="AM50" s="6" t="n">
        <v>0</v>
      </c>
      <c r="AN50" s="3" t="n">
        <v>0</v>
      </c>
      <c r="AO50" s="3" t="n">
        <v>0.2562</v>
      </c>
      <c r="AP50" s="3" t="n">
        <v>0.30492</v>
      </c>
      <c r="AQ50" s="3">
        <f>N(X50)*N(BJ50)</f>
        <v/>
      </c>
      <c r="AR50" s="3" t="n">
        <v>0</v>
      </c>
      <c r="AS50" s="3" t="n">
        <v>-0.5564987001023466</v>
      </c>
      <c r="AT50" s="3" t="n">
        <v>-0.1652843226846004</v>
      </c>
      <c r="AU50" s="3">
        <f>SUM(AO50:AT50)</f>
        <v/>
      </c>
      <c r="AV50" s="7">
        <f>IF(OR(N(W50)&lt;=0,N(BH50)=0),0,N(W50)*IF(N(R50)/N(W50)&gt;=60,N(BH50),1))</f>
        <v/>
      </c>
      <c r="AW50" s="7">
        <f>N(W50)*N(AF50)*N(BI50)</f>
        <v/>
      </c>
      <c r="AX50" s="3">
        <f>IF(N(BH50)=0,0,N(W50)*N(AH50))</f>
        <v/>
      </c>
      <c r="AY50" s="7">
        <f>N(AM50)*(Assumptions!$B$13*N(BK50)-(1-Assumptions!$B$13)*Assumptions!$B$14)+N(AN50)</f>
        <v/>
      </c>
      <c r="AZ50" s="7">
        <f>N(AU50)*N(R50)/90+N(AV50)+N(AW50)+N(AX50)+N(AY50)</f>
        <v/>
      </c>
      <c r="BA50" s="3">
        <f>IF(N(R50)&lt;=0,0,(N(AZ50)-N(AY50))*90/N(R50))</f>
        <v/>
      </c>
      <c r="BB50" s="7">
        <f>IFERROR(AZ50-VLOOKUP($E50,Assumptions!$A$40:$C$43,3,FALSE),"")</f>
        <v/>
      </c>
      <c r="BC50" s="3">
        <f>IFERROR(BB50/H50,"")</f>
        <v/>
      </c>
      <c r="BD50">
        <f>IF(AND($G50=TRUE,$E50="GKP"),AZ50,"")</f>
        <v/>
      </c>
      <c r="BE50">
        <f>IF(AND($G50=TRUE,$E50="DEF"),AZ50,"")</f>
        <v/>
      </c>
      <c r="BF50">
        <f>IF(AND($G50=TRUE,$E50="MID"),AZ50,"")</f>
        <v/>
      </c>
      <c r="BG50">
        <f>IF(AND($G50=TRUE,$E50="FWD"),AZ50,"")</f>
        <v/>
      </c>
      <c r="BH50" t="n">
        <v>2</v>
      </c>
      <c r="BI50" t="n">
        <v>2</v>
      </c>
      <c r="BJ50" t="n">
        <v>4</v>
      </c>
      <c r="BK50" t="n">
        <v>6</v>
      </c>
    </row>
    <row r="51">
      <c r="A51" t="inlineStr">
        <is>
          <t>Ethan Ampadu</t>
        </is>
      </c>
      <c r="B51" t="inlineStr">
        <is>
          <t>LEE</t>
        </is>
      </c>
      <c r="C51" t="inlineStr">
        <is>
          <t>LEE</t>
        </is>
      </c>
      <c r="D51" t="b">
        <v>0</v>
      </c>
      <c r="E51" t="inlineStr">
        <is>
          <t>MID</t>
        </is>
      </c>
      <c r="F51" t="inlineStr">
        <is>
          <t>MID</t>
        </is>
      </c>
      <c r="G51" t="b">
        <v>1</v>
      </c>
      <c r="H51" s="2" t="n">
        <v>5.5</v>
      </c>
      <c r="I51" t="inlineStr">
        <is>
          <t>a</t>
        </is>
      </c>
      <c r="K51" s="2" t="n">
        <v>3119</v>
      </c>
      <c r="L51" t="n">
        <v>134</v>
      </c>
      <c r="M51" s="3" t="n">
        <v>3207</v>
      </c>
      <c r="N51" s="8" t="n">
        <v>3207</v>
      </c>
      <c r="O51" s="8" t="n">
        <v>0</v>
      </c>
      <c r="Q51" t="inlineStr">
        <is>
          <t>flat</t>
        </is>
      </c>
      <c r="R51" s="6" t="n">
        <v>3207</v>
      </c>
      <c r="S51" t="inlineStr">
        <is>
          <t>Solio</t>
        </is>
      </c>
      <c r="U51" s="6" t="n">
        <v>87.09999999999999</v>
      </c>
      <c r="V51" s="2" t="n">
        <v>35</v>
      </c>
      <c r="W51" s="7">
        <f>IF(N(U51)&lt;=0,0,MIN(Assumptions!$B$15,N(R51)/N(U51)))</f>
        <v/>
      </c>
      <c r="X51" s="6" t="n">
        <v>0.218</v>
      </c>
      <c r="Y51" s="3" t="n">
        <v>0.0688</v>
      </c>
      <c r="Z51" t="inlineStr">
        <is>
          <t>adjusted xGOT</t>
        </is>
      </c>
      <c r="AA51" s="3" t="n">
        <v>1</v>
      </c>
      <c r="AB51" s="3" t="n">
        <v>0.965</v>
      </c>
      <c r="AC51" s="3" t="n">
        <v>2.5</v>
      </c>
      <c r="AD51" s="3" t="n">
        <v>0.0487</v>
      </c>
      <c r="AE51" s="3" t="n">
        <v>11.361</v>
      </c>
      <c r="AF51" s="3" t="n">
        <v>0.4201271946959066</v>
      </c>
      <c r="AG51" s="3" t="n">
        <v>9.079000000000001</v>
      </c>
      <c r="AH51" s="3" t="n">
        <v>0.185634761</v>
      </c>
      <c r="AI51" s="3" t="n">
        <v>70</v>
      </c>
      <c r="AJ51" s="3" t="n">
        <v>3.0611</v>
      </c>
      <c r="AK51" s="3" t="n">
        <v>1.5875</v>
      </c>
      <c r="AL51" s="3" t="n">
        <v>-0.2770314124491431</v>
      </c>
      <c r="AM51" s="6" t="n">
        <v>0</v>
      </c>
      <c r="AN51" s="3" t="n">
        <v>0</v>
      </c>
      <c r="AO51" s="3" t="n">
        <v>0.344</v>
      </c>
      <c r="AP51" s="3" t="n">
        <v>0.192852</v>
      </c>
      <c r="AQ51" s="3">
        <f>N(X51)*N(BJ51)</f>
        <v/>
      </c>
      <c r="AR51" s="3" t="n">
        <v>0</v>
      </c>
      <c r="AS51" s="3" t="n">
        <v>-0</v>
      </c>
      <c r="AT51" s="3" t="n">
        <v>-0.2770314124491431</v>
      </c>
      <c r="AU51" s="3">
        <f>SUM(AO51:AT51)</f>
        <v/>
      </c>
      <c r="AV51" s="7">
        <f>IF(OR(N(W51)&lt;=0,N(BH51)=0),0,N(W51)*IF(N(R51)/N(W51)&gt;=60,N(BH51),1))</f>
        <v/>
      </c>
      <c r="AW51" s="7">
        <f>N(W51)*N(AF51)*N(BI51)</f>
        <v/>
      </c>
      <c r="AX51" s="3">
        <f>IF(N(BH51)=0,0,N(W51)*N(AH51))</f>
        <v/>
      </c>
      <c r="AY51" s="7">
        <f>N(AM51)*(Assumptions!$B$13*N(BK51)-(1-Assumptions!$B$13)*Assumptions!$B$14)+N(AN51)</f>
        <v/>
      </c>
      <c r="AZ51" s="7">
        <f>N(AU51)*N(R51)/90+N(AV51)+N(AW51)+N(AX51)+N(AY51)</f>
        <v/>
      </c>
      <c r="BA51" s="3">
        <f>IF(N(R51)&lt;=0,0,(N(AZ51)-N(AY51))*90/N(R51))</f>
        <v/>
      </c>
      <c r="BB51" s="7">
        <f>IFERROR(AZ51-VLOOKUP($E51,Assumptions!$A$40:$C$43,3,FALSE),"")</f>
        <v/>
      </c>
      <c r="BC51" s="3">
        <f>IFERROR(BB51/H51,"")</f>
        <v/>
      </c>
      <c r="BD51">
        <f>IF(AND($G51=TRUE,$E51="GKP"),AZ51,"")</f>
        <v/>
      </c>
      <c r="BE51">
        <f>IF(AND($G51=TRUE,$E51="DEF"),AZ51,"")</f>
        <v/>
      </c>
      <c r="BF51">
        <f>IF(AND($G51=TRUE,$E51="MID"),AZ51,"")</f>
        <v/>
      </c>
      <c r="BG51">
        <f>IF(AND($G51=TRUE,$E51="FWD"),AZ51,"")</f>
        <v/>
      </c>
      <c r="BH51" t="n">
        <v>2</v>
      </c>
      <c r="BI51" t="n">
        <v>2</v>
      </c>
      <c r="BJ51" t="n">
        <v>1</v>
      </c>
      <c r="BK51" t="n">
        <v>5</v>
      </c>
    </row>
    <row r="52">
      <c r="A52" t="inlineStr">
        <is>
          <t>Martín Zubimendi</t>
        </is>
      </c>
      <c r="B52" t="inlineStr">
        <is>
          <t>ARS</t>
        </is>
      </c>
      <c r="C52" t="inlineStr">
        <is>
          <t>ARS</t>
        </is>
      </c>
      <c r="D52" t="b">
        <v>0</v>
      </c>
      <c r="E52" t="inlineStr">
        <is>
          <t>MID</t>
        </is>
      </c>
      <c r="F52" t="inlineStr">
        <is>
          <t>MID</t>
        </is>
      </c>
      <c r="G52" t="b">
        <v>1</v>
      </c>
      <c r="H52" s="2" t="n">
        <v>5.5</v>
      </c>
      <c r="I52" t="inlineStr">
        <is>
          <t>a</t>
        </is>
      </c>
      <c r="K52" s="2" t="n">
        <v>2991</v>
      </c>
      <c r="L52" t="n">
        <v>133</v>
      </c>
      <c r="M52" s="3" t="n">
        <v>891</v>
      </c>
      <c r="N52" s="8" t="n">
        <v>891</v>
      </c>
      <c r="O52" s="8" t="n">
        <v>0</v>
      </c>
      <c r="Q52" t="inlineStr">
        <is>
          <t>fade (losing his place)</t>
        </is>
      </c>
      <c r="R52" s="6" t="n">
        <v>891</v>
      </c>
      <c r="S52" t="inlineStr">
        <is>
          <t>Solio</t>
        </is>
      </c>
      <c r="U52" s="6" t="n">
        <v>83.3</v>
      </c>
      <c r="V52" s="2" t="n">
        <v>34</v>
      </c>
      <c r="W52" s="7">
        <f>IF(N(U52)&lt;=0,0,MIN(Assumptions!$B$15,N(R52)/N(U52)))</f>
        <v/>
      </c>
      <c r="X52" s="6" t="n">
        <v>0.391</v>
      </c>
      <c r="Y52" s="3" t="n">
        <v>0.0914</v>
      </c>
      <c r="Z52" t="inlineStr">
        <is>
          <t>adjusted xGOT</t>
        </is>
      </c>
      <c r="AA52" s="3" t="n">
        <v>1</v>
      </c>
      <c r="AB52" s="3" t="n">
        <v>1.07</v>
      </c>
      <c r="AC52" s="3" t="n">
        <v>2.8</v>
      </c>
      <c r="AD52" s="3" t="n">
        <v>0.0505</v>
      </c>
      <c r="AE52" s="3" t="n">
        <v>9.109999999999999</v>
      </c>
      <c r="AF52" s="3" t="n">
        <v>0.1455800552768788</v>
      </c>
      <c r="AG52" s="3" t="n">
        <v>8.108000000000001</v>
      </c>
      <c r="AH52" s="3" t="n">
        <v>0.1727083232</v>
      </c>
      <c r="AI52" s="3" t="n">
        <v>70</v>
      </c>
      <c r="AJ52" s="3" t="n">
        <v>2.067</v>
      </c>
      <c r="AK52" s="3" t="n">
        <v>0.9838</v>
      </c>
      <c r="AL52" s="3" t="n">
        <v>-0.1626849391306963</v>
      </c>
      <c r="AM52" s="6" t="n">
        <v>0</v>
      </c>
      <c r="AN52" s="3" t="n">
        <v>0</v>
      </c>
      <c r="AO52" s="3" t="n">
        <v>0.457</v>
      </c>
      <c r="AP52" s="3" t="n">
        <v>0.19998</v>
      </c>
      <c r="AQ52" s="3">
        <f>N(X52)*N(BJ52)</f>
        <v/>
      </c>
      <c r="AR52" s="3" t="n">
        <v>0</v>
      </c>
      <c r="AS52" s="3" t="n">
        <v>-0</v>
      </c>
      <c r="AT52" s="3" t="n">
        <v>-0.1626849391306963</v>
      </c>
      <c r="AU52" s="3">
        <f>SUM(AO52:AT52)</f>
        <v/>
      </c>
      <c r="AV52" s="7">
        <f>IF(OR(N(W52)&lt;=0,N(BH52)=0),0,N(W52)*IF(N(R52)/N(W52)&gt;=60,N(BH52),1))</f>
        <v/>
      </c>
      <c r="AW52" s="7">
        <f>N(W52)*N(AF52)*N(BI52)</f>
        <v/>
      </c>
      <c r="AX52" s="3">
        <f>IF(N(BH52)=0,0,N(W52)*N(AH52))</f>
        <v/>
      </c>
      <c r="AY52" s="7">
        <f>N(AM52)*(Assumptions!$B$13*N(BK52)-(1-Assumptions!$B$13)*Assumptions!$B$14)+N(AN52)</f>
        <v/>
      </c>
      <c r="AZ52" s="7">
        <f>N(AU52)*N(R52)/90+N(AV52)+N(AW52)+N(AX52)+N(AY52)</f>
        <v/>
      </c>
      <c r="BA52" s="3">
        <f>IF(N(R52)&lt;=0,0,(N(AZ52)-N(AY52))*90/N(R52))</f>
        <v/>
      </c>
      <c r="BB52" s="7">
        <f>IFERROR(AZ52-VLOOKUP($E52,Assumptions!$A$40:$C$43,3,FALSE),"")</f>
        <v/>
      </c>
      <c r="BC52" s="3">
        <f>IFERROR(BB52/H52,"")</f>
        <v/>
      </c>
      <c r="BD52">
        <f>IF(AND($G52=TRUE,$E52="GKP"),AZ52,"")</f>
        <v/>
      </c>
      <c r="BE52">
        <f>IF(AND($G52=TRUE,$E52="DEF"),AZ52,"")</f>
        <v/>
      </c>
      <c r="BF52">
        <f>IF(AND($G52=TRUE,$E52="MID"),AZ52,"")</f>
        <v/>
      </c>
      <c r="BG52">
        <f>IF(AND($G52=TRUE,$E52="FWD"),AZ52,"")</f>
        <v/>
      </c>
      <c r="BH52" t="n">
        <v>2</v>
      </c>
      <c r="BI52" t="n">
        <v>2</v>
      </c>
      <c r="BJ52" t="n">
        <v>1</v>
      </c>
      <c r="BK52" t="n">
        <v>5</v>
      </c>
    </row>
    <row r="53">
      <c r="A53" t="inlineStr">
        <is>
          <t>Cody Gakpo</t>
        </is>
      </c>
      <c r="B53" t="inlineStr">
        <is>
          <t>LIV</t>
        </is>
      </c>
      <c r="C53" t="inlineStr">
        <is>
          <t>LIV</t>
        </is>
      </c>
      <c r="D53" t="b">
        <v>0</v>
      </c>
      <c r="E53" t="inlineStr">
        <is>
          <t>MID</t>
        </is>
      </c>
      <c r="F53" t="inlineStr">
        <is>
          <t>MID</t>
        </is>
      </c>
      <c r="G53" t="b">
        <v>1</v>
      </c>
      <c r="H53" s="2" t="n">
        <v>7</v>
      </c>
      <c r="I53" t="inlineStr">
        <is>
          <t>a</t>
        </is>
      </c>
      <c r="K53" s="2" t="n">
        <v>2736</v>
      </c>
      <c r="L53" t="n">
        <v>131</v>
      </c>
      <c r="M53" s="3" t="n">
        <v>2457</v>
      </c>
      <c r="N53" s="4" t="n">
        <v>1450</v>
      </c>
      <c r="O53" s="4" t="n">
        <v>-1007</v>
      </c>
      <c r="P53" s="5" t="inlineStr">
        <is>
          <t>medium</t>
        </is>
      </c>
      <c r="Q53" t="inlineStr">
        <is>
          <t>flat</t>
        </is>
      </c>
      <c r="R53" s="6" t="n">
        <v>1450</v>
      </c>
      <c r="S53" t="inlineStr">
        <is>
          <t>research</t>
        </is>
      </c>
      <c r="T53" s="5" t="inlineStr">
        <is>
          <t>Two compounding problems with Solio's 2457. First, Sky's Florian Plettenberg reports Liverpool and Tottenham are 'in very concrete talks' over a move for Gakpo before the 31 August deadline. Second, even if he stays, This Is Anfield's Newcastle dress-rehearsal XI picks Ngumoha and Munoz wide with Gakpo the odd man out, and describes the forward line as 'unsettled'. Set as a probability-weighted figure across both branches.</t>
        </is>
      </c>
      <c r="U53" s="6" t="n">
        <v>81.7</v>
      </c>
      <c r="V53" s="2" t="n">
        <v>32</v>
      </c>
      <c r="W53" s="7">
        <f>IF(N(U53)&lt;=0,0,MIN(Assumptions!$B$15,N(R53)/N(U53)))</f>
        <v/>
      </c>
      <c r="X53" s="6" t="n">
        <v>0.342</v>
      </c>
      <c r="Y53" s="3" t="n">
        <v>0.2404</v>
      </c>
      <c r="Z53" t="inlineStr">
        <is>
          <t>adjusted xGOT</t>
        </is>
      </c>
      <c r="AA53" s="3" t="n">
        <v>1</v>
      </c>
      <c r="AB53" s="3" t="n">
        <v>0.875</v>
      </c>
      <c r="AC53" s="3" t="n">
        <v>31</v>
      </c>
      <c r="AD53" s="3" t="n">
        <v>0.1852</v>
      </c>
      <c r="AE53" s="3" t="n">
        <v>5.745</v>
      </c>
      <c r="AF53" s="3" t="n">
        <v>0.007469567247092468</v>
      </c>
      <c r="AG53" s="3" t="n">
        <v>3.331</v>
      </c>
      <c r="AH53" s="3" t="n">
        <v>0.2934748164</v>
      </c>
      <c r="AI53" s="3" t="n">
        <v>67</v>
      </c>
      <c r="AJ53" s="3" t="n">
        <v>2.409</v>
      </c>
      <c r="AK53" s="3" t="n">
        <v>1.1228</v>
      </c>
      <c r="AL53" s="3" t="n">
        <v>-0.1609305038523113</v>
      </c>
      <c r="AM53" s="6" t="n">
        <v>0.0353654505290349</v>
      </c>
      <c r="AN53" s="3" t="n">
        <v>0</v>
      </c>
      <c r="AO53" s="3" t="n">
        <v>1.202</v>
      </c>
      <c r="AP53" s="3" t="n">
        <v>0.733392</v>
      </c>
      <c r="AQ53" s="3">
        <f>N(X53)*N(BJ53)</f>
        <v/>
      </c>
      <c r="AR53" s="3" t="n">
        <v>0</v>
      </c>
      <c r="AS53" s="3" t="n">
        <v>-0</v>
      </c>
      <c r="AT53" s="3" t="n">
        <v>-0.1609305038523113</v>
      </c>
      <c r="AU53" s="3">
        <f>SUM(AO53:AT53)</f>
        <v/>
      </c>
      <c r="AV53" s="7">
        <f>IF(OR(N(W53)&lt;=0,N(BH53)=0),0,N(W53)*IF(N(R53)/N(W53)&gt;=60,N(BH53),1))</f>
        <v/>
      </c>
      <c r="AW53" s="7">
        <f>N(W53)*N(AF53)*N(BI53)</f>
        <v/>
      </c>
      <c r="AX53" s="3">
        <f>IF(N(BH53)=0,0,N(W53)*N(AH53))</f>
        <v/>
      </c>
      <c r="AY53" s="7">
        <f>N(AM53)*(Assumptions!$B$13*N(BK53)-(1-Assumptions!$B$13)*Assumptions!$B$14)+N(AN53)</f>
        <v/>
      </c>
      <c r="AZ53" s="7">
        <f>N(AU53)*N(R53)/90+N(AV53)+N(AW53)+N(AX53)+N(AY53)</f>
        <v/>
      </c>
      <c r="BA53" s="3">
        <f>IF(N(R53)&lt;=0,0,(N(AZ53)-N(AY53))*90/N(R53))</f>
        <v/>
      </c>
      <c r="BB53" s="7">
        <f>IFERROR(AZ53-VLOOKUP($E53,Assumptions!$A$40:$C$43,3,FALSE),"")</f>
        <v/>
      </c>
      <c r="BC53" s="3">
        <f>IFERROR(BB53/H53,"")</f>
        <v/>
      </c>
      <c r="BD53">
        <f>IF(AND($G53=TRUE,$E53="GKP"),AZ53,"")</f>
        <v/>
      </c>
      <c r="BE53">
        <f>IF(AND($G53=TRUE,$E53="DEF"),AZ53,"")</f>
        <v/>
      </c>
      <c r="BF53">
        <f>IF(AND($G53=TRUE,$E53="MID"),AZ53,"")</f>
        <v/>
      </c>
      <c r="BG53">
        <f>IF(AND($G53=TRUE,$E53="FWD"),AZ53,"")</f>
        <v/>
      </c>
      <c r="BH53" t="n">
        <v>2</v>
      </c>
      <c r="BI53" t="n">
        <v>2</v>
      </c>
      <c r="BJ53" t="n">
        <v>1</v>
      </c>
      <c r="BK53" t="n">
        <v>5</v>
      </c>
    </row>
    <row r="54">
      <c r="A54" t="inlineStr">
        <is>
          <t>Dean Henderson</t>
        </is>
      </c>
      <c r="B54" t="inlineStr">
        <is>
          <t>CRY</t>
        </is>
      </c>
      <c r="C54" t="inlineStr">
        <is>
          <t>CRY</t>
        </is>
      </c>
      <c r="D54" t="b">
        <v>0</v>
      </c>
      <c r="E54" t="inlineStr">
        <is>
          <t>GKP</t>
        </is>
      </c>
      <c r="F54" t="inlineStr">
        <is>
          <t>GKP</t>
        </is>
      </c>
      <c r="G54" t="b">
        <v>1</v>
      </c>
      <c r="H54" s="2" t="n">
        <v>5</v>
      </c>
      <c r="I54" t="inlineStr">
        <is>
          <t>a</t>
        </is>
      </c>
      <c r="K54" s="2" t="n">
        <v>3330</v>
      </c>
      <c r="L54" t="n">
        <v>131</v>
      </c>
      <c r="M54" s="3" t="n">
        <v>3385</v>
      </c>
      <c r="N54" s="8" t="n">
        <v>3385</v>
      </c>
      <c r="O54" s="8" t="n">
        <v>0</v>
      </c>
      <c r="Q54" t="inlineStr">
        <is>
          <t>flat</t>
        </is>
      </c>
      <c r="R54" s="6" t="n">
        <v>3385</v>
      </c>
      <c r="S54" t="inlineStr">
        <is>
          <t>Solio</t>
        </is>
      </c>
      <c r="U54" s="6" t="n">
        <v>90</v>
      </c>
      <c r="V54" s="2" t="n">
        <v>37</v>
      </c>
      <c r="W54" s="7">
        <f>IF(N(U54)&lt;=0,0,MIN(Assumptions!$B$15,N(R54)/N(U54)))</f>
        <v/>
      </c>
      <c r="X54" s="6" t="n">
        <v>0.216</v>
      </c>
      <c r="Y54" s="3" t="n">
        <v>0</v>
      </c>
      <c r="Z54" t="inlineStr">
        <is>
          <t>adjusted xGOT</t>
        </is>
      </c>
      <c r="AA54" s="3" t="n">
        <v>1</v>
      </c>
      <c r="AB54" s="3" t="n">
        <v>0.999</v>
      </c>
      <c r="AC54" s="3" t="n">
        <v>0</v>
      </c>
      <c r="AD54" s="3" t="n">
        <v>0.0017</v>
      </c>
      <c r="AE54" s="3" t="n">
        <v>0</v>
      </c>
      <c r="AF54" s="3" t="n">
        <v>0</v>
      </c>
      <c r="AG54" s="3" t="n">
        <v>5.384</v>
      </c>
      <c r="AH54" s="3" t="n">
        <v>0.1981334745</v>
      </c>
      <c r="AI54" s="3" t="n">
        <v>74</v>
      </c>
      <c r="AJ54" s="3" t="n">
        <v>3.2035</v>
      </c>
      <c r="AK54" s="3" t="n">
        <v>1.5923</v>
      </c>
      <c r="AL54" s="3" t="n">
        <v>-0.1086688776973607</v>
      </c>
      <c r="AM54" s="6" t="n">
        <v>0</v>
      </c>
      <c r="AN54" s="3" t="n">
        <v>3.364580376981904</v>
      </c>
      <c r="AO54" s="3" t="n">
        <v>0</v>
      </c>
      <c r="AP54" s="3" t="n">
        <v>0.006731999999999999</v>
      </c>
      <c r="AQ54" s="3">
        <f>N(X54)*N(BJ54)</f>
        <v/>
      </c>
      <c r="AR54" s="3" t="n">
        <v>0.7325188478059661</v>
      </c>
      <c r="AS54" s="3" t="n">
        <v>-0.5564987001023466</v>
      </c>
      <c r="AT54" s="3" t="n">
        <v>-0.1086688776973607</v>
      </c>
      <c r="AU54" s="3">
        <f>SUM(AO54:AT54)</f>
        <v/>
      </c>
      <c r="AV54" s="7">
        <f>IF(OR(N(W54)&lt;=0,N(BH54)=0),0,N(W54)*IF(N(R54)/N(W54)&gt;=60,N(BH54),1))</f>
        <v/>
      </c>
      <c r="AW54" s="7">
        <f>N(W54)*N(AF54)*N(BI54)</f>
        <v/>
      </c>
      <c r="AX54" s="3">
        <f>IF(N(BH54)=0,0,N(W54)*N(AH54))</f>
        <v/>
      </c>
      <c r="AY54" s="7">
        <f>N(AM54)*(Assumptions!$B$13*N(BK54)-(1-Assumptions!$B$13)*Assumptions!$B$14)+N(AN54)</f>
        <v/>
      </c>
      <c r="AZ54" s="7">
        <f>N(AU54)*N(R54)/90+N(AV54)+N(AW54)+N(AX54)+N(AY54)</f>
        <v/>
      </c>
      <c r="BA54" s="3">
        <f>IF(N(R54)&lt;=0,0,(N(AZ54)-N(AY54))*90/N(R54))</f>
        <v/>
      </c>
      <c r="BB54" s="7">
        <f>IFERROR(AZ54-VLOOKUP($E54,Assumptions!$A$40:$C$43,3,FALSE),"")</f>
        <v/>
      </c>
      <c r="BC54" s="3">
        <f>IFERROR(BB54/H54,"")</f>
        <v/>
      </c>
      <c r="BD54">
        <f>IF(AND($G54=TRUE,$E54="GKP"),AZ54,"")</f>
        <v/>
      </c>
      <c r="BE54">
        <f>IF(AND($G54=TRUE,$E54="DEF"),AZ54,"")</f>
        <v/>
      </c>
      <c r="BF54">
        <f>IF(AND($G54=TRUE,$E54="MID"),AZ54,"")</f>
        <v/>
      </c>
      <c r="BG54">
        <f>IF(AND($G54=TRUE,$E54="FWD"),AZ54,"")</f>
        <v/>
      </c>
      <c r="BH54" t="n">
        <v>2</v>
      </c>
      <c r="BI54" t="n">
        <v>0</v>
      </c>
      <c r="BJ54" t="n">
        <v>4</v>
      </c>
      <c r="BK54" t="n">
        <v>10</v>
      </c>
    </row>
    <row r="55">
      <c r="A55" t="inlineStr">
        <is>
          <t>Michael Keane</t>
        </is>
      </c>
      <c r="B55" t="inlineStr">
        <is>
          <t>EVE</t>
        </is>
      </c>
      <c r="C55" t="inlineStr">
        <is>
          <t>EVE</t>
        </is>
      </c>
      <c r="D55" t="b">
        <v>0</v>
      </c>
      <c r="E55" t="inlineStr">
        <is>
          <t>DEF</t>
        </is>
      </c>
      <c r="F55" t="inlineStr">
        <is>
          <t>DEF</t>
        </is>
      </c>
      <c r="G55" t="b">
        <v>1</v>
      </c>
      <c r="H55" s="2" t="n">
        <v>5</v>
      </c>
      <c r="I55" t="inlineStr">
        <is>
          <t>a</t>
        </is>
      </c>
      <c r="K55" s="2" t="n">
        <v>2588</v>
      </c>
      <c r="L55" t="n">
        <v>131</v>
      </c>
      <c r="M55" s="3" t="n">
        <v>623</v>
      </c>
      <c r="N55" s="4" t="n">
        <v>850</v>
      </c>
      <c r="O55" s="4" t="n">
        <v>227</v>
      </c>
      <c r="P55" s="5" t="inlineStr">
        <is>
          <t>low</t>
        </is>
      </c>
      <c r="Q55" t="inlineStr">
        <is>
          <t>flat</t>
        </is>
      </c>
      <c r="R55" s="6" t="n">
        <v>850</v>
      </c>
      <c r="S55" t="inlineStr">
        <is>
          <t>research</t>
        </is>
      </c>
      <c r="T55" s="5" t="inlineStr">
        <is>
          <t>Third-choice centre-back rather than a spare part. He started at centre-back alongside captain Tarkowski against Newcastle on 12 August and was a substitute against Lille. With Branthwaite's workload being managed after two hamstring operations and Jake O'Brien frequently pulled out to right-back, Keane is the first-call cover for two positions. 623 minutes assumes almost nothing goes wrong in a back line where something has gone wrong every season.</t>
        </is>
      </c>
      <c r="U55" s="6" t="n">
        <v>88.09999999999999</v>
      </c>
      <c r="V55" s="2" t="n">
        <v>28</v>
      </c>
      <c r="W55" s="7">
        <f>IF(N(U55)&lt;=0,0,MIN(Assumptions!$B$15,N(R55)/N(U55)))</f>
        <v/>
      </c>
      <c r="X55" s="6" t="n">
        <v>0.231</v>
      </c>
      <c r="Y55" s="3" t="n">
        <v>0.08400000000000001</v>
      </c>
      <c r="Z55" t="inlineStr">
        <is>
          <t>adjusted xGOT</t>
        </is>
      </c>
      <c r="AA55" s="3" t="n">
        <v>1</v>
      </c>
      <c r="AB55" s="3" t="n">
        <v>1.05</v>
      </c>
      <c r="AC55" s="3" t="n">
        <v>4.8</v>
      </c>
      <c r="AD55" s="3" t="n">
        <v>0.0108</v>
      </c>
      <c r="AE55" s="3" t="n">
        <v>9.888999999999999</v>
      </c>
      <c r="AF55" s="3" t="n">
        <v>0.5014814077861949</v>
      </c>
      <c r="AG55" s="3" t="n">
        <v>7.611</v>
      </c>
      <c r="AH55" s="3" t="n">
        <v>0.1648007358</v>
      </c>
      <c r="AI55" s="3" t="n">
        <v>62</v>
      </c>
      <c r="AJ55" s="3" t="n">
        <v>3.0311</v>
      </c>
      <c r="AK55" s="3" t="n">
        <v>1.5252</v>
      </c>
      <c r="AL55" s="3" t="n">
        <v>-0.1652835914547465</v>
      </c>
      <c r="AM55" s="6" t="n">
        <v>0</v>
      </c>
      <c r="AN55" s="3" t="n">
        <v>0</v>
      </c>
      <c r="AO55" s="3" t="n">
        <v>0.504</v>
      </c>
      <c r="AP55" s="3" t="n">
        <v>0.042768</v>
      </c>
      <c r="AQ55" s="3">
        <f>N(X55)*N(BJ55)</f>
        <v/>
      </c>
      <c r="AR55" s="3" t="n">
        <v>0</v>
      </c>
      <c r="AS55" s="3" t="n">
        <v>-0.524434996152324</v>
      </c>
      <c r="AT55" s="3" t="n">
        <v>-0.1652835914547465</v>
      </c>
      <c r="AU55" s="3">
        <f>SUM(AO55:AT55)</f>
        <v/>
      </c>
      <c r="AV55" s="7">
        <f>IF(OR(N(W55)&lt;=0,N(BH55)=0),0,N(W55)*IF(N(R55)/N(W55)&gt;=60,N(BH55),1))</f>
        <v/>
      </c>
      <c r="AW55" s="7">
        <f>N(W55)*N(AF55)*N(BI55)</f>
        <v/>
      </c>
      <c r="AX55" s="3">
        <f>IF(N(BH55)=0,0,N(W55)*N(AH55))</f>
        <v/>
      </c>
      <c r="AY55" s="7">
        <f>N(AM55)*(Assumptions!$B$13*N(BK55)-(1-Assumptions!$B$13)*Assumptions!$B$14)+N(AN55)</f>
        <v/>
      </c>
      <c r="AZ55" s="7">
        <f>N(AU55)*N(R55)/90+N(AV55)+N(AW55)+N(AX55)+N(AY55)</f>
        <v/>
      </c>
      <c r="BA55" s="3">
        <f>IF(N(R55)&lt;=0,0,(N(AZ55)-N(AY55))*90/N(R55))</f>
        <v/>
      </c>
      <c r="BB55" s="7">
        <f>IFERROR(AZ55-VLOOKUP($E55,Assumptions!$A$40:$C$43,3,FALSE),"")</f>
        <v/>
      </c>
      <c r="BC55" s="3">
        <f>IFERROR(BB55/H55,"")</f>
        <v/>
      </c>
      <c r="BD55">
        <f>IF(AND($G55=TRUE,$E55="GKP"),AZ55,"")</f>
        <v/>
      </c>
      <c r="BE55">
        <f>IF(AND($G55=TRUE,$E55="DEF"),AZ55,"")</f>
        <v/>
      </c>
      <c r="BF55">
        <f>IF(AND($G55=TRUE,$E55="MID"),AZ55,"")</f>
        <v/>
      </c>
      <c r="BG55">
        <f>IF(AND($G55=TRUE,$E55="FWD"),AZ55,"")</f>
        <v/>
      </c>
      <c r="BH55" t="n">
        <v>2</v>
      </c>
      <c r="BI55" t="n">
        <v>2</v>
      </c>
      <c r="BJ55" t="n">
        <v>4</v>
      </c>
      <c r="BK55" t="n">
        <v>6</v>
      </c>
    </row>
    <row r="56">
      <c r="A56" t="inlineStr">
        <is>
          <t>Phil Foden</t>
        </is>
      </c>
      <c r="B56" t="inlineStr">
        <is>
          <t>MCI</t>
        </is>
      </c>
      <c r="C56" t="inlineStr">
        <is>
          <t>MCI</t>
        </is>
      </c>
      <c r="D56" t="b">
        <v>0</v>
      </c>
      <c r="E56" t="inlineStr">
        <is>
          <t>MID</t>
        </is>
      </c>
      <c r="F56" t="inlineStr">
        <is>
          <t>MID</t>
        </is>
      </c>
      <c r="G56" t="b">
        <v>1</v>
      </c>
      <c r="H56" s="2" t="n">
        <v>7</v>
      </c>
      <c r="I56" t="inlineStr">
        <is>
          <t>a</t>
        </is>
      </c>
      <c r="K56" s="2" t="n">
        <v>2078</v>
      </c>
      <c r="L56" t="n">
        <v>131</v>
      </c>
      <c r="M56" s="3" t="n">
        <v>2063</v>
      </c>
      <c r="N56" s="8" t="n">
        <v>2063</v>
      </c>
      <c r="O56" s="8" t="n">
        <v>0</v>
      </c>
      <c r="Q56" t="inlineStr">
        <is>
          <t>flat</t>
        </is>
      </c>
      <c r="R56" s="6" t="n">
        <v>2063</v>
      </c>
      <c r="S56" t="inlineStr">
        <is>
          <t>Solio</t>
        </is>
      </c>
      <c r="U56" s="6" t="n">
        <v>82.3</v>
      </c>
      <c r="V56" s="2" t="n">
        <v>23</v>
      </c>
      <c r="W56" s="7">
        <f>IF(N(U56)&lt;=0,0,MIN(Assumptions!$B$15,N(R56)/N(U56)))</f>
        <v/>
      </c>
      <c r="X56" s="6" t="n">
        <v>0.371</v>
      </c>
      <c r="Y56" s="3" t="n">
        <v>0.3272</v>
      </c>
      <c r="Z56" t="inlineStr">
        <is>
          <t>adjusted xGOT</t>
        </is>
      </c>
      <c r="AA56" s="3" t="n">
        <v>1</v>
      </c>
      <c r="AB56" s="3" t="n">
        <v>1.253</v>
      </c>
      <c r="AC56" s="3" t="n">
        <v>27.1</v>
      </c>
      <c r="AD56" s="3" t="n">
        <v>0.2353</v>
      </c>
      <c r="AE56" s="3" t="n">
        <v>7.354</v>
      </c>
      <c r="AF56" s="3" t="n">
        <v>0.04187947256430979</v>
      </c>
      <c r="AG56" s="3" t="n">
        <v>8.69</v>
      </c>
      <c r="AH56" s="3" t="n">
        <v>0.6600681824</v>
      </c>
      <c r="AI56" s="3" t="n">
        <v>55</v>
      </c>
      <c r="AJ56" s="3" t="n">
        <v>1.9737</v>
      </c>
      <c r="AK56" s="3" t="n">
        <v>1.0365</v>
      </c>
      <c r="AL56" s="3" t="n">
        <v>-0.1611249062197476</v>
      </c>
      <c r="AM56" s="6" t="n">
        <v>0</v>
      </c>
      <c r="AN56" s="3" t="n">
        <v>0</v>
      </c>
      <c r="AO56" s="3" t="n">
        <v>1.636</v>
      </c>
      <c r="AP56" s="3" t="n">
        <v>0.9317880000000001</v>
      </c>
      <c r="AQ56" s="3">
        <f>N(X56)*N(BJ56)</f>
        <v/>
      </c>
      <c r="AR56" s="3" t="n">
        <v>0</v>
      </c>
      <c r="AS56" s="3" t="n">
        <v>-0</v>
      </c>
      <c r="AT56" s="3" t="n">
        <v>-0.1611249062197476</v>
      </c>
      <c r="AU56" s="3">
        <f>SUM(AO56:AT56)</f>
        <v/>
      </c>
      <c r="AV56" s="7">
        <f>IF(OR(N(W56)&lt;=0,N(BH56)=0),0,N(W56)*IF(N(R56)/N(W56)&gt;=60,N(BH56),1))</f>
        <v/>
      </c>
      <c r="AW56" s="7">
        <f>N(W56)*N(AF56)*N(BI56)</f>
        <v/>
      </c>
      <c r="AX56" s="3">
        <f>IF(N(BH56)=0,0,N(W56)*N(AH56))</f>
        <v/>
      </c>
      <c r="AY56" s="7">
        <f>N(AM56)*(Assumptions!$B$13*N(BK56)-(1-Assumptions!$B$13)*Assumptions!$B$14)+N(AN56)</f>
        <v/>
      </c>
      <c r="AZ56" s="7">
        <f>N(AU56)*N(R56)/90+N(AV56)+N(AW56)+N(AX56)+N(AY56)</f>
        <v/>
      </c>
      <c r="BA56" s="3">
        <f>IF(N(R56)&lt;=0,0,(N(AZ56)-N(AY56))*90/N(R56))</f>
        <v/>
      </c>
      <c r="BB56" s="7">
        <f>IFERROR(AZ56-VLOOKUP($E56,Assumptions!$A$40:$C$43,3,FALSE),"")</f>
        <v/>
      </c>
      <c r="BC56" s="3">
        <f>IFERROR(BB56/H56,"")</f>
        <v/>
      </c>
      <c r="BD56">
        <f>IF(AND($G56=TRUE,$E56="GKP"),AZ56,"")</f>
        <v/>
      </c>
      <c r="BE56">
        <f>IF(AND($G56=TRUE,$E56="DEF"),AZ56,"")</f>
        <v/>
      </c>
      <c r="BF56">
        <f>IF(AND($G56=TRUE,$E56="MID"),AZ56,"")</f>
        <v/>
      </c>
      <c r="BG56">
        <f>IF(AND($G56=TRUE,$E56="FWD"),AZ56,"")</f>
        <v/>
      </c>
      <c r="BH56" t="n">
        <v>2</v>
      </c>
      <c r="BI56" t="n">
        <v>2</v>
      </c>
      <c r="BJ56" t="n">
        <v>1</v>
      </c>
      <c r="BK56" t="n">
        <v>5</v>
      </c>
    </row>
    <row r="57">
      <c r="A57" t="inlineStr">
        <is>
          <t>Bart Verbruggen</t>
        </is>
      </c>
      <c r="B57" t="inlineStr">
        <is>
          <t>BHA</t>
        </is>
      </c>
      <c r="C57" t="inlineStr">
        <is>
          <t>BHA</t>
        </is>
      </c>
      <c r="D57" t="b">
        <v>0</v>
      </c>
      <c r="E57" t="inlineStr">
        <is>
          <t>GKP</t>
        </is>
      </c>
      <c r="F57" t="inlineStr">
        <is>
          <t>GKP</t>
        </is>
      </c>
      <c r="G57" t="b">
        <v>1</v>
      </c>
      <c r="H57" s="2" t="n">
        <v>4.5</v>
      </c>
      <c r="I57" t="inlineStr">
        <is>
          <t>a</t>
        </is>
      </c>
      <c r="K57" s="2" t="n">
        <v>3420</v>
      </c>
      <c r="L57" t="n">
        <v>130</v>
      </c>
      <c r="M57" s="3" t="n">
        <v>3385</v>
      </c>
      <c r="N57" s="8" t="n">
        <v>3385</v>
      </c>
      <c r="O57" s="8" t="n">
        <v>0</v>
      </c>
      <c r="Q57" t="inlineStr">
        <is>
          <t>flat</t>
        </is>
      </c>
      <c r="R57" s="6" t="n">
        <v>3385</v>
      </c>
      <c r="S57" t="inlineStr">
        <is>
          <t>Solio</t>
        </is>
      </c>
      <c r="U57" s="6" t="n">
        <v>90</v>
      </c>
      <c r="V57" s="2" t="n">
        <v>38</v>
      </c>
      <c r="W57" s="7">
        <f>IF(N(U57)&lt;=0,0,MIN(Assumptions!$B$15,N(R57)/N(U57)))</f>
        <v/>
      </c>
      <c r="X57" s="6" t="n">
        <v>0.252</v>
      </c>
      <c r="Y57" s="3" t="n">
        <v>0</v>
      </c>
      <c r="Z57" t="inlineStr">
        <is>
          <t>blended xG</t>
        </is>
      </c>
      <c r="AA57" s="3" t="n">
        <v>1</v>
      </c>
      <c r="AB57" s="3" t="n">
        <v>1</v>
      </c>
      <c r="AC57" s="3" t="n">
        <v>0</v>
      </c>
      <c r="AD57" s="3" t="n">
        <v>0.0018</v>
      </c>
      <c r="AE57" s="3" t="n">
        <v>0</v>
      </c>
      <c r="AF57" s="3" t="n">
        <v>0</v>
      </c>
      <c r="AG57" s="3" t="n">
        <v>6.728</v>
      </c>
      <c r="AH57" s="3" t="n">
        <v>0.265662026</v>
      </c>
      <c r="AI57" s="3" t="n">
        <v>76</v>
      </c>
      <c r="AJ57" s="3" t="n">
        <v>2.8404</v>
      </c>
      <c r="AK57" s="3" t="n">
        <v>1.439</v>
      </c>
      <c r="AL57" s="3" t="n">
        <v>-0.1026485428862804</v>
      </c>
      <c r="AM57" s="6" t="n">
        <v>0</v>
      </c>
      <c r="AN57" s="3" t="n">
        <v>3.040566860477085</v>
      </c>
      <c r="AO57" s="3" t="n">
        <v>0</v>
      </c>
      <c r="AP57" s="3" t="n">
        <v>0.007128000000000001</v>
      </c>
      <c r="AQ57" s="3">
        <f>N(X57)*N(BJ57)</f>
        <v/>
      </c>
      <c r="AR57" s="3" t="n">
        <v>0.6115252178851747</v>
      </c>
      <c r="AS57" s="3" t="n">
        <v>-0.4835617861760246</v>
      </c>
      <c r="AT57" s="3" t="n">
        <v>-0.1026485428862804</v>
      </c>
      <c r="AU57" s="3">
        <f>SUM(AO57:AT57)</f>
        <v/>
      </c>
      <c r="AV57" s="7">
        <f>IF(OR(N(W57)&lt;=0,N(BH57)=0),0,N(W57)*IF(N(R57)/N(W57)&gt;=60,N(BH57),1))</f>
        <v/>
      </c>
      <c r="AW57" s="7">
        <f>N(W57)*N(AF57)*N(BI57)</f>
        <v/>
      </c>
      <c r="AX57" s="3">
        <f>IF(N(BH57)=0,0,N(W57)*N(AH57))</f>
        <v/>
      </c>
      <c r="AY57" s="7">
        <f>N(AM57)*(Assumptions!$B$13*N(BK57)-(1-Assumptions!$B$13)*Assumptions!$B$14)+N(AN57)</f>
        <v/>
      </c>
      <c r="AZ57" s="7">
        <f>N(AU57)*N(R57)/90+N(AV57)+N(AW57)+N(AX57)+N(AY57)</f>
        <v/>
      </c>
      <c r="BA57" s="3">
        <f>IF(N(R57)&lt;=0,0,(N(AZ57)-N(AY57))*90/N(R57))</f>
        <v/>
      </c>
      <c r="BB57" s="7">
        <f>IFERROR(AZ57-VLOOKUP($E57,Assumptions!$A$40:$C$43,3,FALSE),"")</f>
        <v/>
      </c>
      <c r="BC57" s="3">
        <f>IFERROR(BB57/H57,"")</f>
        <v/>
      </c>
      <c r="BD57">
        <f>IF(AND($G57=TRUE,$E57="GKP"),AZ57,"")</f>
        <v/>
      </c>
      <c r="BE57">
        <f>IF(AND($G57=TRUE,$E57="DEF"),AZ57,"")</f>
        <v/>
      </c>
      <c r="BF57">
        <f>IF(AND($G57=TRUE,$E57="MID"),AZ57,"")</f>
        <v/>
      </c>
      <c r="BG57">
        <f>IF(AND($G57=TRUE,$E57="FWD"),AZ57,"")</f>
        <v/>
      </c>
      <c r="BH57" t="n">
        <v>2</v>
      </c>
      <c r="BI57" t="n">
        <v>0</v>
      </c>
      <c r="BJ57" t="n">
        <v>4</v>
      </c>
      <c r="BK57" t="n">
        <v>10</v>
      </c>
    </row>
    <row r="58">
      <c r="A58" t="inlineStr">
        <is>
          <t>Nathan Collins</t>
        </is>
      </c>
      <c r="B58" t="inlineStr">
        <is>
          <t>BRE</t>
        </is>
      </c>
      <c r="C58" t="inlineStr">
        <is>
          <t>BRE</t>
        </is>
      </c>
      <c r="D58" t="b">
        <v>0</v>
      </c>
      <c r="E58" t="inlineStr">
        <is>
          <t>DEF</t>
        </is>
      </c>
      <c r="F58" t="inlineStr">
        <is>
          <t>DEF</t>
        </is>
      </c>
      <c r="G58" t="b">
        <v>1</v>
      </c>
      <c r="H58" s="2" t="n">
        <v>5.5</v>
      </c>
      <c r="I58" t="inlineStr">
        <is>
          <t>a</t>
        </is>
      </c>
      <c r="K58" s="2" t="n">
        <v>2971</v>
      </c>
      <c r="L58" t="n">
        <v>129</v>
      </c>
      <c r="M58" s="3" t="n">
        <v>3044</v>
      </c>
      <c r="N58" s="8" t="n">
        <v>3044</v>
      </c>
      <c r="O58" s="8" t="n">
        <v>0</v>
      </c>
      <c r="Q58" t="inlineStr">
        <is>
          <t>flat</t>
        </is>
      </c>
      <c r="R58" s="6" t="n">
        <v>3044</v>
      </c>
      <c r="S58" t="inlineStr">
        <is>
          <t>Solio</t>
        </is>
      </c>
      <c r="U58" s="6" t="n">
        <v>88.90000000000001</v>
      </c>
      <c r="V58" s="2" t="n">
        <v>32</v>
      </c>
      <c r="W58" s="7">
        <f>IF(N(U58)&lt;=0,0,MIN(Assumptions!$B$15,N(R58)/N(U58)))</f>
        <v/>
      </c>
      <c r="X58" s="6" t="n">
        <v>0.228</v>
      </c>
      <c r="Y58" s="3" t="n">
        <v>0.06320000000000001</v>
      </c>
      <c r="Z58" t="inlineStr">
        <is>
          <t>adjusted xGOT</t>
        </is>
      </c>
      <c r="AA58" s="3" t="n">
        <v>1</v>
      </c>
      <c r="AB58" s="3" t="n">
        <v>0.931</v>
      </c>
      <c r="AC58" s="3" t="n">
        <v>6.5</v>
      </c>
      <c r="AD58" s="3" t="n">
        <v>0.06270000000000001</v>
      </c>
      <c r="AE58" s="3" t="n">
        <v>9.276999999999999</v>
      </c>
      <c r="AF58" s="3" t="n">
        <v>0.4341382956531085</v>
      </c>
      <c r="AG58" s="3" t="n">
        <v>7.986</v>
      </c>
      <c r="AH58" s="3" t="n">
        <v>0.2062425061</v>
      </c>
      <c r="AI58" s="3" t="n">
        <v>67</v>
      </c>
      <c r="AJ58" s="3" t="n">
        <v>3.2371</v>
      </c>
      <c r="AK58" s="3" t="n">
        <v>1.5396</v>
      </c>
      <c r="AL58" s="3" t="n">
        <v>-0.1902876584699316</v>
      </c>
      <c r="AM58" s="6" t="n">
        <v>0</v>
      </c>
      <c r="AN58" s="3" t="n">
        <v>0</v>
      </c>
      <c r="AO58" s="3" t="n">
        <v>0.3792</v>
      </c>
      <c r="AP58" s="3" t="n">
        <v>0.248292</v>
      </c>
      <c r="AQ58" s="3">
        <f>N(X58)*N(BJ58)</f>
        <v/>
      </c>
      <c r="AR58" s="3" t="n">
        <v>0</v>
      </c>
      <c r="AS58" s="3" t="n">
        <v>-0.5312990096912251</v>
      </c>
      <c r="AT58" s="3" t="n">
        <v>-0.1902876584699316</v>
      </c>
      <c r="AU58" s="3">
        <f>SUM(AO58:AT58)</f>
        <v/>
      </c>
      <c r="AV58" s="7">
        <f>IF(OR(N(W58)&lt;=0,N(BH58)=0),0,N(W58)*IF(N(R58)/N(W58)&gt;=60,N(BH58),1))</f>
        <v/>
      </c>
      <c r="AW58" s="7">
        <f>N(W58)*N(AF58)*N(BI58)</f>
        <v/>
      </c>
      <c r="AX58" s="3">
        <f>IF(N(BH58)=0,0,N(W58)*N(AH58))</f>
        <v/>
      </c>
      <c r="AY58" s="7">
        <f>N(AM58)*(Assumptions!$B$13*N(BK58)-(1-Assumptions!$B$13)*Assumptions!$B$14)+N(AN58)</f>
        <v/>
      </c>
      <c r="AZ58" s="7">
        <f>N(AU58)*N(R58)/90+N(AV58)+N(AW58)+N(AX58)+N(AY58)</f>
        <v/>
      </c>
      <c r="BA58" s="3">
        <f>IF(N(R58)&lt;=0,0,(N(AZ58)-N(AY58))*90/N(R58))</f>
        <v/>
      </c>
      <c r="BB58" s="7">
        <f>IFERROR(AZ58-VLOOKUP($E58,Assumptions!$A$40:$C$43,3,FALSE),"")</f>
        <v/>
      </c>
      <c r="BC58" s="3">
        <f>IFERROR(BB58/H58,"")</f>
        <v/>
      </c>
      <c r="BD58">
        <f>IF(AND($G58=TRUE,$E58="GKP"),AZ58,"")</f>
        <v/>
      </c>
      <c r="BE58">
        <f>IF(AND($G58=TRUE,$E58="DEF"),AZ58,"")</f>
        <v/>
      </c>
      <c r="BF58">
        <f>IF(AND($G58=TRUE,$E58="MID"),AZ58,"")</f>
        <v/>
      </c>
      <c r="BG58">
        <f>IF(AND($G58=TRUE,$E58="FWD"),AZ58,"")</f>
        <v/>
      </c>
      <c r="BH58" t="n">
        <v>2</v>
      </c>
      <c r="BI58" t="n">
        <v>2</v>
      </c>
      <c r="BJ58" t="n">
        <v>4</v>
      </c>
      <c r="BK58" t="n">
        <v>6</v>
      </c>
    </row>
    <row r="59">
      <c r="A59" t="inlineStr">
        <is>
          <t>Neco Williams</t>
        </is>
      </c>
      <c r="B59" t="inlineStr">
        <is>
          <t>NFO</t>
        </is>
      </c>
      <c r="C59" t="inlineStr">
        <is>
          <t>NFO</t>
        </is>
      </c>
      <c r="D59" t="b">
        <v>0</v>
      </c>
      <c r="E59" t="inlineStr">
        <is>
          <t>DEF</t>
        </is>
      </c>
      <c r="F59" t="inlineStr">
        <is>
          <t>DEF</t>
        </is>
      </c>
      <c r="G59" t="b">
        <v>1</v>
      </c>
      <c r="H59" s="2" t="n">
        <v>5</v>
      </c>
      <c r="I59" t="inlineStr">
        <is>
          <t>a</t>
        </is>
      </c>
      <c r="K59" s="2" t="n">
        <v>3203</v>
      </c>
      <c r="L59" t="n">
        <v>128</v>
      </c>
      <c r="M59" s="3" t="n">
        <v>3331</v>
      </c>
      <c r="N59" s="4" t="n">
        <v>3200</v>
      </c>
      <c r="O59" s="4" t="n">
        <v>-131</v>
      </c>
      <c r="P59" s="5" t="inlineStr">
        <is>
          <t>low</t>
        </is>
      </c>
      <c r="Q59" t="inlineStr">
        <is>
          <t>flat</t>
        </is>
      </c>
      <c r="R59" s="6" t="n">
        <v>3200</v>
      </c>
      <c r="S59" t="inlineStr">
        <is>
          <t>research</t>
        </is>
      </c>
      <c r="T59" s="5" t="inlineStr">
        <is>
          <t>Genuinely nailed at right wing-back, but Solio projects him above his own 2025-26 total of 3,203, which was already a near-ever-present season. A small allowance for suspensions and cup rotation.</t>
        </is>
      </c>
      <c r="U59" s="6" t="n">
        <v>88.2</v>
      </c>
      <c r="V59" s="2" t="n">
        <v>35</v>
      </c>
      <c r="W59" s="7">
        <f>IF(N(U59)&lt;=0,0,MIN(Assumptions!$B$15,N(R59)/N(U59)))</f>
        <v/>
      </c>
      <c r="X59" s="6" t="n">
        <v>0.224</v>
      </c>
      <c r="Y59" s="3" t="n">
        <v>0.0581</v>
      </c>
      <c r="Z59" t="inlineStr">
        <is>
          <t>adjusted xGOT</t>
        </is>
      </c>
      <c r="AA59" s="3" t="n">
        <v>1</v>
      </c>
      <c r="AB59" s="3" t="n">
        <v>1.029</v>
      </c>
      <c r="AC59" s="3" t="n">
        <v>6.3</v>
      </c>
      <c r="AD59" s="3" t="n">
        <v>0.1175</v>
      </c>
      <c r="AE59" s="3" t="n">
        <v>7.077</v>
      </c>
      <c r="AF59" s="3" t="n">
        <v>0.1630202047218356</v>
      </c>
      <c r="AG59" s="3" t="n">
        <v>9.195</v>
      </c>
      <c r="AH59" s="3" t="n">
        <v>0.274700712</v>
      </c>
      <c r="AI59" s="3" t="n">
        <v>71</v>
      </c>
      <c r="AJ59" s="3" t="n">
        <v>3.1134</v>
      </c>
      <c r="AK59" s="3" t="n">
        <v>1.5588</v>
      </c>
      <c r="AL59" s="3" t="n">
        <v>-0.2148358336121983</v>
      </c>
      <c r="AM59" s="6" t="n">
        <v>0</v>
      </c>
      <c r="AN59" s="3" t="n">
        <v>0</v>
      </c>
      <c r="AO59" s="3" t="n">
        <v>0.3486</v>
      </c>
      <c r="AP59" s="3" t="n">
        <v>0.4653</v>
      </c>
      <c r="AQ59" s="3">
        <f>N(X59)*N(BJ59)</f>
        <v/>
      </c>
      <c r="AR59" s="3" t="n">
        <v>0</v>
      </c>
      <c r="AS59" s="3" t="n">
        <v>-0.5404658182244797</v>
      </c>
      <c r="AT59" s="3" t="n">
        <v>-0.2148358336121983</v>
      </c>
      <c r="AU59" s="3">
        <f>SUM(AO59:AT59)</f>
        <v/>
      </c>
      <c r="AV59" s="7">
        <f>IF(OR(N(W59)&lt;=0,N(BH59)=0),0,N(W59)*IF(N(R59)/N(W59)&gt;=60,N(BH59),1))</f>
        <v/>
      </c>
      <c r="AW59" s="7">
        <f>N(W59)*N(AF59)*N(BI59)</f>
        <v/>
      </c>
      <c r="AX59" s="3">
        <f>IF(N(BH59)=0,0,N(W59)*N(AH59))</f>
        <v/>
      </c>
      <c r="AY59" s="7">
        <f>N(AM59)*(Assumptions!$B$13*N(BK59)-(1-Assumptions!$B$13)*Assumptions!$B$14)+N(AN59)</f>
        <v/>
      </c>
      <c r="AZ59" s="7">
        <f>N(AU59)*N(R59)/90+N(AV59)+N(AW59)+N(AX59)+N(AY59)</f>
        <v/>
      </c>
      <c r="BA59" s="3">
        <f>IF(N(R59)&lt;=0,0,(N(AZ59)-N(AY59))*90/N(R59))</f>
        <v/>
      </c>
      <c r="BB59" s="7">
        <f>IFERROR(AZ59-VLOOKUP($E59,Assumptions!$A$40:$C$43,3,FALSE),"")</f>
        <v/>
      </c>
      <c r="BC59" s="3">
        <f>IFERROR(BB59/H59,"")</f>
        <v/>
      </c>
      <c r="BD59">
        <f>IF(AND($G59=TRUE,$E59="GKP"),AZ59,"")</f>
        <v/>
      </c>
      <c r="BE59">
        <f>IF(AND($G59=TRUE,$E59="DEF"),AZ59,"")</f>
        <v/>
      </c>
      <c r="BF59">
        <f>IF(AND($G59=TRUE,$E59="MID"),AZ59,"")</f>
        <v/>
      </c>
      <c r="BG59">
        <f>IF(AND($G59=TRUE,$E59="FWD"),AZ59,"")</f>
        <v/>
      </c>
      <c r="BH59" t="n">
        <v>2</v>
      </c>
      <c r="BI59" t="n">
        <v>2</v>
      </c>
      <c r="BJ59" t="n">
        <v>4</v>
      </c>
      <c r="BK59" t="n">
        <v>6</v>
      </c>
    </row>
    <row r="60">
      <c r="A60" t="inlineStr">
        <is>
          <t>Viktor Gyökeres</t>
        </is>
      </c>
      <c r="B60" t="inlineStr">
        <is>
          <t>ARS</t>
        </is>
      </c>
      <c r="C60" t="inlineStr">
        <is>
          <t>ARS</t>
        </is>
      </c>
      <c r="D60" t="b">
        <v>0</v>
      </c>
      <c r="E60" t="inlineStr">
        <is>
          <t>FWD</t>
        </is>
      </c>
      <c r="F60" t="inlineStr">
        <is>
          <t>FWD</t>
        </is>
      </c>
      <c r="G60" t="b">
        <v>1</v>
      </c>
      <c r="H60" s="2" t="n">
        <v>7.5</v>
      </c>
      <c r="I60" t="inlineStr">
        <is>
          <t>a</t>
        </is>
      </c>
      <c r="K60" s="2" t="n">
        <v>2217</v>
      </c>
      <c r="L60" t="n">
        <v>128</v>
      </c>
      <c r="M60" s="3" t="n">
        <v>1459</v>
      </c>
      <c r="N60" s="8" t="n">
        <v>1459</v>
      </c>
      <c r="O60" s="8" t="n">
        <v>0</v>
      </c>
      <c r="Q60" t="inlineStr">
        <is>
          <t>flat</t>
        </is>
      </c>
      <c r="R60" s="6" t="n">
        <v>1459</v>
      </c>
      <c r="S60" t="inlineStr">
        <is>
          <t>Solio</t>
        </is>
      </c>
      <c r="U60" s="6" t="n">
        <v>76.5</v>
      </c>
      <c r="V60" s="2" t="n">
        <v>26</v>
      </c>
      <c r="W60" s="7">
        <f>IF(N(U60)&lt;=0,0,MIN(Assumptions!$B$15,N(R60)/N(U60)))</f>
        <v/>
      </c>
      <c r="X60" s="6" t="n">
        <v>0.391</v>
      </c>
      <c r="Y60" s="3" t="n">
        <v>0.3571</v>
      </c>
      <c r="Z60" t="inlineStr">
        <is>
          <t>adjusted xGOT</t>
        </is>
      </c>
      <c r="AA60" s="3" t="n">
        <v>0.835</v>
      </c>
      <c r="AB60" s="3" t="n">
        <v>0.859</v>
      </c>
      <c r="AC60" s="3" t="n">
        <v>12.3</v>
      </c>
      <c r="AD60" s="3" t="n">
        <v>0.09320000000000001</v>
      </c>
      <c r="AE60" s="3" t="n">
        <v>3.78</v>
      </c>
      <c r="AF60" s="3" t="n">
        <v>0.0001341086208062059</v>
      </c>
      <c r="AG60" s="3" t="n">
        <v>0.136</v>
      </c>
      <c r="AH60" s="3" t="n">
        <v>0.3747655392</v>
      </c>
      <c r="AI60" s="3" t="n">
        <v>58</v>
      </c>
      <c r="AJ60" s="3" t="n">
        <v>2.067</v>
      </c>
      <c r="AK60" s="3" t="n">
        <v>0.9838</v>
      </c>
      <c r="AL60" s="3" t="n">
        <v>-0.1988872775556141</v>
      </c>
      <c r="AM60" s="6" t="n">
        <v>0.4910444381460489</v>
      </c>
      <c r="AN60" s="3" t="n">
        <v>0</v>
      </c>
      <c r="AO60" s="3" t="n">
        <v>1.4284</v>
      </c>
      <c r="AP60" s="3" t="n">
        <v>0.369072</v>
      </c>
      <c r="AQ60" s="3">
        <f>N(X60)*N(BJ60)</f>
        <v/>
      </c>
      <c r="AR60" s="3" t="n">
        <v>0</v>
      </c>
      <c r="AS60" s="3" t="n">
        <v>-0</v>
      </c>
      <c r="AT60" s="3" t="n">
        <v>-0.1988872775556141</v>
      </c>
      <c r="AU60" s="3">
        <f>SUM(AO60:AT60)</f>
        <v/>
      </c>
      <c r="AV60" s="7">
        <f>IF(OR(N(W60)&lt;=0,N(BH60)=0),0,N(W60)*IF(N(R60)/N(W60)&gt;=60,N(BH60),1))</f>
        <v/>
      </c>
      <c r="AW60" s="7">
        <f>N(W60)*N(AF60)*N(BI60)</f>
        <v/>
      </c>
      <c r="AX60" s="3">
        <f>IF(N(BH60)=0,0,N(W60)*N(AH60))</f>
        <v/>
      </c>
      <c r="AY60" s="7">
        <f>N(AM60)*(Assumptions!$B$13*N(BK60)-(1-Assumptions!$B$13)*Assumptions!$B$14)+N(AN60)</f>
        <v/>
      </c>
      <c r="AZ60" s="7">
        <f>N(AU60)*N(R60)/90+N(AV60)+N(AW60)+N(AX60)+N(AY60)</f>
        <v/>
      </c>
      <c r="BA60" s="3">
        <f>IF(N(R60)&lt;=0,0,(N(AZ60)-N(AY60))*90/N(R60))</f>
        <v/>
      </c>
      <c r="BB60" s="7">
        <f>IFERROR(AZ60-VLOOKUP($E60,Assumptions!$A$40:$C$43,3,FALSE),"")</f>
        <v/>
      </c>
      <c r="BC60" s="3">
        <f>IFERROR(BB60/H60,"")</f>
        <v/>
      </c>
      <c r="BD60">
        <f>IF(AND($G60=TRUE,$E60="GKP"),AZ60,"")</f>
        <v/>
      </c>
      <c r="BE60">
        <f>IF(AND($G60=TRUE,$E60="DEF"),AZ60,"")</f>
        <v/>
      </c>
      <c r="BF60">
        <f>IF(AND($G60=TRUE,$E60="MID"),AZ60,"")</f>
        <v/>
      </c>
      <c r="BG60">
        <f>IF(AND($G60=TRUE,$E60="FWD"),AZ60,"")</f>
        <v/>
      </c>
      <c r="BH60" t="n">
        <v>2</v>
      </c>
      <c r="BI60" t="n">
        <v>2</v>
      </c>
      <c r="BJ60" t="n">
        <v>0</v>
      </c>
      <c r="BK60" t="n">
        <v>4</v>
      </c>
    </row>
    <row r="61">
      <c r="A61" t="inlineStr">
        <is>
          <t>Iliman Ndiaye</t>
        </is>
      </c>
      <c r="B61" t="inlineStr">
        <is>
          <t>EVE</t>
        </is>
      </c>
      <c r="C61" t="inlineStr">
        <is>
          <t>EVE</t>
        </is>
      </c>
      <c r="D61" t="b">
        <v>0</v>
      </c>
      <c r="E61" t="inlineStr">
        <is>
          <t>MID</t>
        </is>
      </c>
      <c r="F61" t="inlineStr">
        <is>
          <t>MID</t>
        </is>
      </c>
      <c r="G61" t="b">
        <v>1</v>
      </c>
      <c r="H61" s="2" t="n">
        <v>6</v>
      </c>
      <c r="I61" t="inlineStr">
        <is>
          <t>a</t>
        </is>
      </c>
      <c r="K61" s="2" t="n">
        <v>2781</v>
      </c>
      <c r="L61" t="n">
        <v>128</v>
      </c>
      <c r="M61" s="3" t="n">
        <v>3186</v>
      </c>
      <c r="N61" s="8" t="n">
        <v>3186</v>
      </c>
      <c r="O61" s="8" t="n">
        <v>0</v>
      </c>
      <c r="Q61" t="inlineStr">
        <is>
          <t>flat</t>
        </is>
      </c>
      <c r="R61" s="6" t="n">
        <v>3186</v>
      </c>
      <c r="S61" t="inlineStr">
        <is>
          <t>Solio</t>
        </is>
      </c>
      <c r="U61" s="6" t="n">
        <v>85.3</v>
      </c>
      <c r="V61" s="2" t="n">
        <v>32</v>
      </c>
      <c r="W61" s="7">
        <f>IF(N(U61)&lt;=0,0,MIN(Assumptions!$B$15,N(R61)/N(U61)))</f>
        <v/>
      </c>
      <c r="X61" s="6" t="n">
        <v>0.231</v>
      </c>
      <c r="Y61" s="3" t="n">
        <v>0.1929</v>
      </c>
      <c r="Z61" t="inlineStr">
        <is>
          <t>adjusted xGOT</t>
        </is>
      </c>
      <c r="AA61" s="3" t="n">
        <v>0.752</v>
      </c>
      <c r="AB61" s="3" t="n">
        <v>1.186</v>
      </c>
      <c r="AC61" s="3" t="n">
        <v>12.9</v>
      </c>
      <c r="AD61" s="3" t="n">
        <v>0.1435</v>
      </c>
      <c r="AE61" s="3" t="n">
        <v>9.039</v>
      </c>
      <c r="AF61" s="3" t="n">
        <v>0.1571058944797701</v>
      </c>
      <c r="AG61" s="3" t="n">
        <v>6.646</v>
      </c>
      <c r="AH61" s="3" t="n">
        <v>0.4011188818</v>
      </c>
      <c r="AI61" s="3" t="n">
        <v>64</v>
      </c>
      <c r="AJ61" s="3" t="n">
        <v>3.0311</v>
      </c>
      <c r="AK61" s="3" t="n">
        <v>1.5252</v>
      </c>
      <c r="AL61" s="3" t="n">
        <v>-0.1274666475742953</v>
      </c>
      <c r="AM61" s="6" t="n">
        <v>4.211429362823602</v>
      </c>
      <c r="AN61" s="3" t="n">
        <v>0</v>
      </c>
      <c r="AO61" s="3" t="n">
        <v>0.9644999999999999</v>
      </c>
      <c r="AP61" s="3" t="n">
        <v>0.56826</v>
      </c>
      <c r="AQ61" s="3">
        <f>N(X61)*N(BJ61)</f>
        <v/>
      </c>
      <c r="AR61" s="3" t="n">
        <v>0</v>
      </c>
      <c r="AS61" s="3" t="n">
        <v>-0</v>
      </c>
      <c r="AT61" s="3" t="n">
        <v>-0.1274666475742953</v>
      </c>
      <c r="AU61" s="3">
        <f>SUM(AO61:AT61)</f>
        <v/>
      </c>
      <c r="AV61" s="7">
        <f>IF(OR(N(W61)&lt;=0,N(BH61)=0),0,N(W61)*IF(N(R61)/N(W61)&gt;=60,N(BH61),1))</f>
        <v/>
      </c>
      <c r="AW61" s="7">
        <f>N(W61)*N(AF61)*N(BI61)</f>
        <v/>
      </c>
      <c r="AX61" s="3">
        <f>IF(N(BH61)=0,0,N(W61)*N(AH61))</f>
        <v/>
      </c>
      <c r="AY61" s="7">
        <f>N(AM61)*(Assumptions!$B$13*N(BK61)-(1-Assumptions!$B$13)*Assumptions!$B$14)+N(AN61)</f>
        <v/>
      </c>
      <c r="AZ61" s="7">
        <f>N(AU61)*N(R61)/90+N(AV61)+N(AW61)+N(AX61)+N(AY61)</f>
        <v/>
      </c>
      <c r="BA61" s="3">
        <f>IF(N(R61)&lt;=0,0,(N(AZ61)-N(AY61))*90/N(R61))</f>
        <v/>
      </c>
      <c r="BB61" s="7">
        <f>IFERROR(AZ61-VLOOKUP($E61,Assumptions!$A$40:$C$43,3,FALSE),"")</f>
        <v/>
      </c>
      <c r="BC61" s="3">
        <f>IFERROR(BB61/H61,"")</f>
        <v/>
      </c>
      <c r="BD61">
        <f>IF(AND($G61=TRUE,$E61="GKP"),AZ61,"")</f>
        <v/>
      </c>
      <c r="BE61">
        <f>IF(AND($G61=TRUE,$E61="DEF"),AZ61,"")</f>
        <v/>
      </c>
      <c r="BF61">
        <f>IF(AND($G61=TRUE,$E61="MID"),AZ61,"")</f>
        <v/>
      </c>
      <c r="BG61">
        <f>IF(AND($G61=TRUE,$E61="FWD"),AZ61,"")</f>
        <v/>
      </c>
      <c r="BH61" t="n">
        <v>2</v>
      </c>
      <c r="BI61" t="n">
        <v>2</v>
      </c>
      <c r="BJ61" t="n">
        <v>1</v>
      </c>
      <c r="BK61" t="n">
        <v>5</v>
      </c>
    </row>
    <row r="62">
      <c r="A62" t="inlineStr">
        <is>
          <t>Chris Richards</t>
        </is>
      </c>
      <c r="B62" t="inlineStr">
        <is>
          <t>CRY</t>
        </is>
      </c>
      <c r="C62" t="inlineStr">
        <is>
          <t>CRY</t>
        </is>
      </c>
      <c r="D62" t="b">
        <v>0</v>
      </c>
      <c r="E62" t="inlineStr">
        <is>
          <t>DEF</t>
        </is>
      </c>
      <c r="F62" t="inlineStr">
        <is>
          <t>DEF</t>
        </is>
      </c>
      <c r="G62" t="b">
        <v>1</v>
      </c>
      <c r="H62" s="2" t="n">
        <v>5</v>
      </c>
      <c r="I62" t="inlineStr">
        <is>
          <t>a</t>
        </is>
      </c>
      <c r="K62" s="2" t="n">
        <v>2825</v>
      </c>
      <c r="L62" t="n">
        <v>128</v>
      </c>
      <c r="M62" s="3" t="n">
        <v>3283</v>
      </c>
      <c r="N62" s="4" t="n">
        <v>3050</v>
      </c>
      <c r="O62" s="4" t="n">
        <v>-233</v>
      </c>
      <c r="P62" s="5" t="inlineStr">
        <is>
          <t>low</t>
        </is>
      </c>
      <c r="Q62" t="inlineStr">
        <is>
          <t>flat</t>
        </is>
      </c>
      <c r="R62" s="6" t="n">
        <v>3050</v>
      </c>
      <c r="S62" t="inlineStr">
        <is>
          <t>research</t>
        </is>
      </c>
      <c r="T62" s="5" t="inlineStr">
        <is>
          <t>Rotation haircut only; he is a nailed starter and started at Freiburg. Solio projects 458 minutes above his 2825 last season, in a season where Palace enter the Europa League league phase as Conference League holders and so play a Thursday-Sunday schedule. Palace played 60 matches in 2025/26 on the same pattern.</t>
        </is>
      </c>
      <c r="U62" s="6" t="n">
        <v>88.7</v>
      </c>
      <c r="V62" s="2" t="n">
        <v>31</v>
      </c>
      <c r="W62" s="7">
        <f>IF(N(U62)&lt;=0,0,MIN(Assumptions!$B$15,N(R62)/N(U62)))</f>
        <v/>
      </c>
      <c r="X62" s="6" t="n">
        <v>0.216</v>
      </c>
      <c r="Y62" s="3" t="n">
        <v>0.07199999999999999</v>
      </c>
      <c r="Z62" t="inlineStr">
        <is>
          <t>adjusted xGOT</t>
        </is>
      </c>
      <c r="AA62" s="3" t="n">
        <v>1</v>
      </c>
      <c r="AB62" s="3" t="n">
        <v>0.9340000000000001</v>
      </c>
      <c r="AC62" s="3" t="n">
        <v>5.1</v>
      </c>
      <c r="AD62" s="3" t="n">
        <v>0.0326</v>
      </c>
      <c r="AE62" s="3" t="n">
        <v>9.456</v>
      </c>
      <c r="AF62" s="3" t="n">
        <v>0.4545982629616002</v>
      </c>
      <c r="AG62" s="3" t="n">
        <v>8.02</v>
      </c>
      <c r="AH62" s="3" t="n">
        <v>0.192798234</v>
      </c>
      <c r="AI62" s="3" t="n">
        <v>64</v>
      </c>
      <c r="AJ62" s="3" t="n">
        <v>3.2035</v>
      </c>
      <c r="AK62" s="3" t="n">
        <v>1.5923</v>
      </c>
      <c r="AL62" s="3" t="n">
        <v>-0.1555108452468891</v>
      </c>
      <c r="AM62" s="6" t="n">
        <v>0</v>
      </c>
      <c r="AN62" s="3" t="n">
        <v>0</v>
      </c>
      <c r="AO62" s="3" t="n">
        <v>0.4319999999999999</v>
      </c>
      <c r="AP62" s="3" t="n">
        <v>0.129096</v>
      </c>
      <c r="AQ62" s="3">
        <f>N(X62)*N(BJ62)</f>
        <v/>
      </c>
      <c r="AR62" s="3" t="n">
        <v>0</v>
      </c>
      <c r="AS62" s="3" t="n">
        <v>-0.5564987001023466</v>
      </c>
      <c r="AT62" s="3" t="n">
        <v>-0.1555108452468891</v>
      </c>
      <c r="AU62" s="3">
        <f>SUM(AO62:AT62)</f>
        <v/>
      </c>
      <c r="AV62" s="7">
        <f>IF(OR(N(W62)&lt;=0,N(BH62)=0),0,N(W62)*IF(N(R62)/N(W62)&gt;=60,N(BH62),1))</f>
        <v/>
      </c>
      <c r="AW62" s="7">
        <f>N(W62)*N(AF62)*N(BI62)</f>
        <v/>
      </c>
      <c r="AX62" s="3">
        <f>IF(N(BH62)=0,0,N(W62)*N(AH62))</f>
        <v/>
      </c>
      <c r="AY62" s="7">
        <f>N(AM62)*(Assumptions!$B$13*N(BK62)-(1-Assumptions!$B$13)*Assumptions!$B$14)+N(AN62)</f>
        <v/>
      </c>
      <c r="AZ62" s="7">
        <f>N(AU62)*N(R62)/90+N(AV62)+N(AW62)+N(AX62)+N(AY62)</f>
        <v/>
      </c>
      <c r="BA62" s="3">
        <f>IF(N(R62)&lt;=0,0,(N(AZ62)-N(AY62))*90/N(R62))</f>
        <v/>
      </c>
      <c r="BB62" s="7">
        <f>IFERROR(AZ62-VLOOKUP($E62,Assumptions!$A$40:$C$43,3,FALSE),"")</f>
        <v/>
      </c>
      <c r="BC62" s="3">
        <f>IFERROR(BB62/H62,"")</f>
        <v/>
      </c>
      <c r="BD62">
        <f>IF(AND($G62=TRUE,$E62="GKP"),AZ62,"")</f>
        <v/>
      </c>
      <c r="BE62">
        <f>IF(AND($G62=TRUE,$E62="DEF"),AZ62,"")</f>
        <v/>
      </c>
      <c r="BF62">
        <f>IF(AND($G62=TRUE,$E62="MID"),AZ62,"")</f>
        <v/>
      </c>
      <c r="BG62">
        <f>IF(AND($G62=TRUE,$E62="FWD"),AZ62,"")</f>
        <v/>
      </c>
      <c r="BH62" t="n">
        <v>2</v>
      </c>
      <c r="BI62" t="n">
        <v>2</v>
      </c>
      <c r="BJ62" t="n">
        <v>4</v>
      </c>
      <c r="BK62" t="n">
        <v>6</v>
      </c>
    </row>
    <row r="63">
      <c r="A63" s="9" t="inlineStr">
        <is>
          <t>Jaidon Anthony</t>
        </is>
      </c>
      <c r="B63" t="inlineStr">
        <is>
          <t>BRE</t>
        </is>
      </c>
      <c r="C63" s="9" t="inlineStr">
        <is>
          <t>BUR</t>
        </is>
      </c>
      <c r="D63" t="b">
        <v>1</v>
      </c>
      <c r="E63" t="inlineStr">
        <is>
          <t>MID</t>
        </is>
      </c>
      <c r="F63" t="inlineStr">
        <is>
          <t>MID</t>
        </is>
      </c>
      <c r="G63" t="b">
        <v>1</v>
      </c>
      <c r="H63" s="2" t="n">
        <v>6</v>
      </c>
      <c r="I63" t="inlineStr">
        <is>
          <t>a</t>
        </is>
      </c>
      <c r="K63" s="2" t="n">
        <v>2717</v>
      </c>
      <c r="L63" t="n">
        <v>127</v>
      </c>
      <c r="M63" s="3" t="n">
        <v>716</v>
      </c>
      <c r="N63" s="4" t="n">
        <v>1450</v>
      </c>
      <c r="O63" s="4" t="n">
        <v>734</v>
      </c>
      <c r="P63" s="5" t="inlineStr">
        <is>
          <t>medium</t>
        </is>
      </c>
      <c r="Q63" t="inlineStr">
        <is>
          <t>flat</t>
        </is>
      </c>
      <c r="R63" s="6" t="n">
        <v>1450</v>
      </c>
      <c r="S63" t="inlineStr">
        <is>
          <t>research</t>
        </is>
      </c>
      <c r="T63" s="5" t="inlineStr">
        <is>
          <t>Solio has him at 716 minutes despite a permanent transfer from Burnley on 7 July for a reported 15m plus 2m in add-ons, and an FPL price of 6.0m - joint third-highest at the club, level with Schade. He played 2717 minutes for Burnley in 2025/26, started and scored against AFC Wimbledon, started the full Rennes friendly as the left-sided attacker, and was on the bench for the Frankfurt match. A club does not pay that fee for a 26-year-old to play eight games. He is behind Schade at left wing, so this is a heavy-rotation number rather than a starter's number.</t>
        </is>
      </c>
      <c r="U63" s="6" t="n">
        <v>81.8</v>
      </c>
      <c r="V63" s="2" t="n">
        <v>32</v>
      </c>
      <c r="W63" s="7">
        <f>IF(N(U63)&lt;=0,0,MIN(Assumptions!$B$15,N(R63)/N(U63)))</f>
        <v/>
      </c>
      <c r="X63" s="6" t="n">
        <v>0.228</v>
      </c>
      <c r="Y63" s="10" t="n">
        <v>0.2106</v>
      </c>
      <c r="Z63" t="inlineStr">
        <is>
          <t>adjusted xGOT</t>
        </is>
      </c>
      <c r="AA63" s="3" t="n">
        <v>1</v>
      </c>
      <c r="AB63" s="3" t="n">
        <v>1.244</v>
      </c>
      <c r="AC63" s="3" t="n">
        <v>6.9</v>
      </c>
      <c r="AD63" s="10" t="n">
        <v>0.1197</v>
      </c>
      <c r="AE63" s="3" t="n">
        <v>7.872</v>
      </c>
      <c r="AF63" s="3" t="n">
        <v>0.0606527788067327</v>
      </c>
      <c r="AG63" s="3" t="n">
        <v>4.894</v>
      </c>
      <c r="AH63" s="3" t="n">
        <v>0.323988138</v>
      </c>
      <c r="AI63" s="3" t="n">
        <v>67</v>
      </c>
      <c r="AJ63" s="3" t="n">
        <v>3.2371</v>
      </c>
      <c r="AK63" s="3" t="n">
        <v>1.5396</v>
      </c>
      <c r="AL63" s="3" t="n">
        <v>-0.1786180559706048</v>
      </c>
      <c r="AM63" s="6" t="n">
        <v>0</v>
      </c>
      <c r="AN63" s="3" t="n">
        <v>0</v>
      </c>
      <c r="AO63" s="10" t="n">
        <v>1.053</v>
      </c>
      <c r="AP63" s="10" t="n">
        <v>0.474012</v>
      </c>
      <c r="AQ63" s="3">
        <f>N(X63)*N(BJ63)</f>
        <v/>
      </c>
      <c r="AR63" s="3" t="n">
        <v>0</v>
      </c>
      <c r="AS63" s="3" t="n">
        <v>-0</v>
      </c>
      <c r="AT63" s="3" t="n">
        <v>-0.1786180559706048</v>
      </c>
      <c r="AU63" s="3">
        <f>SUM(AO63:AT63)</f>
        <v/>
      </c>
      <c r="AV63" s="7">
        <f>IF(OR(N(W63)&lt;=0,N(BH63)=0),0,N(W63)*IF(N(R63)/N(W63)&gt;=60,N(BH63),1))</f>
        <v/>
      </c>
      <c r="AW63" s="7">
        <f>N(W63)*N(AF63)*N(BI63)</f>
        <v/>
      </c>
      <c r="AX63" s="3">
        <f>IF(N(BH63)=0,0,N(W63)*N(AH63))</f>
        <v/>
      </c>
      <c r="AY63" s="7">
        <f>N(AM63)*(Assumptions!$B$13*N(BK63)-(1-Assumptions!$B$13)*Assumptions!$B$14)+N(AN63)</f>
        <v/>
      </c>
      <c r="AZ63" s="7">
        <f>N(AU63)*N(R63)/90+N(AV63)+N(AW63)+N(AX63)+N(AY63)</f>
        <v/>
      </c>
      <c r="BA63" s="3">
        <f>IF(N(R63)&lt;=0,0,(N(AZ63)-N(AY63))*90/N(R63))</f>
        <v/>
      </c>
      <c r="BB63" s="7">
        <f>IFERROR(AZ63-VLOOKUP($E63,Assumptions!$A$40:$C$43,3,FALSE),"")</f>
        <v/>
      </c>
      <c r="BC63" s="3">
        <f>IFERROR(BB63/H63,"")</f>
        <v/>
      </c>
      <c r="BD63">
        <f>IF(AND($G63=TRUE,$E63="GKP"),AZ63,"")</f>
        <v/>
      </c>
      <c r="BE63">
        <f>IF(AND($G63=TRUE,$E63="DEF"),AZ63,"")</f>
        <v/>
      </c>
      <c r="BF63">
        <f>IF(AND($G63=TRUE,$E63="MID"),AZ63,"")</f>
        <v/>
      </c>
      <c r="BG63">
        <f>IF(AND($G63=TRUE,$E63="FWD"),AZ63,"")</f>
        <v/>
      </c>
      <c r="BH63" t="n">
        <v>2</v>
      </c>
      <c r="BI63" t="n">
        <v>2</v>
      </c>
      <c r="BJ63" t="n">
        <v>1</v>
      </c>
      <c r="BK63" t="n">
        <v>5</v>
      </c>
    </row>
    <row r="64">
      <c r="A64" t="inlineStr">
        <is>
          <t>Malick Thiaw</t>
        </is>
      </c>
      <c r="B64" t="inlineStr">
        <is>
          <t>NEW</t>
        </is>
      </c>
      <c r="C64" t="inlineStr">
        <is>
          <t>NEW</t>
        </is>
      </c>
      <c r="D64" t="b">
        <v>0</v>
      </c>
      <c r="E64" t="inlineStr">
        <is>
          <t>DEF</t>
        </is>
      </c>
      <c r="F64" t="inlineStr">
        <is>
          <t>DEF</t>
        </is>
      </c>
      <c r="G64" t="b">
        <v>1</v>
      </c>
      <c r="H64" s="2" t="n">
        <v>5</v>
      </c>
      <c r="I64" t="inlineStr">
        <is>
          <t>a</t>
        </is>
      </c>
      <c r="K64" s="2" t="n">
        <v>2963</v>
      </c>
      <c r="L64" t="n">
        <v>126</v>
      </c>
      <c r="M64" s="3" t="n">
        <v>3243</v>
      </c>
      <c r="N64" s="8" t="n">
        <v>3243</v>
      </c>
      <c r="O64" s="8" t="n">
        <v>0</v>
      </c>
      <c r="Q64" t="inlineStr">
        <is>
          <t>flat</t>
        </is>
      </c>
      <c r="R64" s="6" t="n">
        <v>3243</v>
      </c>
      <c r="S64" t="inlineStr">
        <is>
          <t>Solio</t>
        </is>
      </c>
      <c r="U64" s="6" t="n">
        <v>87.7</v>
      </c>
      <c r="V64" s="2" t="n">
        <v>33</v>
      </c>
      <c r="W64" s="7">
        <f>IF(N(U64)&lt;=0,0,MIN(Assumptions!$B$15,N(R64)/N(U64)))</f>
        <v/>
      </c>
      <c r="X64" s="6" t="n">
        <v>0.248</v>
      </c>
      <c r="Y64" s="3" t="n">
        <v>0.1515</v>
      </c>
      <c r="Z64" t="inlineStr">
        <is>
          <t>adjusted xGOT</t>
        </is>
      </c>
      <c r="AA64" s="3" t="n">
        <v>1</v>
      </c>
      <c r="AB64" s="3" t="n">
        <v>1.039</v>
      </c>
      <c r="AC64" s="3" t="n">
        <v>4.8</v>
      </c>
      <c r="AD64" s="3" t="n">
        <v>0.0271</v>
      </c>
      <c r="AE64" s="3" t="n">
        <v>8.638</v>
      </c>
      <c r="AF64" s="3" t="n">
        <v>0.3363075002268741</v>
      </c>
      <c r="AG64" s="3" t="n">
        <v>8.772</v>
      </c>
      <c r="AH64" s="3" t="n">
        <v>0.3137115614</v>
      </c>
      <c r="AI64" s="3" t="n">
        <v>67</v>
      </c>
      <c r="AJ64" s="3" t="n">
        <v>3.0912</v>
      </c>
      <c r="AK64" s="3" t="n">
        <v>1.4534</v>
      </c>
      <c r="AL64" s="3" t="n">
        <v>-0.1629174169121166</v>
      </c>
      <c r="AM64" s="6" t="n">
        <v>0</v>
      </c>
      <c r="AN64" s="3" t="n">
        <v>0</v>
      </c>
      <c r="AO64" s="3" t="n">
        <v>0.909</v>
      </c>
      <c r="AP64" s="3" t="n">
        <v>0.107316</v>
      </c>
      <c r="AQ64" s="3">
        <f>N(X64)*N(BJ64)</f>
        <v/>
      </c>
      <c r="AR64" s="3" t="n">
        <v>0</v>
      </c>
      <c r="AS64" s="3" t="n">
        <v>-0.4903625828545308</v>
      </c>
      <c r="AT64" s="3" t="n">
        <v>-0.1629174169121166</v>
      </c>
      <c r="AU64" s="3">
        <f>SUM(AO64:AT64)</f>
        <v/>
      </c>
      <c r="AV64" s="7">
        <f>IF(OR(N(W64)&lt;=0,N(BH64)=0),0,N(W64)*IF(N(R64)/N(W64)&gt;=60,N(BH64),1))</f>
        <v/>
      </c>
      <c r="AW64" s="7">
        <f>N(W64)*N(AF64)*N(BI64)</f>
        <v/>
      </c>
      <c r="AX64" s="3">
        <f>IF(N(BH64)=0,0,N(W64)*N(AH64))</f>
        <v/>
      </c>
      <c r="AY64" s="7">
        <f>N(AM64)*(Assumptions!$B$13*N(BK64)-(1-Assumptions!$B$13)*Assumptions!$B$14)+N(AN64)</f>
        <v/>
      </c>
      <c r="AZ64" s="7">
        <f>N(AU64)*N(R64)/90+N(AV64)+N(AW64)+N(AX64)+N(AY64)</f>
        <v/>
      </c>
      <c r="BA64" s="3">
        <f>IF(N(R64)&lt;=0,0,(N(AZ64)-N(AY64))*90/N(R64))</f>
        <v/>
      </c>
      <c r="BB64" s="7">
        <f>IFERROR(AZ64-VLOOKUP($E64,Assumptions!$A$40:$C$43,3,FALSE),"")</f>
        <v/>
      </c>
      <c r="BC64" s="3">
        <f>IFERROR(BB64/H64,"")</f>
        <v/>
      </c>
      <c r="BD64">
        <f>IF(AND($G64=TRUE,$E64="GKP"),AZ64,"")</f>
        <v/>
      </c>
      <c r="BE64">
        <f>IF(AND($G64=TRUE,$E64="DEF"),AZ64,"")</f>
        <v/>
      </c>
      <c r="BF64">
        <f>IF(AND($G64=TRUE,$E64="MID"),AZ64,"")</f>
        <v/>
      </c>
      <c r="BG64">
        <f>IF(AND($G64=TRUE,$E64="FWD"),AZ64,"")</f>
        <v/>
      </c>
      <c r="BH64" t="n">
        <v>2</v>
      </c>
      <c r="BI64" t="n">
        <v>2</v>
      </c>
      <c r="BJ64" t="n">
        <v>4</v>
      </c>
      <c r="BK64" t="n">
        <v>6</v>
      </c>
    </row>
    <row r="65">
      <c r="A65" t="inlineStr">
        <is>
          <t>Brenden Aaronson</t>
        </is>
      </c>
      <c r="B65" t="inlineStr">
        <is>
          <t>LEE</t>
        </is>
      </c>
      <c r="C65" t="inlineStr">
        <is>
          <t>LEE</t>
        </is>
      </c>
      <c r="D65" t="b">
        <v>0</v>
      </c>
      <c r="E65" t="inlineStr">
        <is>
          <t>MID</t>
        </is>
      </c>
      <c r="F65" t="inlineStr">
        <is>
          <t>MID</t>
        </is>
      </c>
      <c r="G65" t="b">
        <v>1</v>
      </c>
      <c r="H65" s="2" t="n">
        <v>5.5</v>
      </c>
      <c r="I65" t="inlineStr">
        <is>
          <t>a</t>
        </is>
      </c>
      <c r="K65" s="2" t="n">
        <v>2449</v>
      </c>
      <c r="L65" t="n">
        <v>126</v>
      </c>
      <c r="M65" s="3" t="n">
        <v>1035</v>
      </c>
      <c r="N65" s="4" t="n">
        <v>1620</v>
      </c>
      <c r="O65" s="4" t="n">
        <v>585</v>
      </c>
      <c r="P65" s="5" t="inlineStr">
        <is>
          <t>medium</t>
        </is>
      </c>
      <c r="Q65" t="inlineStr">
        <is>
          <t>flat</t>
        </is>
      </c>
      <c r="R65" s="6" t="n">
        <v>1620</v>
      </c>
      <c r="S65" t="inlineStr">
        <is>
          <t>research</t>
        </is>
      </c>
      <c r="T65" s="5" t="inlineStr">
        <is>
          <t>Solio has him at 42% of last season's 2449 minutes, which inverts the current evidence. He started the final pre-season friendly (15 Aug) as one of the two No.10s in what Farke picked as his strongest available XI, six days before the opener, with 2 goals and 1 assist from three pre-season appearances. His direct competitor Okafor is short of match fitness by Farke's own admission and the other cover, Gnonto, has an untimed hamstring injury. I have deliberately NOT taken him all the way back to last season's level, because Okafor should regain fitness within a few weeks and Leeds are still hunting a wide forward (Paixao) before the 1 Sep deadline.</t>
        </is>
      </c>
      <c r="U65" s="6" t="n">
        <v>77.8</v>
      </c>
      <c r="V65" s="2" t="n">
        <v>30</v>
      </c>
      <c r="W65" s="7">
        <f>IF(N(U65)&lt;=0,0,MIN(Assumptions!$B$15,N(R65)/N(U65)))</f>
        <v/>
      </c>
      <c r="X65" s="6" t="n">
        <v>0.218</v>
      </c>
      <c r="Y65" s="3" t="n">
        <v>0.1593</v>
      </c>
      <c r="Z65" t="inlineStr">
        <is>
          <t>adjusted xGOT</t>
        </is>
      </c>
      <c r="AA65" s="3" t="n">
        <v>1</v>
      </c>
      <c r="AB65" s="3" t="n">
        <v>0.957</v>
      </c>
      <c r="AC65" s="3" t="n">
        <v>8.5</v>
      </c>
      <c r="AD65" s="3" t="n">
        <v>0.1702</v>
      </c>
      <c r="AE65" s="3" t="n">
        <v>8.083</v>
      </c>
      <c r="AF65" s="3" t="n">
        <v>0.05277822862255732</v>
      </c>
      <c r="AG65" s="3" t="n">
        <v>4.36</v>
      </c>
      <c r="AH65" s="3" t="n">
        <v>0.2579762702</v>
      </c>
      <c r="AI65" s="3" t="n">
        <v>65</v>
      </c>
      <c r="AJ65" s="3" t="n">
        <v>3.0611</v>
      </c>
      <c r="AK65" s="3" t="n">
        <v>1.5875</v>
      </c>
      <c r="AL65" s="3" t="n">
        <v>-0.1598973894162195</v>
      </c>
      <c r="AM65" s="6" t="n">
        <v>0</v>
      </c>
      <c r="AN65" s="3" t="n">
        <v>0</v>
      </c>
      <c r="AO65" s="3" t="n">
        <v>0.7965</v>
      </c>
      <c r="AP65" s="3" t="n">
        <v>0.6739919999999999</v>
      </c>
      <c r="AQ65" s="3">
        <f>N(X65)*N(BJ65)</f>
        <v/>
      </c>
      <c r="AR65" s="3" t="n">
        <v>0</v>
      </c>
      <c r="AS65" s="3" t="n">
        <v>-0</v>
      </c>
      <c r="AT65" s="3" t="n">
        <v>-0.1598973894162195</v>
      </c>
      <c r="AU65" s="3">
        <f>SUM(AO65:AT65)</f>
        <v/>
      </c>
      <c r="AV65" s="7">
        <f>IF(OR(N(W65)&lt;=0,N(BH65)=0),0,N(W65)*IF(N(R65)/N(W65)&gt;=60,N(BH65),1))</f>
        <v/>
      </c>
      <c r="AW65" s="7">
        <f>N(W65)*N(AF65)*N(BI65)</f>
        <v/>
      </c>
      <c r="AX65" s="3">
        <f>IF(N(BH65)=0,0,N(W65)*N(AH65))</f>
        <v/>
      </c>
      <c r="AY65" s="7">
        <f>N(AM65)*(Assumptions!$B$13*N(BK65)-(1-Assumptions!$B$13)*Assumptions!$B$14)+N(AN65)</f>
        <v/>
      </c>
      <c r="AZ65" s="7">
        <f>N(AU65)*N(R65)/90+N(AV65)+N(AW65)+N(AX65)+N(AY65)</f>
        <v/>
      </c>
      <c r="BA65" s="3">
        <f>IF(N(R65)&lt;=0,0,(N(AZ65)-N(AY65))*90/N(R65))</f>
        <v/>
      </c>
      <c r="BB65" s="7">
        <f>IFERROR(AZ65-VLOOKUP($E65,Assumptions!$A$40:$C$43,3,FALSE),"")</f>
        <v/>
      </c>
      <c r="BC65" s="3">
        <f>IFERROR(BB65/H65,"")</f>
        <v/>
      </c>
      <c r="BD65">
        <f>IF(AND($G65=TRUE,$E65="GKP"),AZ65,"")</f>
        <v/>
      </c>
      <c r="BE65">
        <f>IF(AND($G65=TRUE,$E65="DEF"),AZ65,"")</f>
        <v/>
      </c>
      <c r="BF65">
        <f>IF(AND($G65=TRUE,$E65="MID"),AZ65,"")</f>
        <v/>
      </c>
      <c r="BG65">
        <f>IF(AND($G65=TRUE,$E65="FWD"),AZ65,"")</f>
        <v/>
      </c>
      <c r="BH65" t="n">
        <v>2</v>
      </c>
      <c r="BI65" t="n">
        <v>2</v>
      </c>
      <c r="BJ65" t="n">
        <v>1</v>
      </c>
      <c r="BK65" t="n">
        <v>5</v>
      </c>
    </row>
    <row r="66">
      <c r="A66" s="9" t="inlineStr">
        <is>
          <t>Danny Welbeck</t>
        </is>
      </c>
      <c r="B66" t="inlineStr">
        <is>
          <t>CHE</t>
        </is>
      </c>
      <c r="C66" s="9" t="inlineStr">
        <is>
          <t>BHA</t>
        </is>
      </c>
      <c r="D66" t="b">
        <v>1</v>
      </c>
      <c r="E66" t="inlineStr">
        <is>
          <t>FWD</t>
        </is>
      </c>
      <c r="F66" t="inlineStr">
        <is>
          <t>FWD</t>
        </is>
      </c>
      <c r="G66" t="b">
        <v>1</v>
      </c>
      <c r="H66" s="2" t="n">
        <v>6</v>
      </c>
      <c r="I66" t="inlineStr">
        <is>
          <t>a</t>
        </is>
      </c>
      <c r="K66" s="2" t="n">
        <v>2249</v>
      </c>
      <c r="L66" t="n">
        <v>126</v>
      </c>
      <c r="M66" s="3" t="n">
        <v>586</v>
      </c>
      <c r="N66" s="8" t="n">
        <v>586</v>
      </c>
      <c r="O66" s="8" t="n">
        <v>0</v>
      </c>
      <c r="Q66" t="inlineStr">
        <is>
          <t>flat</t>
        </is>
      </c>
      <c r="R66" s="6" t="n">
        <v>586</v>
      </c>
      <c r="S66" t="inlineStr">
        <is>
          <t>Solio</t>
        </is>
      </c>
      <c r="U66" s="6" t="n">
        <v>79.2</v>
      </c>
      <c r="V66" s="2" t="n">
        <v>26</v>
      </c>
      <c r="W66" s="7">
        <f>IF(N(U66)&lt;=0,0,MIN(Assumptions!$B$15,N(R66)/N(U66)))</f>
        <v/>
      </c>
      <c r="X66" s="6" t="n">
        <v>0.322</v>
      </c>
      <c r="Y66" s="10" t="n">
        <v>0.4</v>
      </c>
      <c r="Z66" t="inlineStr">
        <is>
          <t>adjusted xGOT</t>
        </is>
      </c>
      <c r="AA66" s="3" t="n">
        <v>0.82</v>
      </c>
      <c r="AB66" s="3" t="n">
        <v>0.986</v>
      </c>
      <c r="AC66" s="3" t="n">
        <v>35.6</v>
      </c>
      <c r="AD66" s="10" t="n">
        <v>0.0733</v>
      </c>
      <c r="AE66" s="3" t="n">
        <v>4.557</v>
      </c>
      <c r="AF66" s="3" t="n">
        <v>0.0009349570724563883</v>
      </c>
      <c r="AG66" s="3" t="n">
        <v>1.967</v>
      </c>
      <c r="AH66" s="3" t="n">
        <v>0.5110821285</v>
      </c>
      <c r="AI66" s="3" t="n">
        <v>62</v>
      </c>
      <c r="AJ66" s="3" t="n">
        <v>2.4232</v>
      </c>
      <c r="AK66" s="3" t="n">
        <v>1.1851</v>
      </c>
      <c r="AL66" s="3" t="n">
        <v>-0.206825124339262</v>
      </c>
      <c r="AM66" s="6" t="n">
        <v>0</v>
      </c>
      <c r="AN66" s="3" t="n">
        <v>0</v>
      </c>
      <c r="AO66" s="10" t="n">
        <v>1.6</v>
      </c>
      <c r="AP66" s="10" t="n">
        <v>0.290268</v>
      </c>
      <c r="AQ66" s="3">
        <f>N(X66)*N(BJ66)</f>
        <v/>
      </c>
      <c r="AR66" s="3" t="n">
        <v>0</v>
      </c>
      <c r="AS66" s="3" t="n">
        <v>-0</v>
      </c>
      <c r="AT66" s="3" t="n">
        <v>-0.206825124339262</v>
      </c>
      <c r="AU66" s="3">
        <f>SUM(AO66:AT66)</f>
        <v/>
      </c>
      <c r="AV66" s="7">
        <f>IF(OR(N(W66)&lt;=0,N(BH66)=0),0,N(W66)*IF(N(R66)/N(W66)&gt;=60,N(BH66),1))</f>
        <v/>
      </c>
      <c r="AW66" s="7">
        <f>N(W66)*N(AF66)*N(BI66)</f>
        <v/>
      </c>
      <c r="AX66" s="3">
        <f>IF(N(BH66)=0,0,N(W66)*N(AH66))</f>
        <v/>
      </c>
      <c r="AY66" s="7">
        <f>N(AM66)*(Assumptions!$B$13*N(BK66)-(1-Assumptions!$B$13)*Assumptions!$B$14)+N(AN66)</f>
        <v/>
      </c>
      <c r="AZ66" s="7">
        <f>N(AU66)*N(R66)/90+N(AV66)+N(AW66)+N(AX66)+N(AY66)</f>
        <v/>
      </c>
      <c r="BA66" s="3">
        <f>IF(N(R66)&lt;=0,0,(N(AZ66)-N(AY66))*90/N(R66))</f>
        <v/>
      </c>
      <c r="BB66" s="7">
        <f>IFERROR(AZ66-VLOOKUP($E66,Assumptions!$A$40:$C$43,3,FALSE),"")</f>
        <v/>
      </c>
      <c r="BC66" s="3">
        <f>IFERROR(BB66/H66,"")</f>
        <v/>
      </c>
      <c r="BD66">
        <f>IF(AND($G66=TRUE,$E66="GKP"),AZ66,"")</f>
        <v/>
      </c>
      <c r="BE66">
        <f>IF(AND($G66=TRUE,$E66="DEF"),AZ66,"")</f>
        <v/>
      </c>
      <c r="BF66">
        <f>IF(AND($G66=TRUE,$E66="MID"),AZ66,"")</f>
        <v/>
      </c>
      <c r="BG66">
        <f>IF(AND($G66=TRUE,$E66="FWD"),AZ66,"")</f>
        <v/>
      </c>
      <c r="BH66" t="n">
        <v>2</v>
      </c>
      <c r="BI66" t="n">
        <v>2</v>
      </c>
      <c r="BJ66" t="n">
        <v>0</v>
      </c>
      <c r="BK66" t="n">
        <v>4</v>
      </c>
    </row>
    <row r="67">
      <c r="A67" t="inlineStr">
        <is>
          <t>Florian Wirtz</t>
        </is>
      </c>
      <c r="B67" t="inlineStr">
        <is>
          <t>LIV</t>
        </is>
      </c>
      <c r="C67" t="inlineStr">
        <is>
          <t>LIV</t>
        </is>
      </c>
      <c r="D67" t="b">
        <v>0</v>
      </c>
      <c r="E67" t="inlineStr">
        <is>
          <t>MID</t>
        </is>
      </c>
      <c r="F67" t="inlineStr">
        <is>
          <t>MID</t>
        </is>
      </c>
      <c r="G67" t="b">
        <v>1</v>
      </c>
      <c r="H67" s="2" t="n">
        <v>7.5</v>
      </c>
      <c r="I67" t="inlineStr">
        <is>
          <t>a</t>
        </is>
      </c>
      <c r="K67" s="2" t="n">
        <v>2374</v>
      </c>
      <c r="L67" t="n">
        <v>125</v>
      </c>
      <c r="M67" s="3" t="n">
        <v>2902</v>
      </c>
      <c r="N67" s="8" t="n">
        <v>2902</v>
      </c>
      <c r="O67" s="8" t="n">
        <v>0</v>
      </c>
      <c r="Q67" t="inlineStr">
        <is>
          <t>flat</t>
        </is>
      </c>
      <c r="R67" s="6" t="n">
        <v>2902</v>
      </c>
      <c r="S67" t="inlineStr">
        <is>
          <t>Solio</t>
        </is>
      </c>
      <c r="U67" s="6" t="n">
        <v>81.59999999999999</v>
      </c>
      <c r="V67" s="2" t="n">
        <v>27</v>
      </c>
      <c r="W67" s="7">
        <f>IF(N(U67)&lt;=0,0,MIN(Assumptions!$B$15,N(R67)/N(U67)))</f>
        <v/>
      </c>
      <c r="X67" s="6" t="n">
        <v>0.342</v>
      </c>
      <c r="Y67" s="3" t="n">
        <v>0.2532</v>
      </c>
      <c r="Z67" t="inlineStr">
        <is>
          <t>adjusted xGOT</t>
        </is>
      </c>
      <c r="AA67" s="3" t="n">
        <v>1</v>
      </c>
      <c r="AB67" s="3" t="n">
        <v>0.978</v>
      </c>
      <c r="AC67" s="3" t="n">
        <v>6.8</v>
      </c>
      <c r="AD67" s="3" t="n">
        <v>0.1995</v>
      </c>
      <c r="AE67" s="3" t="n">
        <v>7.116</v>
      </c>
      <c r="AF67" s="3" t="n">
        <v>0.0323185689960912</v>
      </c>
      <c r="AG67" s="3" t="n">
        <v>7.528</v>
      </c>
      <c r="AH67" s="3" t="n">
        <v>0.4501788914</v>
      </c>
      <c r="AI67" s="3" t="n">
        <v>60</v>
      </c>
      <c r="AJ67" s="3" t="n">
        <v>2.409</v>
      </c>
      <c r="AK67" s="3" t="n">
        <v>1.1228</v>
      </c>
      <c r="AL67" s="3" t="n">
        <v>-0.1155200166475775</v>
      </c>
      <c r="AM67" s="6" t="n">
        <v>0.0117617414321838</v>
      </c>
      <c r="AN67" s="3" t="n">
        <v>0</v>
      </c>
      <c r="AO67" s="3" t="n">
        <v>1.266</v>
      </c>
      <c r="AP67" s="3" t="n">
        <v>0.7900200000000001</v>
      </c>
      <c r="AQ67" s="3">
        <f>N(X67)*N(BJ67)</f>
        <v/>
      </c>
      <c r="AR67" s="3" t="n">
        <v>0</v>
      </c>
      <c r="AS67" s="3" t="n">
        <v>-0</v>
      </c>
      <c r="AT67" s="3" t="n">
        <v>-0.1155200166475775</v>
      </c>
      <c r="AU67" s="3">
        <f>SUM(AO67:AT67)</f>
        <v/>
      </c>
      <c r="AV67" s="7">
        <f>IF(OR(N(W67)&lt;=0,N(BH67)=0),0,N(W67)*IF(N(R67)/N(W67)&gt;=60,N(BH67),1))</f>
        <v/>
      </c>
      <c r="AW67" s="7">
        <f>N(W67)*N(AF67)*N(BI67)</f>
        <v/>
      </c>
      <c r="AX67" s="3">
        <f>IF(N(BH67)=0,0,N(W67)*N(AH67))</f>
        <v/>
      </c>
      <c r="AY67" s="7">
        <f>N(AM67)*(Assumptions!$B$13*N(BK67)-(1-Assumptions!$B$13)*Assumptions!$B$14)+N(AN67)</f>
        <v/>
      </c>
      <c r="AZ67" s="7">
        <f>N(AU67)*N(R67)/90+N(AV67)+N(AW67)+N(AX67)+N(AY67)</f>
        <v/>
      </c>
      <c r="BA67" s="3">
        <f>IF(N(R67)&lt;=0,0,(N(AZ67)-N(AY67))*90/N(R67))</f>
        <v/>
      </c>
      <c r="BB67" s="7">
        <f>IFERROR(AZ67-VLOOKUP($E67,Assumptions!$A$40:$C$43,3,FALSE),"")</f>
        <v/>
      </c>
      <c r="BC67" s="3">
        <f>IFERROR(BB67/H67,"")</f>
        <v/>
      </c>
      <c r="BD67">
        <f>IF(AND($G67=TRUE,$E67="GKP"),AZ67,"")</f>
        <v/>
      </c>
      <c r="BE67">
        <f>IF(AND($G67=TRUE,$E67="DEF"),AZ67,"")</f>
        <v/>
      </c>
      <c r="BF67">
        <f>IF(AND($G67=TRUE,$E67="MID"),AZ67,"")</f>
        <v/>
      </c>
      <c r="BG67">
        <f>IF(AND($G67=TRUE,$E67="FWD"),AZ67,"")</f>
        <v/>
      </c>
      <c r="BH67" t="n">
        <v>2</v>
      </c>
      <c r="BI67" t="n">
        <v>2</v>
      </c>
      <c r="BJ67" t="n">
        <v>1</v>
      </c>
      <c r="BK67" t="n">
        <v>5</v>
      </c>
    </row>
    <row r="68">
      <c r="A68" t="inlineStr">
        <is>
          <t>Pedro Neto</t>
        </is>
      </c>
      <c r="B68" t="inlineStr">
        <is>
          <t>CHE</t>
        </is>
      </c>
      <c r="C68" t="inlineStr">
        <is>
          <t>CHE</t>
        </is>
      </c>
      <c r="D68" t="b">
        <v>0</v>
      </c>
      <c r="E68" t="inlineStr">
        <is>
          <t>MID</t>
        </is>
      </c>
      <c r="F68" t="inlineStr">
        <is>
          <t>MID</t>
        </is>
      </c>
      <c r="G68" t="b">
        <v>1</v>
      </c>
      <c r="H68" s="2" t="n">
        <v>6.5</v>
      </c>
      <c r="I68" t="inlineStr">
        <is>
          <t>a</t>
        </is>
      </c>
      <c r="K68" s="2" t="n">
        <v>2629</v>
      </c>
      <c r="L68" t="n">
        <v>125</v>
      </c>
      <c r="M68" s="3" t="n">
        <v>1773</v>
      </c>
      <c r="N68" s="8" t="n">
        <v>1773</v>
      </c>
      <c r="O68" s="8" t="n">
        <v>0</v>
      </c>
      <c r="Q68" t="inlineStr">
        <is>
          <t>flat</t>
        </is>
      </c>
      <c r="R68" s="6" t="n">
        <v>1773</v>
      </c>
      <c r="S68" t="inlineStr">
        <is>
          <t>Solio</t>
        </is>
      </c>
      <c r="U68" s="6" t="n">
        <v>81.59999999999999</v>
      </c>
      <c r="V68" s="2" t="n">
        <v>29</v>
      </c>
      <c r="W68" s="7">
        <f>IF(N(U68)&lt;=0,0,MIN(Assumptions!$B$15,N(R68)/N(U68)))</f>
        <v/>
      </c>
      <c r="X68" s="6" t="n">
        <v>0.322</v>
      </c>
      <c r="Y68" s="3" t="n">
        <v>0.1289</v>
      </c>
      <c r="Z68" t="inlineStr">
        <is>
          <t>adjusted xGOT</t>
        </is>
      </c>
      <c r="AA68" s="3" t="n">
        <v>1</v>
      </c>
      <c r="AB68" s="3" t="n">
        <v>0.82</v>
      </c>
      <c r="AC68" s="3" t="n">
        <v>12.4</v>
      </c>
      <c r="AD68" s="3" t="n">
        <v>0.2529</v>
      </c>
      <c r="AE68" s="3" t="n">
        <v>5.123</v>
      </c>
      <c r="AF68" s="3" t="n">
        <v>0.003090020413393013</v>
      </c>
      <c r="AG68" s="3" t="n">
        <v>6.733</v>
      </c>
      <c r="AH68" s="3" t="n">
        <v>0.305367058</v>
      </c>
      <c r="AI68" s="3" t="n">
        <v>64</v>
      </c>
      <c r="AJ68" s="3" t="n">
        <v>2.4232</v>
      </c>
      <c r="AK68" s="3" t="n">
        <v>1.1851</v>
      </c>
      <c r="AL68" s="3" t="n">
        <v>-0.1895532824458867</v>
      </c>
      <c r="AM68" s="6" t="n">
        <v>0</v>
      </c>
      <c r="AN68" s="3" t="n">
        <v>0</v>
      </c>
      <c r="AO68" s="3" t="n">
        <v>0.6445</v>
      </c>
      <c r="AP68" s="3" t="n">
        <v>1.001484</v>
      </c>
      <c r="AQ68" s="3">
        <f>N(X68)*N(BJ68)</f>
        <v/>
      </c>
      <c r="AR68" s="3" t="n">
        <v>0</v>
      </c>
      <c r="AS68" s="3" t="n">
        <v>-0</v>
      </c>
      <c r="AT68" s="3" t="n">
        <v>-0.1895532824458867</v>
      </c>
      <c r="AU68" s="3">
        <f>SUM(AO68:AT68)</f>
        <v/>
      </c>
      <c r="AV68" s="7">
        <f>IF(OR(N(W68)&lt;=0,N(BH68)=0),0,N(W68)*IF(N(R68)/N(W68)&gt;=60,N(BH68),1))</f>
        <v/>
      </c>
      <c r="AW68" s="7">
        <f>N(W68)*N(AF68)*N(BI68)</f>
        <v/>
      </c>
      <c r="AX68" s="3">
        <f>IF(N(BH68)=0,0,N(W68)*N(AH68))</f>
        <v/>
      </c>
      <c r="AY68" s="7">
        <f>N(AM68)*(Assumptions!$B$13*N(BK68)-(1-Assumptions!$B$13)*Assumptions!$B$14)+N(AN68)</f>
        <v/>
      </c>
      <c r="AZ68" s="7">
        <f>N(AU68)*N(R68)/90+N(AV68)+N(AW68)+N(AX68)+N(AY68)</f>
        <v/>
      </c>
      <c r="BA68" s="3">
        <f>IF(N(R68)&lt;=0,0,(N(AZ68)-N(AY68))*90/N(R68))</f>
        <v/>
      </c>
      <c r="BB68" s="7">
        <f>IFERROR(AZ68-VLOOKUP($E68,Assumptions!$A$40:$C$43,3,FALSE),"")</f>
        <v/>
      </c>
      <c r="BC68" s="3">
        <f>IFERROR(BB68/H68,"")</f>
        <v/>
      </c>
      <c r="BD68">
        <f>IF(AND($G68=TRUE,$E68="GKP"),AZ68,"")</f>
        <v/>
      </c>
      <c r="BE68">
        <f>IF(AND($G68=TRUE,$E68="DEF"),AZ68,"")</f>
        <v/>
      </c>
      <c r="BF68">
        <f>IF(AND($G68=TRUE,$E68="MID"),AZ68,"")</f>
        <v/>
      </c>
      <c r="BG68">
        <f>IF(AND($G68=TRUE,$E68="FWD"),AZ68,"")</f>
        <v/>
      </c>
      <c r="BH68" t="n">
        <v>2</v>
      </c>
      <c r="BI68" t="n">
        <v>2</v>
      </c>
      <c r="BJ68" t="n">
        <v>1</v>
      </c>
      <c r="BK68" t="n">
        <v>5</v>
      </c>
    </row>
    <row r="69">
      <c r="A69" t="inlineStr">
        <is>
          <t>Hugo Ekitiké</t>
        </is>
      </c>
      <c r="B69" t="inlineStr">
        <is>
          <t>LIV</t>
        </is>
      </c>
      <c r="C69" t="inlineStr">
        <is>
          <t>LIV</t>
        </is>
      </c>
      <c r="D69" t="b">
        <v>0</v>
      </c>
      <c r="E69" t="inlineStr">
        <is>
          <t>FWD</t>
        </is>
      </c>
      <c r="F69" t="inlineStr">
        <is>
          <t>FWD</t>
        </is>
      </c>
      <c r="G69" t="b">
        <v>1</v>
      </c>
      <c r="H69" s="2" t="n">
        <v>7.5</v>
      </c>
      <c r="I69" t="inlineStr">
        <is>
          <t>i</t>
        </is>
      </c>
      <c r="J69" t="inlineStr">
        <is>
          <t>Achilles injury - Unknown return date</t>
        </is>
      </c>
      <c r="K69" s="2" t="n">
        <v>1797</v>
      </c>
      <c r="L69" t="n">
        <v>125</v>
      </c>
      <c r="M69" s="3" t="n">
        <v>942</v>
      </c>
      <c r="N69" s="4" t="n">
        <v>780</v>
      </c>
      <c r="O69" s="4" t="n">
        <v>-162</v>
      </c>
      <c r="P69" s="5" t="inlineStr">
        <is>
          <t>medium</t>
        </is>
      </c>
      <c r="Q69" t="inlineStr">
        <is>
          <t>flat</t>
        </is>
      </c>
      <c r="R69" s="6" t="n">
        <v>780</v>
      </c>
      <c r="S69" t="inlineStr">
        <is>
          <t>research</t>
        </is>
      </c>
      <c r="T69" s="5" t="inlineStr">
        <is>
          <t>This Is Anfield states Ekitike is 'not expected to return from his Achilles injury until early 2027', and Opta's audit says the same. Solio's 942 is about ten-and-a-half full matches, which is generous for a striker rebuilding from a ruptured Achilles with at most fifteen or sixteen league games left after he is available.</t>
        </is>
      </c>
      <c r="U69" s="6" t="n">
        <v>77.7</v>
      </c>
      <c r="V69" s="2" t="n">
        <v>21</v>
      </c>
      <c r="W69" s="7">
        <f>IF(N(U69)&lt;=0,0,MIN(Assumptions!$B$15,N(R69)/N(U69)))</f>
        <v/>
      </c>
      <c r="X69" s="6" t="n">
        <v>0.342</v>
      </c>
      <c r="Y69" s="3" t="n">
        <v>0.4807</v>
      </c>
      <c r="Z69" t="inlineStr">
        <is>
          <t>adjusted xGOT</t>
        </is>
      </c>
      <c r="AA69" s="3" t="n">
        <v>1</v>
      </c>
      <c r="AB69" s="3" t="n">
        <v>0.95</v>
      </c>
      <c r="AC69" s="3" t="n">
        <v>10.1</v>
      </c>
      <c r="AD69" s="3" t="n">
        <v>0.1237</v>
      </c>
      <c r="AE69" s="3" t="n">
        <v>4.41</v>
      </c>
      <c r="AF69" s="3" t="n">
        <v>0.0006016810455743427</v>
      </c>
      <c r="AG69" s="3" t="n">
        <v>0.637</v>
      </c>
      <c r="AH69" s="3" t="n">
        <v>0.5820048992</v>
      </c>
      <c r="AI69" s="3" t="n">
        <v>47</v>
      </c>
      <c r="AJ69" s="3" t="n">
        <v>2.409</v>
      </c>
      <c r="AK69" s="3" t="n">
        <v>1.1228</v>
      </c>
      <c r="AL69" s="3" t="n">
        <v>-0.0841667484869951</v>
      </c>
      <c r="AM69" s="6" t="n">
        <v>0</v>
      </c>
      <c r="AN69" s="3" t="n">
        <v>0</v>
      </c>
      <c r="AO69" s="3" t="n">
        <v>1.9228</v>
      </c>
      <c r="AP69" s="3" t="n">
        <v>0.489852</v>
      </c>
      <c r="AQ69" s="3">
        <f>N(X69)*N(BJ69)</f>
        <v/>
      </c>
      <c r="AR69" s="3" t="n">
        <v>0</v>
      </c>
      <c r="AS69" s="3" t="n">
        <v>-0</v>
      </c>
      <c r="AT69" s="3" t="n">
        <v>-0.0841667484869951</v>
      </c>
      <c r="AU69" s="3">
        <f>SUM(AO69:AT69)</f>
        <v/>
      </c>
      <c r="AV69" s="7">
        <f>IF(OR(N(W69)&lt;=0,N(BH69)=0),0,N(W69)*IF(N(R69)/N(W69)&gt;=60,N(BH69),1))</f>
        <v/>
      </c>
      <c r="AW69" s="7">
        <f>N(W69)*N(AF69)*N(BI69)</f>
        <v/>
      </c>
      <c r="AX69" s="3">
        <f>IF(N(BH69)=0,0,N(W69)*N(AH69))</f>
        <v/>
      </c>
      <c r="AY69" s="7">
        <f>N(AM69)*(Assumptions!$B$13*N(BK69)-(1-Assumptions!$B$13)*Assumptions!$B$14)+N(AN69)</f>
        <v/>
      </c>
      <c r="AZ69" s="7">
        <f>N(AU69)*N(R69)/90+N(AV69)+N(AW69)+N(AX69)+N(AY69)</f>
        <v/>
      </c>
      <c r="BA69" s="3">
        <f>IF(N(R69)&lt;=0,0,(N(AZ69)-N(AY69))*90/N(R69))</f>
        <v/>
      </c>
      <c r="BB69" s="7">
        <f>IFERROR(AZ69-VLOOKUP($E69,Assumptions!$A$40:$C$43,3,FALSE),"")</f>
        <v/>
      </c>
      <c r="BC69" s="3">
        <f>IFERROR(BB69/H69,"")</f>
        <v/>
      </c>
      <c r="BD69">
        <f>IF(AND($G69=TRUE,$E69="GKP"),AZ69,"")</f>
        <v/>
      </c>
      <c r="BE69">
        <f>IF(AND($G69=TRUE,$E69="DEF"),AZ69,"")</f>
        <v/>
      </c>
      <c r="BF69">
        <f>IF(AND($G69=TRUE,$E69="MID"),AZ69,"")</f>
        <v/>
      </c>
      <c r="BG69">
        <f>IF(AND($G69=TRUE,$E69="FWD"),AZ69,"")</f>
        <v/>
      </c>
      <c r="BH69" t="n">
        <v>2</v>
      </c>
      <c r="BI69" t="n">
        <v>2</v>
      </c>
      <c r="BJ69" t="n">
        <v>0</v>
      </c>
      <c r="BK69" t="n">
        <v>4</v>
      </c>
    </row>
    <row r="70">
      <c r="A70" t="inlineStr">
        <is>
          <t>Omar Alderete</t>
        </is>
      </c>
      <c r="B70" t="inlineStr">
        <is>
          <t>SUN</t>
        </is>
      </c>
      <c r="C70" t="inlineStr">
        <is>
          <t>SUN</t>
        </is>
      </c>
      <c r="D70" t="b">
        <v>0</v>
      </c>
      <c r="E70" t="inlineStr">
        <is>
          <t>DEF</t>
        </is>
      </c>
      <c r="F70" t="inlineStr">
        <is>
          <t>DEF</t>
        </is>
      </c>
      <c r="G70" t="b">
        <v>1</v>
      </c>
      <c r="H70" s="2" t="n">
        <v>5</v>
      </c>
      <c r="I70" t="inlineStr">
        <is>
          <t>d</t>
        </is>
      </c>
      <c r="J70" t="inlineStr">
        <is>
          <t>Knock - 75% chance of playing</t>
        </is>
      </c>
      <c r="K70" s="2" t="n">
        <v>2797</v>
      </c>
      <c r="L70" t="n">
        <v>125</v>
      </c>
      <c r="M70" s="3" t="n">
        <v>3067</v>
      </c>
      <c r="N70" s="4" t="n">
        <v>1950</v>
      </c>
      <c r="O70" s="4" t="n">
        <v>-1117</v>
      </c>
      <c r="P70" s="5" t="inlineStr">
        <is>
          <t>medium</t>
        </is>
      </c>
      <c r="Q70" t="inlineStr">
        <is>
          <t>flat</t>
        </is>
      </c>
      <c r="R70" s="6" t="n">
        <v>1950</v>
      </c>
      <c r="S70" t="inlineStr">
        <is>
          <t>research</t>
        </is>
      </c>
      <c r="T70" s="5" t="inlineStr">
        <is>
          <t>Same two forces as Mukiele. Alderete is carrying knee stiffness that dates back to the end of last season and Paraguay's World Cup campaign; Le Bris said on 08-09 Aug that he 'should train next week with the group', which puts him at best on the bench for the opener. He missed both August friendlies while O'Nien started them. Layered on top is the back-five-to-back-four correction: with Ballard, O'Nien, Mukiele, Alderete and the incoming Methalie all competing for two centre-back slots across an eight-fixture Europa League league phase plus two domestic cups, no Sunderland centre-back can plausibly hold a 3,067-minute Premier League share.</t>
        </is>
      </c>
      <c r="U70" s="6" t="n">
        <v>86.09999999999999</v>
      </c>
      <c r="V70" s="2" t="n">
        <v>32</v>
      </c>
      <c r="W70" s="7">
        <f>IF(N(U70)&lt;=0,0,MIN(Assumptions!$B$15,N(R70)/N(U70)))</f>
        <v/>
      </c>
      <c r="X70" s="6" t="n">
        <v>0.204</v>
      </c>
      <c r="Y70" s="3" t="n">
        <v>0.0515</v>
      </c>
      <c r="Z70" t="inlineStr">
        <is>
          <t>adjusted xGOT</t>
        </is>
      </c>
      <c r="AA70" s="3" t="n">
        <v>1</v>
      </c>
      <c r="AB70" s="3" t="n">
        <v>0.988</v>
      </c>
      <c r="AC70" s="3" t="n">
        <v>1.6</v>
      </c>
      <c r="AD70" s="3" t="n">
        <v>0.0244</v>
      </c>
      <c r="AE70" s="3" t="n">
        <v>9.557</v>
      </c>
      <c r="AF70" s="3" t="n">
        <v>0.4314077495043477</v>
      </c>
      <c r="AG70" s="3" t="n">
        <v>6.553</v>
      </c>
      <c r="AH70" s="3" t="n">
        <v>0.1050288197</v>
      </c>
      <c r="AI70" s="3" t="n">
        <v>64</v>
      </c>
      <c r="AJ70" s="3" t="n">
        <v>3.3348</v>
      </c>
      <c r="AK70" s="3" t="n">
        <v>1.6498</v>
      </c>
      <c r="AL70" s="3" t="n">
        <v>-0.2109526420927542</v>
      </c>
      <c r="AM70" s="6" t="n">
        <v>0</v>
      </c>
      <c r="AN70" s="3" t="n">
        <v>0</v>
      </c>
      <c r="AO70" s="3" t="n">
        <v>0.309</v>
      </c>
      <c r="AP70" s="3" t="n">
        <v>0.096624</v>
      </c>
      <c r="AQ70" s="3">
        <f>N(X70)*N(BJ70)</f>
        <v/>
      </c>
      <c r="AR70" s="3" t="n">
        <v>0</v>
      </c>
      <c r="AS70" s="3" t="n">
        <v>-0.5841244809045405</v>
      </c>
      <c r="AT70" s="3" t="n">
        <v>-0.2109526420927542</v>
      </c>
      <c r="AU70" s="3">
        <f>SUM(AO70:AT70)</f>
        <v/>
      </c>
      <c r="AV70" s="7">
        <f>IF(OR(N(W70)&lt;=0,N(BH70)=0),0,N(W70)*IF(N(R70)/N(W70)&gt;=60,N(BH70),1))</f>
        <v/>
      </c>
      <c r="AW70" s="7">
        <f>N(W70)*N(AF70)*N(BI70)</f>
        <v/>
      </c>
      <c r="AX70" s="3">
        <f>IF(N(BH70)=0,0,N(W70)*N(AH70))</f>
        <v/>
      </c>
      <c r="AY70" s="7">
        <f>N(AM70)*(Assumptions!$B$13*N(BK70)-(1-Assumptions!$B$13)*Assumptions!$B$14)+N(AN70)</f>
        <v/>
      </c>
      <c r="AZ70" s="7">
        <f>N(AU70)*N(R70)/90+N(AV70)+N(AW70)+N(AX70)+N(AY70)</f>
        <v/>
      </c>
      <c r="BA70" s="3">
        <f>IF(N(R70)&lt;=0,0,(N(AZ70)-N(AY70))*90/N(R70))</f>
        <v/>
      </c>
      <c r="BB70" s="7">
        <f>IFERROR(AZ70-VLOOKUP($E70,Assumptions!$A$40:$C$43,3,FALSE),"")</f>
        <v/>
      </c>
      <c r="BC70" s="3">
        <f>IFERROR(BB70/H70,"")</f>
        <v/>
      </c>
      <c r="BD70">
        <f>IF(AND($G70=TRUE,$E70="GKP"),AZ70,"")</f>
        <v/>
      </c>
      <c r="BE70">
        <f>IF(AND($G70=TRUE,$E70="DEF"),AZ70,"")</f>
        <v/>
      </c>
      <c r="BF70">
        <f>IF(AND($G70=TRUE,$E70="MID"),AZ70,"")</f>
        <v/>
      </c>
      <c r="BG70">
        <f>IF(AND($G70=TRUE,$E70="FWD"),AZ70,"")</f>
        <v/>
      </c>
      <c r="BH70" t="n">
        <v>2</v>
      </c>
      <c r="BI70" t="n">
        <v>2</v>
      </c>
      <c r="BJ70" t="n">
        <v>4</v>
      </c>
      <c r="BK70" t="n">
        <v>6</v>
      </c>
    </row>
    <row r="71">
      <c r="A71" t="inlineStr">
        <is>
          <t>Kevin Schade</t>
        </is>
      </c>
      <c r="B71" t="inlineStr">
        <is>
          <t>BRE</t>
        </is>
      </c>
      <c r="C71" t="inlineStr">
        <is>
          <t>BRE</t>
        </is>
      </c>
      <c r="D71" t="b">
        <v>0</v>
      </c>
      <c r="E71" t="inlineStr">
        <is>
          <t>MID</t>
        </is>
      </c>
      <c r="F71" t="inlineStr">
        <is>
          <t>MID</t>
        </is>
      </c>
      <c r="G71" t="b">
        <v>1</v>
      </c>
      <c r="H71" s="2" t="n">
        <v>6</v>
      </c>
      <c r="I71" t="inlineStr">
        <is>
          <t>a</t>
        </is>
      </c>
      <c r="K71" s="2" t="n">
        <v>2744</v>
      </c>
      <c r="L71" t="n">
        <v>125</v>
      </c>
      <c r="M71" s="3" t="n">
        <v>2804</v>
      </c>
      <c r="N71" s="8" t="n">
        <v>2804</v>
      </c>
      <c r="O71" s="8" t="n">
        <v>0</v>
      </c>
      <c r="Q71" t="inlineStr">
        <is>
          <t>flat</t>
        </is>
      </c>
      <c r="R71" s="6" t="n">
        <v>2804</v>
      </c>
      <c r="S71" t="inlineStr">
        <is>
          <t>Solio</t>
        </is>
      </c>
      <c r="U71" s="6" t="n">
        <v>82.59999999999999</v>
      </c>
      <c r="V71" s="2" t="n">
        <v>31</v>
      </c>
      <c r="W71" s="7">
        <f>IF(N(U71)&lt;=0,0,MIN(Assumptions!$B$15,N(R71)/N(U71)))</f>
        <v/>
      </c>
      <c r="X71" s="6" t="n">
        <v>0.228</v>
      </c>
      <c r="Y71" s="3" t="n">
        <v>0.3534</v>
      </c>
      <c r="Z71" t="inlineStr">
        <is>
          <t>adjusted xGOT</t>
        </is>
      </c>
      <c r="AA71" s="3" t="n">
        <v>0.9360000000000001</v>
      </c>
      <c r="AB71" s="3" t="n">
        <v>0.953</v>
      </c>
      <c r="AC71" s="3" t="n">
        <v>23.9</v>
      </c>
      <c r="AD71" s="3" t="n">
        <v>0.1085</v>
      </c>
      <c r="AE71" s="3" t="n">
        <v>6.719</v>
      </c>
      <c r="AF71" s="3" t="n">
        <v>0.02411120064753136</v>
      </c>
      <c r="AG71" s="3" t="n">
        <v>2.004</v>
      </c>
      <c r="AH71" s="3" t="n">
        <v>0.4089787581</v>
      </c>
      <c r="AI71" s="3" t="n">
        <v>65</v>
      </c>
      <c r="AJ71" s="3" t="n">
        <v>3.2371</v>
      </c>
      <c r="AK71" s="3" t="n">
        <v>1.5396</v>
      </c>
      <c r="AL71" s="3" t="n">
        <v>-0.1906764063256734</v>
      </c>
      <c r="AM71" s="6" t="n">
        <v>0.2258328851256484</v>
      </c>
      <c r="AN71" s="3" t="n">
        <v>0</v>
      </c>
      <c r="AO71" s="3" t="n">
        <v>1.767</v>
      </c>
      <c r="AP71" s="3" t="n">
        <v>0.42966</v>
      </c>
      <c r="AQ71" s="3">
        <f>N(X71)*N(BJ71)</f>
        <v/>
      </c>
      <c r="AR71" s="3" t="n">
        <v>0</v>
      </c>
      <c r="AS71" s="3" t="n">
        <v>-0</v>
      </c>
      <c r="AT71" s="3" t="n">
        <v>-0.1906764063256734</v>
      </c>
      <c r="AU71" s="3">
        <f>SUM(AO71:AT71)</f>
        <v/>
      </c>
      <c r="AV71" s="7">
        <f>IF(OR(N(W71)&lt;=0,N(BH71)=0),0,N(W71)*IF(N(R71)/N(W71)&gt;=60,N(BH71),1))</f>
        <v/>
      </c>
      <c r="AW71" s="7">
        <f>N(W71)*N(AF71)*N(BI71)</f>
        <v/>
      </c>
      <c r="AX71" s="3">
        <f>IF(N(BH71)=0,0,N(W71)*N(AH71))</f>
        <v/>
      </c>
      <c r="AY71" s="7">
        <f>N(AM71)*(Assumptions!$B$13*N(BK71)-(1-Assumptions!$B$13)*Assumptions!$B$14)+N(AN71)</f>
        <v/>
      </c>
      <c r="AZ71" s="7">
        <f>N(AU71)*N(R71)/90+N(AV71)+N(AW71)+N(AX71)+N(AY71)</f>
        <v/>
      </c>
      <c r="BA71" s="3">
        <f>IF(N(R71)&lt;=0,0,(N(AZ71)-N(AY71))*90/N(R71))</f>
        <v/>
      </c>
      <c r="BB71" s="7">
        <f>IFERROR(AZ71-VLOOKUP($E71,Assumptions!$A$40:$C$43,3,FALSE),"")</f>
        <v/>
      </c>
      <c r="BC71" s="3">
        <f>IFERROR(BB71/H71,"")</f>
        <v/>
      </c>
      <c r="BD71">
        <f>IF(AND($G71=TRUE,$E71="GKP"),AZ71,"")</f>
        <v/>
      </c>
      <c r="BE71">
        <f>IF(AND($G71=TRUE,$E71="DEF"),AZ71,"")</f>
        <v/>
      </c>
      <c r="BF71">
        <f>IF(AND($G71=TRUE,$E71="MID"),AZ71,"")</f>
        <v/>
      </c>
      <c r="BG71">
        <f>IF(AND($G71=TRUE,$E71="FWD"),AZ71,"")</f>
        <v/>
      </c>
      <c r="BH71" t="n">
        <v>2</v>
      </c>
      <c r="BI71" t="n">
        <v>2</v>
      </c>
      <c r="BJ71" t="n">
        <v>1</v>
      </c>
      <c r="BK71" t="n">
        <v>5</v>
      </c>
    </row>
    <row r="72">
      <c r="A72" t="inlineStr">
        <is>
          <t>Djordje Petrovic</t>
        </is>
      </c>
      <c r="B72" t="inlineStr">
        <is>
          <t>BOU</t>
        </is>
      </c>
      <c r="C72" t="inlineStr">
        <is>
          <t>BOU</t>
        </is>
      </c>
      <c r="D72" t="b">
        <v>0</v>
      </c>
      <c r="E72" t="inlineStr">
        <is>
          <t>GKP</t>
        </is>
      </c>
      <c r="F72" t="inlineStr">
        <is>
          <t>GKP</t>
        </is>
      </c>
      <c r="G72" t="b">
        <v>1</v>
      </c>
      <c r="H72" s="2" t="n">
        <v>4.5</v>
      </c>
      <c r="I72" t="inlineStr">
        <is>
          <t>a</t>
        </is>
      </c>
      <c r="K72" s="2" t="n">
        <v>3420</v>
      </c>
      <c r="L72" t="n">
        <v>124</v>
      </c>
      <c r="M72" s="3" t="n">
        <v>3385</v>
      </c>
      <c r="N72" s="8" t="n">
        <v>3385</v>
      </c>
      <c r="O72" s="8" t="n">
        <v>0</v>
      </c>
      <c r="Q72" t="inlineStr">
        <is>
          <t>flat</t>
        </is>
      </c>
      <c r="R72" s="6" t="n">
        <v>3385</v>
      </c>
      <c r="S72" t="inlineStr">
        <is>
          <t>Solio</t>
        </is>
      </c>
      <c r="U72" s="6" t="n">
        <v>90</v>
      </c>
      <c r="V72" s="2" t="n">
        <v>38</v>
      </c>
      <c r="W72" s="7">
        <f>IF(N(U72)&lt;=0,0,MIN(Assumptions!$B$15,N(R72)/N(U72)))</f>
        <v/>
      </c>
      <c r="X72" s="6" t="n">
        <v>0.23</v>
      </c>
      <c r="Y72" s="3" t="n">
        <v>0</v>
      </c>
      <c r="Z72" t="inlineStr">
        <is>
          <t>blended xG</t>
        </is>
      </c>
      <c r="AA72" s="3" t="n">
        <v>1</v>
      </c>
      <c r="AB72" s="3" t="n">
        <v>1</v>
      </c>
      <c r="AC72" s="3" t="n">
        <v>0</v>
      </c>
      <c r="AD72" s="3" t="n">
        <v>0</v>
      </c>
      <c r="AE72" s="3" t="n">
        <v>0</v>
      </c>
      <c r="AF72" s="3" t="n">
        <v>0</v>
      </c>
      <c r="AG72" s="3" t="n">
        <v>4.783</v>
      </c>
      <c r="AH72" s="3" t="n">
        <v>0.1702760295</v>
      </c>
      <c r="AI72" s="3" t="n">
        <v>76</v>
      </c>
      <c r="AJ72" s="3" t="n">
        <v>3.0957</v>
      </c>
      <c r="AK72" s="3" t="n">
        <v>1.53</v>
      </c>
      <c r="AL72" s="3" t="n">
        <v>-0.0821273649235542</v>
      </c>
      <c r="AM72" s="6" t="n">
        <v>0</v>
      </c>
      <c r="AN72" s="3" t="n">
        <v>3.232962049615007</v>
      </c>
      <c r="AO72" s="3" t="n">
        <v>0</v>
      </c>
      <c r="AP72" s="3" t="n">
        <v>0</v>
      </c>
      <c r="AQ72" s="3">
        <f>N(X72)*N(BJ72)</f>
        <v/>
      </c>
      <c r="AR72" s="3" t="n">
        <v>0.6965164635997099</v>
      </c>
      <c r="AS72" s="3" t="n">
        <v>-0.5267219238049191</v>
      </c>
      <c r="AT72" s="3" t="n">
        <v>-0.0821273649235542</v>
      </c>
      <c r="AU72" s="3">
        <f>SUM(AO72:AT72)</f>
        <v/>
      </c>
      <c r="AV72" s="7">
        <f>IF(OR(N(W72)&lt;=0,N(BH72)=0),0,N(W72)*IF(N(R72)/N(W72)&gt;=60,N(BH72),1))</f>
        <v/>
      </c>
      <c r="AW72" s="7">
        <f>N(W72)*N(AF72)*N(BI72)</f>
        <v/>
      </c>
      <c r="AX72" s="3">
        <f>IF(N(BH72)=0,0,N(W72)*N(AH72))</f>
        <v/>
      </c>
      <c r="AY72" s="7">
        <f>N(AM72)*(Assumptions!$B$13*N(BK72)-(1-Assumptions!$B$13)*Assumptions!$B$14)+N(AN72)</f>
        <v/>
      </c>
      <c r="AZ72" s="7">
        <f>N(AU72)*N(R72)/90+N(AV72)+N(AW72)+N(AX72)+N(AY72)</f>
        <v/>
      </c>
      <c r="BA72" s="3">
        <f>IF(N(R72)&lt;=0,0,(N(AZ72)-N(AY72))*90/N(R72))</f>
        <v/>
      </c>
      <c r="BB72" s="7">
        <f>IFERROR(AZ72-VLOOKUP($E72,Assumptions!$A$40:$C$43,3,FALSE),"")</f>
        <v/>
      </c>
      <c r="BC72" s="3">
        <f>IFERROR(BB72/H72,"")</f>
        <v/>
      </c>
      <c r="BD72">
        <f>IF(AND($G72=TRUE,$E72="GKP"),AZ72,"")</f>
        <v/>
      </c>
      <c r="BE72">
        <f>IF(AND($G72=TRUE,$E72="DEF"),AZ72,"")</f>
        <v/>
      </c>
      <c r="BF72">
        <f>IF(AND($G72=TRUE,$E72="MID"),AZ72,"")</f>
        <v/>
      </c>
      <c r="BG72">
        <f>IF(AND($G72=TRUE,$E72="FWD"),AZ72,"")</f>
        <v/>
      </c>
      <c r="BH72" t="n">
        <v>2</v>
      </c>
      <c r="BI72" t="n">
        <v>0</v>
      </c>
      <c r="BJ72" t="n">
        <v>4</v>
      </c>
      <c r="BK72" t="n">
        <v>10</v>
      </c>
    </row>
    <row r="73">
      <c r="A73" t="inlineStr">
        <is>
          <t>Granit Xhaka</t>
        </is>
      </c>
      <c r="B73" t="inlineStr">
        <is>
          <t>SUN</t>
        </is>
      </c>
      <c r="C73" t="inlineStr">
        <is>
          <t>SUN</t>
        </is>
      </c>
      <c r="D73" t="b">
        <v>0</v>
      </c>
      <c r="E73" t="inlineStr">
        <is>
          <t>MID</t>
        </is>
      </c>
      <c r="F73" t="inlineStr">
        <is>
          <t>MID</t>
        </is>
      </c>
      <c r="G73" t="b">
        <v>1</v>
      </c>
      <c r="H73" s="2" t="n">
        <v>5.5</v>
      </c>
      <c r="I73" t="inlineStr">
        <is>
          <t>a</t>
        </is>
      </c>
      <c r="K73" s="2" t="n">
        <v>2901</v>
      </c>
      <c r="L73" t="n">
        <v>124</v>
      </c>
      <c r="M73" s="3" t="n">
        <v>3295</v>
      </c>
      <c r="N73" s="8" t="n">
        <v>3295</v>
      </c>
      <c r="O73" s="8" t="n">
        <v>0</v>
      </c>
      <c r="Q73" t="inlineStr">
        <is>
          <t>flat</t>
        </is>
      </c>
      <c r="R73" s="6" t="n">
        <v>3295</v>
      </c>
      <c r="S73" t="inlineStr">
        <is>
          <t>Solio</t>
        </is>
      </c>
      <c r="U73" s="6" t="n">
        <v>86.90000000000001</v>
      </c>
      <c r="V73" s="2" t="n">
        <v>32</v>
      </c>
      <c r="W73" s="7">
        <f>IF(N(U73)&lt;=0,0,MIN(Assumptions!$B$15,N(R73)/N(U73)))</f>
        <v/>
      </c>
      <c r="X73" s="6" t="n">
        <v>0.204</v>
      </c>
      <c r="Y73" s="3" t="n">
        <v>0.0342</v>
      </c>
      <c r="Z73" t="inlineStr">
        <is>
          <t>adjusted xGOT</t>
        </is>
      </c>
      <c r="AA73" s="3" t="n">
        <v>1</v>
      </c>
      <c r="AB73" s="3" t="n">
        <v>1.091</v>
      </c>
      <c r="AC73" s="3" t="n">
        <v>5.7</v>
      </c>
      <c r="AD73" s="3" t="n">
        <v>0.1153</v>
      </c>
      <c r="AE73" s="3" t="n">
        <v>10.703</v>
      </c>
      <c r="AF73" s="3" t="n">
        <v>0.3418149888913986</v>
      </c>
      <c r="AG73" s="3" t="n">
        <v>9.622999999999999</v>
      </c>
      <c r="AH73" s="3" t="n">
        <v>0.179014172</v>
      </c>
      <c r="AI73" s="3" t="n">
        <v>66</v>
      </c>
      <c r="AJ73" s="3" t="n">
        <v>3.3348</v>
      </c>
      <c r="AK73" s="3" t="n">
        <v>1.6498</v>
      </c>
      <c r="AL73" s="3" t="n">
        <v>-0.2486431330461034</v>
      </c>
      <c r="AM73" s="6" t="n">
        <v>0</v>
      </c>
      <c r="AN73" s="3" t="n">
        <v>0</v>
      </c>
      <c r="AO73" s="3" t="n">
        <v>0.171</v>
      </c>
      <c r="AP73" s="3" t="n">
        <v>0.456588</v>
      </c>
      <c r="AQ73" s="3">
        <f>N(X73)*N(BJ73)</f>
        <v/>
      </c>
      <c r="AR73" s="3" t="n">
        <v>0</v>
      </c>
      <c r="AS73" s="3" t="n">
        <v>-0</v>
      </c>
      <c r="AT73" s="3" t="n">
        <v>-0.2486431330461034</v>
      </c>
      <c r="AU73" s="3">
        <f>SUM(AO73:AT73)</f>
        <v/>
      </c>
      <c r="AV73" s="7">
        <f>IF(OR(N(W73)&lt;=0,N(BH73)=0),0,N(W73)*IF(N(R73)/N(W73)&gt;=60,N(BH73),1))</f>
        <v/>
      </c>
      <c r="AW73" s="7">
        <f>N(W73)*N(AF73)*N(BI73)</f>
        <v/>
      </c>
      <c r="AX73" s="3">
        <f>IF(N(BH73)=0,0,N(W73)*N(AH73))</f>
        <v/>
      </c>
      <c r="AY73" s="7">
        <f>N(AM73)*(Assumptions!$B$13*N(BK73)-(1-Assumptions!$B$13)*Assumptions!$B$14)+N(AN73)</f>
        <v/>
      </c>
      <c r="AZ73" s="7">
        <f>N(AU73)*N(R73)/90+N(AV73)+N(AW73)+N(AX73)+N(AY73)</f>
        <v/>
      </c>
      <c r="BA73" s="3">
        <f>IF(N(R73)&lt;=0,0,(N(AZ73)-N(AY73))*90/N(R73))</f>
        <v/>
      </c>
      <c r="BB73" s="7">
        <f>IFERROR(AZ73-VLOOKUP($E73,Assumptions!$A$40:$C$43,3,FALSE),"")</f>
        <v/>
      </c>
      <c r="BC73" s="3">
        <f>IFERROR(BB73/H73,"")</f>
        <v/>
      </c>
      <c r="BD73">
        <f>IF(AND($G73=TRUE,$E73="GKP"),AZ73,"")</f>
        <v/>
      </c>
      <c r="BE73">
        <f>IF(AND($G73=TRUE,$E73="DEF"),AZ73,"")</f>
        <v/>
      </c>
      <c r="BF73">
        <f>IF(AND($G73=TRUE,$E73="MID"),AZ73,"")</f>
        <v/>
      </c>
      <c r="BG73">
        <f>IF(AND($G73=TRUE,$E73="FWD"),AZ73,"")</f>
        <v/>
      </c>
      <c r="BH73" t="n">
        <v>2</v>
      </c>
      <c r="BI73" t="n">
        <v>2</v>
      </c>
      <c r="BJ73" t="n">
        <v>1</v>
      </c>
      <c r="BK73" t="n">
        <v>5</v>
      </c>
    </row>
    <row r="74">
      <c r="A74" t="inlineStr">
        <is>
          <t>Joachim Andersen</t>
        </is>
      </c>
      <c r="B74" t="inlineStr">
        <is>
          <t>FUL</t>
        </is>
      </c>
      <c r="C74" t="inlineStr">
        <is>
          <t>FUL</t>
        </is>
      </c>
      <c r="D74" t="b">
        <v>0</v>
      </c>
      <c r="E74" t="inlineStr">
        <is>
          <t>DEF</t>
        </is>
      </c>
      <c r="F74" t="inlineStr">
        <is>
          <t>DEF</t>
        </is>
      </c>
      <c r="G74" t="b">
        <v>1</v>
      </c>
      <c r="H74" s="2" t="n">
        <v>5</v>
      </c>
      <c r="I74" t="inlineStr">
        <is>
          <t>s</t>
        </is>
      </c>
      <c r="J74" t="inlineStr">
        <is>
          <t>Suspended until 30 Aug</t>
        </is>
      </c>
      <c r="K74" s="2" t="n">
        <v>2882</v>
      </c>
      <c r="L74" t="n">
        <v>123</v>
      </c>
      <c r="M74" s="3" t="n">
        <v>3032</v>
      </c>
      <c r="N74" s="4" t="n">
        <v>2850</v>
      </c>
      <c r="O74" s="4" t="n">
        <v>-182</v>
      </c>
      <c r="P74" s="5" t="inlineStr">
        <is>
          <t>high</t>
        </is>
      </c>
      <c r="Q74" t="inlineStr">
        <is>
          <t>flat</t>
        </is>
      </c>
      <c r="R74" s="6" t="n">
        <v>2850</v>
      </c>
      <c r="S74" t="inlineStr">
        <is>
          <t>research</t>
        </is>
      </c>
      <c r="T74" s="5" t="inlineStr">
        <is>
          <t>Carrying a suspension into the new season: FPL lists him status 's', chance_of_playing_next_round 0, news 'Suspended until 30 Aug' (news added 2026-07-23), so he misses the opener v Chelsea on 24 Aug. Solio's 3032 is above his 2882 minutes from 2025/26 and applies no discount for the ban.</t>
        </is>
      </c>
      <c r="U74" s="6" t="n">
        <v>87.8</v>
      </c>
      <c r="V74" s="2" t="n">
        <v>32</v>
      </c>
      <c r="W74" s="7">
        <f>IF(N(U74)&lt;=0,0,MIN(Assumptions!$B$15,N(R74)/N(U74)))</f>
        <v/>
      </c>
      <c r="X74" s="6" t="n">
        <v>0.214</v>
      </c>
      <c r="Y74" s="3" t="n">
        <v>0.0428</v>
      </c>
      <c r="Z74" t="inlineStr">
        <is>
          <t>adjusted xGOT</t>
        </is>
      </c>
      <c r="AA74" s="3" t="n">
        <v>1</v>
      </c>
      <c r="AB74" s="3" t="n">
        <v>0.958</v>
      </c>
      <c r="AC74" s="3" t="n">
        <v>6.1</v>
      </c>
      <c r="AD74" s="3" t="n">
        <v>0.0376</v>
      </c>
      <c r="AE74" s="3" t="n">
        <v>9.757</v>
      </c>
      <c r="AF74" s="3" t="n">
        <v>0.4805772633744689</v>
      </c>
      <c r="AG74" s="3" t="n">
        <v>8.749000000000001</v>
      </c>
      <c r="AH74" s="3" t="n">
        <v>0.173658629</v>
      </c>
      <c r="AI74" s="3" t="n">
        <v>64</v>
      </c>
      <c r="AJ74" s="3" t="n">
        <v>3.22</v>
      </c>
      <c r="AK74" s="3" t="n">
        <v>1.6019</v>
      </c>
      <c r="AL74" s="3" t="n">
        <v>-0.2301875536518244</v>
      </c>
      <c r="AM74" s="6" t="n">
        <v>0</v>
      </c>
      <c r="AN74" s="3" t="n">
        <v>0</v>
      </c>
      <c r="AO74" s="3" t="n">
        <v>0.2568</v>
      </c>
      <c r="AP74" s="3" t="n">
        <v>0.148896</v>
      </c>
      <c r="AQ74" s="3">
        <f>N(X74)*N(BJ74)</f>
        <v/>
      </c>
      <c r="AR74" s="3" t="n">
        <v>0</v>
      </c>
      <c r="AS74" s="3" t="n">
        <v>-0.5611019003833156</v>
      </c>
      <c r="AT74" s="3" t="n">
        <v>-0.2301875536518244</v>
      </c>
      <c r="AU74" s="3">
        <f>SUM(AO74:AT74)</f>
        <v/>
      </c>
      <c r="AV74" s="7">
        <f>IF(OR(N(W74)&lt;=0,N(BH74)=0),0,N(W74)*IF(N(R74)/N(W74)&gt;=60,N(BH74),1))</f>
        <v/>
      </c>
      <c r="AW74" s="7">
        <f>N(W74)*N(AF74)*N(BI74)</f>
        <v/>
      </c>
      <c r="AX74" s="3">
        <f>IF(N(BH74)=0,0,N(W74)*N(AH74))</f>
        <v/>
      </c>
      <c r="AY74" s="7">
        <f>N(AM74)*(Assumptions!$B$13*N(BK74)-(1-Assumptions!$B$13)*Assumptions!$B$14)+N(AN74)</f>
        <v/>
      </c>
      <c r="AZ74" s="7">
        <f>N(AU74)*N(R74)/90+N(AV74)+N(AW74)+N(AX74)+N(AY74)</f>
        <v/>
      </c>
      <c r="BA74" s="3">
        <f>IF(N(R74)&lt;=0,0,(N(AZ74)-N(AY74))*90/N(R74))</f>
        <v/>
      </c>
      <c r="BB74" s="7">
        <f>IFERROR(AZ74-VLOOKUP($E74,Assumptions!$A$40:$C$43,3,FALSE),"")</f>
        <v/>
      </c>
      <c r="BC74" s="3">
        <f>IFERROR(BB74/H74,"")</f>
        <v/>
      </c>
      <c r="BD74">
        <f>IF(AND($G74=TRUE,$E74="GKP"),AZ74,"")</f>
        <v/>
      </c>
      <c r="BE74">
        <f>IF(AND($G74=TRUE,$E74="DEF"),AZ74,"")</f>
        <v/>
      </c>
      <c r="BF74">
        <f>IF(AND($G74=TRUE,$E74="MID"),AZ74,"")</f>
        <v/>
      </c>
      <c r="BG74">
        <f>IF(AND($G74=TRUE,$E74="FWD"),AZ74,"")</f>
        <v/>
      </c>
      <c r="BH74" t="n">
        <v>2</v>
      </c>
      <c r="BI74" t="n">
        <v>2</v>
      </c>
      <c r="BJ74" t="n">
        <v>4</v>
      </c>
      <c r="BK74" t="n">
        <v>6</v>
      </c>
    </row>
    <row r="75">
      <c r="A75" t="inlineStr">
        <is>
          <t>Bernd Leno</t>
        </is>
      </c>
      <c r="B75" t="inlineStr">
        <is>
          <t>FUL</t>
        </is>
      </c>
      <c r="C75" t="inlineStr">
        <is>
          <t>FUL</t>
        </is>
      </c>
      <c r="D75" t="b">
        <v>0</v>
      </c>
      <c r="E75" t="inlineStr">
        <is>
          <t>GKP</t>
        </is>
      </c>
      <c r="F75" t="inlineStr">
        <is>
          <t>GKP</t>
        </is>
      </c>
      <c r="G75" t="b">
        <v>1</v>
      </c>
      <c r="H75" s="2" t="n">
        <v>4.5</v>
      </c>
      <c r="I75" t="inlineStr">
        <is>
          <t>a</t>
        </is>
      </c>
      <c r="K75" s="2" t="n">
        <v>3420</v>
      </c>
      <c r="L75" t="n">
        <v>122</v>
      </c>
      <c r="M75" s="3" t="n">
        <v>3420</v>
      </c>
      <c r="N75" s="8" t="n">
        <v>3420</v>
      </c>
      <c r="O75" s="8" t="n">
        <v>0</v>
      </c>
      <c r="Q75" t="inlineStr">
        <is>
          <t>flat</t>
        </is>
      </c>
      <c r="R75" s="6" t="n">
        <v>3420</v>
      </c>
      <c r="S75" t="inlineStr">
        <is>
          <t>Solio</t>
        </is>
      </c>
      <c r="U75" s="6" t="n">
        <v>90</v>
      </c>
      <c r="V75" s="2" t="n">
        <v>38</v>
      </c>
      <c r="W75" s="7">
        <f>IF(N(U75)&lt;=0,0,MIN(Assumptions!$B$15,N(R75)/N(U75)))</f>
        <v/>
      </c>
      <c r="X75" s="6" t="n">
        <v>0.214</v>
      </c>
      <c r="Y75" s="3" t="n">
        <v>0</v>
      </c>
      <c r="Z75" t="inlineStr">
        <is>
          <t>blended xG</t>
        </is>
      </c>
      <c r="AA75" s="3" t="n">
        <v>1</v>
      </c>
      <c r="AB75" s="3" t="n">
        <v>1</v>
      </c>
      <c r="AC75" s="3" t="n">
        <v>0</v>
      </c>
      <c r="AD75" s="3" t="n">
        <v>0.0003</v>
      </c>
      <c r="AE75" s="3" t="n">
        <v>0</v>
      </c>
      <c r="AF75" s="3" t="n">
        <v>0</v>
      </c>
      <c r="AG75" s="3" t="n">
        <v>6.516</v>
      </c>
      <c r="AH75" s="3" t="n">
        <v>0.2745397163</v>
      </c>
      <c r="AI75" s="3" t="n">
        <v>76</v>
      </c>
      <c r="AJ75" s="3" t="n">
        <v>3.22</v>
      </c>
      <c r="AK75" s="3" t="n">
        <v>1.6019</v>
      </c>
      <c r="AL75" s="3" t="n">
        <v>-0.0939800394671787</v>
      </c>
      <c r="AM75" s="6" t="n">
        <v>0</v>
      </c>
      <c r="AN75" s="3" t="n">
        <v>3.419818942799009</v>
      </c>
      <c r="AO75" s="3" t="n">
        <v>0</v>
      </c>
      <c r="AP75" s="3" t="n">
        <v>0.001188</v>
      </c>
      <c r="AQ75" s="3">
        <f>N(X75)*N(BJ75)</f>
        <v/>
      </c>
      <c r="AR75" s="3" t="n">
        <v>0.7380333201454712</v>
      </c>
      <c r="AS75" s="3" t="n">
        <v>-0.5611019003833156</v>
      </c>
      <c r="AT75" s="3" t="n">
        <v>-0.0939800394671787</v>
      </c>
      <c r="AU75" s="3">
        <f>SUM(AO75:AT75)</f>
        <v/>
      </c>
      <c r="AV75" s="7">
        <f>IF(OR(N(W75)&lt;=0,N(BH75)=0),0,N(W75)*IF(N(R75)/N(W75)&gt;=60,N(BH75),1))</f>
        <v/>
      </c>
      <c r="AW75" s="7">
        <f>N(W75)*N(AF75)*N(BI75)</f>
        <v/>
      </c>
      <c r="AX75" s="3">
        <f>IF(N(BH75)=0,0,N(W75)*N(AH75))</f>
        <v/>
      </c>
      <c r="AY75" s="7">
        <f>N(AM75)*(Assumptions!$B$13*N(BK75)-(1-Assumptions!$B$13)*Assumptions!$B$14)+N(AN75)</f>
        <v/>
      </c>
      <c r="AZ75" s="7">
        <f>N(AU75)*N(R75)/90+N(AV75)+N(AW75)+N(AX75)+N(AY75)</f>
        <v/>
      </c>
      <c r="BA75" s="3">
        <f>IF(N(R75)&lt;=0,0,(N(AZ75)-N(AY75))*90/N(R75))</f>
        <v/>
      </c>
      <c r="BB75" s="7">
        <f>IFERROR(AZ75-VLOOKUP($E75,Assumptions!$A$40:$C$43,3,FALSE),"")</f>
        <v/>
      </c>
      <c r="BC75" s="3">
        <f>IFERROR(BB75/H75,"")</f>
        <v/>
      </c>
      <c r="BD75">
        <f>IF(AND($G75=TRUE,$E75="GKP"),AZ75,"")</f>
        <v/>
      </c>
      <c r="BE75">
        <f>IF(AND($G75=TRUE,$E75="DEF"),AZ75,"")</f>
        <v/>
      </c>
      <c r="BF75">
        <f>IF(AND($G75=TRUE,$E75="MID"),AZ75,"")</f>
        <v/>
      </c>
      <c r="BG75">
        <f>IF(AND($G75=TRUE,$E75="FWD"),AZ75,"")</f>
        <v/>
      </c>
      <c r="BH75" t="n">
        <v>2</v>
      </c>
      <c r="BI75" t="n">
        <v>0</v>
      </c>
      <c r="BJ75" t="n">
        <v>4</v>
      </c>
      <c r="BK75" t="n">
        <v>10</v>
      </c>
    </row>
    <row r="76">
      <c r="A76" t="inlineStr">
        <is>
          <t>Emiliano Martínez</t>
        </is>
      </c>
      <c r="B76" t="inlineStr">
        <is>
          <t>AVL</t>
        </is>
      </c>
      <c r="C76" t="inlineStr">
        <is>
          <t>AVL</t>
        </is>
      </c>
      <c r="D76" t="b">
        <v>0</v>
      </c>
      <c r="E76" t="inlineStr">
        <is>
          <t>GKP</t>
        </is>
      </c>
      <c r="F76" t="inlineStr">
        <is>
          <t>GKP</t>
        </is>
      </c>
      <c r="G76" t="b">
        <v>1</v>
      </c>
      <c r="H76" s="2" t="n">
        <v>5</v>
      </c>
      <c r="I76" t="inlineStr">
        <is>
          <t>a</t>
        </is>
      </c>
      <c r="K76" s="2" t="n">
        <v>2835</v>
      </c>
      <c r="L76" t="n">
        <v>120</v>
      </c>
      <c r="M76" s="3" t="n">
        <v>3385</v>
      </c>
      <c r="N76" s="4" t="n">
        <v>3100</v>
      </c>
      <c r="O76" s="4" t="n">
        <v>-285</v>
      </c>
      <c r="P76" s="5" t="inlineStr">
        <is>
          <t>low</t>
        </is>
      </c>
      <c r="Q76" t="inlineStr">
        <is>
          <t>flat</t>
        </is>
      </c>
      <c r="R76" s="6" t="n">
        <v>3100</v>
      </c>
      <c r="S76" t="inlineStr">
        <is>
          <t>research</t>
        </is>
      </c>
      <c r="T76" s="5" t="inlineStr">
        <is>
          <t>Same post-World Cup rest as Konsa and Watkins (played to the final, given four weeks plus one), no pre-season minutes, and Bizot started both August fixtures. On top of that Villa have submitted an offer for Parma goalkeeper Zion Suzuki and Juventus are monitoring Martinez, so a mid-window exit is live. A modest hedge, not a call that he loses the shirt.</t>
        </is>
      </c>
      <c r="U76" s="6" t="n">
        <v>88.90000000000001</v>
      </c>
      <c r="V76" s="2" t="n">
        <v>32</v>
      </c>
      <c r="W76" s="7">
        <f>IF(N(U76)&lt;=0,0,MIN(Assumptions!$B$15,N(R76)/N(U76)))</f>
        <v/>
      </c>
      <c r="X76" s="6" t="n">
        <v>0.273</v>
      </c>
      <c r="Y76" s="3" t="n">
        <v>0</v>
      </c>
      <c r="Z76" t="inlineStr">
        <is>
          <t>blended xG</t>
        </is>
      </c>
      <c r="AA76" s="3" t="n">
        <v>1</v>
      </c>
      <c r="AB76" s="3" t="n">
        <v>1</v>
      </c>
      <c r="AC76" s="3" t="n">
        <v>0</v>
      </c>
      <c r="AD76" s="3" t="n">
        <v>0.0069</v>
      </c>
      <c r="AE76" s="3" t="n">
        <v>0</v>
      </c>
      <c r="AF76" s="3" t="n">
        <v>0</v>
      </c>
      <c r="AG76" s="3" t="n">
        <v>6.82</v>
      </c>
      <c r="AH76" s="3" t="n">
        <v>0.2732652860000001</v>
      </c>
      <c r="AI76" s="3" t="n">
        <v>63</v>
      </c>
      <c r="AJ76" s="3" t="n">
        <v>2.7451</v>
      </c>
      <c r="AK76" s="3" t="n">
        <v>1.3575</v>
      </c>
      <c r="AL76" s="3" t="n">
        <v>-0.0975322171049593</v>
      </c>
      <c r="AM76" s="6" t="n">
        <v>0</v>
      </c>
      <c r="AN76" s="3" t="n">
        <v>2.868467695626834</v>
      </c>
      <c r="AO76" s="3" t="n">
        <v>0</v>
      </c>
      <c r="AP76" s="3" t="n">
        <v>0.027324</v>
      </c>
      <c r="AQ76" s="3">
        <f>N(X76)*N(BJ76)</f>
        <v/>
      </c>
      <c r="AR76" s="3" t="n">
        <v>0.5799503685565225</v>
      </c>
      <c r="AS76" s="3" t="n">
        <v>-0.4453012382517575</v>
      </c>
      <c r="AT76" s="3" t="n">
        <v>-0.0975322171049593</v>
      </c>
      <c r="AU76" s="3">
        <f>SUM(AO76:AT76)</f>
        <v/>
      </c>
      <c r="AV76" s="7">
        <f>IF(OR(N(W76)&lt;=0,N(BH76)=0),0,N(W76)*IF(N(R76)/N(W76)&gt;=60,N(BH76),1))</f>
        <v/>
      </c>
      <c r="AW76" s="7">
        <f>N(W76)*N(AF76)*N(BI76)</f>
        <v/>
      </c>
      <c r="AX76" s="3">
        <f>IF(N(BH76)=0,0,N(W76)*N(AH76))</f>
        <v/>
      </c>
      <c r="AY76" s="7">
        <f>N(AM76)*(Assumptions!$B$13*N(BK76)-(1-Assumptions!$B$13)*Assumptions!$B$14)+N(AN76)</f>
        <v/>
      </c>
      <c r="AZ76" s="7">
        <f>N(AU76)*N(R76)/90+N(AV76)+N(AW76)+N(AX76)+N(AY76)</f>
        <v/>
      </c>
      <c r="BA76" s="3">
        <f>IF(N(R76)&lt;=0,0,(N(AZ76)-N(AY76))*90/N(R76))</f>
        <v/>
      </c>
      <c r="BB76" s="7">
        <f>IFERROR(AZ76-VLOOKUP($E76,Assumptions!$A$40:$C$43,3,FALSE),"")</f>
        <v/>
      </c>
      <c r="BC76" s="3">
        <f>IFERROR(BB76/H76,"")</f>
        <v/>
      </c>
      <c r="BD76">
        <f>IF(AND($G76=TRUE,$E76="GKP"),AZ76,"")</f>
        <v/>
      </c>
      <c r="BE76">
        <f>IF(AND($G76=TRUE,$E76="DEF"),AZ76,"")</f>
        <v/>
      </c>
      <c r="BF76">
        <f>IF(AND($G76=TRUE,$E76="MID"),AZ76,"")</f>
        <v/>
      </c>
      <c r="BG76">
        <f>IF(AND($G76=TRUE,$E76="FWD"),AZ76,"")</f>
        <v/>
      </c>
      <c r="BH76" t="n">
        <v>2</v>
      </c>
      <c r="BI76" t="n">
        <v>0</v>
      </c>
      <c r="BJ76" t="n">
        <v>4</v>
      </c>
      <c r="BK76" t="n">
        <v>10</v>
      </c>
    </row>
    <row r="77">
      <c r="A77" t="inlineStr">
        <is>
          <t>Jérémy Doku</t>
        </is>
      </c>
      <c r="B77" t="inlineStr">
        <is>
          <t>MCI</t>
        </is>
      </c>
      <c r="C77" t="inlineStr">
        <is>
          <t>MCI</t>
        </is>
      </c>
      <c r="D77" t="b">
        <v>0</v>
      </c>
      <c r="E77" t="inlineStr">
        <is>
          <t>MID</t>
        </is>
      </c>
      <c r="F77" t="inlineStr">
        <is>
          <t>MID</t>
        </is>
      </c>
      <c r="G77" t="b">
        <v>1</v>
      </c>
      <c r="H77" s="2" t="n">
        <v>7.5</v>
      </c>
      <c r="I77" t="inlineStr">
        <is>
          <t>a</t>
        </is>
      </c>
      <c r="K77" s="2" t="n">
        <v>1773</v>
      </c>
      <c r="L77" t="n">
        <v>120</v>
      </c>
      <c r="M77" s="3" t="n">
        <v>2502</v>
      </c>
      <c r="N77" s="4" t="n">
        <v>2650</v>
      </c>
      <c r="O77" s="4" t="n">
        <v>148</v>
      </c>
      <c r="P77" s="5" t="inlineStr">
        <is>
          <t>low</t>
        </is>
      </c>
      <c r="Q77" t="inlineStr">
        <is>
          <t>flat</t>
        </is>
      </c>
      <c r="R77" s="6" t="n">
        <v>2650</v>
      </c>
      <c r="S77" t="inlineStr">
        <is>
          <t>research</t>
        </is>
      </c>
      <c r="T77" s="5" t="inlineStr">
        <is>
          <t>Signed a new contract running to 2031 this month, and Maresca's structure leans on isolating wingers one-v-one, which is his whole game. Both of the players directly behind him on the left — Savinho and Marmoush — are exit-linked. Kept to a small raise because his ceiling is limited by his own record: 19 starts last season and no 2,500-minute league campaign yet.</t>
        </is>
      </c>
      <c r="U77" s="6" t="n">
        <v>79.8</v>
      </c>
      <c r="V77" s="2" t="n">
        <v>19</v>
      </c>
      <c r="W77" s="7">
        <f>IF(N(U77)&lt;=0,0,MIN(Assumptions!$B$15,N(R77)/N(U77)))</f>
        <v/>
      </c>
      <c r="X77" s="6" t="n">
        <v>0.371</v>
      </c>
      <c r="Y77" s="3" t="n">
        <v>0.1865</v>
      </c>
      <c r="Z77" t="inlineStr">
        <is>
          <t>adjusted xGOT</t>
        </is>
      </c>
      <c r="AA77" s="3" t="n">
        <v>1</v>
      </c>
      <c r="AB77" s="3" t="n">
        <v>1.28</v>
      </c>
      <c r="AC77" s="3" t="n">
        <v>6.8</v>
      </c>
      <c r="AD77" s="3" t="n">
        <v>0.3404</v>
      </c>
      <c r="AE77" s="3" t="n">
        <v>7.026</v>
      </c>
      <c r="AF77" s="3" t="n">
        <v>0.02578014090274339</v>
      </c>
      <c r="AG77" s="3" t="n">
        <v>8.949</v>
      </c>
      <c r="AH77" s="3" t="n">
        <v>0.5159574272</v>
      </c>
      <c r="AI77" s="3" t="n">
        <v>48</v>
      </c>
      <c r="AJ77" s="3" t="n">
        <v>1.9737</v>
      </c>
      <c r="AK77" s="3" t="n">
        <v>1.0365</v>
      </c>
      <c r="AL77" s="3" t="n">
        <v>-0.1111803607058527</v>
      </c>
      <c r="AM77" s="6" t="n">
        <v>0.0245024429491342</v>
      </c>
      <c r="AN77" s="3" t="n">
        <v>0</v>
      </c>
      <c r="AO77" s="3" t="n">
        <v>0.9325</v>
      </c>
      <c r="AP77" s="3" t="n">
        <v>1.347984</v>
      </c>
      <c r="AQ77" s="3">
        <f>N(X77)*N(BJ77)</f>
        <v/>
      </c>
      <c r="AR77" s="3" t="n">
        <v>0</v>
      </c>
      <c r="AS77" s="3" t="n">
        <v>-0</v>
      </c>
      <c r="AT77" s="3" t="n">
        <v>-0.1111803607058527</v>
      </c>
      <c r="AU77" s="3">
        <f>SUM(AO77:AT77)</f>
        <v/>
      </c>
      <c r="AV77" s="7">
        <f>IF(OR(N(W77)&lt;=0,N(BH77)=0),0,N(W77)*IF(N(R77)/N(W77)&gt;=60,N(BH77),1))</f>
        <v/>
      </c>
      <c r="AW77" s="7">
        <f>N(W77)*N(AF77)*N(BI77)</f>
        <v/>
      </c>
      <c r="AX77" s="3">
        <f>IF(N(BH77)=0,0,N(W77)*N(AH77))</f>
        <v/>
      </c>
      <c r="AY77" s="7">
        <f>N(AM77)*(Assumptions!$B$13*N(BK77)-(1-Assumptions!$B$13)*Assumptions!$B$14)+N(AN77)</f>
        <v/>
      </c>
      <c r="AZ77" s="7">
        <f>N(AU77)*N(R77)/90+N(AV77)+N(AW77)+N(AX77)+N(AY77)</f>
        <v/>
      </c>
      <c r="BA77" s="3">
        <f>IF(N(R77)&lt;=0,0,(N(AZ77)-N(AY77))*90/N(R77))</f>
        <v/>
      </c>
      <c r="BB77" s="7">
        <f>IFERROR(AZ77-VLOOKUP($E77,Assumptions!$A$40:$C$43,3,FALSE),"")</f>
        <v/>
      </c>
      <c r="BC77" s="3">
        <f>IFERROR(BB77/H77,"")</f>
        <v/>
      </c>
      <c r="BD77">
        <f>IF(AND($G77=TRUE,$E77="GKP"),AZ77,"")</f>
        <v/>
      </c>
      <c r="BE77">
        <f>IF(AND($G77=TRUE,$E77="DEF"),AZ77,"")</f>
        <v/>
      </c>
      <c r="BF77">
        <f>IF(AND($G77=TRUE,$E77="MID"),AZ77,"")</f>
        <v/>
      </c>
      <c r="BG77">
        <f>IF(AND($G77=TRUE,$E77="FWD"),AZ77,"")</f>
        <v/>
      </c>
      <c r="BH77" t="n">
        <v>2</v>
      </c>
      <c r="BI77" t="n">
        <v>2</v>
      </c>
      <c r="BJ77" t="n">
        <v>1</v>
      </c>
      <c r="BK77" t="n">
        <v>5</v>
      </c>
    </row>
    <row r="78">
      <c r="A78" t="inlineStr">
        <is>
          <t>Nikola Milenkovic</t>
        </is>
      </c>
      <c r="B78" t="inlineStr">
        <is>
          <t>NFO</t>
        </is>
      </c>
      <c r="C78" t="inlineStr">
        <is>
          <t>NFO</t>
        </is>
      </c>
      <c r="D78" t="b">
        <v>0</v>
      </c>
      <c r="E78" t="inlineStr">
        <is>
          <t>DEF</t>
        </is>
      </c>
      <c r="F78" t="inlineStr">
        <is>
          <t>DEF</t>
        </is>
      </c>
      <c r="G78" t="b">
        <v>1</v>
      </c>
      <c r="H78" s="2" t="n">
        <v>5.5</v>
      </c>
      <c r="I78" t="inlineStr">
        <is>
          <t>a</t>
        </is>
      </c>
      <c r="K78" s="2" t="n">
        <v>3375</v>
      </c>
      <c r="L78" t="n">
        <v>119</v>
      </c>
      <c r="M78" s="3" t="n">
        <v>3312</v>
      </c>
      <c r="N78" s="4" t="n">
        <v>3230</v>
      </c>
      <c r="O78" s="4" t="n">
        <v>-82</v>
      </c>
      <c r="P78" s="5" t="inlineStr">
        <is>
          <t>low</t>
        </is>
      </c>
      <c r="Q78" t="inlineStr">
        <is>
          <t>flat</t>
        </is>
      </c>
      <c r="R78" s="6" t="n">
        <v>3230</v>
      </c>
      <c r="S78" t="inlineStr">
        <is>
          <t>research</t>
        </is>
      </c>
      <c r="T78" s="5" t="inlineStr">
        <is>
          <t>Token trim only. He played 3,375 league minutes in 2025-26 and is the one Forest player for whom a near-ever-present projection is fully supported by evidence.</t>
        </is>
      </c>
      <c r="U78" s="6" t="n">
        <v>89</v>
      </c>
      <c r="V78" s="2" t="n">
        <v>37</v>
      </c>
      <c r="W78" s="7">
        <f>IF(N(U78)&lt;=0,0,MIN(Assumptions!$B$15,N(R78)/N(U78)))</f>
        <v/>
      </c>
      <c r="X78" s="6" t="n">
        <v>0.224</v>
      </c>
      <c r="Y78" s="3" t="n">
        <v>0.022</v>
      </c>
      <c r="Z78" t="inlineStr">
        <is>
          <t>adjusted xGOT</t>
        </is>
      </c>
      <c r="AA78" s="3" t="n">
        <v>1</v>
      </c>
      <c r="AB78" s="3" t="n">
        <v>0.994</v>
      </c>
      <c r="AC78" s="3" t="n">
        <v>4.9</v>
      </c>
      <c r="AD78" s="3" t="n">
        <v>0.0126</v>
      </c>
      <c r="AE78" s="3" t="n">
        <v>8.186</v>
      </c>
      <c r="AF78" s="3" t="n">
        <v>0.2952363900242757</v>
      </c>
      <c r="AG78" s="3" t="n">
        <v>6.576</v>
      </c>
      <c r="AH78" s="3" t="n">
        <v>0.104791504</v>
      </c>
      <c r="AI78" s="3" t="n">
        <v>75</v>
      </c>
      <c r="AJ78" s="3" t="n">
        <v>3.1134</v>
      </c>
      <c r="AK78" s="3" t="n">
        <v>1.5588</v>
      </c>
      <c r="AL78" s="3" t="n">
        <v>-0.1709107727150983</v>
      </c>
      <c r="AM78" s="6" t="n">
        <v>0</v>
      </c>
      <c r="AN78" s="3" t="n">
        <v>0</v>
      </c>
      <c r="AO78" s="3" t="n">
        <v>0.132</v>
      </c>
      <c r="AP78" s="3" t="n">
        <v>0.049896</v>
      </c>
      <c r="AQ78" s="3">
        <f>N(X78)*N(BJ78)</f>
        <v/>
      </c>
      <c r="AR78" s="3" t="n">
        <v>0</v>
      </c>
      <c r="AS78" s="3" t="n">
        <v>-0.5404658182244797</v>
      </c>
      <c r="AT78" s="3" t="n">
        <v>-0.1709107727150983</v>
      </c>
      <c r="AU78" s="3">
        <f>SUM(AO78:AT78)</f>
        <v/>
      </c>
      <c r="AV78" s="7">
        <f>IF(OR(N(W78)&lt;=0,N(BH78)=0),0,N(W78)*IF(N(R78)/N(W78)&gt;=60,N(BH78),1))</f>
        <v/>
      </c>
      <c r="AW78" s="7">
        <f>N(W78)*N(AF78)*N(BI78)</f>
        <v/>
      </c>
      <c r="AX78" s="3">
        <f>IF(N(BH78)=0,0,N(W78)*N(AH78))</f>
        <v/>
      </c>
      <c r="AY78" s="7">
        <f>N(AM78)*(Assumptions!$B$13*N(BK78)-(1-Assumptions!$B$13)*Assumptions!$B$14)+N(AN78)</f>
        <v/>
      </c>
      <c r="AZ78" s="7">
        <f>N(AU78)*N(R78)/90+N(AV78)+N(AW78)+N(AX78)+N(AY78)</f>
        <v/>
      </c>
      <c r="BA78" s="3">
        <f>IF(N(R78)&lt;=0,0,(N(AZ78)-N(AY78))*90/N(R78))</f>
        <v/>
      </c>
      <c r="BB78" s="7">
        <f>IFERROR(AZ78-VLOOKUP($E78,Assumptions!$A$40:$C$43,3,FALSE),"")</f>
        <v/>
      </c>
      <c r="BC78" s="3">
        <f>IFERROR(BB78/H78,"")</f>
        <v/>
      </c>
      <c r="BD78">
        <f>IF(AND($G78=TRUE,$E78="GKP"),AZ78,"")</f>
        <v/>
      </c>
      <c r="BE78">
        <f>IF(AND($G78=TRUE,$E78="DEF"),AZ78,"")</f>
        <v/>
      </c>
      <c r="BF78">
        <f>IF(AND($G78=TRUE,$E78="MID"),AZ78,"")</f>
        <v/>
      </c>
      <c r="BG78">
        <f>IF(AND($G78=TRUE,$E78="FWD"),AZ78,"")</f>
        <v/>
      </c>
      <c r="BH78" t="n">
        <v>2</v>
      </c>
      <c r="BI78" t="n">
        <v>2</v>
      </c>
      <c r="BJ78" t="n">
        <v>4</v>
      </c>
      <c r="BK78" t="n">
        <v>6</v>
      </c>
    </row>
    <row r="79">
      <c r="A79" t="inlineStr">
        <is>
          <t>Richarlison</t>
        </is>
      </c>
      <c r="B79" t="inlineStr">
        <is>
          <t>TOT</t>
        </is>
      </c>
      <c r="C79" t="inlineStr">
        <is>
          <t>TOT</t>
        </is>
      </c>
      <c r="D79" t="b">
        <v>0</v>
      </c>
      <c r="E79" t="inlineStr">
        <is>
          <t>FWD</t>
        </is>
      </c>
      <c r="F79" t="inlineStr">
        <is>
          <t>FWD</t>
        </is>
      </c>
      <c r="G79" t="b">
        <v>1</v>
      </c>
      <c r="H79" s="2" t="n">
        <v>6</v>
      </c>
      <c r="I79" t="inlineStr">
        <is>
          <t>a</t>
        </is>
      </c>
      <c r="K79" s="2" t="n">
        <v>1954</v>
      </c>
      <c r="L79" t="n">
        <v>119</v>
      </c>
      <c r="M79" s="3" t="n">
        <v>697</v>
      </c>
      <c r="N79" s="4" t="n">
        <v>1300</v>
      </c>
      <c r="O79" s="4" t="n">
        <v>603</v>
      </c>
      <c r="P79" s="5" t="inlineStr">
        <is>
          <t>medium</t>
        </is>
      </c>
      <c r="Q79" t="inlineStr">
        <is>
          <t>fade (losing his place)</t>
        </is>
      </c>
      <c r="R79" s="6" t="n">
        <v>1300</v>
      </c>
      <c r="S79" t="inlineStr">
        <is>
          <t>research</t>
        </is>
      </c>
      <c r="T79" s="5" t="inlineStr">
        <is>
          <t>Solio flags Richarlison as fading. He has instead led the line in both August friendlies while Solanke has been managed, and is the only other senior centre-forward in the squad (Dane Scarlett aside). With Solanke doubtful for the opener and no No.9 signed, he starts the season in the XI. Held well short of a starter's allocation because a striker signing is actively being pursued.</t>
        </is>
      </c>
      <c r="U79" s="6" t="n">
        <v>81.7</v>
      </c>
      <c r="V79" s="2" t="n">
        <v>20</v>
      </c>
      <c r="W79" s="7">
        <f>IF(N(U79)&lt;=0,0,MIN(Assumptions!$B$15,N(R79)/N(U79)))</f>
        <v/>
      </c>
      <c r="X79" s="6" t="n">
        <v>0.286</v>
      </c>
      <c r="Y79" s="3" t="n">
        <v>0.4198</v>
      </c>
      <c r="Z79" t="inlineStr">
        <is>
          <t>adjusted xGOT</t>
        </is>
      </c>
      <c r="AA79" s="3" t="n">
        <v>1</v>
      </c>
      <c r="AB79" s="3" t="n">
        <v>1.055</v>
      </c>
      <c r="AC79" s="3" t="n">
        <v>25.3</v>
      </c>
      <c r="AD79" s="3" t="n">
        <v>0.1121</v>
      </c>
      <c r="AE79" s="3" t="n">
        <v>6.238</v>
      </c>
      <c r="AF79" s="3" t="n">
        <v>0.01350435535675565</v>
      </c>
      <c r="AG79" s="3" t="n">
        <v>2.879</v>
      </c>
      <c r="AH79" s="3" t="n">
        <v>0.6108065424</v>
      </c>
      <c r="AI79" s="3" t="n">
        <v>51</v>
      </c>
      <c r="AJ79" s="3" t="n">
        <v>2.5739</v>
      </c>
      <c r="AK79" s="3" t="n">
        <v>1.3096</v>
      </c>
      <c r="AL79" s="3" t="n">
        <v>-0.2218707428614252</v>
      </c>
      <c r="AM79" s="6" t="n">
        <v>0.0361982866880706</v>
      </c>
      <c r="AN79" s="3" t="n">
        <v>0</v>
      </c>
      <c r="AO79" s="3" t="n">
        <v>1.6792</v>
      </c>
      <c r="AP79" s="3" t="n">
        <v>0.4439160000000001</v>
      </c>
      <c r="AQ79" s="3">
        <f>N(X79)*N(BJ79)</f>
        <v/>
      </c>
      <c r="AR79" s="3" t="n">
        <v>0</v>
      </c>
      <c r="AS79" s="3" t="n">
        <v>-0</v>
      </c>
      <c r="AT79" s="3" t="n">
        <v>-0.2218707428614252</v>
      </c>
      <c r="AU79" s="3">
        <f>SUM(AO79:AT79)</f>
        <v/>
      </c>
      <c r="AV79" s="7">
        <f>IF(OR(N(W79)&lt;=0,N(BH79)=0),0,N(W79)*IF(N(R79)/N(W79)&gt;=60,N(BH79),1))</f>
        <v/>
      </c>
      <c r="AW79" s="7">
        <f>N(W79)*N(AF79)*N(BI79)</f>
        <v/>
      </c>
      <c r="AX79" s="3">
        <f>IF(N(BH79)=0,0,N(W79)*N(AH79))</f>
        <v/>
      </c>
      <c r="AY79" s="7">
        <f>N(AM79)*(Assumptions!$B$13*N(BK79)-(1-Assumptions!$B$13)*Assumptions!$B$14)+N(AN79)</f>
        <v/>
      </c>
      <c r="AZ79" s="7">
        <f>N(AU79)*N(R79)/90+N(AV79)+N(AW79)+N(AX79)+N(AY79)</f>
        <v/>
      </c>
      <c r="BA79" s="3">
        <f>IF(N(R79)&lt;=0,0,(N(AZ79)-N(AY79))*90/N(R79))</f>
        <v/>
      </c>
      <c r="BB79" s="7">
        <f>IFERROR(AZ79-VLOOKUP($E79,Assumptions!$A$40:$C$43,3,FALSE),"")</f>
        <v/>
      </c>
      <c r="BC79" s="3">
        <f>IFERROR(BB79/H79,"")</f>
        <v/>
      </c>
      <c r="BD79">
        <f>IF(AND($G79=TRUE,$E79="GKP"),AZ79,"")</f>
        <v/>
      </c>
      <c r="BE79">
        <f>IF(AND($G79=TRUE,$E79="DEF"),AZ79,"")</f>
        <v/>
      </c>
      <c r="BF79">
        <f>IF(AND($G79=TRUE,$E79="MID"),AZ79,"")</f>
        <v/>
      </c>
      <c r="BG79">
        <f>IF(AND($G79=TRUE,$E79="FWD"),AZ79,"")</f>
        <v/>
      </c>
      <c r="BH79" t="n">
        <v>2</v>
      </c>
      <c r="BI79" t="n">
        <v>2</v>
      </c>
      <c r="BJ79" t="n">
        <v>0</v>
      </c>
      <c r="BK79" t="n">
        <v>4</v>
      </c>
    </row>
    <row r="80">
      <c r="A80" t="inlineStr">
        <is>
          <t>Ferdi Kadioglu</t>
        </is>
      </c>
      <c r="B80" t="inlineStr">
        <is>
          <t>BHA</t>
        </is>
      </c>
      <c r="C80" t="inlineStr">
        <is>
          <t>BHA</t>
        </is>
      </c>
      <c r="D80" t="b">
        <v>0</v>
      </c>
      <c r="E80" t="inlineStr">
        <is>
          <t>DEF</t>
        </is>
      </c>
      <c r="F80" t="inlineStr">
        <is>
          <t>DEF</t>
        </is>
      </c>
      <c r="G80" t="b">
        <v>1</v>
      </c>
      <c r="H80" s="2" t="n">
        <v>4.5</v>
      </c>
      <c r="I80" t="inlineStr">
        <is>
          <t>a</t>
        </is>
      </c>
      <c r="K80" s="2" t="n">
        <v>3130</v>
      </c>
      <c r="L80" t="n">
        <v>118</v>
      </c>
      <c r="M80" s="3" t="n">
        <v>3198</v>
      </c>
      <c r="N80" s="4" t="n">
        <v>2850</v>
      </c>
      <c r="O80" s="4" t="n">
        <v>-348</v>
      </c>
      <c r="P80" s="5" t="inlineStr">
        <is>
          <t>low</t>
        </is>
      </c>
      <c r="Q80" t="inlineStr">
        <is>
          <t>flat</t>
        </is>
      </c>
      <c r="R80" s="6" t="n">
        <v>2850</v>
      </c>
      <c r="S80" t="inlineStr">
        <is>
          <t>research</t>
        </is>
      </c>
      <c r="T80" s="5" t="inlineStr">
        <is>
          <t>Solio extrapolates his 3130 minutes from 2025/26 slightly upward to 3198, i.e. 94% of everything available. But 2025/26 had no European football; 2026/27 is Brighton's first Conference League campaign since 2023/24, and they signed Costinha (GBP 11m, Olympiacos) as a full-back in June. Kadioglu was substituted on 78' against Bologna with Costinha replacing him. A modest haircut, not a demotion.</t>
        </is>
      </c>
      <c r="U80" s="6" t="n">
        <v>88.09999999999999</v>
      </c>
      <c r="V80" s="2" t="n">
        <v>34</v>
      </c>
      <c r="W80" s="7">
        <f>IF(N(U80)&lt;=0,0,MIN(Assumptions!$B$15,N(R80)/N(U80)))</f>
        <v/>
      </c>
      <c r="X80" s="6" t="n">
        <v>0.252</v>
      </c>
      <c r="Y80" s="3" t="n">
        <v>0.0626</v>
      </c>
      <c r="Z80" t="inlineStr">
        <is>
          <t>adjusted xGOT</t>
        </is>
      </c>
      <c r="AA80" s="3" t="n">
        <v>1</v>
      </c>
      <c r="AB80" s="3" t="n">
        <v>1.057</v>
      </c>
      <c r="AC80" s="3" t="n">
        <v>2.5</v>
      </c>
      <c r="AD80" s="3" t="n">
        <v>0.0799</v>
      </c>
      <c r="AE80" s="3" t="n">
        <v>5.411</v>
      </c>
      <c r="AF80" s="3" t="n">
        <v>0.04390974784713242</v>
      </c>
      <c r="AG80" s="3" t="n">
        <v>8.593</v>
      </c>
      <c r="AH80" s="3" t="n">
        <v>0.2358906451</v>
      </c>
      <c r="AI80" s="3" t="n">
        <v>72</v>
      </c>
      <c r="AJ80" s="3" t="n">
        <v>2.8404</v>
      </c>
      <c r="AK80" s="3" t="n">
        <v>1.439</v>
      </c>
      <c r="AL80" s="3" t="n">
        <v>-0.1999088956728618</v>
      </c>
      <c r="AM80" s="6" t="n">
        <v>0</v>
      </c>
      <c r="AN80" s="3" t="n">
        <v>0</v>
      </c>
      <c r="AO80" s="3" t="n">
        <v>0.3756</v>
      </c>
      <c r="AP80" s="3" t="n">
        <v>0.316404</v>
      </c>
      <c r="AQ80" s="3">
        <f>N(X80)*N(BJ80)</f>
        <v/>
      </c>
      <c r="AR80" s="3" t="n">
        <v>0</v>
      </c>
      <c r="AS80" s="3" t="n">
        <v>-0.4835617861760246</v>
      </c>
      <c r="AT80" s="3" t="n">
        <v>-0.1999088956728618</v>
      </c>
      <c r="AU80" s="3">
        <f>SUM(AO80:AT80)</f>
        <v/>
      </c>
      <c r="AV80" s="7">
        <f>IF(OR(N(W80)&lt;=0,N(BH80)=0),0,N(W80)*IF(N(R80)/N(W80)&gt;=60,N(BH80),1))</f>
        <v/>
      </c>
      <c r="AW80" s="7">
        <f>N(W80)*N(AF80)*N(BI80)</f>
        <v/>
      </c>
      <c r="AX80" s="3">
        <f>IF(N(BH80)=0,0,N(W80)*N(AH80))</f>
        <v/>
      </c>
      <c r="AY80" s="7">
        <f>N(AM80)*(Assumptions!$B$13*N(BK80)-(1-Assumptions!$B$13)*Assumptions!$B$14)+N(AN80)</f>
        <v/>
      </c>
      <c r="AZ80" s="7">
        <f>N(AU80)*N(R80)/90+N(AV80)+N(AW80)+N(AX80)+N(AY80)</f>
        <v/>
      </c>
      <c r="BA80" s="3">
        <f>IF(N(R80)&lt;=0,0,(N(AZ80)-N(AY80))*90/N(R80))</f>
        <v/>
      </c>
      <c r="BB80" s="7">
        <f>IFERROR(AZ80-VLOOKUP($E80,Assumptions!$A$40:$C$43,3,FALSE),"")</f>
        <v/>
      </c>
      <c r="BC80" s="3">
        <f>IFERROR(BB80/H80,"")</f>
        <v/>
      </c>
      <c r="BD80">
        <f>IF(AND($G80=TRUE,$E80="GKP"),AZ80,"")</f>
        <v/>
      </c>
      <c r="BE80">
        <f>IF(AND($G80=TRUE,$E80="DEF"),AZ80,"")</f>
        <v/>
      </c>
      <c r="BF80">
        <f>IF(AND($G80=TRUE,$E80="MID"),AZ80,"")</f>
        <v/>
      </c>
      <c r="BG80">
        <f>IF(AND($G80=TRUE,$E80="FWD"),AZ80,"")</f>
        <v/>
      </c>
      <c r="BH80" t="n">
        <v>2</v>
      </c>
      <c r="BI80" t="n">
        <v>2</v>
      </c>
      <c r="BJ80" t="n">
        <v>4</v>
      </c>
      <c r="BK80" t="n">
        <v>6</v>
      </c>
    </row>
    <row r="81">
      <c r="A81" t="inlineStr">
        <is>
          <t>Ismaïla Sarr</t>
        </is>
      </c>
      <c r="B81" t="inlineStr">
        <is>
          <t>CRY</t>
        </is>
      </c>
      <c r="C81" t="inlineStr">
        <is>
          <t>CRY</t>
        </is>
      </c>
      <c r="D81" t="b">
        <v>0</v>
      </c>
      <c r="E81" t="inlineStr">
        <is>
          <t>MID</t>
        </is>
      </c>
      <c r="F81" t="inlineStr">
        <is>
          <t>MID</t>
        </is>
      </c>
      <c r="G81" t="b">
        <v>1</v>
      </c>
      <c r="H81" s="2" t="n">
        <v>6.5</v>
      </c>
      <c r="I81" t="inlineStr">
        <is>
          <t>a</t>
        </is>
      </c>
      <c r="K81" s="2" t="n">
        <v>2173</v>
      </c>
      <c r="L81" t="n">
        <v>117</v>
      </c>
      <c r="M81" s="3" t="n">
        <v>3135</v>
      </c>
      <c r="N81" s="4" t="n">
        <v>2250</v>
      </c>
      <c r="O81" s="4" t="n">
        <v>-885</v>
      </c>
      <c r="P81" s="5" t="inlineStr">
        <is>
          <t>medium</t>
        </is>
      </c>
      <c r="Q81" t="inlineStr">
        <is>
          <t>flat</t>
        </is>
      </c>
      <c r="R81" s="6" t="n">
        <v>2250</v>
      </c>
      <c r="S81" t="inlineStr">
        <is>
          <t>research</t>
        </is>
      </c>
      <c r="T81" s="5" t="inlineStr">
        <is>
          <t>Solio projects a 962-minute jump on his 2173 last season, and that projection predates three August arrivals who all land in the wide and attacking areas: McNeil on 11 August, Guessand on 12 August and Khalaili on 15 August. Palace also play in the Europa League league phase this season, which forces domestic rotation. Proposed figure still sits slightly above his 2025/26 total.</t>
        </is>
      </c>
      <c r="U81" s="6" t="n">
        <v>83.59999999999999</v>
      </c>
      <c r="V81" s="2" t="n">
        <v>24</v>
      </c>
      <c r="W81" s="7">
        <f>IF(N(U81)&lt;=0,0,MIN(Assumptions!$B$15,N(R81)/N(U81)))</f>
        <v/>
      </c>
      <c r="X81" s="6" t="n">
        <v>0.216</v>
      </c>
      <c r="Y81" s="3" t="n">
        <v>0.3601</v>
      </c>
      <c r="Z81" t="inlineStr">
        <is>
          <t>adjusted xGOT</t>
        </is>
      </c>
      <c r="AA81" s="3" t="n">
        <v>0.802</v>
      </c>
      <c r="AB81" s="3" t="n">
        <v>0.992</v>
      </c>
      <c r="AC81" s="3" t="n">
        <v>21.8</v>
      </c>
      <c r="AD81" s="3" t="n">
        <v>0.0698</v>
      </c>
      <c r="AE81" s="3" t="n">
        <v>6.397</v>
      </c>
      <c r="AF81" s="3" t="n">
        <v>0.01881876944529104</v>
      </c>
      <c r="AG81" s="3" t="n">
        <v>2.277</v>
      </c>
      <c r="AH81" s="3" t="n">
        <v>0.429933844</v>
      </c>
      <c r="AI81" s="3" t="n">
        <v>50</v>
      </c>
      <c r="AJ81" s="3" t="n">
        <v>3.2035</v>
      </c>
      <c r="AK81" s="3" t="n">
        <v>1.5923</v>
      </c>
      <c r="AL81" s="3" t="n">
        <v>-0.1470613343008995</v>
      </c>
      <c r="AM81" s="6" t="n">
        <v>1.139107750193497</v>
      </c>
      <c r="AN81" s="3" t="n">
        <v>0</v>
      </c>
      <c r="AO81" s="3" t="n">
        <v>1.8005</v>
      </c>
      <c r="AP81" s="3" t="n">
        <v>0.276408</v>
      </c>
      <c r="AQ81" s="3">
        <f>N(X81)*N(BJ81)</f>
        <v/>
      </c>
      <c r="AR81" s="3" t="n">
        <v>0</v>
      </c>
      <c r="AS81" s="3" t="n">
        <v>-0</v>
      </c>
      <c r="AT81" s="3" t="n">
        <v>-0.1470613343008995</v>
      </c>
      <c r="AU81" s="3">
        <f>SUM(AO81:AT81)</f>
        <v/>
      </c>
      <c r="AV81" s="7">
        <f>IF(OR(N(W81)&lt;=0,N(BH81)=0),0,N(W81)*IF(N(R81)/N(W81)&gt;=60,N(BH81),1))</f>
        <v/>
      </c>
      <c r="AW81" s="7">
        <f>N(W81)*N(AF81)*N(BI81)</f>
        <v/>
      </c>
      <c r="AX81" s="3">
        <f>IF(N(BH81)=0,0,N(W81)*N(AH81))</f>
        <v/>
      </c>
      <c r="AY81" s="7">
        <f>N(AM81)*(Assumptions!$B$13*N(BK81)-(1-Assumptions!$B$13)*Assumptions!$B$14)+N(AN81)</f>
        <v/>
      </c>
      <c r="AZ81" s="7">
        <f>N(AU81)*N(R81)/90+N(AV81)+N(AW81)+N(AX81)+N(AY81)</f>
        <v/>
      </c>
      <c r="BA81" s="3">
        <f>IF(N(R81)&lt;=0,0,(N(AZ81)-N(AY81))*90/N(R81))</f>
        <v/>
      </c>
      <c r="BB81" s="7">
        <f>IFERROR(AZ81-VLOOKUP($E81,Assumptions!$A$40:$C$43,3,FALSE),"")</f>
        <v/>
      </c>
      <c r="BC81" s="3">
        <f>IFERROR(BB81/H81,"")</f>
        <v/>
      </c>
      <c r="BD81">
        <f>IF(AND($G81=TRUE,$E81="GKP"),AZ81,"")</f>
        <v/>
      </c>
      <c r="BE81">
        <f>IF(AND($G81=TRUE,$E81="DEF"),AZ81,"")</f>
        <v/>
      </c>
      <c r="BF81">
        <f>IF(AND($G81=TRUE,$E81="MID"),AZ81,"")</f>
        <v/>
      </c>
      <c r="BG81">
        <f>IF(AND($G81=TRUE,$E81="FWD"),AZ81,"")</f>
        <v/>
      </c>
      <c r="BH81" t="n">
        <v>2</v>
      </c>
      <c r="BI81" t="n">
        <v>2</v>
      </c>
      <c r="BJ81" t="n">
        <v>1</v>
      </c>
      <c r="BK81" t="n">
        <v>5</v>
      </c>
    </row>
    <row r="82">
      <c r="A82" t="inlineStr">
        <is>
          <t>Yankuba Minteh</t>
        </is>
      </c>
      <c r="B82" t="inlineStr">
        <is>
          <t>BHA</t>
        </is>
      </c>
      <c r="C82" t="inlineStr">
        <is>
          <t>BHA</t>
        </is>
      </c>
      <c r="D82" t="b">
        <v>0</v>
      </c>
      <c r="E82" t="inlineStr">
        <is>
          <t>MID</t>
        </is>
      </c>
      <c r="F82" t="inlineStr">
        <is>
          <t>MID</t>
        </is>
      </c>
      <c r="G82" t="b">
        <v>1</v>
      </c>
      <c r="H82" s="2" t="n">
        <v>6</v>
      </c>
      <c r="I82" t="inlineStr">
        <is>
          <t>i</t>
        </is>
      </c>
      <c r="J82" t="inlineStr">
        <is>
          <t>Leg injury - Expected back 28 Nov</t>
        </is>
      </c>
      <c r="K82" s="2" t="n">
        <v>2389</v>
      </c>
      <c r="L82" t="n">
        <v>117</v>
      </c>
      <c r="M82" s="3" t="n">
        <v>2713</v>
      </c>
      <c r="N82" s="4" t="n">
        <v>1550</v>
      </c>
      <c r="O82" s="4" t="n">
        <v>-1163</v>
      </c>
      <c r="P82" s="5" t="inlineStr">
        <is>
          <t>high</t>
        </is>
      </c>
      <c r="Q82" t="inlineStr">
        <is>
          <t>ramp-up (injury / late WC return)</t>
        </is>
      </c>
      <c r="R82" s="6" t="n">
        <v>1550</v>
      </c>
      <c r="S82" t="inlineStr">
        <is>
          <t>research</t>
        </is>
      </c>
      <c r="T82" s="5" t="inlineStr">
        <is>
          <t>Suffered a right-leg injury in the Roma friendly on 8 Aug 2026. Hurzeler said Brighton expect to be without him for two to three months; FPL's flag (added 2026-08-14) says 'Expected back 28 Nov', which is roughly Gameweek 14. Solio projects 2713, an INCREASE on his 2389 minutes last season, so it clearly predates the injury. Allowing ~24 gameweeks from a late-November return, at his 83.2 mins/start with a fitness ramp and no guarantee against setbacks, lands near 1550.</t>
        </is>
      </c>
      <c r="U82" s="6" t="n">
        <v>82.3</v>
      </c>
      <c r="V82" s="2" t="n">
        <v>26</v>
      </c>
      <c r="W82" s="7">
        <f>IF(N(U82)&lt;=0,0,MIN(Assumptions!$B$15,N(R82)/N(U82)))</f>
        <v/>
      </c>
      <c r="X82" s="6" t="n">
        <v>0.252</v>
      </c>
      <c r="Y82" s="3" t="n">
        <v>0.1513</v>
      </c>
      <c r="Z82" t="inlineStr">
        <is>
          <t>adjusted xGOT</t>
        </is>
      </c>
      <c r="AA82" s="3" t="n">
        <v>1</v>
      </c>
      <c r="AB82" s="3" t="n">
        <v>1.054</v>
      </c>
      <c r="AC82" s="3" t="n">
        <v>7.9</v>
      </c>
      <c r="AD82" s="3" t="n">
        <v>0.2053</v>
      </c>
      <c r="AE82" s="3" t="n">
        <v>7.342</v>
      </c>
      <c r="AF82" s="3" t="n">
        <v>0.04146106156218199</v>
      </c>
      <c r="AG82" s="3" t="n">
        <v>6.024</v>
      </c>
      <c r="AH82" s="3" t="n">
        <v>0.2967418897</v>
      </c>
      <c r="AI82" s="3" t="n">
        <v>59</v>
      </c>
      <c r="AJ82" s="3" t="n">
        <v>2.8404</v>
      </c>
      <c r="AK82" s="3" t="n">
        <v>1.439</v>
      </c>
      <c r="AL82" s="3" t="n">
        <v>-0.1954537232895024</v>
      </c>
      <c r="AM82" s="6" t="n">
        <v>0</v>
      </c>
      <c r="AN82" s="3" t="n">
        <v>0</v>
      </c>
      <c r="AO82" s="3" t="n">
        <v>0.7565</v>
      </c>
      <c r="AP82" s="3" t="n">
        <v>0.812988</v>
      </c>
      <c r="AQ82" s="3">
        <f>N(X82)*N(BJ82)</f>
        <v/>
      </c>
      <c r="AR82" s="3" t="n">
        <v>0</v>
      </c>
      <c r="AS82" s="3" t="n">
        <v>-0</v>
      </c>
      <c r="AT82" s="3" t="n">
        <v>-0.1954537232895024</v>
      </c>
      <c r="AU82" s="3">
        <f>SUM(AO82:AT82)</f>
        <v/>
      </c>
      <c r="AV82" s="7">
        <f>IF(OR(N(W82)&lt;=0,N(BH82)=0),0,N(W82)*IF(N(R82)/N(W82)&gt;=60,N(BH82),1))</f>
        <v/>
      </c>
      <c r="AW82" s="7">
        <f>N(W82)*N(AF82)*N(BI82)</f>
        <v/>
      </c>
      <c r="AX82" s="3">
        <f>IF(N(BH82)=0,0,N(W82)*N(AH82))</f>
        <v/>
      </c>
      <c r="AY82" s="7">
        <f>N(AM82)*(Assumptions!$B$13*N(BK82)-(1-Assumptions!$B$13)*Assumptions!$B$14)+N(AN82)</f>
        <v/>
      </c>
      <c r="AZ82" s="7">
        <f>N(AU82)*N(R82)/90+N(AV82)+N(AW82)+N(AX82)+N(AY82)</f>
        <v/>
      </c>
      <c r="BA82" s="3">
        <f>IF(N(R82)&lt;=0,0,(N(AZ82)-N(AY82))*90/N(R82))</f>
        <v/>
      </c>
      <c r="BB82" s="7">
        <f>IFERROR(AZ82-VLOOKUP($E82,Assumptions!$A$40:$C$43,3,FALSE),"")</f>
        <v/>
      </c>
      <c r="BC82" s="3">
        <f>IFERROR(BB82/H82,"")</f>
        <v/>
      </c>
      <c r="BD82">
        <f>IF(AND($G82=TRUE,$E82="GKP"),AZ82,"")</f>
        <v/>
      </c>
      <c r="BE82">
        <f>IF(AND($G82=TRUE,$E82="DEF"),AZ82,"")</f>
        <v/>
      </c>
      <c r="BF82">
        <f>IF(AND($G82=TRUE,$E82="MID"),AZ82,"")</f>
        <v/>
      </c>
      <c r="BG82">
        <f>IF(AND($G82=TRUE,$E82="FWD"),AZ82,"")</f>
        <v/>
      </c>
      <c r="BH82" t="n">
        <v>2</v>
      </c>
      <c r="BI82" t="n">
        <v>2</v>
      </c>
      <c r="BJ82" t="n">
        <v>1</v>
      </c>
      <c r="BK82" t="n">
        <v>5</v>
      </c>
    </row>
    <row r="83">
      <c r="A83" t="inlineStr">
        <is>
          <t>Pedro Porro</t>
        </is>
      </c>
      <c r="B83" t="inlineStr">
        <is>
          <t>TOT</t>
        </is>
      </c>
      <c r="C83" t="inlineStr">
        <is>
          <t>TOT</t>
        </is>
      </c>
      <c r="D83" t="b">
        <v>0</v>
      </c>
      <c r="E83" t="inlineStr">
        <is>
          <t>DEF</t>
        </is>
      </c>
      <c r="F83" t="inlineStr">
        <is>
          <t>DEF</t>
        </is>
      </c>
      <c r="G83" t="b">
        <v>1</v>
      </c>
      <c r="H83" s="2" t="n">
        <v>5.5</v>
      </c>
      <c r="I83" t="inlineStr">
        <is>
          <t>a</t>
        </is>
      </c>
      <c r="K83" s="2" t="n">
        <v>2793</v>
      </c>
      <c r="L83" t="n">
        <v>117</v>
      </c>
      <c r="M83" s="3" t="n">
        <v>3084</v>
      </c>
      <c r="N83" s="8" t="n">
        <v>3084</v>
      </c>
      <c r="O83" s="8" t="n">
        <v>0</v>
      </c>
      <c r="Q83" t="inlineStr">
        <is>
          <t>flat</t>
        </is>
      </c>
      <c r="R83" s="6" t="n">
        <v>3084</v>
      </c>
      <c r="S83" t="inlineStr">
        <is>
          <t>Solio</t>
        </is>
      </c>
      <c r="U83" s="6" t="n">
        <v>85.90000000000001</v>
      </c>
      <c r="V83" s="2" t="n">
        <v>32</v>
      </c>
      <c r="W83" s="7">
        <f>IF(N(U83)&lt;=0,0,MIN(Assumptions!$B$15,N(R83)/N(U83)))</f>
        <v/>
      </c>
      <c r="X83" s="6" t="n">
        <v>0.286</v>
      </c>
      <c r="Y83" s="3" t="n">
        <v>0.0338</v>
      </c>
      <c r="Z83" t="inlineStr">
        <is>
          <t>adjusted xGOT</t>
        </is>
      </c>
      <c r="AA83" s="3" t="n">
        <v>1</v>
      </c>
      <c r="AB83" s="3" t="n">
        <v>0.999</v>
      </c>
      <c r="AC83" s="3" t="n">
        <v>7.4</v>
      </c>
      <c r="AD83" s="3" t="n">
        <v>0.1388</v>
      </c>
      <c r="AE83" s="3" t="n">
        <v>7.16</v>
      </c>
      <c r="AF83" s="3" t="n">
        <v>0.1530605475256215</v>
      </c>
      <c r="AG83" s="3" t="n">
        <v>9.699</v>
      </c>
      <c r="AH83" s="3" t="n">
        <v>0.3168184056</v>
      </c>
      <c r="AI83" s="3" t="n">
        <v>65</v>
      </c>
      <c r="AJ83" s="3" t="n">
        <v>2.5739</v>
      </c>
      <c r="AK83" s="3" t="n">
        <v>1.3096</v>
      </c>
      <c r="AL83" s="3" t="n">
        <v>-0.240461622393701</v>
      </c>
      <c r="AM83" s="6" t="n">
        <v>0</v>
      </c>
      <c r="AN83" s="3" t="n">
        <v>0</v>
      </c>
      <c r="AO83" s="3" t="n">
        <v>0.2028</v>
      </c>
      <c r="AP83" s="3" t="n">
        <v>0.549648</v>
      </c>
      <c r="AQ83" s="3">
        <f>N(X83)*N(BJ83)</f>
        <v/>
      </c>
      <c r="AR83" s="3" t="n">
        <v>0</v>
      </c>
      <c r="AS83" s="3" t="n">
        <v>-0.4230152821052008</v>
      </c>
      <c r="AT83" s="3" t="n">
        <v>-0.240461622393701</v>
      </c>
      <c r="AU83" s="3">
        <f>SUM(AO83:AT83)</f>
        <v/>
      </c>
      <c r="AV83" s="7">
        <f>IF(OR(N(W83)&lt;=0,N(BH83)=0),0,N(W83)*IF(N(R83)/N(W83)&gt;=60,N(BH83),1))</f>
        <v/>
      </c>
      <c r="AW83" s="7">
        <f>N(W83)*N(AF83)*N(BI83)</f>
        <v/>
      </c>
      <c r="AX83" s="3">
        <f>IF(N(BH83)=0,0,N(W83)*N(AH83))</f>
        <v/>
      </c>
      <c r="AY83" s="7">
        <f>N(AM83)*(Assumptions!$B$13*N(BK83)-(1-Assumptions!$B$13)*Assumptions!$B$14)+N(AN83)</f>
        <v/>
      </c>
      <c r="AZ83" s="7">
        <f>N(AU83)*N(R83)/90+N(AV83)+N(AW83)+N(AX83)+N(AY83)</f>
        <v/>
      </c>
      <c r="BA83" s="3">
        <f>IF(N(R83)&lt;=0,0,(N(AZ83)-N(AY83))*90/N(R83))</f>
        <v/>
      </c>
      <c r="BB83" s="7">
        <f>IFERROR(AZ83-VLOOKUP($E83,Assumptions!$A$40:$C$43,3,FALSE),"")</f>
        <v/>
      </c>
      <c r="BC83" s="3">
        <f>IFERROR(BB83/H83,"")</f>
        <v/>
      </c>
      <c r="BD83">
        <f>IF(AND($G83=TRUE,$E83="GKP"),AZ83,"")</f>
        <v/>
      </c>
      <c r="BE83">
        <f>IF(AND($G83=TRUE,$E83="DEF"),AZ83,"")</f>
        <v/>
      </c>
      <c r="BF83">
        <f>IF(AND($G83=TRUE,$E83="MID"),AZ83,"")</f>
        <v/>
      </c>
      <c r="BG83">
        <f>IF(AND($G83=TRUE,$E83="FWD"),AZ83,"")</f>
        <v/>
      </c>
      <c r="BH83" t="n">
        <v>2</v>
      </c>
      <c r="BI83" t="n">
        <v>2</v>
      </c>
      <c r="BJ83" t="n">
        <v>4</v>
      </c>
      <c r="BK83" t="n">
        <v>6</v>
      </c>
    </row>
    <row r="84">
      <c r="A84" t="inlineStr">
        <is>
          <t>Matty Cash</t>
        </is>
      </c>
      <c r="B84" t="inlineStr">
        <is>
          <t>AVL</t>
        </is>
      </c>
      <c r="C84" t="inlineStr">
        <is>
          <t>AVL</t>
        </is>
      </c>
      <c r="D84" t="b">
        <v>0</v>
      </c>
      <c r="E84" t="inlineStr">
        <is>
          <t>DEF</t>
        </is>
      </c>
      <c r="F84" t="inlineStr">
        <is>
          <t>DEF</t>
        </is>
      </c>
      <c r="G84" t="b">
        <v>1</v>
      </c>
      <c r="H84" s="2" t="n">
        <v>4.5</v>
      </c>
      <c r="I84" t="inlineStr">
        <is>
          <t>a</t>
        </is>
      </c>
      <c r="K84" s="2" t="n">
        <v>3016</v>
      </c>
      <c r="L84" t="n">
        <v>117</v>
      </c>
      <c r="M84" s="3" t="n">
        <v>3342</v>
      </c>
      <c r="N84" s="4" t="n">
        <v>3000</v>
      </c>
      <c r="O84" s="4" t="n">
        <v>-342</v>
      </c>
      <c r="P84" s="5" t="inlineStr">
        <is>
          <t>medium</t>
        </is>
      </c>
      <c r="Q84" t="inlineStr">
        <is>
          <t>flat</t>
        </is>
      </c>
      <c r="R84" s="6" t="n">
        <v>3000</v>
      </c>
      <c r="S84" t="inlineStr">
        <is>
          <t>research</t>
        </is>
      </c>
      <c r="T84" s="5" t="inlineStr">
        <is>
          <t>Solio's 3,342 is 97.7% of every available minute, above his 3,016 in 2025/26 in a season with the same four-competition load. Nedeljkovic is back from RB Leipzig and started at right-back against Monchengladbach, and Villa are in concrete pursuit of Aaron Wan-Bissaka because Emery 'wants more certainty in the position'. Anchored to last season's actual rather than raised above it.</t>
        </is>
      </c>
      <c r="U84" s="6" t="n">
        <v>87</v>
      </c>
      <c r="V84" s="2" t="n">
        <v>34</v>
      </c>
      <c r="W84" s="7">
        <f>IF(N(U84)&lt;=0,0,MIN(Assumptions!$B$15,N(R84)/N(U84)))</f>
        <v/>
      </c>
      <c r="X84" s="6" t="n">
        <v>0.273</v>
      </c>
      <c r="Y84" s="3" t="n">
        <v>0.0354</v>
      </c>
      <c r="Z84" t="inlineStr">
        <is>
          <t>adjusted xGOT</t>
        </is>
      </c>
      <c r="AA84" s="3" t="n">
        <v>1</v>
      </c>
      <c r="AB84" s="3" t="n">
        <v>1.04</v>
      </c>
      <c r="AC84" s="3" t="n">
        <v>6.2</v>
      </c>
      <c r="AD84" s="3" t="n">
        <v>0.09180000000000001</v>
      </c>
      <c r="AE84" s="3" t="n">
        <v>5.962</v>
      </c>
      <c r="AF84" s="3" t="n">
        <v>0.06859062568190599</v>
      </c>
      <c r="AG84" s="3" t="n">
        <v>7.297</v>
      </c>
      <c r="AH84" s="3" t="n">
        <v>0.18970515</v>
      </c>
      <c r="AI84" s="3" t="n">
        <v>68</v>
      </c>
      <c r="AJ84" s="3" t="n">
        <v>2.7451</v>
      </c>
      <c r="AK84" s="3" t="n">
        <v>1.3575</v>
      </c>
      <c r="AL84" s="3" t="n">
        <v>-0.2867403568316323</v>
      </c>
      <c r="AM84" s="6" t="n">
        <v>0</v>
      </c>
      <c r="AN84" s="3" t="n">
        <v>0</v>
      </c>
      <c r="AO84" s="3" t="n">
        <v>0.2124</v>
      </c>
      <c r="AP84" s="3" t="n">
        <v>0.3635280000000001</v>
      </c>
      <c r="AQ84" s="3">
        <f>N(X84)*N(BJ84)</f>
        <v/>
      </c>
      <c r="AR84" s="3" t="n">
        <v>0</v>
      </c>
      <c r="AS84" s="3" t="n">
        <v>-0.4453012382517575</v>
      </c>
      <c r="AT84" s="3" t="n">
        <v>-0.2867403568316323</v>
      </c>
      <c r="AU84" s="3">
        <f>SUM(AO84:AT84)</f>
        <v/>
      </c>
      <c r="AV84" s="7">
        <f>IF(OR(N(W84)&lt;=0,N(BH84)=0),0,N(W84)*IF(N(R84)/N(W84)&gt;=60,N(BH84),1))</f>
        <v/>
      </c>
      <c r="AW84" s="7">
        <f>N(W84)*N(AF84)*N(BI84)</f>
        <v/>
      </c>
      <c r="AX84" s="3">
        <f>IF(N(BH84)=0,0,N(W84)*N(AH84))</f>
        <v/>
      </c>
      <c r="AY84" s="7">
        <f>N(AM84)*(Assumptions!$B$13*N(BK84)-(1-Assumptions!$B$13)*Assumptions!$B$14)+N(AN84)</f>
        <v/>
      </c>
      <c r="AZ84" s="7">
        <f>N(AU84)*N(R84)/90+N(AV84)+N(AW84)+N(AX84)+N(AY84)</f>
        <v/>
      </c>
      <c r="BA84" s="3">
        <f>IF(N(R84)&lt;=0,0,(N(AZ84)-N(AY84))*90/N(R84))</f>
        <v/>
      </c>
      <c r="BB84" s="7">
        <f>IFERROR(AZ84-VLOOKUP($E84,Assumptions!$A$40:$C$43,3,FALSE),"")</f>
        <v/>
      </c>
      <c r="BC84" s="3">
        <f>IFERROR(BB84/H84,"")</f>
        <v/>
      </c>
      <c r="BD84">
        <f>IF(AND($G84=TRUE,$E84="GKP"),AZ84,"")</f>
        <v/>
      </c>
      <c r="BE84">
        <f>IF(AND($G84=TRUE,$E84="DEF"),AZ84,"")</f>
        <v/>
      </c>
      <c r="BF84">
        <f>IF(AND($G84=TRUE,$E84="MID"),AZ84,"")</f>
        <v/>
      </c>
      <c r="BG84">
        <f>IF(AND($G84=TRUE,$E84="FWD"),AZ84,"")</f>
        <v/>
      </c>
      <c r="BH84" t="n">
        <v>2</v>
      </c>
      <c r="BI84" t="n">
        <v>2</v>
      </c>
      <c r="BJ84" t="n">
        <v>4</v>
      </c>
      <c r="BK84" t="n">
        <v>6</v>
      </c>
    </row>
    <row r="85">
      <c r="A85" t="inlineStr">
        <is>
          <t>Dan Ballard</t>
        </is>
      </c>
      <c r="B85" t="inlineStr">
        <is>
          <t>SUN</t>
        </is>
      </c>
      <c r="C85" t="inlineStr">
        <is>
          <t>SUN</t>
        </is>
      </c>
      <c r="D85" t="b">
        <v>0</v>
      </c>
      <c r="E85" t="inlineStr">
        <is>
          <t>DEF</t>
        </is>
      </c>
      <c r="F85" t="inlineStr">
        <is>
          <t>DEF</t>
        </is>
      </c>
      <c r="G85" t="b">
        <v>1</v>
      </c>
      <c r="H85" s="2" t="n">
        <v>5</v>
      </c>
      <c r="I85" t="inlineStr">
        <is>
          <t>a</t>
        </is>
      </c>
      <c r="K85" s="2" t="n">
        <v>2144</v>
      </c>
      <c r="L85" t="n">
        <v>116</v>
      </c>
      <c r="M85" s="3" t="n">
        <v>2867</v>
      </c>
      <c r="N85" s="4" t="n">
        <v>2500</v>
      </c>
      <c r="O85" s="4" t="n">
        <v>-367</v>
      </c>
      <c r="P85" s="5" t="inlineStr">
        <is>
          <t>medium</t>
        </is>
      </c>
      <c r="Q85" t="inlineStr">
        <is>
          <t>flat</t>
        </is>
      </c>
      <c r="R85" s="6" t="n">
        <v>2500</v>
      </c>
      <c r="S85" t="inlineStr">
        <is>
          <t>research</t>
        </is>
      </c>
      <c r="T85" s="5" t="inlineStr">
        <is>
          <t>A smaller trim from the same back-four correction. Ballard is the most secure centre-back — he started both August friendlies and is 'poised to start' the opener — but he managed only 2,144 Premier League minutes last season and now faces the same five-into-two competition plus eight guaranteed Europa League fixtures. Reduced least of the centre-backs precisely because his claim is the strongest.</t>
        </is>
      </c>
      <c r="U85" s="6" t="n">
        <v>85</v>
      </c>
      <c r="V85" s="2" t="n">
        <v>23</v>
      </c>
      <c r="W85" s="7">
        <f>IF(N(U85)&lt;=0,0,MIN(Assumptions!$B$15,N(R85)/N(U85)))</f>
        <v/>
      </c>
      <c r="X85" s="6" t="n">
        <v>0.204</v>
      </c>
      <c r="Y85" s="3" t="n">
        <v>0.1017</v>
      </c>
      <c r="Z85" t="inlineStr">
        <is>
          <t>adjusted xGOT</t>
        </is>
      </c>
      <c r="AA85" s="3" t="n">
        <v>1</v>
      </c>
      <c r="AB85" s="3" t="n">
        <v>0.985</v>
      </c>
      <c r="AC85" s="3" t="n">
        <v>2.5</v>
      </c>
      <c r="AD85" s="3" t="n">
        <v>0.0464</v>
      </c>
      <c r="AE85" s="3" t="n">
        <v>10.228</v>
      </c>
      <c r="AF85" s="3" t="n">
        <v>0.4988497195487406</v>
      </c>
      <c r="AG85" s="3" t="n">
        <v>7.95</v>
      </c>
      <c r="AH85" s="3" t="n">
        <v>0.1813917147</v>
      </c>
      <c r="AI85" s="3" t="n">
        <v>51</v>
      </c>
      <c r="AJ85" s="3" t="n">
        <v>3.3348</v>
      </c>
      <c r="AK85" s="3" t="n">
        <v>1.6498</v>
      </c>
      <c r="AL85" s="3" t="n">
        <v>-0.1953022783528675</v>
      </c>
      <c r="AM85" s="6" t="n">
        <v>0</v>
      </c>
      <c r="AN85" s="3" t="n">
        <v>0</v>
      </c>
      <c r="AO85" s="3" t="n">
        <v>0.6102</v>
      </c>
      <c r="AP85" s="3" t="n">
        <v>0.183744</v>
      </c>
      <c r="AQ85" s="3">
        <f>N(X85)*N(BJ85)</f>
        <v/>
      </c>
      <c r="AR85" s="3" t="n">
        <v>0</v>
      </c>
      <c r="AS85" s="3" t="n">
        <v>-0.5841244809045405</v>
      </c>
      <c r="AT85" s="3" t="n">
        <v>-0.1953022783528675</v>
      </c>
      <c r="AU85" s="3">
        <f>SUM(AO85:AT85)</f>
        <v/>
      </c>
      <c r="AV85" s="7">
        <f>IF(OR(N(W85)&lt;=0,N(BH85)=0),0,N(W85)*IF(N(R85)/N(W85)&gt;=60,N(BH85),1))</f>
        <v/>
      </c>
      <c r="AW85" s="7">
        <f>N(W85)*N(AF85)*N(BI85)</f>
        <v/>
      </c>
      <c r="AX85" s="3">
        <f>IF(N(BH85)=0,0,N(W85)*N(AH85))</f>
        <v/>
      </c>
      <c r="AY85" s="7">
        <f>N(AM85)*(Assumptions!$B$13*N(BK85)-(1-Assumptions!$B$13)*Assumptions!$B$14)+N(AN85)</f>
        <v/>
      </c>
      <c r="AZ85" s="7">
        <f>N(AU85)*N(R85)/90+N(AV85)+N(AW85)+N(AX85)+N(AY85)</f>
        <v/>
      </c>
      <c r="BA85" s="3">
        <f>IF(N(R85)&lt;=0,0,(N(AZ85)-N(AY85))*90/N(R85))</f>
        <v/>
      </c>
      <c r="BB85" s="7">
        <f>IFERROR(AZ85-VLOOKUP($E85,Assumptions!$A$40:$C$43,3,FALSE),"")</f>
        <v/>
      </c>
      <c r="BC85" s="3">
        <f>IFERROR(BB85/H85,"")</f>
        <v/>
      </c>
      <c r="BD85">
        <f>IF(AND($G85=TRUE,$E85="GKP"),AZ85,"")</f>
        <v/>
      </c>
      <c r="BE85">
        <f>IF(AND($G85=TRUE,$E85="DEF"),AZ85,"")</f>
        <v/>
      </c>
      <c r="BF85">
        <f>IF(AND($G85=TRUE,$E85="MID"),AZ85,"")</f>
        <v/>
      </c>
      <c r="BG85">
        <f>IF(AND($G85=TRUE,$E85="FWD"),AZ85,"")</f>
        <v/>
      </c>
      <c r="BH85" t="n">
        <v>2</v>
      </c>
      <c r="BI85" t="n">
        <v>2</v>
      </c>
      <c r="BJ85" t="n">
        <v>4</v>
      </c>
      <c r="BK85" t="n">
        <v>6</v>
      </c>
    </row>
    <row r="86">
      <c r="A86" t="inlineStr">
        <is>
          <t>Jake O'Brien</t>
        </is>
      </c>
      <c r="B86" t="inlineStr">
        <is>
          <t>EVE</t>
        </is>
      </c>
      <c r="C86" t="inlineStr">
        <is>
          <t>EVE</t>
        </is>
      </c>
      <c r="D86" t="b">
        <v>0</v>
      </c>
      <c r="E86" t="inlineStr">
        <is>
          <t>DEF</t>
        </is>
      </c>
      <c r="F86" t="inlineStr">
        <is>
          <t>DEF</t>
        </is>
      </c>
      <c r="G86" t="b">
        <v>1</v>
      </c>
      <c r="H86" s="2" t="n">
        <v>5</v>
      </c>
      <c r="I86" t="inlineStr">
        <is>
          <t>a</t>
        </is>
      </c>
      <c r="K86" s="2" t="n">
        <v>3118</v>
      </c>
      <c r="L86" t="n">
        <v>116</v>
      </c>
      <c r="M86" s="3" t="n">
        <v>3164</v>
      </c>
      <c r="N86" s="8" t="n">
        <v>3164</v>
      </c>
      <c r="O86" s="8" t="n">
        <v>0</v>
      </c>
      <c r="Q86" t="inlineStr">
        <is>
          <t>flat</t>
        </is>
      </c>
      <c r="R86" s="6" t="n">
        <v>3164</v>
      </c>
      <c r="S86" t="inlineStr">
        <is>
          <t>Solio</t>
        </is>
      </c>
      <c r="U86" s="6" t="n">
        <v>86.90000000000001</v>
      </c>
      <c r="V86" s="2" t="n">
        <v>34</v>
      </c>
      <c r="W86" s="7">
        <f>IF(N(U86)&lt;=0,0,MIN(Assumptions!$B$15,N(R86)/N(U86)))</f>
        <v/>
      </c>
      <c r="X86" s="6" t="n">
        <v>0.231</v>
      </c>
      <c r="Y86" s="3" t="n">
        <v>0.0554</v>
      </c>
      <c r="Z86" t="inlineStr">
        <is>
          <t>adjusted xGOT</t>
        </is>
      </c>
      <c r="AA86" s="3" t="n">
        <v>1</v>
      </c>
      <c r="AB86" s="3" t="n">
        <v>1.149</v>
      </c>
      <c r="AC86" s="3" t="n">
        <v>2.4</v>
      </c>
      <c r="AD86" s="3" t="n">
        <v>0.0249</v>
      </c>
      <c r="AE86" s="3" t="n">
        <v>6.859</v>
      </c>
      <c r="AF86" s="3" t="n">
        <v>0.1333956794188871</v>
      </c>
      <c r="AG86" s="3" t="n">
        <v>5.439</v>
      </c>
      <c r="AH86" s="3" t="n">
        <v>0.09276891849999999</v>
      </c>
      <c r="AI86" s="3" t="n">
        <v>73</v>
      </c>
      <c r="AJ86" s="3" t="n">
        <v>3.0311</v>
      </c>
      <c r="AK86" s="3" t="n">
        <v>1.5252</v>
      </c>
      <c r="AL86" s="3" t="n">
        <v>-0.2165118397552843</v>
      </c>
      <c r="AM86" s="6" t="n">
        <v>0</v>
      </c>
      <c r="AN86" s="3" t="n">
        <v>0</v>
      </c>
      <c r="AO86" s="3" t="n">
        <v>0.3324</v>
      </c>
      <c r="AP86" s="3" t="n">
        <v>0.09860399999999998</v>
      </c>
      <c r="AQ86" s="3">
        <f>N(X86)*N(BJ86)</f>
        <v/>
      </c>
      <c r="AR86" s="3" t="n">
        <v>0</v>
      </c>
      <c r="AS86" s="3" t="n">
        <v>-0.524434996152324</v>
      </c>
      <c r="AT86" s="3" t="n">
        <v>-0.2165118397552843</v>
      </c>
      <c r="AU86" s="3">
        <f>SUM(AO86:AT86)</f>
        <v/>
      </c>
      <c r="AV86" s="7">
        <f>IF(OR(N(W86)&lt;=0,N(BH86)=0),0,N(W86)*IF(N(R86)/N(W86)&gt;=60,N(BH86),1))</f>
        <v/>
      </c>
      <c r="AW86" s="7">
        <f>N(W86)*N(AF86)*N(BI86)</f>
        <v/>
      </c>
      <c r="AX86" s="3">
        <f>IF(N(BH86)=0,0,N(W86)*N(AH86))</f>
        <v/>
      </c>
      <c r="AY86" s="7">
        <f>N(AM86)*(Assumptions!$B$13*N(BK86)-(1-Assumptions!$B$13)*Assumptions!$B$14)+N(AN86)</f>
        <v/>
      </c>
      <c r="AZ86" s="7">
        <f>N(AU86)*N(R86)/90+N(AV86)+N(AW86)+N(AX86)+N(AY86)</f>
        <v/>
      </c>
      <c r="BA86" s="3">
        <f>IF(N(R86)&lt;=0,0,(N(AZ86)-N(AY86))*90/N(R86))</f>
        <v/>
      </c>
      <c r="BB86" s="7">
        <f>IFERROR(AZ86-VLOOKUP($E86,Assumptions!$A$40:$C$43,3,FALSE),"")</f>
        <v/>
      </c>
      <c r="BC86" s="3">
        <f>IFERROR(BB86/H86,"")</f>
        <v/>
      </c>
      <c r="BD86">
        <f>IF(AND($G86=TRUE,$E86="GKP"),AZ86,"")</f>
        <v/>
      </c>
      <c r="BE86">
        <f>IF(AND($G86=TRUE,$E86="DEF"),AZ86,"")</f>
        <v/>
      </c>
      <c r="BF86">
        <f>IF(AND($G86=TRUE,$E86="MID"),AZ86,"")</f>
        <v/>
      </c>
      <c r="BG86">
        <f>IF(AND($G86=TRUE,$E86="FWD"),AZ86,"")</f>
        <v/>
      </c>
      <c r="BH86" t="n">
        <v>2</v>
      </c>
      <c r="BI86" t="n">
        <v>2</v>
      </c>
      <c r="BJ86" t="n">
        <v>4</v>
      </c>
      <c r="BK86" t="n">
        <v>6</v>
      </c>
    </row>
    <row r="87">
      <c r="A87" t="inlineStr">
        <is>
          <t>Micky van de Ven</t>
        </is>
      </c>
      <c r="B87" t="inlineStr">
        <is>
          <t>TOT</t>
        </is>
      </c>
      <c r="C87" t="inlineStr">
        <is>
          <t>TOT</t>
        </is>
      </c>
      <c r="D87" t="b">
        <v>0</v>
      </c>
      <c r="E87" t="inlineStr">
        <is>
          <t>DEF</t>
        </is>
      </c>
      <c r="F87" t="inlineStr">
        <is>
          <t>DEF</t>
        </is>
      </c>
      <c r="G87" t="b">
        <v>1</v>
      </c>
      <c r="H87" s="2" t="n">
        <v>5</v>
      </c>
      <c r="I87" t="inlineStr">
        <is>
          <t>a</t>
        </is>
      </c>
      <c r="K87" s="2" t="n">
        <v>3041</v>
      </c>
      <c r="L87" t="n">
        <v>116</v>
      </c>
      <c r="M87" s="3" t="n">
        <v>3089</v>
      </c>
      <c r="N87" s="4" t="n">
        <v>2700</v>
      </c>
      <c r="O87" s="4" t="n">
        <v>-389</v>
      </c>
      <c r="P87" s="5" t="inlineStr">
        <is>
          <t>medium</t>
        </is>
      </c>
      <c r="Q87" t="inlineStr">
        <is>
          <t>flat</t>
        </is>
      </c>
      <c r="R87" s="6" t="n">
        <v>2700</v>
      </c>
      <c r="S87" t="inlineStr">
        <is>
          <t>research</t>
        </is>
      </c>
      <c r="T87" s="5" t="inlineStr">
        <is>
          <t>Van de Ven has not played a single pre-season minute and was in normal clothes at the training session Gold attended on 13 August; De Zerbi said he was 'not yet ready to play without risk' and van Hecke is expected to start opening day. Reported as load management rather than a diagnosed injury, so this is a modest haircut for a delayed start plus his hamstring history, not a demotion - he remains a first-choice centre-back.</t>
        </is>
      </c>
      <c r="U87" s="6" t="n">
        <v>87.7</v>
      </c>
      <c r="V87" s="2" t="n">
        <v>34</v>
      </c>
      <c r="W87" s="7">
        <f>IF(N(U87)&lt;=0,0,MIN(Assumptions!$B$15,N(R87)/N(U87)))</f>
        <v/>
      </c>
      <c r="X87" s="6" t="n">
        <v>0.286</v>
      </c>
      <c r="Y87" s="3" t="n">
        <v>0.09760000000000001</v>
      </c>
      <c r="Z87" t="inlineStr">
        <is>
          <t>adjusted xGOT</t>
        </is>
      </c>
      <c r="AA87" s="3" t="n">
        <v>1</v>
      </c>
      <c r="AB87" s="3" t="n">
        <v>1.17</v>
      </c>
      <c r="AC87" s="3" t="n">
        <v>4</v>
      </c>
      <c r="AD87" s="3" t="n">
        <v>0.0206</v>
      </c>
      <c r="AE87" s="3" t="n">
        <v>6.544</v>
      </c>
      <c r="AF87" s="3" t="n">
        <v>0.1122932399115759</v>
      </c>
      <c r="AG87" s="3" t="n">
        <v>7.718</v>
      </c>
      <c r="AH87" s="3" t="n">
        <v>0.2244978448</v>
      </c>
      <c r="AI87" s="3" t="n">
        <v>68</v>
      </c>
      <c r="AJ87" s="3" t="n">
        <v>2.5739</v>
      </c>
      <c r="AK87" s="3" t="n">
        <v>1.3096</v>
      </c>
      <c r="AL87" s="3" t="n">
        <v>-0.2651477319551837</v>
      </c>
      <c r="AM87" s="6" t="n">
        <v>0</v>
      </c>
      <c r="AN87" s="3" t="n">
        <v>0</v>
      </c>
      <c r="AO87" s="3" t="n">
        <v>0.5856</v>
      </c>
      <c r="AP87" s="3" t="n">
        <v>0.08157600000000001</v>
      </c>
      <c r="AQ87" s="3">
        <f>N(X87)*N(BJ87)</f>
        <v/>
      </c>
      <c r="AR87" s="3" t="n">
        <v>0</v>
      </c>
      <c r="AS87" s="3" t="n">
        <v>-0.4230152821052008</v>
      </c>
      <c r="AT87" s="3" t="n">
        <v>-0.2651477319551837</v>
      </c>
      <c r="AU87" s="3">
        <f>SUM(AO87:AT87)</f>
        <v/>
      </c>
      <c r="AV87" s="7">
        <f>IF(OR(N(W87)&lt;=0,N(BH87)=0),0,N(W87)*IF(N(R87)/N(W87)&gt;=60,N(BH87),1))</f>
        <v/>
      </c>
      <c r="AW87" s="7">
        <f>N(W87)*N(AF87)*N(BI87)</f>
        <v/>
      </c>
      <c r="AX87" s="3">
        <f>IF(N(BH87)=0,0,N(W87)*N(AH87))</f>
        <v/>
      </c>
      <c r="AY87" s="7">
        <f>N(AM87)*(Assumptions!$B$13*N(BK87)-(1-Assumptions!$B$13)*Assumptions!$B$14)+N(AN87)</f>
        <v/>
      </c>
      <c r="AZ87" s="7">
        <f>N(AU87)*N(R87)/90+N(AV87)+N(AW87)+N(AX87)+N(AY87)</f>
        <v/>
      </c>
      <c r="BA87" s="3">
        <f>IF(N(R87)&lt;=0,0,(N(AZ87)-N(AY87))*90/N(R87))</f>
        <v/>
      </c>
      <c r="BB87" s="7">
        <f>IFERROR(AZ87-VLOOKUP($E87,Assumptions!$A$40:$C$43,3,FALSE),"")</f>
        <v/>
      </c>
      <c r="BC87" s="3">
        <f>IFERROR(BB87/H87,"")</f>
        <v/>
      </c>
      <c r="BD87">
        <f>IF(AND($G87=TRUE,$E87="GKP"),AZ87,"")</f>
        <v/>
      </c>
      <c r="BE87">
        <f>IF(AND($G87=TRUE,$E87="DEF"),AZ87,"")</f>
        <v/>
      </c>
      <c r="BF87">
        <f>IF(AND($G87=TRUE,$E87="MID"),AZ87,"")</f>
        <v/>
      </c>
      <c r="BG87">
        <f>IF(AND($G87=TRUE,$E87="FWD"),AZ87,"")</f>
        <v/>
      </c>
      <c r="BH87" t="n">
        <v>2</v>
      </c>
      <c r="BI87" t="n">
        <v>2</v>
      </c>
      <c r="BJ87" t="n">
        <v>4</v>
      </c>
      <c r="BK87" t="n">
        <v>6</v>
      </c>
    </row>
    <row r="88">
      <c r="A88" t="inlineStr">
        <is>
          <t>Reece James</t>
        </is>
      </c>
      <c r="B88" t="inlineStr">
        <is>
          <t>CHE</t>
        </is>
      </c>
      <c r="C88" t="inlineStr">
        <is>
          <t>CHE</t>
        </is>
      </c>
      <c r="D88" t="b">
        <v>0</v>
      </c>
      <c r="E88" t="inlineStr">
        <is>
          <t>DEF</t>
        </is>
      </c>
      <c r="F88" t="inlineStr">
        <is>
          <t>DEF</t>
        </is>
      </c>
      <c r="G88" t="b">
        <v>1</v>
      </c>
      <c r="H88" s="2" t="n">
        <v>5.5</v>
      </c>
      <c r="I88" t="inlineStr">
        <is>
          <t>a</t>
        </is>
      </c>
      <c r="K88" s="2" t="n">
        <v>1957</v>
      </c>
      <c r="L88" t="n">
        <v>115</v>
      </c>
      <c r="M88" s="3" t="n">
        <v>2400</v>
      </c>
      <c r="N88" s="8" t="n">
        <v>2400</v>
      </c>
      <c r="O88" s="8" t="n">
        <v>0</v>
      </c>
      <c r="Q88" t="inlineStr">
        <is>
          <t>flat</t>
        </is>
      </c>
      <c r="R88" s="6" t="n">
        <v>2400</v>
      </c>
      <c r="S88" t="inlineStr">
        <is>
          <t>Solio</t>
        </is>
      </c>
      <c r="U88" s="6" t="n">
        <v>86</v>
      </c>
      <c r="V88" s="2" t="n">
        <v>20</v>
      </c>
      <c r="W88" s="7">
        <f>IF(N(U88)&lt;=0,0,MIN(Assumptions!$B$15,N(R88)/N(U88)))</f>
        <v/>
      </c>
      <c r="X88" s="6" t="n">
        <v>0.322</v>
      </c>
      <c r="Y88" s="3" t="n">
        <v>0.0538</v>
      </c>
      <c r="Z88" t="inlineStr">
        <is>
          <t>adjusted xGOT</t>
        </is>
      </c>
      <c r="AA88" s="3" t="n">
        <v>1</v>
      </c>
      <c r="AB88" s="3" t="n">
        <v>1.124</v>
      </c>
      <c r="AC88" s="3" t="n">
        <v>2.8</v>
      </c>
      <c r="AD88" s="3" t="n">
        <v>0.1654</v>
      </c>
      <c r="AE88" s="3" t="n">
        <v>6.37</v>
      </c>
      <c r="AF88" s="3" t="n">
        <v>0.0900352166997177</v>
      </c>
      <c r="AG88" s="3" t="n">
        <v>10.01</v>
      </c>
      <c r="AH88" s="3" t="n">
        <v>0.3729873427</v>
      </c>
      <c r="AI88" s="3" t="n">
        <v>48</v>
      </c>
      <c r="AJ88" s="3" t="n">
        <v>2.4232</v>
      </c>
      <c r="AK88" s="3" t="n">
        <v>1.1851</v>
      </c>
      <c r="AL88" s="3" t="n">
        <v>-0.182716576620074</v>
      </c>
      <c r="AM88" s="6" t="n">
        <v>0</v>
      </c>
      <c r="AN88" s="3" t="n">
        <v>0</v>
      </c>
      <c r="AO88" s="3" t="n">
        <v>0.3228</v>
      </c>
      <c r="AP88" s="3" t="n">
        <v>0.654984</v>
      </c>
      <c r="AQ88" s="3">
        <f>N(X88)*N(BJ88)</f>
        <v/>
      </c>
      <c r="AR88" s="3" t="n">
        <v>0</v>
      </c>
      <c r="AS88" s="3" t="n">
        <v>-0.365915508000572</v>
      </c>
      <c r="AT88" s="3" t="n">
        <v>-0.182716576620074</v>
      </c>
      <c r="AU88" s="3">
        <f>SUM(AO88:AT88)</f>
        <v/>
      </c>
      <c r="AV88" s="7">
        <f>IF(OR(N(W88)&lt;=0,N(BH88)=0),0,N(W88)*IF(N(R88)/N(W88)&gt;=60,N(BH88),1))</f>
        <v/>
      </c>
      <c r="AW88" s="7">
        <f>N(W88)*N(AF88)*N(BI88)</f>
        <v/>
      </c>
      <c r="AX88" s="3">
        <f>IF(N(BH88)=0,0,N(W88)*N(AH88))</f>
        <v/>
      </c>
      <c r="AY88" s="7">
        <f>N(AM88)*(Assumptions!$B$13*N(BK88)-(1-Assumptions!$B$13)*Assumptions!$B$14)+N(AN88)</f>
        <v/>
      </c>
      <c r="AZ88" s="7">
        <f>N(AU88)*N(R88)/90+N(AV88)+N(AW88)+N(AX88)+N(AY88)</f>
        <v/>
      </c>
      <c r="BA88" s="3">
        <f>IF(N(R88)&lt;=0,0,(N(AZ88)-N(AY88))*90/N(R88))</f>
        <v/>
      </c>
      <c r="BB88" s="7">
        <f>IFERROR(AZ88-VLOOKUP($E88,Assumptions!$A$40:$C$43,3,FALSE),"")</f>
        <v/>
      </c>
      <c r="BC88" s="3">
        <f>IFERROR(BB88/H88,"")</f>
        <v/>
      </c>
      <c r="BD88">
        <f>IF(AND($G88=TRUE,$E88="GKP"),AZ88,"")</f>
        <v/>
      </c>
      <c r="BE88">
        <f>IF(AND($G88=TRUE,$E88="DEF"),AZ88,"")</f>
        <v/>
      </c>
      <c r="BF88">
        <f>IF(AND($G88=TRUE,$E88="MID"),AZ88,"")</f>
        <v/>
      </c>
      <c r="BG88">
        <f>IF(AND($G88=TRUE,$E88="FWD"),AZ88,"")</f>
        <v/>
      </c>
      <c r="BH88" t="n">
        <v>2</v>
      </c>
      <c r="BI88" t="n">
        <v>2</v>
      </c>
      <c r="BJ88" t="n">
        <v>4</v>
      </c>
      <c r="BK88" t="n">
        <v>6</v>
      </c>
    </row>
    <row r="89">
      <c r="A89" t="inlineStr">
        <is>
          <t>Evanilson</t>
        </is>
      </c>
      <c r="B89" t="inlineStr">
        <is>
          <t>BOU</t>
        </is>
      </c>
      <c r="C89" t="inlineStr">
        <is>
          <t>BOU</t>
        </is>
      </c>
      <c r="D89" t="b">
        <v>0</v>
      </c>
      <c r="E89" t="inlineStr">
        <is>
          <t>FWD</t>
        </is>
      </c>
      <c r="F89" t="inlineStr">
        <is>
          <t>FWD</t>
        </is>
      </c>
      <c r="G89" t="b">
        <v>1</v>
      </c>
      <c r="H89" s="2" t="n">
        <v>6</v>
      </c>
      <c r="I89" t="inlineStr">
        <is>
          <t>a</t>
        </is>
      </c>
      <c r="K89" s="2" t="n">
        <v>2741</v>
      </c>
      <c r="L89" t="n">
        <v>115</v>
      </c>
      <c r="M89" s="3" t="n">
        <v>2662</v>
      </c>
      <c r="N89" s="4" t="n">
        <v>2350</v>
      </c>
      <c r="O89" s="4" t="n">
        <v>-312</v>
      </c>
      <c r="P89" s="5" t="inlineStr">
        <is>
          <t>low</t>
        </is>
      </c>
      <c r="Q89" t="inlineStr">
        <is>
          <t>flat</t>
        </is>
      </c>
      <c r="R89" s="6" t="n">
        <v>2350</v>
      </c>
      <c r="S89" t="inlineStr">
        <is>
          <t>research</t>
        </is>
      </c>
      <c r="T89" s="5" t="inlineStr">
        <is>
          <t>Still the clear starting striker - he led the line in both friendlies. Trimmed because his competition has genuinely improved since Solio's data: Alvaro Rodriguez arrived for c.GBP 25.7m specifically as striker competition, and Bournemouth have around eight extra Europa League fixtures to spread across the same squad, which is the classic route to a starting forward losing a few hundred league minutes.</t>
        </is>
      </c>
      <c r="U89" s="6" t="n">
        <v>80.59999999999999</v>
      </c>
      <c r="V89" s="2" t="n">
        <v>32</v>
      </c>
      <c r="W89" s="7">
        <f>IF(N(U89)&lt;=0,0,MIN(Assumptions!$B$15,N(R89)/N(U89)))</f>
        <v/>
      </c>
      <c r="X89" s="6" t="n">
        <v>0.23</v>
      </c>
      <c r="Y89" s="3" t="n">
        <v>0.2942</v>
      </c>
      <c r="Z89" t="inlineStr">
        <is>
          <t>adjusted xGOT</t>
        </is>
      </c>
      <c r="AA89" s="3" t="n">
        <v>1</v>
      </c>
      <c r="AB89" s="3" t="n">
        <v>0.842</v>
      </c>
      <c r="AC89" s="3" t="n">
        <v>23.1</v>
      </c>
      <c r="AD89" s="3" t="n">
        <v>0.0747</v>
      </c>
      <c r="AE89" s="3" t="n">
        <v>4.508</v>
      </c>
      <c r="AF89" s="3" t="n">
        <v>0.0009891188116711858</v>
      </c>
      <c r="AG89" s="3" t="n">
        <v>1.003</v>
      </c>
      <c r="AH89" s="3" t="n">
        <v>0.3691563722</v>
      </c>
      <c r="AI89" s="3" t="n">
        <v>66</v>
      </c>
      <c r="AJ89" s="3" t="n">
        <v>3.0957</v>
      </c>
      <c r="AK89" s="3" t="n">
        <v>1.53</v>
      </c>
      <c r="AL89" s="3" t="n">
        <v>-0.0957757161144514</v>
      </c>
      <c r="AM89" s="6" t="n">
        <v>0</v>
      </c>
      <c r="AN89" s="3" t="n">
        <v>0</v>
      </c>
      <c r="AO89" s="3" t="n">
        <v>1.1768</v>
      </c>
      <c r="AP89" s="3" t="n">
        <v>0.295812</v>
      </c>
      <c r="AQ89" s="3">
        <f>N(X89)*N(BJ89)</f>
        <v/>
      </c>
      <c r="AR89" s="3" t="n">
        <v>0</v>
      </c>
      <c r="AS89" s="3" t="n">
        <v>-0</v>
      </c>
      <c r="AT89" s="3" t="n">
        <v>-0.0957757161144514</v>
      </c>
      <c r="AU89" s="3">
        <f>SUM(AO89:AT89)</f>
        <v/>
      </c>
      <c r="AV89" s="7">
        <f>IF(OR(N(W89)&lt;=0,N(BH89)=0),0,N(W89)*IF(N(R89)/N(W89)&gt;=60,N(BH89),1))</f>
        <v/>
      </c>
      <c r="AW89" s="7">
        <f>N(W89)*N(AF89)*N(BI89)</f>
        <v/>
      </c>
      <c r="AX89" s="3">
        <f>IF(N(BH89)=0,0,N(W89)*N(AH89))</f>
        <v/>
      </c>
      <c r="AY89" s="7">
        <f>N(AM89)*(Assumptions!$B$13*N(BK89)-(1-Assumptions!$B$13)*Assumptions!$B$14)+N(AN89)</f>
        <v/>
      </c>
      <c r="AZ89" s="7">
        <f>N(AU89)*N(R89)/90+N(AV89)+N(AW89)+N(AX89)+N(AY89)</f>
        <v/>
      </c>
      <c r="BA89" s="3">
        <f>IF(N(R89)&lt;=0,0,(N(AZ89)-N(AY89))*90/N(R89))</f>
        <v/>
      </c>
      <c r="BB89" s="7">
        <f>IFERROR(AZ89-VLOOKUP($E89,Assumptions!$A$40:$C$43,3,FALSE),"")</f>
        <v/>
      </c>
      <c r="BC89" s="3">
        <f>IFERROR(BB89/H89,"")</f>
        <v/>
      </c>
      <c r="BD89">
        <f>IF(AND($G89=TRUE,$E89="GKP"),AZ89,"")</f>
        <v/>
      </c>
      <c r="BE89">
        <f>IF(AND($G89=TRUE,$E89="DEF"),AZ89,"")</f>
        <v/>
      </c>
      <c r="BF89">
        <f>IF(AND($G89=TRUE,$E89="MID"),AZ89,"")</f>
        <v/>
      </c>
      <c r="BG89">
        <f>IF(AND($G89=TRUE,$E89="FWD"),AZ89,"")</f>
        <v/>
      </c>
      <c r="BH89" t="n">
        <v>2</v>
      </c>
      <c r="BI89" t="n">
        <v>2</v>
      </c>
      <c r="BJ89" t="n">
        <v>0</v>
      </c>
      <c r="BK89" t="n">
        <v>4</v>
      </c>
    </row>
    <row r="90">
      <c r="A90" t="inlineStr">
        <is>
          <t>Keane Lewis-Potter</t>
        </is>
      </c>
      <c r="B90" t="inlineStr">
        <is>
          <t>BRE</t>
        </is>
      </c>
      <c r="C90" t="inlineStr">
        <is>
          <t>BRE</t>
        </is>
      </c>
      <c r="D90" t="b">
        <v>0</v>
      </c>
      <c r="E90" t="inlineStr">
        <is>
          <t>MID</t>
        </is>
      </c>
      <c r="F90" t="inlineStr">
        <is>
          <t>DEF</t>
        </is>
      </c>
      <c r="G90" t="b">
        <v>1</v>
      </c>
      <c r="H90" s="2" t="n">
        <v>5.5</v>
      </c>
      <c r="I90" t="inlineStr">
        <is>
          <t>a</t>
        </is>
      </c>
      <c r="K90" s="2" t="n">
        <v>1960</v>
      </c>
      <c r="L90" t="n">
        <v>115</v>
      </c>
      <c r="M90" s="3" t="n">
        <v>1659</v>
      </c>
      <c r="N90" s="4" t="n">
        <v>2150</v>
      </c>
      <c r="O90" s="4" t="n">
        <v>491</v>
      </c>
      <c r="P90" s="5" t="inlineStr">
        <is>
          <t>medium</t>
        </is>
      </c>
      <c r="Q90" t="inlineStr">
        <is>
          <t>flat</t>
        </is>
      </c>
      <c r="R90" s="6" t="n">
        <v>2150</v>
      </c>
      <c r="S90" t="inlineStr">
        <is>
          <t>research</t>
        </is>
      </c>
      <c r="T90" s="5" t="inlineStr">
        <is>
          <t>Started at left-back in both August friendlies - against Rennes on 8 Aug in a back four of Hickey, Collins, Pinnock, Lewis-Potter, and against Frankfurt on 15 Aug behind Kayode, Ajer, Collins - and scored in both the Wycombe and Frankfurt matches. Solio's 1659 treats him as a rotation forward; the evidence has him as the incumbent left-back. Held below a fully nailed number because van den Berg previously covered both full-back berths, so the role may revert in October.</t>
        </is>
      </c>
      <c r="U90" s="6" t="n">
        <v>82.2</v>
      </c>
      <c r="V90" s="2" t="n">
        <v>22</v>
      </c>
      <c r="W90" s="7">
        <f>IF(N(U90)&lt;=0,0,MIN(Assumptions!$B$15,N(R90)/N(U90)))</f>
        <v/>
      </c>
      <c r="X90" s="6" t="n">
        <v>0.228</v>
      </c>
      <c r="Y90" s="3" t="n">
        <v>0.1357</v>
      </c>
      <c r="Z90" t="inlineStr">
        <is>
          <t>adjusted xGOT</t>
        </is>
      </c>
      <c r="AA90" s="3" t="n">
        <v>1</v>
      </c>
      <c r="AB90" s="3" t="n">
        <v>0.982</v>
      </c>
      <c r="AC90" s="3" t="n">
        <v>12.9</v>
      </c>
      <c r="AD90" s="3" t="n">
        <v>0.1199</v>
      </c>
      <c r="AE90" s="3" t="n">
        <v>4.55</v>
      </c>
      <c r="AF90" s="3" t="n">
        <v>0.001258594115861822</v>
      </c>
      <c r="AG90" s="3" t="n">
        <v>6.003</v>
      </c>
      <c r="AH90" s="3" t="n">
        <v>0.2246693114</v>
      </c>
      <c r="AI90" s="3" t="n">
        <v>57</v>
      </c>
      <c r="AJ90" s="3" t="n">
        <v>3.2371</v>
      </c>
      <c r="AK90" s="3" t="n">
        <v>1.5396</v>
      </c>
      <c r="AL90" s="3" t="n">
        <v>-0.146242800454487</v>
      </c>
      <c r="AM90" s="6" t="n">
        <v>0</v>
      </c>
      <c r="AN90" s="3" t="n">
        <v>0</v>
      </c>
      <c r="AO90" s="3" t="n">
        <v>0.6784999999999999</v>
      </c>
      <c r="AP90" s="3" t="n">
        <v>0.4748040000000001</v>
      </c>
      <c r="AQ90" s="3">
        <f>N(X90)*N(BJ90)</f>
        <v/>
      </c>
      <c r="AR90" s="3" t="n">
        <v>0</v>
      </c>
      <c r="AS90" s="3" t="n">
        <v>-0</v>
      </c>
      <c r="AT90" s="3" t="n">
        <v>-0.146242800454487</v>
      </c>
      <c r="AU90" s="3">
        <f>SUM(AO90:AT90)</f>
        <v/>
      </c>
      <c r="AV90" s="7">
        <f>IF(OR(N(W90)&lt;=0,N(BH90)=0),0,N(W90)*IF(N(R90)/N(W90)&gt;=60,N(BH90),1))</f>
        <v/>
      </c>
      <c r="AW90" s="7">
        <f>N(W90)*N(AF90)*N(BI90)</f>
        <v/>
      </c>
      <c r="AX90" s="3">
        <f>IF(N(BH90)=0,0,N(W90)*N(AH90))</f>
        <v/>
      </c>
      <c r="AY90" s="7">
        <f>N(AM90)*(Assumptions!$B$13*N(BK90)-(1-Assumptions!$B$13)*Assumptions!$B$14)+N(AN90)</f>
        <v/>
      </c>
      <c r="AZ90" s="7">
        <f>N(AU90)*N(R90)/90+N(AV90)+N(AW90)+N(AX90)+N(AY90)</f>
        <v/>
      </c>
      <c r="BA90" s="3">
        <f>IF(N(R90)&lt;=0,0,(N(AZ90)-N(AY90))*90/N(R90))</f>
        <v/>
      </c>
      <c r="BB90" s="7">
        <f>IFERROR(AZ90-VLOOKUP($E90,Assumptions!$A$40:$C$43,3,FALSE),"")</f>
        <v/>
      </c>
      <c r="BC90" s="3">
        <f>IFERROR(BB90/H90,"")</f>
        <v/>
      </c>
      <c r="BD90">
        <f>IF(AND($G90=TRUE,$E90="GKP"),AZ90,"")</f>
        <v/>
      </c>
      <c r="BE90">
        <f>IF(AND($G90=TRUE,$E90="DEF"),AZ90,"")</f>
        <v/>
      </c>
      <c r="BF90">
        <f>IF(AND($G90=TRUE,$E90="MID"),AZ90,"")</f>
        <v/>
      </c>
      <c r="BG90">
        <f>IF(AND($G90=TRUE,$E90="FWD"),AZ90,"")</f>
        <v/>
      </c>
      <c r="BH90" t="n">
        <v>2</v>
      </c>
      <c r="BI90" t="n">
        <v>2</v>
      </c>
      <c r="BJ90" t="n">
        <v>1</v>
      </c>
      <c r="BK90" t="n">
        <v>5</v>
      </c>
    </row>
    <row r="91">
      <c r="A91" t="inlineStr">
        <is>
          <t>Cole Palmer</t>
        </is>
      </c>
      <c r="B91" t="inlineStr">
        <is>
          <t>CHE</t>
        </is>
      </c>
      <c r="C91" t="inlineStr">
        <is>
          <t>CHE</t>
        </is>
      </c>
      <c r="D91" t="b">
        <v>0</v>
      </c>
      <c r="E91" t="inlineStr">
        <is>
          <t>MID</t>
        </is>
      </c>
      <c r="F91" t="inlineStr">
        <is>
          <t>MID</t>
        </is>
      </c>
      <c r="G91" t="b">
        <v>1</v>
      </c>
      <c r="H91" s="2" t="n">
        <v>9.5</v>
      </c>
      <c r="I91" t="inlineStr">
        <is>
          <t>a</t>
        </is>
      </c>
      <c r="K91" s="2" t="n">
        <v>1954</v>
      </c>
      <c r="L91" t="n">
        <v>114</v>
      </c>
      <c r="M91" s="3" t="n">
        <v>2884</v>
      </c>
      <c r="N91" s="8" t="n">
        <v>2884</v>
      </c>
      <c r="O91" s="8" t="n">
        <v>0</v>
      </c>
      <c r="Q91" t="inlineStr">
        <is>
          <t>flat</t>
        </is>
      </c>
      <c r="R91" s="6" t="n">
        <v>2884</v>
      </c>
      <c r="S91" t="inlineStr">
        <is>
          <t>Solio</t>
        </is>
      </c>
      <c r="U91" s="6" t="n">
        <v>79.2</v>
      </c>
      <c r="V91" s="2" t="n">
        <v>24</v>
      </c>
      <c r="W91" s="7">
        <f>IF(N(U91)&lt;=0,0,MIN(Assumptions!$B$15,N(R91)/N(U91)))</f>
        <v/>
      </c>
      <c r="X91" s="6" t="n">
        <v>0.322</v>
      </c>
      <c r="Y91" s="3" t="n">
        <v>0.28</v>
      </c>
      <c r="Z91" t="inlineStr">
        <is>
          <t>adjusted xGOT</t>
        </is>
      </c>
      <c r="AA91" s="3" t="n">
        <v>0.555</v>
      </c>
      <c r="AB91" s="3" t="n">
        <v>1.039</v>
      </c>
      <c r="AC91" s="3" t="n">
        <v>45</v>
      </c>
      <c r="AD91" s="3" t="n">
        <v>0.1062</v>
      </c>
      <c r="AE91" s="3" t="n">
        <v>6.853</v>
      </c>
      <c r="AF91" s="3" t="n">
        <v>0.02079110547654883</v>
      </c>
      <c r="AG91" s="3" t="n">
        <v>5.352</v>
      </c>
      <c r="AH91" s="3" t="n">
        <v>0.3911277346</v>
      </c>
      <c r="AI91" s="3" t="n">
        <v>47</v>
      </c>
      <c r="AJ91" s="3" t="n">
        <v>2.4232</v>
      </c>
      <c r="AK91" s="3" t="n">
        <v>1.1851</v>
      </c>
      <c r="AL91" s="3" t="n">
        <v>-0.2317101564875854</v>
      </c>
      <c r="AM91" s="6" t="n">
        <v>4.934297250429631</v>
      </c>
      <c r="AN91" s="3" t="n">
        <v>0</v>
      </c>
      <c r="AO91" s="3" t="n">
        <v>1.4</v>
      </c>
      <c r="AP91" s="3" t="n">
        <v>0.420552</v>
      </c>
      <c r="AQ91" s="3">
        <f>N(X91)*N(BJ91)</f>
        <v/>
      </c>
      <c r="AR91" s="3" t="n">
        <v>0</v>
      </c>
      <c r="AS91" s="3" t="n">
        <v>-0</v>
      </c>
      <c r="AT91" s="3" t="n">
        <v>-0.2317101564875854</v>
      </c>
      <c r="AU91" s="3">
        <f>SUM(AO91:AT91)</f>
        <v/>
      </c>
      <c r="AV91" s="7">
        <f>IF(OR(N(W91)&lt;=0,N(BH91)=0),0,N(W91)*IF(N(R91)/N(W91)&gt;=60,N(BH91),1))</f>
        <v/>
      </c>
      <c r="AW91" s="7">
        <f>N(W91)*N(AF91)*N(BI91)</f>
        <v/>
      </c>
      <c r="AX91" s="3">
        <f>IF(N(BH91)=0,0,N(W91)*N(AH91))</f>
        <v/>
      </c>
      <c r="AY91" s="7">
        <f>N(AM91)*(Assumptions!$B$13*N(BK91)-(1-Assumptions!$B$13)*Assumptions!$B$14)+N(AN91)</f>
        <v/>
      </c>
      <c r="AZ91" s="7">
        <f>N(AU91)*N(R91)/90+N(AV91)+N(AW91)+N(AX91)+N(AY91)</f>
        <v/>
      </c>
      <c r="BA91" s="3">
        <f>IF(N(R91)&lt;=0,0,(N(AZ91)-N(AY91))*90/N(R91))</f>
        <v/>
      </c>
      <c r="BB91" s="7">
        <f>IFERROR(AZ91-VLOOKUP($E91,Assumptions!$A$40:$C$43,3,FALSE),"")</f>
        <v/>
      </c>
      <c r="BC91" s="3">
        <f>IFERROR(BB91/H91,"")</f>
        <v/>
      </c>
      <c r="BD91">
        <f>IF(AND($G91=TRUE,$E91="GKP"),AZ91,"")</f>
        <v/>
      </c>
      <c r="BE91">
        <f>IF(AND($G91=TRUE,$E91="DEF"),AZ91,"")</f>
        <v/>
      </c>
      <c r="BF91">
        <f>IF(AND($G91=TRUE,$E91="MID"),AZ91,"")</f>
        <v/>
      </c>
      <c r="BG91">
        <f>IF(AND($G91=TRUE,$E91="FWD"),AZ91,"")</f>
        <v/>
      </c>
      <c r="BH91" t="n">
        <v>2</v>
      </c>
      <c r="BI91" t="n">
        <v>2</v>
      </c>
      <c r="BJ91" t="n">
        <v>1</v>
      </c>
      <c r="BK91" t="n">
        <v>5</v>
      </c>
    </row>
    <row r="92">
      <c r="A92" t="inlineStr">
        <is>
          <t>Jean-Philippe Mateta</t>
        </is>
      </c>
      <c r="B92" t="inlineStr">
        <is>
          <t>CRY</t>
        </is>
      </c>
      <c r="C92" t="inlineStr">
        <is>
          <t>CRY</t>
        </is>
      </c>
      <c r="D92" t="b">
        <v>0</v>
      </c>
      <c r="E92" t="inlineStr">
        <is>
          <t>FWD</t>
        </is>
      </c>
      <c r="F92" t="inlineStr">
        <is>
          <t>FWD</t>
        </is>
      </c>
      <c r="G92" t="b">
        <v>1</v>
      </c>
      <c r="H92" s="2" t="n">
        <v>6.5</v>
      </c>
      <c r="I92" t="inlineStr">
        <is>
          <t>a</t>
        </is>
      </c>
      <c r="K92" s="2" t="n">
        <v>2210</v>
      </c>
      <c r="L92" t="n">
        <v>114</v>
      </c>
      <c r="M92" s="3" t="n">
        <v>2422</v>
      </c>
      <c r="N92" s="4" t="n">
        <v>1500</v>
      </c>
      <c r="O92" s="4" t="n">
        <v>-922</v>
      </c>
      <c r="P92" s="5" t="inlineStr">
        <is>
          <t>medium</t>
        </is>
      </c>
      <c r="Q92" t="inlineStr">
        <is>
          <t>flat</t>
        </is>
      </c>
      <c r="R92" s="6" t="n">
        <v>1500</v>
      </c>
      <c r="S92" t="inlineStr">
        <is>
          <t>research</t>
        </is>
      </c>
      <c r="T92" s="5" t="inlineStr">
        <is>
          <t>The other side of the striker split. Sage's system uses one number nine and Palace hold three Premier League strikers; Mateta did not start the final friendly. His exit situation is unresolved: a January move to AC Milan collapsed on medical grounds, Juventus interest was reported through May and June at a EUR 20-30m valuation, and reporting says his contract is running down with Palace preferring not to sell cheaply. The window is open until 1 September. Not zeroed, because he is registered, fit and available today.</t>
        </is>
      </c>
      <c r="U92" s="6" t="n">
        <v>80.5</v>
      </c>
      <c r="V92" s="2" t="n">
        <v>25</v>
      </c>
      <c r="W92" s="7">
        <f>IF(N(U92)&lt;=0,0,MIN(Assumptions!$B$15,N(R92)/N(U92)))</f>
        <v/>
      </c>
      <c r="X92" s="6" t="n">
        <v>0.216</v>
      </c>
      <c r="Y92" s="3" t="n">
        <v>0.4643</v>
      </c>
      <c r="Z92" t="inlineStr">
        <is>
          <t>adjusted xGOT</t>
        </is>
      </c>
      <c r="AA92" s="3" t="n">
        <v>0.8090000000000001</v>
      </c>
      <c r="AB92" s="3" t="n">
        <v>0.977</v>
      </c>
      <c r="AC92" s="3" t="n">
        <v>42.5</v>
      </c>
      <c r="AD92" s="3" t="n">
        <v>0.0523</v>
      </c>
      <c r="AE92" s="3" t="n">
        <v>5.017</v>
      </c>
      <c r="AF92" s="3" t="n">
        <v>0.002351155358793933</v>
      </c>
      <c r="AG92" s="3" t="n">
        <v>-0.8080000000000001</v>
      </c>
      <c r="AH92" s="3" t="n">
        <v>0.5483870325</v>
      </c>
      <c r="AI92" s="3" t="n">
        <v>55</v>
      </c>
      <c r="AJ92" s="3" t="n">
        <v>3.2035</v>
      </c>
      <c r="AK92" s="3" t="n">
        <v>1.5923</v>
      </c>
      <c r="AL92" s="3" t="n">
        <v>-0.1142843485541425</v>
      </c>
      <c r="AM92" s="6" t="n">
        <v>3.015761309129515</v>
      </c>
      <c r="AN92" s="3" t="n">
        <v>0</v>
      </c>
      <c r="AO92" s="3" t="n">
        <v>1.8572</v>
      </c>
      <c r="AP92" s="3" t="n">
        <v>0.207108</v>
      </c>
      <c r="AQ92" s="3">
        <f>N(X92)*N(BJ92)</f>
        <v/>
      </c>
      <c r="AR92" s="3" t="n">
        <v>0</v>
      </c>
      <c r="AS92" s="3" t="n">
        <v>-0</v>
      </c>
      <c r="AT92" s="3" t="n">
        <v>-0.1142843485541425</v>
      </c>
      <c r="AU92" s="3">
        <f>SUM(AO92:AT92)</f>
        <v/>
      </c>
      <c r="AV92" s="7">
        <f>IF(OR(N(W92)&lt;=0,N(BH92)=0),0,N(W92)*IF(N(R92)/N(W92)&gt;=60,N(BH92),1))</f>
        <v/>
      </c>
      <c r="AW92" s="7">
        <f>N(W92)*N(AF92)*N(BI92)</f>
        <v/>
      </c>
      <c r="AX92" s="3">
        <f>IF(N(BH92)=0,0,N(W92)*N(AH92))</f>
        <v/>
      </c>
      <c r="AY92" s="7">
        <f>N(AM92)*(Assumptions!$B$13*N(BK92)-(1-Assumptions!$B$13)*Assumptions!$B$14)+N(AN92)</f>
        <v/>
      </c>
      <c r="AZ92" s="7">
        <f>N(AU92)*N(R92)/90+N(AV92)+N(AW92)+N(AX92)+N(AY92)</f>
        <v/>
      </c>
      <c r="BA92" s="3">
        <f>IF(N(R92)&lt;=0,0,(N(AZ92)-N(AY92))*90/N(R92))</f>
        <v/>
      </c>
      <c r="BB92" s="7">
        <f>IFERROR(AZ92-VLOOKUP($E92,Assumptions!$A$40:$C$43,3,FALSE),"")</f>
        <v/>
      </c>
      <c r="BC92" s="3">
        <f>IFERROR(BB92/H92,"")</f>
        <v/>
      </c>
      <c r="BD92">
        <f>IF(AND($G92=TRUE,$E92="GKP"),AZ92,"")</f>
        <v/>
      </c>
      <c r="BE92">
        <f>IF(AND($G92=TRUE,$E92="DEF"),AZ92,"")</f>
        <v/>
      </c>
      <c r="BF92">
        <f>IF(AND($G92=TRUE,$E92="MID"),AZ92,"")</f>
        <v/>
      </c>
      <c r="BG92">
        <f>IF(AND($G92=TRUE,$E92="FWD"),AZ92,"")</f>
        <v/>
      </c>
      <c r="BH92" t="n">
        <v>2</v>
      </c>
      <c r="BI92" t="n">
        <v>2</v>
      </c>
      <c r="BJ92" t="n">
        <v>0</v>
      </c>
      <c r="BK92" t="n">
        <v>4</v>
      </c>
    </row>
    <row r="93">
      <c r="A93" t="inlineStr">
        <is>
          <t>Igor Jesus</t>
        </is>
      </c>
      <c r="B93" t="inlineStr">
        <is>
          <t>NFO</t>
        </is>
      </c>
      <c r="C93" t="inlineStr">
        <is>
          <t>NFO</t>
        </is>
      </c>
      <c r="D93" t="b">
        <v>0</v>
      </c>
      <c r="E93" t="inlineStr">
        <is>
          <t>FWD</t>
        </is>
      </c>
      <c r="F93" t="inlineStr">
        <is>
          <t>FWD</t>
        </is>
      </c>
      <c r="G93" t="b">
        <v>1</v>
      </c>
      <c r="H93" s="2" t="n">
        <v>6</v>
      </c>
      <c r="I93" t="inlineStr">
        <is>
          <t>a</t>
        </is>
      </c>
      <c r="K93" s="2" t="n">
        <v>2293</v>
      </c>
      <c r="L93" t="n">
        <v>114</v>
      </c>
      <c r="M93" s="3" t="n">
        <v>2764</v>
      </c>
      <c r="N93" s="4" t="n">
        <v>2430</v>
      </c>
      <c r="O93" s="4" t="n">
        <v>-334</v>
      </c>
      <c r="P93" s="5" t="inlineStr">
        <is>
          <t>medium</t>
        </is>
      </c>
      <c r="Q93" t="inlineStr">
        <is>
          <t>flat</t>
        </is>
      </c>
      <c r="R93" s="6" t="n">
        <v>2430</v>
      </c>
      <c r="S93" t="inlineStr">
        <is>
          <t>research</t>
        </is>
      </c>
      <c r="T93" s="5" t="inlineStr">
        <is>
          <t>In a 3-4-2-1 there is exactly one striker slot, worth about 3,420 minutes. Solio gives Igor Jesus 81% of it while Kalimuendo, Awoniyi and Wood are all fit and three of the four scored in pre-season. He is the starter, but that share leaves almost nothing for injury, rotation or the cups.</t>
        </is>
      </c>
      <c r="U93" s="6" t="n">
        <v>75.5</v>
      </c>
      <c r="V93" s="2" t="n">
        <v>28</v>
      </c>
      <c r="W93" s="7">
        <f>IF(N(U93)&lt;=0,0,MIN(Assumptions!$B$15,N(R93)/N(U93)))</f>
        <v/>
      </c>
      <c r="X93" s="6" t="n">
        <v>0.224</v>
      </c>
      <c r="Y93" s="3" t="n">
        <v>0.2042</v>
      </c>
      <c r="Z93" t="inlineStr">
        <is>
          <t>adjusted xGOT</t>
        </is>
      </c>
      <c r="AA93" s="3" t="n">
        <v>0.894</v>
      </c>
      <c r="AB93" s="3" t="n">
        <v>0.898</v>
      </c>
      <c r="AC93" s="3" t="n">
        <v>6.5</v>
      </c>
      <c r="AD93" s="3" t="n">
        <v>0.06950000000000001</v>
      </c>
      <c r="AE93" s="3" t="n">
        <v>4.819</v>
      </c>
      <c r="AF93" s="3" t="n">
        <v>0.001000341382915493</v>
      </c>
      <c r="AG93" s="3" t="n">
        <v>1.668</v>
      </c>
      <c r="AH93" s="3" t="n">
        <v>0.268301608</v>
      </c>
      <c r="AI93" s="3" t="n">
        <v>61</v>
      </c>
      <c r="AJ93" s="3" t="n">
        <v>3.1134</v>
      </c>
      <c r="AK93" s="3" t="n">
        <v>1.5588</v>
      </c>
      <c r="AL93" s="3" t="n">
        <v>-0.1227469504838277</v>
      </c>
      <c r="AM93" s="6" t="n">
        <v>0.1045620982258107</v>
      </c>
      <c r="AN93" s="3" t="n">
        <v>0</v>
      </c>
      <c r="AO93" s="3" t="n">
        <v>0.8168</v>
      </c>
      <c r="AP93" s="3" t="n">
        <v>0.27522</v>
      </c>
      <c r="AQ93" s="3">
        <f>N(X93)*N(BJ93)</f>
        <v/>
      </c>
      <c r="AR93" s="3" t="n">
        <v>0</v>
      </c>
      <c r="AS93" s="3" t="n">
        <v>-0</v>
      </c>
      <c r="AT93" s="3" t="n">
        <v>-0.1227469504838277</v>
      </c>
      <c r="AU93" s="3">
        <f>SUM(AO93:AT93)</f>
        <v/>
      </c>
      <c r="AV93" s="7">
        <f>IF(OR(N(W93)&lt;=0,N(BH93)=0),0,N(W93)*IF(N(R93)/N(W93)&gt;=60,N(BH93),1))</f>
        <v/>
      </c>
      <c r="AW93" s="7">
        <f>N(W93)*N(AF93)*N(BI93)</f>
        <v/>
      </c>
      <c r="AX93" s="3">
        <f>IF(N(BH93)=0,0,N(W93)*N(AH93))</f>
        <v/>
      </c>
      <c r="AY93" s="7">
        <f>N(AM93)*(Assumptions!$B$13*N(BK93)-(1-Assumptions!$B$13)*Assumptions!$B$14)+N(AN93)</f>
        <v/>
      </c>
      <c r="AZ93" s="7">
        <f>N(AU93)*N(R93)/90+N(AV93)+N(AW93)+N(AX93)+N(AY93)</f>
        <v/>
      </c>
      <c r="BA93" s="3">
        <f>IF(N(R93)&lt;=0,0,(N(AZ93)-N(AY93))*90/N(R93))</f>
        <v/>
      </c>
      <c r="BB93" s="7">
        <f>IFERROR(AZ93-VLOOKUP($E93,Assumptions!$A$40:$C$43,3,FALSE),"")</f>
        <v/>
      </c>
      <c r="BC93" s="3">
        <f>IFERROR(BB93/H93,"")</f>
        <v/>
      </c>
      <c r="BD93">
        <f>IF(AND($G93=TRUE,$E93="GKP"),AZ93,"")</f>
        <v/>
      </c>
      <c r="BE93">
        <f>IF(AND($G93=TRUE,$E93="DEF"),AZ93,"")</f>
        <v/>
      </c>
      <c r="BF93">
        <f>IF(AND($G93=TRUE,$E93="MID"),AZ93,"")</f>
        <v/>
      </c>
      <c r="BG93">
        <f>IF(AND($G93=TRUE,$E93="FWD"),AZ93,"")</f>
        <v/>
      </c>
      <c r="BH93" t="n">
        <v>2</v>
      </c>
      <c r="BI93" t="n">
        <v>2</v>
      </c>
      <c r="BJ93" t="n">
        <v>0</v>
      </c>
      <c r="BK93" t="n">
        <v>4</v>
      </c>
    </row>
    <row r="94">
      <c r="A94" t="inlineStr">
        <is>
          <t>Junior Kroupi</t>
        </is>
      </c>
      <c r="B94" t="inlineStr">
        <is>
          <t>BOU</t>
        </is>
      </c>
      <c r="C94" t="inlineStr">
        <is>
          <t>BOU</t>
        </is>
      </c>
      <c r="D94" t="b">
        <v>0</v>
      </c>
      <c r="E94" t="inlineStr">
        <is>
          <t>MID</t>
        </is>
      </c>
      <c r="F94" t="inlineStr">
        <is>
          <t>FWD</t>
        </is>
      </c>
      <c r="G94" t="b">
        <v>1</v>
      </c>
      <c r="H94" s="2" t="n">
        <v>7.5</v>
      </c>
      <c r="I94" t="inlineStr">
        <is>
          <t>i</t>
        </is>
      </c>
      <c r="J94" t="inlineStr">
        <is>
          <t>Foot injury - Unknown return date</t>
        </is>
      </c>
      <c r="K94" s="2" t="n">
        <v>1663</v>
      </c>
      <c r="L94" t="n">
        <v>113</v>
      </c>
      <c r="M94" s="3" t="n">
        <v>2594</v>
      </c>
      <c r="N94" s="4" t="n">
        <v>1100</v>
      </c>
      <c r="O94" s="4" t="n">
        <v>-1494</v>
      </c>
      <c r="P94" s="5" t="inlineStr">
        <is>
          <t>high</t>
        </is>
      </c>
      <c r="Q94" t="inlineStr">
        <is>
          <t>ramp-up (injury / late WC return)</t>
        </is>
      </c>
      <c r="R94" s="6" t="n">
        <v>1100</v>
      </c>
      <c r="S94" t="inlineStr">
        <is>
          <t>research</t>
        </is>
      </c>
      <c r="T94" s="5" t="inlineStr">
        <is>
          <t>Fractured a fifth metatarsal in a pre-season training drill in Austria and had surgery; reported as a 3-4 month layoff, with the club hoping he returns before the end of 2026. That is roughly the first 15-18 gameweeks gone from a 23 Aug start, followed by a build-up rather than an immediate full workload, and he returns into a striker group that now also contains a GBP 25.7m signing plus a Europa League schedule. Solio's 2594 already carried a 'ramp-up' flag but is far too generous for a layoff of this length.</t>
        </is>
      </c>
      <c r="U94" s="6" t="n">
        <v>73.3</v>
      </c>
      <c r="V94" s="2" t="n">
        <v>21</v>
      </c>
      <c r="W94" s="7">
        <f>IF(N(U94)&lt;=0,0,MIN(Assumptions!$B$15,N(R94)/N(U94)))</f>
        <v/>
      </c>
      <c r="X94" s="6" t="n">
        <v>0.23</v>
      </c>
      <c r="Y94" s="3" t="n">
        <v>0.4064</v>
      </c>
      <c r="Z94" t="inlineStr">
        <is>
          <t>adjusted xGOT</t>
        </is>
      </c>
      <c r="AA94" s="3" t="n">
        <v>0.828</v>
      </c>
      <c r="AB94" s="3" t="n">
        <v>1.091</v>
      </c>
      <c r="AC94" s="3" t="n">
        <v>8.300000000000001</v>
      </c>
      <c r="AD94" s="3" t="n">
        <v>0.09</v>
      </c>
      <c r="AE94" s="3" t="n">
        <v>5.678</v>
      </c>
      <c r="AF94" s="3" t="n">
        <v>0.002984663627920936</v>
      </c>
      <c r="AG94" s="3" t="n">
        <v>1.883</v>
      </c>
      <c r="AH94" s="3" t="n">
        <v>0.3827731745</v>
      </c>
      <c r="AI94" s="3" t="n">
        <v>53</v>
      </c>
      <c r="AJ94" s="3" t="n">
        <v>3.0957</v>
      </c>
      <c r="AK94" s="3" t="n">
        <v>1.53</v>
      </c>
      <c r="AL94" s="3" t="n">
        <v>-0.2541946690581745</v>
      </c>
      <c r="AM94" s="6" t="n">
        <v>3.414665718204978</v>
      </c>
      <c r="AN94" s="3" t="n">
        <v>0</v>
      </c>
      <c r="AO94" s="3" t="n">
        <v>2.032</v>
      </c>
      <c r="AP94" s="3" t="n">
        <v>0.3564000000000001</v>
      </c>
      <c r="AQ94" s="3">
        <f>N(X94)*N(BJ94)</f>
        <v/>
      </c>
      <c r="AR94" s="3" t="n">
        <v>0</v>
      </c>
      <c r="AS94" s="3" t="n">
        <v>-0</v>
      </c>
      <c r="AT94" s="3" t="n">
        <v>-0.2541946690581745</v>
      </c>
      <c r="AU94" s="3">
        <f>SUM(AO94:AT94)</f>
        <v/>
      </c>
      <c r="AV94" s="7">
        <f>IF(OR(N(W94)&lt;=0,N(BH94)=0),0,N(W94)*IF(N(R94)/N(W94)&gt;=60,N(BH94),1))</f>
        <v/>
      </c>
      <c r="AW94" s="7">
        <f>N(W94)*N(AF94)*N(BI94)</f>
        <v/>
      </c>
      <c r="AX94" s="3">
        <f>IF(N(BH94)=0,0,N(W94)*N(AH94))</f>
        <v/>
      </c>
      <c r="AY94" s="7">
        <f>N(AM94)*(Assumptions!$B$13*N(BK94)-(1-Assumptions!$B$13)*Assumptions!$B$14)+N(AN94)</f>
        <v/>
      </c>
      <c r="AZ94" s="7">
        <f>N(AU94)*N(R94)/90+N(AV94)+N(AW94)+N(AX94)+N(AY94)</f>
        <v/>
      </c>
      <c r="BA94" s="3">
        <f>IF(N(R94)&lt;=0,0,(N(AZ94)-N(AY94))*90/N(R94))</f>
        <v/>
      </c>
      <c r="BB94" s="7">
        <f>IFERROR(AZ94-VLOOKUP($E94,Assumptions!$A$40:$C$43,3,FALSE),"")</f>
        <v/>
      </c>
      <c r="BC94" s="3">
        <f>IFERROR(BB94/H94,"")</f>
        <v/>
      </c>
      <c r="BD94">
        <f>IF(AND($G94=TRUE,$E94="GKP"),AZ94,"")</f>
        <v/>
      </c>
      <c r="BE94">
        <f>IF(AND($G94=TRUE,$E94="DEF"),AZ94,"")</f>
        <v/>
      </c>
      <c r="BF94">
        <f>IF(AND($G94=TRUE,$E94="MID"),AZ94,"")</f>
        <v/>
      </c>
      <c r="BG94">
        <f>IF(AND($G94=TRUE,$E94="FWD"),AZ94,"")</f>
        <v/>
      </c>
      <c r="BH94" t="n">
        <v>2</v>
      </c>
      <c r="BI94" t="n">
        <v>2</v>
      </c>
      <c r="BJ94" t="n">
        <v>1</v>
      </c>
      <c r="BK94" t="n">
        <v>5</v>
      </c>
    </row>
    <row r="95">
      <c r="A95" t="inlineStr">
        <is>
          <t>Sepp van den Berg</t>
        </is>
      </c>
      <c r="B95" t="inlineStr">
        <is>
          <t>BRE</t>
        </is>
      </c>
      <c r="C95" t="inlineStr">
        <is>
          <t>BRE</t>
        </is>
      </c>
      <c r="D95" t="b">
        <v>0</v>
      </c>
      <c r="E95" t="inlineStr">
        <is>
          <t>DEF</t>
        </is>
      </c>
      <c r="F95" t="inlineStr">
        <is>
          <t>DEF</t>
        </is>
      </c>
      <c r="G95" t="b">
        <v>1</v>
      </c>
      <c r="H95" s="2" t="n">
        <v>5</v>
      </c>
      <c r="I95" t="inlineStr">
        <is>
          <t>a</t>
        </is>
      </c>
      <c r="K95" s="2" t="n">
        <v>2761</v>
      </c>
      <c r="L95" t="n">
        <v>113</v>
      </c>
      <c r="M95" s="3" t="n">
        <v>2947</v>
      </c>
      <c r="N95" s="4" t="n">
        <v>1800</v>
      </c>
      <c r="O95" s="4" t="n">
        <v>-1147</v>
      </c>
      <c r="P95" s="5" t="inlineStr">
        <is>
          <t>high</t>
        </is>
      </c>
      <c r="Q95" t="inlineStr">
        <is>
          <t>ramp-up (injury / late WC return)</t>
        </is>
      </c>
      <c r="R95" s="6" t="n">
        <v>1800</v>
      </c>
      <c r="S95" t="inlineStr">
        <is>
          <t>research</t>
        </is>
      </c>
      <c r="T95" s="5" t="inlineStr">
        <is>
          <t>The single biggest error in Solio's allocation. FPL flagged him status 'i' with chance_of_playing_next_round = 0 and 'Unspecified injury - Unknown return date', news added 2026-08-15T15:30Z - after the brief's snapshot was taken, which still shows him as status 'a'. He was absent from the entire 22-man matchday squad for the 15 Aug friendly. BeSoccer puts the expected return at mid-October 2026; RotoWire, citing Uzzi Majid of the Richmond and Twickenham Times, reports three months. Against the FPL calendar that means he misses GW1-GW5 at minimum (deadlines 21 Aug to 18 Sep) and plausibly through GW6-GW10 (10 Oct to 7 Nov). He then has to take his place back from Ajer. 1800 assumes roughly 8 gameweeks missed and around 20 full starts thereafter.</t>
        </is>
      </c>
      <c r="U95" s="6" t="n">
        <v>88.90000000000001</v>
      </c>
      <c r="V95" s="2" t="n">
        <v>30</v>
      </c>
      <c r="W95" s="7">
        <f>IF(N(U95)&lt;=0,0,MIN(Assumptions!$B$15,N(R95)/N(U95)))</f>
        <v/>
      </c>
      <c r="X95" s="6" t="n">
        <v>0.228</v>
      </c>
      <c r="Y95" s="3" t="n">
        <v>0.0871</v>
      </c>
      <c r="Z95" t="inlineStr">
        <is>
          <t>adjusted xGOT</t>
        </is>
      </c>
      <c r="AA95" s="3" t="n">
        <v>1</v>
      </c>
      <c r="AB95" s="3" t="n">
        <v>0.796</v>
      </c>
      <c r="AC95" s="3" t="n">
        <v>5.4</v>
      </c>
      <c r="AD95" s="3" t="n">
        <v>0.0594</v>
      </c>
      <c r="AE95" s="3" t="n">
        <v>8.622</v>
      </c>
      <c r="AF95" s="3" t="n">
        <v>0.3491858013416843</v>
      </c>
      <c r="AG95" s="3" t="n">
        <v>7.996</v>
      </c>
      <c r="AH95" s="3" t="n">
        <v>0.2179774202</v>
      </c>
      <c r="AI95" s="3" t="n">
        <v>62</v>
      </c>
      <c r="AJ95" s="3" t="n">
        <v>3.2371</v>
      </c>
      <c r="AK95" s="3" t="n">
        <v>1.5396</v>
      </c>
      <c r="AL95" s="3" t="n">
        <v>-0.1265622603536469</v>
      </c>
      <c r="AM95" s="6" t="n">
        <v>0</v>
      </c>
      <c r="AN95" s="3" t="n">
        <v>0</v>
      </c>
      <c r="AO95" s="3" t="n">
        <v>0.5226</v>
      </c>
      <c r="AP95" s="3" t="n">
        <v>0.235224</v>
      </c>
      <c r="AQ95" s="3">
        <f>N(X95)*N(BJ95)</f>
        <v/>
      </c>
      <c r="AR95" s="3" t="n">
        <v>0</v>
      </c>
      <c r="AS95" s="3" t="n">
        <v>-0.5312990096912251</v>
      </c>
      <c r="AT95" s="3" t="n">
        <v>-0.1265622603536469</v>
      </c>
      <c r="AU95" s="3">
        <f>SUM(AO95:AT95)</f>
        <v/>
      </c>
      <c r="AV95" s="7">
        <f>IF(OR(N(W95)&lt;=0,N(BH95)=0),0,N(W95)*IF(N(R95)/N(W95)&gt;=60,N(BH95),1))</f>
        <v/>
      </c>
      <c r="AW95" s="7">
        <f>N(W95)*N(AF95)*N(BI95)</f>
        <v/>
      </c>
      <c r="AX95" s="3">
        <f>IF(N(BH95)=0,0,N(W95)*N(AH95))</f>
        <v/>
      </c>
      <c r="AY95" s="7">
        <f>N(AM95)*(Assumptions!$B$13*N(BK95)-(1-Assumptions!$B$13)*Assumptions!$B$14)+N(AN95)</f>
        <v/>
      </c>
      <c r="AZ95" s="7">
        <f>N(AU95)*N(R95)/90+N(AV95)+N(AW95)+N(AX95)+N(AY95)</f>
        <v/>
      </c>
      <c r="BA95" s="3">
        <f>IF(N(R95)&lt;=0,0,(N(AZ95)-N(AY95))*90/N(R95))</f>
        <v/>
      </c>
      <c r="BB95" s="7">
        <f>IFERROR(AZ95-VLOOKUP($E95,Assumptions!$A$40:$C$43,3,FALSE),"")</f>
        <v/>
      </c>
      <c r="BC95" s="3">
        <f>IFERROR(BB95/H95,"")</f>
        <v/>
      </c>
      <c r="BD95">
        <f>IF(AND($G95=TRUE,$E95="GKP"),AZ95,"")</f>
        <v/>
      </c>
      <c r="BE95">
        <f>IF(AND($G95=TRUE,$E95="DEF"),AZ95,"")</f>
        <v/>
      </c>
      <c r="BF95">
        <f>IF(AND($G95=TRUE,$E95="MID"),AZ95,"")</f>
        <v/>
      </c>
      <c r="BG95">
        <f>IF(AND($G95=TRUE,$E95="FWD"),AZ95,"")</f>
        <v/>
      </c>
      <c r="BH95" t="n">
        <v>2</v>
      </c>
      <c r="BI95" t="n">
        <v>2</v>
      </c>
      <c r="BJ95" t="n">
        <v>4</v>
      </c>
      <c r="BK95" t="n">
        <v>6</v>
      </c>
    </row>
    <row r="96">
      <c r="A96" t="inlineStr">
        <is>
          <t>Michael Kayode</t>
        </is>
      </c>
      <c r="B96" t="inlineStr">
        <is>
          <t>BRE</t>
        </is>
      </c>
      <c r="C96" t="inlineStr">
        <is>
          <t>BRE</t>
        </is>
      </c>
      <c r="D96" t="b">
        <v>0</v>
      </c>
      <c r="E96" t="inlineStr">
        <is>
          <t>DEF</t>
        </is>
      </c>
      <c r="F96" t="inlineStr">
        <is>
          <t>DEF</t>
        </is>
      </c>
      <c r="G96" t="b">
        <v>1</v>
      </c>
      <c r="H96" s="2" t="n">
        <v>4.5</v>
      </c>
      <c r="I96" t="inlineStr">
        <is>
          <t>a</t>
        </is>
      </c>
      <c r="K96" s="2" t="n">
        <v>3258</v>
      </c>
      <c r="L96" t="n">
        <v>113</v>
      </c>
      <c r="M96" s="3" t="n">
        <v>3192</v>
      </c>
      <c r="N96" s="8" t="n">
        <v>3192</v>
      </c>
      <c r="O96" s="8" t="n">
        <v>0</v>
      </c>
      <c r="Q96" t="inlineStr">
        <is>
          <t>flat</t>
        </is>
      </c>
      <c r="R96" s="6" t="n">
        <v>3192</v>
      </c>
      <c r="S96" t="inlineStr">
        <is>
          <t>Solio</t>
        </is>
      </c>
      <c r="U96" s="6" t="n">
        <v>87.5</v>
      </c>
      <c r="V96" s="2" t="n">
        <v>37</v>
      </c>
      <c r="W96" s="7">
        <f>IF(N(U96)&lt;=0,0,MIN(Assumptions!$B$15,N(R96)/N(U96)))</f>
        <v/>
      </c>
      <c r="X96" s="6" t="n">
        <v>0.228</v>
      </c>
      <c r="Y96" s="3" t="n">
        <v>0.0351</v>
      </c>
      <c r="Z96" t="inlineStr">
        <is>
          <t>adjusted xGOT</t>
        </is>
      </c>
      <c r="AA96" s="3" t="n">
        <v>1</v>
      </c>
      <c r="AB96" s="3" t="n">
        <v>0.993</v>
      </c>
      <c r="AC96" s="3" t="n">
        <v>1.5</v>
      </c>
      <c r="AD96" s="3" t="n">
        <v>0.0839</v>
      </c>
      <c r="AE96" s="3" t="n">
        <v>6.346</v>
      </c>
      <c r="AF96" s="3" t="n">
        <v>0.09610277597067474</v>
      </c>
      <c r="AG96" s="3" t="n">
        <v>8.5</v>
      </c>
      <c r="AH96" s="3" t="n">
        <v>0.2106500917</v>
      </c>
      <c r="AI96" s="3" t="n">
        <v>74</v>
      </c>
      <c r="AJ96" s="3" t="n">
        <v>3.2371</v>
      </c>
      <c r="AK96" s="3" t="n">
        <v>1.5396</v>
      </c>
      <c r="AL96" s="3" t="n">
        <v>-0.2390820399124237</v>
      </c>
      <c r="AM96" s="6" t="n">
        <v>0</v>
      </c>
      <c r="AN96" s="3" t="n">
        <v>0</v>
      </c>
      <c r="AO96" s="3" t="n">
        <v>0.2106</v>
      </c>
      <c r="AP96" s="3" t="n">
        <v>0.332244</v>
      </c>
      <c r="AQ96" s="3">
        <f>N(X96)*N(BJ96)</f>
        <v/>
      </c>
      <c r="AR96" s="3" t="n">
        <v>0</v>
      </c>
      <c r="AS96" s="3" t="n">
        <v>-0.5312990096912251</v>
      </c>
      <c r="AT96" s="3" t="n">
        <v>-0.2390820399124237</v>
      </c>
      <c r="AU96" s="3">
        <f>SUM(AO96:AT96)</f>
        <v/>
      </c>
      <c r="AV96" s="7">
        <f>IF(OR(N(W96)&lt;=0,N(BH96)=0),0,N(W96)*IF(N(R96)/N(W96)&gt;=60,N(BH96),1))</f>
        <v/>
      </c>
      <c r="AW96" s="7">
        <f>N(W96)*N(AF96)*N(BI96)</f>
        <v/>
      </c>
      <c r="AX96" s="3">
        <f>IF(N(BH96)=0,0,N(W96)*N(AH96))</f>
        <v/>
      </c>
      <c r="AY96" s="7">
        <f>N(AM96)*(Assumptions!$B$13*N(BK96)-(1-Assumptions!$B$13)*Assumptions!$B$14)+N(AN96)</f>
        <v/>
      </c>
      <c r="AZ96" s="7">
        <f>N(AU96)*N(R96)/90+N(AV96)+N(AW96)+N(AX96)+N(AY96)</f>
        <v/>
      </c>
      <c r="BA96" s="3">
        <f>IF(N(R96)&lt;=0,0,(N(AZ96)-N(AY96))*90/N(R96))</f>
        <v/>
      </c>
      <c r="BB96" s="7">
        <f>IFERROR(AZ96-VLOOKUP($E96,Assumptions!$A$40:$C$43,3,FALSE),"")</f>
        <v/>
      </c>
      <c r="BC96" s="3">
        <f>IFERROR(BB96/H96,"")</f>
        <v/>
      </c>
      <c r="BD96">
        <f>IF(AND($G96=TRUE,$E96="GKP"),AZ96,"")</f>
        <v/>
      </c>
      <c r="BE96">
        <f>IF(AND($G96=TRUE,$E96="DEF"),AZ96,"")</f>
        <v/>
      </c>
      <c r="BF96">
        <f>IF(AND($G96=TRUE,$E96="MID"),AZ96,"")</f>
        <v/>
      </c>
      <c r="BG96">
        <f>IF(AND($G96=TRUE,$E96="FWD"),AZ96,"")</f>
        <v/>
      </c>
      <c r="BH96" t="n">
        <v>2</v>
      </c>
      <c r="BI96" t="n">
        <v>2</v>
      </c>
      <c r="BJ96" t="n">
        <v>4</v>
      </c>
      <c r="BK96" t="n">
        <v>6</v>
      </c>
    </row>
    <row r="97">
      <c r="A97" t="inlineStr">
        <is>
          <t>Luke Shaw</t>
        </is>
      </c>
      <c r="B97" t="inlineStr">
        <is>
          <t>MUN</t>
        </is>
      </c>
      <c r="C97" t="inlineStr">
        <is>
          <t>MUN</t>
        </is>
      </c>
      <c r="D97" t="b">
        <v>0</v>
      </c>
      <c r="E97" t="inlineStr">
        <is>
          <t>DEF</t>
        </is>
      </c>
      <c r="F97" t="inlineStr">
        <is>
          <t>DEF</t>
        </is>
      </c>
      <c r="G97" t="b">
        <v>1</v>
      </c>
      <c r="H97" s="2" t="n">
        <v>4.5</v>
      </c>
      <c r="I97" t="inlineStr">
        <is>
          <t>a</t>
        </is>
      </c>
      <c r="K97" s="2" t="n">
        <v>3220</v>
      </c>
      <c r="L97" t="n">
        <v>113</v>
      </c>
      <c r="M97" s="3" t="n">
        <v>2992</v>
      </c>
      <c r="N97" s="4" t="n">
        <v>2600</v>
      </c>
      <c r="O97" s="4" t="n">
        <v>-392</v>
      </c>
      <c r="P97" s="5" t="inlineStr">
        <is>
          <t>medium</t>
        </is>
      </c>
      <c r="Q97" t="inlineStr">
        <is>
          <t>flat</t>
        </is>
      </c>
      <c r="R97" s="6" t="n">
        <v>2600</v>
      </c>
      <c r="S97" t="inlineStr">
        <is>
          <t>research</t>
        </is>
      </c>
      <c r="T97" s="5" t="inlineStr">
        <is>
          <t>Left-back is the position United are most actively trying to reinforce before the window shuts on 1 September: ESPN reports work done on the feasibility of a deal for Lewis Hall and interest in Antonee Robinson. Shaw remains the incumbent and started the last two friendlies, so this is a modest haircut for signing risk, not a demotion. His 3,220 minutes last season also came in a one-game-a-week campaign; United are back in the Champions League.</t>
        </is>
      </c>
      <c r="U97" s="6" t="n">
        <v>84.90000000000001</v>
      </c>
      <c r="V97" s="2" t="n">
        <v>38</v>
      </c>
      <c r="W97" s="7">
        <f>IF(N(U97)&lt;=0,0,MIN(Assumptions!$B$15,N(R97)/N(U97)))</f>
        <v/>
      </c>
      <c r="X97" s="6" t="n">
        <v>0.334</v>
      </c>
      <c r="Y97" s="3" t="n">
        <v>0.021</v>
      </c>
      <c r="Z97" t="inlineStr">
        <is>
          <t>adjusted xGOT</t>
        </is>
      </c>
      <c r="AA97" s="3" t="n">
        <v>1</v>
      </c>
      <c r="AB97" s="3" t="n">
        <v>1.042</v>
      </c>
      <c r="AC97" s="3" t="n">
        <v>1.9</v>
      </c>
      <c r="AD97" s="3" t="n">
        <v>0.0485</v>
      </c>
      <c r="AE97" s="3" t="n">
        <v>6.521</v>
      </c>
      <c r="AF97" s="3" t="n">
        <v>0.09474606818539777</v>
      </c>
      <c r="AG97" s="3" t="n">
        <v>7.502</v>
      </c>
      <c r="AH97" s="3" t="n">
        <v>0.1589616384</v>
      </c>
      <c r="AI97" s="3" t="n">
        <v>75</v>
      </c>
      <c r="AJ97" s="3" t="n">
        <v>2.2165</v>
      </c>
      <c r="AK97" s="3" t="n">
        <v>1.1467</v>
      </c>
      <c r="AL97" s="3" t="n">
        <v>-0.2771183828849873</v>
      </c>
      <c r="AM97" s="6" t="n">
        <v>0</v>
      </c>
      <c r="AN97" s="3" t="n">
        <v>0</v>
      </c>
      <c r="AO97" s="3" t="n">
        <v>0.126</v>
      </c>
      <c r="AP97" s="3" t="n">
        <v>0.19206</v>
      </c>
      <c r="AQ97" s="3">
        <f>N(X97)*N(BJ97)</f>
        <v/>
      </c>
      <c r="AR97" s="3" t="n">
        <v>0</v>
      </c>
      <c r="AS97" s="3" t="n">
        <v>-0.348580685135232</v>
      </c>
      <c r="AT97" s="3" t="n">
        <v>-0.2771183828849873</v>
      </c>
      <c r="AU97" s="3">
        <f>SUM(AO97:AT97)</f>
        <v/>
      </c>
      <c r="AV97" s="7">
        <f>IF(OR(N(W97)&lt;=0,N(BH97)=0),0,N(W97)*IF(N(R97)/N(W97)&gt;=60,N(BH97),1))</f>
        <v/>
      </c>
      <c r="AW97" s="7">
        <f>N(W97)*N(AF97)*N(BI97)</f>
        <v/>
      </c>
      <c r="AX97" s="3">
        <f>IF(N(BH97)=0,0,N(W97)*N(AH97))</f>
        <v/>
      </c>
      <c r="AY97" s="7">
        <f>N(AM97)*(Assumptions!$B$13*N(BK97)-(1-Assumptions!$B$13)*Assumptions!$B$14)+N(AN97)</f>
        <v/>
      </c>
      <c r="AZ97" s="7">
        <f>N(AU97)*N(R97)/90+N(AV97)+N(AW97)+N(AX97)+N(AY97)</f>
        <v/>
      </c>
      <c r="BA97" s="3">
        <f>IF(N(R97)&lt;=0,0,(N(AZ97)-N(AY97))*90/N(R97))</f>
        <v/>
      </c>
      <c r="BB97" s="7">
        <f>IFERROR(AZ97-VLOOKUP($E97,Assumptions!$A$40:$C$43,3,FALSE),"")</f>
        <v/>
      </c>
      <c r="BC97" s="3">
        <f>IFERROR(BB97/H97,"")</f>
        <v/>
      </c>
      <c r="BD97">
        <f>IF(AND($G97=TRUE,$E97="GKP"),AZ97,"")</f>
        <v/>
      </c>
      <c r="BE97">
        <f>IF(AND($G97=TRUE,$E97="DEF"),AZ97,"")</f>
        <v/>
      </c>
      <c r="BF97">
        <f>IF(AND($G97=TRUE,$E97="MID"),AZ97,"")</f>
        <v/>
      </c>
      <c r="BG97">
        <f>IF(AND($G97=TRUE,$E97="FWD"),AZ97,"")</f>
        <v/>
      </c>
      <c r="BH97" t="n">
        <v>2</v>
      </c>
      <c r="BI97" t="n">
        <v>2</v>
      </c>
      <c r="BJ97" t="n">
        <v>4</v>
      </c>
      <c r="BK97" t="n">
        <v>6</v>
      </c>
    </row>
    <row r="98">
      <c r="A98" t="inlineStr">
        <is>
          <t>Rúben Dias</t>
        </is>
      </c>
      <c r="B98" t="inlineStr">
        <is>
          <t>MCI</t>
        </is>
      </c>
      <c r="C98" t="inlineStr">
        <is>
          <t>MCI</t>
        </is>
      </c>
      <c r="D98" t="b">
        <v>0</v>
      </c>
      <c r="E98" t="inlineStr">
        <is>
          <t>DEF</t>
        </is>
      </c>
      <c r="F98" t="inlineStr">
        <is>
          <t>DEF</t>
        </is>
      </c>
      <c r="G98" t="b">
        <v>1</v>
      </c>
      <c r="H98" s="2" t="n">
        <v>5.5</v>
      </c>
      <c r="I98" t="inlineStr">
        <is>
          <t>a</t>
        </is>
      </c>
      <c r="K98" s="2" t="n">
        <v>2139</v>
      </c>
      <c r="L98" t="n">
        <v>113</v>
      </c>
      <c r="M98" s="3" t="n">
        <v>1569</v>
      </c>
      <c r="N98" s="4" t="n">
        <v>1750</v>
      </c>
      <c r="O98" s="4" t="n">
        <v>181</v>
      </c>
      <c r="P98" s="5" t="inlineStr">
        <is>
          <t>medium</t>
        </is>
      </c>
      <c r="Q98" t="inlineStr">
        <is>
          <t>flat</t>
        </is>
      </c>
      <c r="R98" s="6" t="n">
        <v>1750</v>
      </c>
      <c r="S98" t="inlineStr">
        <is>
          <t>research</t>
        </is>
      </c>
      <c r="T98" s="5" t="inlineStr">
        <is>
          <t>Named as one of Maresca's captains for the new season, started the final pre-season match and starts in the Community Shield predicted XIs. 1,569 minutes is roughly 17 full matches for a club captain in a four-man centre-back rotation that has just lost three bodies. Only a modest raise because the rotation is real and he is 29 with a mixed injury record — the argument is that he is under-weighted, not that he is nailed.</t>
        </is>
      </c>
      <c r="U98" s="6" t="n">
        <v>87.09999999999999</v>
      </c>
      <c r="V98" s="2" t="n">
        <v>24</v>
      </c>
      <c r="W98" s="7">
        <f>IF(N(U98)&lt;=0,0,MIN(Assumptions!$B$15,N(R98)/N(U98)))</f>
        <v/>
      </c>
      <c r="X98" s="6" t="n">
        <v>0.371</v>
      </c>
      <c r="Y98" s="3" t="n">
        <v>0.0213</v>
      </c>
      <c r="Z98" t="inlineStr">
        <is>
          <t>adjusted xGOT</t>
        </is>
      </c>
      <c r="AA98" s="3" t="n">
        <v>1</v>
      </c>
      <c r="AB98" s="3" t="n">
        <v>0.887</v>
      </c>
      <c r="AC98" s="3" t="n">
        <v>4.8</v>
      </c>
      <c r="AD98" s="3" t="n">
        <v>0.0226</v>
      </c>
      <c r="AE98" s="3" t="n">
        <v>7.192</v>
      </c>
      <c r="AF98" s="3" t="n">
        <v>0.1654970036702939</v>
      </c>
      <c r="AG98" s="3" t="n">
        <v>8.314</v>
      </c>
      <c r="AH98" s="3" t="n">
        <v>0.2010020928</v>
      </c>
      <c r="AI98" s="3" t="n">
        <v>49</v>
      </c>
      <c r="AJ98" s="3" t="n">
        <v>1.9737</v>
      </c>
      <c r="AK98" s="3" t="n">
        <v>1.0365</v>
      </c>
      <c r="AL98" s="3" t="n">
        <v>-0.1469680947737017</v>
      </c>
      <c r="AM98" s="6" t="n">
        <v>0</v>
      </c>
      <c r="AN98" s="3" t="n">
        <v>0</v>
      </c>
      <c r="AO98" s="3" t="n">
        <v>0.1278</v>
      </c>
      <c r="AP98" s="3" t="n">
        <v>0.08949600000000001</v>
      </c>
      <c r="AQ98" s="3">
        <f>N(X98)*N(BJ98)</f>
        <v/>
      </c>
      <c r="AR98" s="3" t="n">
        <v>0</v>
      </c>
      <c r="AS98" s="3" t="n">
        <v>-0.2997019479071323</v>
      </c>
      <c r="AT98" s="3" t="n">
        <v>-0.1469680947737017</v>
      </c>
      <c r="AU98" s="3">
        <f>SUM(AO98:AT98)</f>
        <v/>
      </c>
      <c r="AV98" s="7">
        <f>IF(OR(N(W98)&lt;=0,N(BH98)=0),0,N(W98)*IF(N(R98)/N(W98)&gt;=60,N(BH98),1))</f>
        <v/>
      </c>
      <c r="AW98" s="7">
        <f>N(W98)*N(AF98)*N(BI98)</f>
        <v/>
      </c>
      <c r="AX98" s="3">
        <f>IF(N(BH98)=0,0,N(W98)*N(AH98))</f>
        <v/>
      </c>
      <c r="AY98" s="7">
        <f>N(AM98)*(Assumptions!$B$13*N(BK98)-(1-Assumptions!$B$13)*Assumptions!$B$14)+N(AN98)</f>
        <v/>
      </c>
      <c r="AZ98" s="7">
        <f>N(AU98)*N(R98)/90+N(AV98)+N(AW98)+N(AX98)+N(AY98)</f>
        <v/>
      </c>
      <c r="BA98" s="3">
        <f>IF(N(R98)&lt;=0,0,(N(AZ98)-N(AY98))*90/N(R98))</f>
        <v/>
      </c>
      <c r="BB98" s="7">
        <f>IFERROR(AZ98-VLOOKUP($E98,Assumptions!$A$40:$C$43,3,FALSE),"")</f>
        <v/>
      </c>
      <c r="BC98" s="3">
        <f>IFERROR(BB98/H98,"")</f>
        <v/>
      </c>
      <c r="BD98">
        <f>IF(AND($G98=TRUE,$E98="GKP"),AZ98,"")</f>
        <v/>
      </c>
      <c r="BE98">
        <f>IF(AND($G98=TRUE,$E98="DEF"),AZ98,"")</f>
        <v/>
      </c>
      <c r="BF98">
        <f>IF(AND($G98=TRUE,$E98="MID"),AZ98,"")</f>
        <v/>
      </c>
      <c r="BG98">
        <f>IF(AND($G98=TRUE,$E98="FWD"),AZ98,"")</f>
        <v/>
      </c>
      <c r="BH98" t="n">
        <v>2</v>
      </c>
      <c r="BI98" t="n">
        <v>2</v>
      </c>
      <c r="BJ98" t="n">
        <v>4</v>
      </c>
      <c r="BK98" t="n">
        <v>6</v>
      </c>
    </row>
    <row r="99">
      <c r="A99" t="inlineStr">
        <is>
          <t>Robert Sánchez</t>
        </is>
      </c>
      <c r="B99" t="inlineStr">
        <is>
          <t>CHE</t>
        </is>
      </c>
      <c r="C99" t="inlineStr">
        <is>
          <t>CHE</t>
        </is>
      </c>
      <c r="D99" t="b">
        <v>0</v>
      </c>
      <c r="E99" t="inlineStr">
        <is>
          <t>GKP</t>
        </is>
      </c>
      <c r="F99" t="inlineStr">
        <is>
          <t>GKP</t>
        </is>
      </c>
      <c r="G99" t="b">
        <v>1</v>
      </c>
      <c r="H99" s="2" t="n">
        <v>5</v>
      </c>
      <c r="I99" t="inlineStr">
        <is>
          <t>a</t>
        </is>
      </c>
      <c r="K99" s="2" t="n">
        <v>3040</v>
      </c>
      <c r="L99" t="n">
        <v>113</v>
      </c>
      <c r="M99" s="3" t="n">
        <v>3181</v>
      </c>
      <c r="N99" s="8" t="n">
        <v>3181</v>
      </c>
      <c r="O99" s="8" t="n">
        <v>0</v>
      </c>
      <c r="Q99" t="inlineStr">
        <is>
          <t>flat</t>
        </is>
      </c>
      <c r="R99" s="6" t="n">
        <v>3181</v>
      </c>
      <c r="S99" t="inlineStr">
        <is>
          <t>Solio</t>
        </is>
      </c>
      <c r="U99" s="6" t="n">
        <v>89.40000000000001</v>
      </c>
      <c r="V99" s="2" t="n">
        <v>34</v>
      </c>
      <c r="W99" s="7">
        <f>IF(N(U99)&lt;=0,0,MIN(Assumptions!$B$15,N(R99)/N(U99)))</f>
        <v/>
      </c>
      <c r="X99" s="6" t="n">
        <v>0.322</v>
      </c>
      <c r="Y99" s="3" t="n">
        <v>0</v>
      </c>
      <c r="Z99" t="inlineStr">
        <is>
          <t>blended xG</t>
        </is>
      </c>
      <c r="AA99" s="3" t="n">
        <v>1</v>
      </c>
      <c r="AB99" s="3" t="n">
        <v>1</v>
      </c>
      <c r="AC99" s="3" t="n">
        <v>0</v>
      </c>
      <c r="AD99" s="3" t="n">
        <v>0.0137</v>
      </c>
      <c r="AE99" s="3" t="n">
        <v>0</v>
      </c>
      <c r="AF99" s="3" t="n">
        <v>0</v>
      </c>
      <c r="AG99" s="3" t="n">
        <v>6.278</v>
      </c>
      <c r="AH99" s="3" t="n">
        <v>0.2324321812</v>
      </c>
      <c r="AI99" s="3" t="n">
        <v>69</v>
      </c>
      <c r="AJ99" s="3" t="n">
        <v>2.4232</v>
      </c>
      <c r="AK99" s="3" t="n">
        <v>1.1851</v>
      </c>
      <c r="AL99" s="3" t="n">
        <v>-0.108788584519348</v>
      </c>
      <c r="AM99" s="6" t="n">
        <v>0</v>
      </c>
      <c r="AN99" s="3" t="n">
        <v>2.35312144194812</v>
      </c>
      <c r="AO99" s="3" t="n">
        <v>0</v>
      </c>
      <c r="AP99" s="3" t="n">
        <v>0.054252</v>
      </c>
      <c r="AQ99" s="3">
        <f>N(X99)*N(BJ99)</f>
        <v/>
      </c>
      <c r="AR99" s="3" t="n">
        <v>0.474357769926339</v>
      </c>
      <c r="AS99" s="3" t="n">
        <v>-0.365915508000572</v>
      </c>
      <c r="AT99" s="3" t="n">
        <v>-0.108788584519348</v>
      </c>
      <c r="AU99" s="3">
        <f>SUM(AO99:AT99)</f>
        <v/>
      </c>
      <c r="AV99" s="7">
        <f>IF(OR(N(W99)&lt;=0,N(BH99)=0),0,N(W99)*IF(N(R99)/N(W99)&gt;=60,N(BH99),1))</f>
        <v/>
      </c>
      <c r="AW99" s="7">
        <f>N(W99)*N(AF99)*N(BI99)</f>
        <v/>
      </c>
      <c r="AX99" s="3">
        <f>IF(N(BH99)=0,0,N(W99)*N(AH99))</f>
        <v/>
      </c>
      <c r="AY99" s="7">
        <f>N(AM99)*(Assumptions!$B$13*N(BK99)-(1-Assumptions!$B$13)*Assumptions!$B$14)+N(AN99)</f>
        <v/>
      </c>
      <c r="AZ99" s="7">
        <f>N(AU99)*N(R99)/90+N(AV99)+N(AW99)+N(AX99)+N(AY99)</f>
        <v/>
      </c>
      <c r="BA99" s="3">
        <f>IF(N(R99)&lt;=0,0,(N(AZ99)-N(AY99))*90/N(R99))</f>
        <v/>
      </c>
      <c r="BB99" s="7">
        <f>IFERROR(AZ99-VLOOKUP($E99,Assumptions!$A$40:$C$43,3,FALSE),"")</f>
        <v/>
      </c>
      <c r="BC99" s="3">
        <f>IFERROR(BB99/H99,"")</f>
        <v/>
      </c>
      <c r="BD99">
        <f>IF(AND($G99=TRUE,$E99="GKP"),AZ99,"")</f>
        <v/>
      </c>
      <c r="BE99">
        <f>IF(AND($G99=TRUE,$E99="DEF"),AZ99,"")</f>
        <v/>
      </c>
      <c r="BF99">
        <f>IF(AND($G99=TRUE,$E99="MID"),AZ99,"")</f>
        <v/>
      </c>
      <c r="BG99">
        <f>IF(AND($G99=TRUE,$E99="FWD"),AZ99,"")</f>
        <v/>
      </c>
      <c r="BH99" t="n">
        <v>2</v>
      </c>
      <c r="BI99" t="n">
        <v>0</v>
      </c>
      <c r="BJ99" t="n">
        <v>4</v>
      </c>
      <c r="BK99" t="n">
        <v>10</v>
      </c>
    </row>
    <row r="100">
      <c r="A100" t="inlineStr">
        <is>
          <t>Mikkel Damsgaard</t>
        </is>
      </c>
      <c r="B100" t="inlineStr">
        <is>
          <t>BRE</t>
        </is>
      </c>
      <c r="C100" t="inlineStr">
        <is>
          <t>BRE</t>
        </is>
      </c>
      <c r="D100" t="b">
        <v>0</v>
      </c>
      <c r="E100" t="inlineStr">
        <is>
          <t>MID</t>
        </is>
      </c>
      <c r="F100" t="inlineStr">
        <is>
          <t>MID</t>
        </is>
      </c>
      <c r="G100" t="b">
        <v>1</v>
      </c>
      <c r="H100" s="2" t="n">
        <v>5.5</v>
      </c>
      <c r="I100" t="inlineStr">
        <is>
          <t>a</t>
        </is>
      </c>
      <c r="K100" s="2" t="n">
        <v>2046</v>
      </c>
      <c r="L100" t="n">
        <v>113</v>
      </c>
      <c r="M100" s="3" t="n">
        <v>1915</v>
      </c>
      <c r="N100" s="8" t="n">
        <v>1915</v>
      </c>
      <c r="O100" s="8" t="n">
        <v>0</v>
      </c>
      <c r="Q100" t="inlineStr">
        <is>
          <t>flat</t>
        </is>
      </c>
      <c r="R100" s="6" t="n">
        <v>1915</v>
      </c>
      <c r="S100" t="inlineStr">
        <is>
          <t>Solio</t>
        </is>
      </c>
      <c r="U100" s="6" t="n">
        <v>78.59999999999999</v>
      </c>
      <c r="V100" s="2" t="n">
        <v>24</v>
      </c>
      <c r="W100" s="7">
        <f>IF(N(U100)&lt;=0,0,MIN(Assumptions!$B$15,N(R100)/N(U100)))</f>
        <v/>
      </c>
      <c r="X100" s="6" t="n">
        <v>0.228</v>
      </c>
      <c r="Y100" s="3" t="n">
        <v>0.1149</v>
      </c>
      <c r="Z100" t="inlineStr">
        <is>
          <t>adjusted xGOT</t>
        </is>
      </c>
      <c r="AA100" s="3" t="n">
        <v>1</v>
      </c>
      <c r="AB100" s="3" t="n">
        <v>1.001</v>
      </c>
      <c r="AC100" s="3" t="n">
        <v>8.6</v>
      </c>
      <c r="AD100" s="3" t="n">
        <v>0.2617</v>
      </c>
      <c r="AE100" s="3" t="n">
        <v>10.074</v>
      </c>
      <c r="AF100" s="3" t="n">
        <v>0.1778409087464298</v>
      </c>
      <c r="AG100" s="3" t="n">
        <v>7.612</v>
      </c>
      <c r="AH100" s="3" t="n">
        <v>0.3127260694</v>
      </c>
      <c r="AI100" s="3" t="n">
        <v>55</v>
      </c>
      <c r="AJ100" s="3" t="n">
        <v>3.2371</v>
      </c>
      <c r="AK100" s="3" t="n">
        <v>1.5396</v>
      </c>
      <c r="AL100" s="3" t="n">
        <v>-0.1005908179385081</v>
      </c>
      <c r="AM100" s="6" t="n">
        <v>0</v>
      </c>
      <c r="AN100" s="3" t="n">
        <v>0</v>
      </c>
      <c r="AO100" s="3" t="n">
        <v>0.5745</v>
      </c>
      <c r="AP100" s="3" t="n">
        <v>1.036332</v>
      </c>
      <c r="AQ100" s="3">
        <f>N(X100)*N(BJ100)</f>
        <v/>
      </c>
      <c r="AR100" s="3" t="n">
        <v>0</v>
      </c>
      <c r="AS100" s="3" t="n">
        <v>-0</v>
      </c>
      <c r="AT100" s="3" t="n">
        <v>-0.1005908179385081</v>
      </c>
      <c r="AU100" s="3">
        <f>SUM(AO100:AT100)</f>
        <v/>
      </c>
      <c r="AV100" s="7">
        <f>IF(OR(N(W100)&lt;=0,N(BH100)=0),0,N(W100)*IF(N(R100)/N(W100)&gt;=60,N(BH100),1))</f>
        <v/>
      </c>
      <c r="AW100" s="7">
        <f>N(W100)*N(AF100)*N(BI100)</f>
        <v/>
      </c>
      <c r="AX100" s="3">
        <f>IF(N(BH100)=0,0,N(W100)*N(AH100))</f>
        <v/>
      </c>
      <c r="AY100" s="7">
        <f>N(AM100)*(Assumptions!$B$13*N(BK100)-(1-Assumptions!$B$13)*Assumptions!$B$14)+N(AN100)</f>
        <v/>
      </c>
      <c r="AZ100" s="7">
        <f>N(AU100)*N(R100)/90+N(AV100)+N(AW100)+N(AX100)+N(AY100)</f>
        <v/>
      </c>
      <c r="BA100" s="3">
        <f>IF(N(R100)&lt;=0,0,(N(AZ100)-N(AY100))*90/N(R100))</f>
        <v/>
      </c>
      <c r="BB100" s="7">
        <f>IFERROR(AZ100-VLOOKUP($E100,Assumptions!$A$40:$C$43,3,FALSE),"")</f>
        <v/>
      </c>
      <c r="BC100" s="3">
        <f>IFERROR(BB100/H100,"")</f>
        <v/>
      </c>
      <c r="BD100">
        <f>IF(AND($G100=TRUE,$E100="GKP"),AZ100,"")</f>
        <v/>
      </c>
      <c r="BE100">
        <f>IF(AND($G100=TRUE,$E100="DEF"),AZ100,"")</f>
        <v/>
      </c>
      <c r="BF100">
        <f>IF(AND($G100=TRUE,$E100="MID"),AZ100,"")</f>
        <v/>
      </c>
      <c r="BG100">
        <f>IF(AND($G100=TRUE,$E100="FWD"),AZ100,"")</f>
        <v/>
      </c>
      <c r="BH100" t="n">
        <v>2</v>
      </c>
      <c r="BI100" t="n">
        <v>2</v>
      </c>
      <c r="BJ100" t="n">
        <v>1</v>
      </c>
      <c r="BK100" t="n">
        <v>5</v>
      </c>
    </row>
    <row r="101">
      <c r="A101" t="inlineStr">
        <is>
          <t>Eberechi Eze</t>
        </is>
      </c>
      <c r="B101" t="inlineStr">
        <is>
          <t>ARS</t>
        </is>
      </c>
      <c r="C101" t="inlineStr">
        <is>
          <t>ARS</t>
        </is>
      </c>
      <c r="D101" t="b">
        <v>0</v>
      </c>
      <c r="E101" t="inlineStr">
        <is>
          <t>MID</t>
        </is>
      </c>
      <c r="F101" t="inlineStr">
        <is>
          <t>MID</t>
        </is>
      </c>
      <c r="G101" t="b">
        <v>1</v>
      </c>
      <c r="H101" s="2" t="n">
        <v>6.5</v>
      </c>
      <c r="I101" t="inlineStr">
        <is>
          <t>a</t>
        </is>
      </c>
      <c r="K101" s="2" t="n">
        <v>1885</v>
      </c>
      <c r="L101" t="n">
        <v>113</v>
      </c>
      <c r="M101" s="3" t="n">
        <v>1328</v>
      </c>
      <c r="N101" s="8" t="n">
        <v>1328</v>
      </c>
      <c r="O101" s="8" t="n">
        <v>0</v>
      </c>
      <c r="Q101" t="inlineStr">
        <is>
          <t>flat</t>
        </is>
      </c>
      <c r="R101" s="6" t="n">
        <v>1328</v>
      </c>
      <c r="S101" t="inlineStr">
        <is>
          <t>Solio</t>
        </is>
      </c>
      <c r="U101" s="6" t="n">
        <v>75.90000000000001</v>
      </c>
      <c r="V101" s="2" t="n">
        <v>22</v>
      </c>
      <c r="W101" s="7">
        <f>IF(N(U101)&lt;=0,0,MIN(Assumptions!$B$15,N(R101)/N(U101)))</f>
        <v/>
      </c>
      <c r="X101" s="6" t="n">
        <v>0.391</v>
      </c>
      <c r="Y101" s="3" t="n">
        <v>0.2755</v>
      </c>
      <c r="Z101" t="inlineStr">
        <is>
          <t>adjusted xGOT</t>
        </is>
      </c>
      <c r="AA101" s="3" t="n">
        <v>1</v>
      </c>
      <c r="AB101" s="3" t="n">
        <v>1.114</v>
      </c>
      <c r="AC101" s="3" t="n">
        <v>31.9</v>
      </c>
      <c r="AD101" s="3" t="n">
        <v>0.1264</v>
      </c>
      <c r="AE101" s="3" t="n">
        <v>6.516</v>
      </c>
      <c r="AF101" s="3" t="n">
        <v>0.01091927449816144</v>
      </c>
      <c r="AG101" s="3" t="n">
        <v>6.121</v>
      </c>
      <c r="AH101" s="3" t="n">
        <v>0.3676475952</v>
      </c>
      <c r="AI101" s="3" t="n">
        <v>51</v>
      </c>
      <c r="AJ101" s="3" t="n">
        <v>2.067</v>
      </c>
      <c r="AK101" s="3" t="n">
        <v>0.9838</v>
      </c>
      <c r="AL101" s="3" t="n">
        <v>-0.1112321372810775</v>
      </c>
      <c r="AM101" s="6" t="n">
        <v>0</v>
      </c>
      <c r="AN101" s="3" t="n">
        <v>0</v>
      </c>
      <c r="AO101" s="3" t="n">
        <v>1.3775</v>
      </c>
      <c r="AP101" s="3" t="n">
        <v>0.5005440000000001</v>
      </c>
      <c r="AQ101" s="3">
        <f>N(X101)*N(BJ101)</f>
        <v/>
      </c>
      <c r="AR101" s="3" t="n">
        <v>0</v>
      </c>
      <c r="AS101" s="3" t="n">
        <v>-0</v>
      </c>
      <c r="AT101" s="3" t="n">
        <v>-0.1112321372810775</v>
      </c>
      <c r="AU101" s="3">
        <f>SUM(AO101:AT101)</f>
        <v/>
      </c>
      <c r="AV101" s="7">
        <f>IF(OR(N(W101)&lt;=0,N(BH101)=0),0,N(W101)*IF(N(R101)/N(W101)&gt;=60,N(BH101),1))</f>
        <v/>
      </c>
      <c r="AW101" s="7">
        <f>N(W101)*N(AF101)*N(BI101)</f>
        <v/>
      </c>
      <c r="AX101" s="3">
        <f>IF(N(BH101)=0,0,N(W101)*N(AH101))</f>
        <v/>
      </c>
      <c r="AY101" s="7">
        <f>N(AM101)*(Assumptions!$B$13*N(BK101)-(1-Assumptions!$B$13)*Assumptions!$B$14)+N(AN101)</f>
        <v/>
      </c>
      <c r="AZ101" s="7">
        <f>N(AU101)*N(R101)/90+N(AV101)+N(AW101)+N(AX101)+N(AY101)</f>
        <v/>
      </c>
      <c r="BA101" s="3">
        <f>IF(N(R101)&lt;=0,0,(N(AZ101)-N(AY101))*90/N(R101))</f>
        <v/>
      </c>
      <c r="BB101" s="7">
        <f>IFERROR(AZ101-VLOOKUP($E101,Assumptions!$A$40:$C$43,3,FALSE),"")</f>
        <v/>
      </c>
      <c r="BC101" s="3">
        <f>IFERROR(BB101/H101,"")</f>
        <v/>
      </c>
      <c r="BD101">
        <f>IF(AND($G101=TRUE,$E101="GKP"),AZ101,"")</f>
        <v/>
      </c>
      <c r="BE101">
        <f>IF(AND($G101=TRUE,$E101="DEF"),AZ101,"")</f>
        <v/>
      </c>
      <c r="BF101">
        <f>IF(AND($G101=TRUE,$E101="MID"),AZ101,"")</f>
        <v/>
      </c>
      <c r="BG101">
        <f>IF(AND($G101=TRUE,$E101="FWD"),AZ101,"")</f>
        <v/>
      </c>
      <c r="BH101" t="n">
        <v>2</v>
      </c>
      <c r="BI101" t="n">
        <v>2</v>
      </c>
      <c r="BJ101" t="n">
        <v>1</v>
      </c>
      <c r="BK101" t="n">
        <v>5</v>
      </c>
    </row>
    <row r="102">
      <c r="A102" t="inlineStr">
        <is>
          <t>Adam Wharton</t>
        </is>
      </c>
      <c r="B102" t="inlineStr">
        <is>
          <t>CRY</t>
        </is>
      </c>
      <c r="C102" t="inlineStr">
        <is>
          <t>CRY</t>
        </is>
      </c>
      <c r="D102" t="b">
        <v>0</v>
      </c>
      <c r="E102" t="inlineStr">
        <is>
          <t>MID</t>
        </is>
      </c>
      <c r="F102" t="inlineStr">
        <is>
          <t>MID</t>
        </is>
      </c>
      <c r="G102" t="b">
        <v>1</v>
      </c>
      <c r="H102" s="2" t="n">
        <v>5.5</v>
      </c>
      <c r="I102" t="inlineStr">
        <is>
          <t>a</t>
        </is>
      </c>
      <c r="K102" s="2" t="n">
        <v>2552</v>
      </c>
      <c r="L102" t="n">
        <v>112</v>
      </c>
      <c r="M102" s="3" t="n">
        <v>3158</v>
      </c>
      <c r="N102" s="4" t="n">
        <v>2700</v>
      </c>
      <c r="O102" s="4" t="n">
        <v>-458</v>
      </c>
      <c r="P102" s="5" t="inlineStr">
        <is>
          <t>low</t>
        </is>
      </c>
      <c r="Q102" t="inlineStr">
        <is>
          <t>flat</t>
        </is>
      </c>
      <c r="R102" s="6" t="n">
        <v>2700</v>
      </c>
      <c r="S102" t="inlineStr">
        <is>
          <t>research</t>
        </is>
      </c>
      <c r="T102" s="5" t="inlineStr">
        <is>
          <t>Small haircut on two grounds, not a demotion. He remains a starter and started at Freiburg. First, an unresolved transfer situation with Chelsea holding face-to-face talks with Palace as of 12 August and Man Utd also circling, with the window open until 1 September. Second, he missed the July Swindon friendly with a knock and has never exceeded 2552 Premier League minutes in a season, so Solio's 3158 is above his established ceiling in a year with Europa League football.</t>
        </is>
      </c>
      <c r="U102" s="6" t="n">
        <v>82.5</v>
      </c>
      <c r="V102" s="2" t="n">
        <v>28</v>
      </c>
      <c r="W102" s="7">
        <f>IF(N(U102)&lt;=0,0,MIN(Assumptions!$B$15,N(R102)/N(U102)))</f>
        <v/>
      </c>
      <c r="X102" s="6" t="n">
        <v>0.216</v>
      </c>
      <c r="Y102" s="3" t="n">
        <v>0.0475</v>
      </c>
      <c r="Z102" t="inlineStr">
        <is>
          <t>adjusted xGOT</t>
        </is>
      </c>
      <c r="AA102" s="3" t="n">
        <v>1</v>
      </c>
      <c r="AB102" s="3" t="n">
        <v>0.885</v>
      </c>
      <c r="AC102" s="3" t="n">
        <v>2.3</v>
      </c>
      <c r="AD102" s="3" t="n">
        <v>0.2485</v>
      </c>
      <c r="AE102" s="3" t="n">
        <v>10.222</v>
      </c>
      <c r="AF102" s="3" t="n">
        <v>0.2343078937535134</v>
      </c>
      <c r="AG102" s="3" t="n">
        <v>8.577</v>
      </c>
      <c r="AH102" s="3" t="n">
        <v>0.2467114425</v>
      </c>
      <c r="AI102" s="3" t="n">
        <v>62</v>
      </c>
      <c r="AJ102" s="3" t="n">
        <v>3.2035</v>
      </c>
      <c r="AK102" s="3" t="n">
        <v>1.5923</v>
      </c>
      <c r="AL102" s="3" t="n">
        <v>-0.1727358222007214</v>
      </c>
      <c r="AM102" s="6" t="n">
        <v>0</v>
      </c>
      <c r="AN102" s="3" t="n">
        <v>0</v>
      </c>
      <c r="AO102" s="3" t="n">
        <v>0.2375</v>
      </c>
      <c r="AP102" s="3" t="n">
        <v>0.9840600000000002</v>
      </c>
      <c r="AQ102" s="3">
        <f>N(X102)*N(BJ102)</f>
        <v/>
      </c>
      <c r="AR102" s="3" t="n">
        <v>0</v>
      </c>
      <c r="AS102" s="3" t="n">
        <v>-0</v>
      </c>
      <c r="AT102" s="3" t="n">
        <v>-0.1727358222007214</v>
      </c>
      <c r="AU102" s="3">
        <f>SUM(AO102:AT102)</f>
        <v/>
      </c>
      <c r="AV102" s="7">
        <f>IF(OR(N(W102)&lt;=0,N(BH102)=0),0,N(W102)*IF(N(R102)/N(W102)&gt;=60,N(BH102),1))</f>
        <v/>
      </c>
      <c r="AW102" s="7">
        <f>N(W102)*N(AF102)*N(BI102)</f>
        <v/>
      </c>
      <c r="AX102" s="3">
        <f>IF(N(BH102)=0,0,N(W102)*N(AH102))</f>
        <v/>
      </c>
      <c r="AY102" s="7">
        <f>N(AM102)*(Assumptions!$B$13*N(BK102)-(1-Assumptions!$B$13)*Assumptions!$B$14)+N(AN102)</f>
        <v/>
      </c>
      <c r="AZ102" s="7">
        <f>N(AU102)*N(R102)/90+N(AV102)+N(AW102)+N(AX102)+N(AY102)</f>
        <v/>
      </c>
      <c r="BA102" s="3">
        <f>IF(N(R102)&lt;=0,0,(N(AZ102)-N(AY102))*90/N(R102))</f>
        <v/>
      </c>
      <c r="BB102" s="7">
        <f>IFERROR(AZ102-VLOOKUP($E102,Assumptions!$A$40:$C$43,3,FALSE),"")</f>
        <v/>
      </c>
      <c r="BC102" s="3">
        <f>IFERROR(BB102/H102,"")</f>
        <v/>
      </c>
      <c r="BD102">
        <f>IF(AND($G102=TRUE,$E102="GKP"),AZ102,"")</f>
        <v/>
      </c>
      <c r="BE102">
        <f>IF(AND($G102=TRUE,$E102="DEF"),AZ102,"")</f>
        <v/>
      </c>
      <c r="BF102">
        <f>IF(AND($G102=TRUE,$E102="MID"),AZ102,"")</f>
        <v/>
      </c>
      <c r="BG102">
        <f>IF(AND($G102=TRUE,$E102="FWD"),AZ102,"")</f>
        <v/>
      </c>
      <c r="BH102" t="n">
        <v>2</v>
      </c>
      <c r="BI102" t="n">
        <v>2</v>
      </c>
      <c r="BJ102" t="n">
        <v>1</v>
      </c>
      <c r="BK102" t="n">
        <v>5</v>
      </c>
    </row>
    <row r="103">
      <c r="A103" t="inlineStr">
        <is>
          <t>Benjamin Sesko</t>
        </is>
      </c>
      <c r="B103" t="inlineStr">
        <is>
          <t>MUN</t>
        </is>
      </c>
      <c r="C103" t="inlineStr">
        <is>
          <t>MUN</t>
        </is>
      </c>
      <c r="D103" t="b">
        <v>0</v>
      </c>
      <c r="E103" t="inlineStr">
        <is>
          <t>FWD</t>
        </is>
      </c>
      <c r="F103" t="inlineStr">
        <is>
          <t>FWD</t>
        </is>
      </c>
      <c r="G103" t="b">
        <v>1</v>
      </c>
      <c r="H103" s="2" t="n">
        <v>7</v>
      </c>
      <c r="I103" t="inlineStr">
        <is>
          <t>d</t>
        </is>
      </c>
      <c r="J103" t="inlineStr">
        <is>
          <t>Shin injury - 75% chance of playing</t>
        </is>
      </c>
      <c r="K103" s="2" t="n">
        <v>1630</v>
      </c>
      <c r="L103" t="n">
        <v>111</v>
      </c>
      <c r="M103" s="3" t="n">
        <v>2274</v>
      </c>
      <c r="N103" s="4" t="n">
        <v>1800</v>
      </c>
      <c r="O103" s="4" t="n">
        <v>-474</v>
      </c>
      <c r="P103" s="5" t="inlineStr">
        <is>
          <t>medium</t>
        </is>
      </c>
      <c r="Q103" t="inlineStr">
        <is>
          <t>flat</t>
        </is>
      </c>
      <c r="R103" s="6" t="n">
        <v>1800</v>
      </c>
      <c r="S103" t="inlineStr">
        <is>
          <t>research</t>
        </is>
      </c>
      <c r="T103" s="5" t="inlineStr">
        <is>
          <t>Has not played a minute of pre-season. The shin problem that ended his 2025/26 against Liverpool on 3 May was thought minor and has repeatedly slipped: he missed the Wrexham, Rosenborg, Atletico, PSG, Leeds and AC Milan matches. United say they are confident he is fit for 22 August, but a striker starting the season with zero match minutes, in a squad where Cunha started at centre-forward in the dress rehearsal and Mbeumo replaced him there, carries both a slow-start risk and a re-injury risk.</t>
        </is>
      </c>
      <c r="U103" s="6" t="n">
        <v>78.7</v>
      </c>
      <c r="V103" s="2" t="n">
        <v>17</v>
      </c>
      <c r="W103" s="7">
        <f>IF(N(U103)&lt;=0,0,MIN(Assumptions!$B$15,N(R103)/N(U103)))</f>
        <v/>
      </c>
      <c r="X103" s="6" t="n">
        <v>0.334</v>
      </c>
      <c r="Y103" s="3" t="n">
        <v>0.5673</v>
      </c>
      <c r="Z103" t="inlineStr">
        <is>
          <t>adjusted xGOT</t>
        </is>
      </c>
      <c r="AA103" s="3" t="n">
        <v>1</v>
      </c>
      <c r="AB103" s="3" t="n">
        <v>1.116</v>
      </c>
      <c r="AC103" s="3" t="n">
        <v>9.199999999999999</v>
      </c>
      <c r="AD103" s="3" t="n">
        <v>0.0242</v>
      </c>
      <c r="AE103" s="3" t="n">
        <v>3.92</v>
      </c>
      <c r="AF103" s="3" t="n">
        <v>0.0002401849979577486</v>
      </c>
      <c r="AG103" s="3" t="n">
        <v>0.977</v>
      </c>
      <c r="AH103" s="3" t="n">
        <v>0.6659656992</v>
      </c>
      <c r="AI103" s="3" t="n">
        <v>44</v>
      </c>
      <c r="AJ103" s="3" t="n">
        <v>2.2165</v>
      </c>
      <c r="AK103" s="3" t="n">
        <v>1.1467</v>
      </c>
      <c r="AL103" s="3" t="n">
        <v>-0.1467446864486378</v>
      </c>
      <c r="AM103" s="6" t="n">
        <v>0</v>
      </c>
      <c r="AN103" s="3" t="n">
        <v>0</v>
      </c>
      <c r="AO103" s="3" t="n">
        <v>2.2692</v>
      </c>
      <c r="AP103" s="3" t="n">
        <v>0.095832</v>
      </c>
      <c r="AQ103" s="3">
        <f>N(X103)*N(BJ103)</f>
        <v/>
      </c>
      <c r="AR103" s="3" t="n">
        <v>0</v>
      </c>
      <c r="AS103" s="3" t="n">
        <v>-0</v>
      </c>
      <c r="AT103" s="3" t="n">
        <v>-0.1467446864486378</v>
      </c>
      <c r="AU103" s="3">
        <f>SUM(AO103:AT103)</f>
        <v/>
      </c>
      <c r="AV103" s="7">
        <f>IF(OR(N(W103)&lt;=0,N(BH103)=0),0,N(W103)*IF(N(R103)/N(W103)&gt;=60,N(BH103),1))</f>
        <v/>
      </c>
      <c r="AW103" s="7">
        <f>N(W103)*N(AF103)*N(BI103)</f>
        <v/>
      </c>
      <c r="AX103" s="3">
        <f>IF(N(BH103)=0,0,N(W103)*N(AH103))</f>
        <v/>
      </c>
      <c r="AY103" s="7">
        <f>N(AM103)*(Assumptions!$B$13*N(BK103)-(1-Assumptions!$B$13)*Assumptions!$B$14)+N(AN103)</f>
        <v/>
      </c>
      <c r="AZ103" s="7">
        <f>N(AU103)*N(R103)/90+N(AV103)+N(AW103)+N(AX103)+N(AY103)</f>
        <v/>
      </c>
      <c r="BA103" s="3">
        <f>IF(N(R103)&lt;=0,0,(N(AZ103)-N(AY103))*90/N(R103))</f>
        <v/>
      </c>
      <c r="BB103" s="7">
        <f>IFERROR(AZ103-VLOOKUP($E103,Assumptions!$A$40:$C$43,3,FALSE),"")</f>
        <v/>
      </c>
      <c r="BC103" s="3">
        <f>IFERROR(BB103/H103,"")</f>
        <v/>
      </c>
      <c r="BD103">
        <f>IF(AND($G103=TRUE,$E103="GKP"),AZ103,"")</f>
        <v/>
      </c>
      <c r="BE103">
        <f>IF(AND($G103=TRUE,$E103="DEF"),AZ103,"")</f>
        <v/>
      </c>
      <c r="BF103">
        <f>IF(AND($G103=TRUE,$E103="MID"),AZ103,"")</f>
        <v/>
      </c>
      <c r="BG103">
        <f>IF(AND($G103=TRUE,$E103="FWD"),AZ103,"")</f>
        <v/>
      </c>
      <c r="BH103" t="n">
        <v>2</v>
      </c>
      <c r="BI103" t="n">
        <v>2</v>
      </c>
      <c r="BJ103" t="n">
        <v>0</v>
      </c>
      <c r="BK103" t="n">
        <v>4</v>
      </c>
    </row>
    <row r="104">
      <c r="A104" t="inlineStr">
        <is>
          <t>Diogo Dalot</t>
        </is>
      </c>
      <c r="B104" t="inlineStr">
        <is>
          <t>MUN</t>
        </is>
      </c>
      <c r="C104" t="inlineStr">
        <is>
          <t>MUN</t>
        </is>
      </c>
      <c r="D104" t="b">
        <v>0</v>
      </c>
      <c r="E104" t="inlineStr">
        <is>
          <t>DEF</t>
        </is>
      </c>
      <c r="F104" t="inlineStr">
        <is>
          <t>DEF</t>
        </is>
      </c>
      <c r="G104" t="b">
        <v>1</v>
      </c>
      <c r="H104" s="2" t="n">
        <v>5</v>
      </c>
      <c r="I104" t="inlineStr">
        <is>
          <t>a</t>
        </is>
      </c>
      <c r="K104" s="2" t="n">
        <v>2609</v>
      </c>
      <c r="L104" t="n">
        <v>111</v>
      </c>
      <c r="M104" s="3" t="n">
        <v>2594</v>
      </c>
      <c r="N104" s="4" t="n">
        <v>2100</v>
      </c>
      <c r="O104" s="4" t="n">
        <v>-494</v>
      </c>
      <c r="P104" s="5" t="inlineStr">
        <is>
          <t>medium</t>
        </is>
      </c>
      <c r="Q104" t="inlineStr">
        <is>
          <t>flat</t>
        </is>
      </c>
      <c r="R104" s="6" t="n">
        <v>2100</v>
      </c>
      <c r="S104" t="inlineStr">
        <is>
          <t>research</t>
        </is>
      </c>
      <c r="T104" s="5" t="inlineStr">
        <is>
          <t>Solio splits right-back roughly 76/24 in Dalot's favour. Mazraoui started the dress rehearsal against Milan with Dalot only introduced on 61', and Yoro also covered the position in pre-season. Dalot's case is real — Carrick never lost a match with him starting — but the slot is genuinely contested, so the split moves to roughly 62/38. This is paired with the offsetting Mazraoui delta and is close to minutes-neutral for the club.</t>
        </is>
      </c>
      <c r="U104" s="6" t="n">
        <v>85.5</v>
      </c>
      <c r="V104" s="2" t="n">
        <v>29</v>
      </c>
      <c r="W104" s="7">
        <f>IF(N(U104)&lt;=0,0,MIN(Assumptions!$B$15,N(R104)/N(U104)))</f>
        <v/>
      </c>
      <c r="X104" s="6" t="n">
        <v>0.334</v>
      </c>
      <c r="Y104" s="3" t="n">
        <v>0.0527</v>
      </c>
      <c r="Z104" t="inlineStr">
        <is>
          <t>adjusted xGOT</t>
        </is>
      </c>
      <c r="AA104" s="3" t="n">
        <v>1</v>
      </c>
      <c r="AB104" s="3" t="n">
        <v>0.791</v>
      </c>
      <c r="AC104" s="3" t="n">
        <v>8</v>
      </c>
      <c r="AD104" s="3" t="n">
        <v>0.1048</v>
      </c>
      <c r="AE104" s="3" t="n">
        <v>6.528</v>
      </c>
      <c r="AF104" s="3" t="n">
        <v>0.09850051054912889</v>
      </c>
      <c r="AG104" s="3" t="n">
        <v>7.534</v>
      </c>
      <c r="AH104" s="3" t="n">
        <v>0.2205215424</v>
      </c>
      <c r="AI104" s="3" t="n">
        <v>62</v>
      </c>
      <c r="AJ104" s="3" t="n">
        <v>2.2165</v>
      </c>
      <c r="AK104" s="3" t="n">
        <v>1.1467</v>
      </c>
      <c r="AL104" s="3" t="n">
        <v>-0.1822064962082101</v>
      </c>
      <c r="AM104" s="6" t="n">
        <v>0</v>
      </c>
      <c r="AN104" s="3" t="n">
        <v>0</v>
      </c>
      <c r="AO104" s="3" t="n">
        <v>0.3162</v>
      </c>
      <c r="AP104" s="3" t="n">
        <v>0.415008</v>
      </c>
      <c r="AQ104" s="3">
        <f>N(X104)*N(BJ104)</f>
        <v/>
      </c>
      <c r="AR104" s="3" t="n">
        <v>0</v>
      </c>
      <c r="AS104" s="3" t="n">
        <v>-0.348580685135232</v>
      </c>
      <c r="AT104" s="3" t="n">
        <v>-0.1822064962082101</v>
      </c>
      <c r="AU104" s="3">
        <f>SUM(AO104:AT104)</f>
        <v/>
      </c>
      <c r="AV104" s="7">
        <f>IF(OR(N(W104)&lt;=0,N(BH104)=0),0,N(W104)*IF(N(R104)/N(W104)&gt;=60,N(BH104),1))</f>
        <v/>
      </c>
      <c r="AW104" s="7">
        <f>N(W104)*N(AF104)*N(BI104)</f>
        <v/>
      </c>
      <c r="AX104" s="3">
        <f>IF(N(BH104)=0,0,N(W104)*N(AH104))</f>
        <v/>
      </c>
      <c r="AY104" s="7">
        <f>N(AM104)*(Assumptions!$B$13*N(BK104)-(1-Assumptions!$B$13)*Assumptions!$B$14)+N(AN104)</f>
        <v/>
      </c>
      <c r="AZ104" s="7">
        <f>N(AU104)*N(R104)/90+N(AV104)+N(AW104)+N(AX104)+N(AY104)</f>
        <v/>
      </c>
      <c r="BA104" s="3">
        <f>IF(N(R104)&lt;=0,0,(N(AZ104)-N(AY104))*90/N(R104))</f>
        <v/>
      </c>
      <c r="BB104" s="7">
        <f>IFERROR(AZ104-VLOOKUP($E104,Assumptions!$A$40:$C$43,3,FALSE),"")</f>
        <v/>
      </c>
      <c r="BC104" s="3">
        <f>IFERROR(BB104/H104,"")</f>
        <v/>
      </c>
      <c r="BD104">
        <f>IF(AND($G104=TRUE,$E104="GKP"),AZ104,"")</f>
        <v/>
      </c>
      <c r="BE104">
        <f>IF(AND($G104=TRUE,$E104="DEF"),AZ104,"")</f>
        <v/>
      </c>
      <c r="BF104">
        <f>IF(AND($G104=TRUE,$E104="MID"),AZ104,"")</f>
        <v/>
      </c>
      <c r="BG104">
        <f>IF(AND($G104=TRUE,$E104="FWD"),AZ104,"")</f>
        <v/>
      </c>
      <c r="BH104" t="n">
        <v>2</v>
      </c>
      <c r="BI104" t="n">
        <v>2</v>
      </c>
      <c r="BJ104" t="n">
        <v>4</v>
      </c>
      <c r="BK104" t="n">
        <v>6</v>
      </c>
    </row>
    <row r="105">
      <c r="A105" t="inlineStr">
        <is>
          <t>Trai Hume</t>
        </is>
      </c>
      <c r="B105" t="inlineStr">
        <is>
          <t>SUN</t>
        </is>
      </c>
      <c r="C105" t="inlineStr">
        <is>
          <t>SUN</t>
        </is>
      </c>
      <c r="D105" t="b">
        <v>0</v>
      </c>
      <c r="E105" t="inlineStr">
        <is>
          <t>DEF</t>
        </is>
      </c>
      <c r="F105" t="inlineStr">
        <is>
          <t>DEF</t>
        </is>
      </c>
      <c r="G105" t="b">
        <v>1</v>
      </c>
      <c r="H105" s="2" t="n">
        <v>4.5</v>
      </c>
      <c r="I105" t="inlineStr">
        <is>
          <t>a</t>
        </is>
      </c>
      <c r="K105" s="2" t="n">
        <v>3032</v>
      </c>
      <c r="L105" t="n">
        <v>110</v>
      </c>
      <c r="M105" s="3" t="n">
        <v>2668</v>
      </c>
      <c r="N105" s="4" t="n">
        <v>2950</v>
      </c>
      <c r="O105" s="4" t="n">
        <v>282</v>
      </c>
      <c r="P105" s="5" t="inlineStr">
        <is>
          <t>medium</t>
        </is>
      </c>
      <c r="Q105" t="inlineStr">
        <is>
          <t>flat</t>
        </is>
      </c>
      <c r="R105" s="6" t="n">
        <v>2950</v>
      </c>
      <c r="S105" t="inlineStr">
        <is>
          <t>research</t>
        </is>
      </c>
      <c r="T105" s="5" t="inlineStr">
        <is>
          <t>Solio drops Hume to 2,668 from the 3,032 he actually played in 2025/26, which implies he loses ground. The evidence points the other way: he started the final pre-season friendly at right-back and scored, and his only direct competition is 34-year-old free signing Thomas Meunier, who was withdrawn at half-time on his debut against Lens. Modest upward move rather than a large one, because the 11 Aug preview did have Meunier starting at right-back with Hume moved forward, so the position is not fully settled.</t>
        </is>
      </c>
      <c r="U105" s="6" t="n">
        <v>86.5</v>
      </c>
      <c r="V105" s="2" t="n">
        <v>34</v>
      </c>
      <c r="W105" s="7">
        <f>IF(N(U105)&lt;=0,0,MIN(Assumptions!$B$15,N(R105)/N(U105)))</f>
        <v/>
      </c>
      <c r="X105" s="6" t="n">
        <v>0.204</v>
      </c>
      <c r="Y105" s="3" t="n">
        <v>0.0669</v>
      </c>
      <c r="Z105" t="inlineStr">
        <is>
          <t>adjusted xGOT</t>
        </is>
      </c>
      <c r="AA105" s="3" t="n">
        <v>1</v>
      </c>
      <c r="AB105" s="3" t="n">
        <v>0.993</v>
      </c>
      <c r="AC105" s="3" t="n">
        <v>2.3</v>
      </c>
      <c r="AD105" s="3" t="n">
        <v>0.0614</v>
      </c>
      <c r="AE105" s="3" t="n">
        <v>6.344</v>
      </c>
      <c r="AF105" s="3" t="n">
        <v>0.09078408556180839</v>
      </c>
      <c r="AG105" s="3" t="n">
        <v>6.511</v>
      </c>
      <c r="AH105" s="3" t="n">
        <v>0.1338380431</v>
      </c>
      <c r="AI105" s="3" t="n">
        <v>70</v>
      </c>
      <c r="AJ105" s="3" t="n">
        <v>3.3348</v>
      </c>
      <c r="AK105" s="3" t="n">
        <v>1.6498</v>
      </c>
      <c r="AL105" s="3" t="n">
        <v>-0.261356914364491</v>
      </c>
      <c r="AM105" s="6" t="n">
        <v>0</v>
      </c>
      <c r="AN105" s="3" t="n">
        <v>0</v>
      </c>
      <c r="AO105" s="3" t="n">
        <v>0.4014</v>
      </c>
      <c r="AP105" s="3" t="n">
        <v>0.243144</v>
      </c>
      <c r="AQ105" s="3">
        <f>N(X105)*N(BJ105)</f>
        <v/>
      </c>
      <c r="AR105" s="3" t="n">
        <v>0</v>
      </c>
      <c r="AS105" s="3" t="n">
        <v>-0.5841244809045405</v>
      </c>
      <c r="AT105" s="3" t="n">
        <v>-0.261356914364491</v>
      </c>
      <c r="AU105" s="3">
        <f>SUM(AO105:AT105)</f>
        <v/>
      </c>
      <c r="AV105" s="7">
        <f>IF(OR(N(W105)&lt;=0,N(BH105)=0),0,N(W105)*IF(N(R105)/N(W105)&gt;=60,N(BH105),1))</f>
        <v/>
      </c>
      <c r="AW105" s="7">
        <f>N(W105)*N(AF105)*N(BI105)</f>
        <v/>
      </c>
      <c r="AX105" s="3">
        <f>IF(N(BH105)=0,0,N(W105)*N(AH105))</f>
        <v/>
      </c>
      <c r="AY105" s="7">
        <f>N(AM105)*(Assumptions!$B$13*N(BK105)-(1-Assumptions!$B$13)*Assumptions!$B$14)+N(AN105)</f>
        <v/>
      </c>
      <c r="AZ105" s="7">
        <f>N(AU105)*N(R105)/90+N(AV105)+N(AW105)+N(AX105)+N(AY105)</f>
        <v/>
      </c>
      <c r="BA105" s="3">
        <f>IF(N(R105)&lt;=0,0,(N(AZ105)-N(AY105))*90/N(R105))</f>
        <v/>
      </c>
      <c r="BB105" s="7">
        <f>IFERROR(AZ105-VLOOKUP($E105,Assumptions!$A$40:$C$43,3,FALSE),"")</f>
        <v/>
      </c>
      <c r="BC105" s="3">
        <f>IFERROR(BB105/H105,"")</f>
        <v/>
      </c>
      <c r="BD105">
        <f>IF(AND($G105=TRUE,$E105="GKP"),AZ105,"")</f>
        <v/>
      </c>
      <c r="BE105">
        <f>IF(AND($G105=TRUE,$E105="DEF"),AZ105,"")</f>
        <v/>
      </c>
      <c r="BF105">
        <f>IF(AND($G105=TRUE,$E105="MID"),AZ105,"")</f>
        <v/>
      </c>
      <c r="BG105">
        <f>IF(AND($G105=TRUE,$E105="FWD"),AZ105,"")</f>
        <v/>
      </c>
      <c r="BH105" t="n">
        <v>2</v>
      </c>
      <c r="BI105" t="n">
        <v>2</v>
      </c>
      <c r="BJ105" t="n">
        <v>4</v>
      </c>
      <c r="BK105" t="n">
        <v>6</v>
      </c>
    </row>
    <row r="106">
      <c r="A106" t="inlineStr">
        <is>
          <t>James Hill</t>
        </is>
      </c>
      <c r="B106" t="inlineStr">
        <is>
          <t>BOU</t>
        </is>
      </c>
      <c r="C106" t="inlineStr">
        <is>
          <t>BOU</t>
        </is>
      </c>
      <c r="D106" t="b">
        <v>0</v>
      </c>
      <c r="E106" t="inlineStr">
        <is>
          <t>DEF</t>
        </is>
      </c>
      <c r="F106" t="inlineStr">
        <is>
          <t>DEF</t>
        </is>
      </c>
      <c r="G106" t="b">
        <v>1</v>
      </c>
      <c r="H106" s="2" t="n">
        <v>5.5</v>
      </c>
      <c r="I106" t="inlineStr">
        <is>
          <t>a</t>
        </is>
      </c>
      <c r="K106" s="2" t="n">
        <v>2102</v>
      </c>
      <c r="L106" t="n">
        <v>110</v>
      </c>
      <c r="M106" s="3" t="n">
        <v>3340</v>
      </c>
      <c r="N106" s="4" t="n">
        <v>2700</v>
      </c>
      <c r="O106" s="4" t="n">
        <v>-640</v>
      </c>
      <c r="P106" s="5" t="inlineStr">
        <is>
          <t>low</t>
        </is>
      </c>
      <c r="Q106" t="inlineStr">
        <is>
          <t>flat</t>
        </is>
      </c>
      <c r="R106" s="6" t="n">
        <v>2700</v>
      </c>
      <c r="S106" t="inlineStr">
        <is>
          <t>research</t>
        </is>
      </c>
      <c r="T106" s="5" t="inlineStr">
        <is>
          <t>Hill did start both friendlies and remains a first-choice centre-back, so this is a trim rather than a demotion. Solio's 3340 is 98% of the position and reads as if Hill inherits Senesi's minutes wholesale; in fact Bournemouth spent c.GBP 25.7m on Antonio Silva and still have a fit Diakite, giving three senior centre-backs for two slots across a Premier League and Europa League double programme.</t>
        </is>
      </c>
      <c r="U106" s="6" t="n">
        <v>87.5</v>
      </c>
      <c r="V106" s="2" t="n">
        <v>22</v>
      </c>
      <c r="W106" s="7">
        <f>IF(N(U106)&lt;=0,0,MIN(Assumptions!$B$15,N(R106)/N(U106)))</f>
        <v/>
      </c>
      <c r="X106" s="6" t="n">
        <v>0.23</v>
      </c>
      <c r="Y106" s="3" t="n">
        <v>0.0345</v>
      </c>
      <c r="Z106" t="inlineStr">
        <is>
          <t>adjusted xGOT</t>
        </is>
      </c>
      <c r="AA106" s="3" t="n">
        <v>1</v>
      </c>
      <c r="AB106" s="3" t="n">
        <v>0.904</v>
      </c>
      <c r="AC106" s="3" t="n">
        <v>1.2</v>
      </c>
      <c r="AD106" s="3" t="n">
        <v>0.0554</v>
      </c>
      <c r="AE106" s="3" t="n">
        <v>10.253</v>
      </c>
      <c r="AF106" s="3" t="n">
        <v>0.5380848172178812</v>
      </c>
      <c r="AG106" s="3" t="n">
        <v>8.045999999999999</v>
      </c>
      <c r="AH106" s="3" t="n">
        <v>0.1680966624</v>
      </c>
      <c r="AI106" s="3" t="n">
        <v>52</v>
      </c>
      <c r="AJ106" s="3" t="n">
        <v>3.0957</v>
      </c>
      <c r="AK106" s="3" t="n">
        <v>1.53</v>
      </c>
      <c r="AL106" s="3" t="n">
        <v>-0.2213309023316314</v>
      </c>
      <c r="AM106" s="6" t="n">
        <v>0</v>
      </c>
      <c r="AN106" s="3" t="n">
        <v>0</v>
      </c>
      <c r="AO106" s="3" t="n">
        <v>0.207</v>
      </c>
      <c r="AP106" s="3" t="n">
        <v>0.219384</v>
      </c>
      <c r="AQ106" s="3">
        <f>N(X106)*N(BJ106)</f>
        <v/>
      </c>
      <c r="AR106" s="3" t="n">
        <v>0</v>
      </c>
      <c r="AS106" s="3" t="n">
        <v>-0.5267219238049191</v>
      </c>
      <c r="AT106" s="3" t="n">
        <v>-0.2213309023316314</v>
      </c>
      <c r="AU106" s="3">
        <f>SUM(AO106:AT106)</f>
        <v/>
      </c>
      <c r="AV106" s="7">
        <f>IF(OR(N(W106)&lt;=0,N(BH106)=0),0,N(W106)*IF(N(R106)/N(W106)&gt;=60,N(BH106),1))</f>
        <v/>
      </c>
      <c r="AW106" s="7">
        <f>N(W106)*N(AF106)*N(BI106)</f>
        <v/>
      </c>
      <c r="AX106" s="3">
        <f>IF(N(BH106)=0,0,N(W106)*N(AH106))</f>
        <v/>
      </c>
      <c r="AY106" s="7">
        <f>N(AM106)*(Assumptions!$B$13*N(BK106)-(1-Assumptions!$B$13)*Assumptions!$B$14)+N(AN106)</f>
        <v/>
      </c>
      <c r="AZ106" s="7">
        <f>N(AU106)*N(R106)/90+N(AV106)+N(AW106)+N(AX106)+N(AY106)</f>
        <v/>
      </c>
      <c r="BA106" s="3">
        <f>IF(N(R106)&lt;=0,0,(N(AZ106)-N(AY106))*90/N(R106))</f>
        <v/>
      </c>
      <c r="BB106" s="7">
        <f>IFERROR(AZ106-VLOOKUP($E106,Assumptions!$A$40:$C$43,3,FALSE),"")</f>
        <v/>
      </c>
      <c r="BC106" s="3">
        <f>IFERROR(BB106/H106,"")</f>
        <v/>
      </c>
      <c r="BD106">
        <f>IF(AND($G106=TRUE,$E106="GKP"),AZ106,"")</f>
        <v/>
      </c>
      <c r="BE106">
        <f>IF(AND($G106=TRUE,$E106="DEF"),AZ106,"")</f>
        <v/>
      </c>
      <c r="BF106">
        <f>IF(AND($G106=TRUE,$E106="MID"),AZ106,"")</f>
        <v/>
      </c>
      <c r="BG106">
        <f>IF(AND($G106=TRUE,$E106="FWD"),AZ106,"")</f>
        <v/>
      </c>
      <c r="BH106" t="n">
        <v>2</v>
      </c>
      <c r="BI106" t="n">
        <v>2</v>
      </c>
      <c r="BJ106" t="n">
        <v>4</v>
      </c>
      <c r="BK106" t="n">
        <v>6</v>
      </c>
    </row>
    <row r="107">
      <c r="A107" t="inlineStr">
        <is>
          <t>Moisés Caicedo</t>
        </is>
      </c>
      <c r="B107" t="inlineStr">
        <is>
          <t>CHE</t>
        </is>
      </c>
      <c r="C107" t="inlineStr">
        <is>
          <t>CHE</t>
        </is>
      </c>
      <c r="D107" t="b">
        <v>0</v>
      </c>
      <c r="E107" t="inlineStr">
        <is>
          <t>MID</t>
        </is>
      </c>
      <c r="F107" t="inlineStr">
        <is>
          <t>MID</t>
        </is>
      </c>
      <c r="G107" t="b">
        <v>1</v>
      </c>
      <c r="H107" s="2" t="n">
        <v>5.5</v>
      </c>
      <c r="I107" t="inlineStr">
        <is>
          <t>a</t>
        </is>
      </c>
      <c r="K107" s="2" t="n">
        <v>2796</v>
      </c>
      <c r="L107" t="n">
        <v>110</v>
      </c>
      <c r="M107" s="3" t="n">
        <v>3089</v>
      </c>
      <c r="N107" s="8" t="n">
        <v>3089</v>
      </c>
      <c r="O107" s="8" t="n">
        <v>0</v>
      </c>
      <c r="Q107" t="inlineStr">
        <is>
          <t>flat</t>
        </is>
      </c>
      <c r="R107" s="6" t="n">
        <v>3089</v>
      </c>
      <c r="S107" t="inlineStr">
        <is>
          <t>Solio</t>
        </is>
      </c>
      <c r="U107" s="6" t="n">
        <v>85.7</v>
      </c>
      <c r="V107" s="2" t="n">
        <v>31</v>
      </c>
      <c r="W107" s="7">
        <f>IF(N(U107)&lt;=0,0,MIN(Assumptions!$B$15,N(R107)/N(U107)))</f>
        <v/>
      </c>
      <c r="X107" s="6" t="n">
        <v>0.322</v>
      </c>
      <c r="Y107" s="3" t="n">
        <v>0.0454</v>
      </c>
      <c r="Z107" t="inlineStr">
        <is>
          <t>adjusted xGOT</t>
        </is>
      </c>
      <c r="AA107" s="3" t="n">
        <v>1</v>
      </c>
      <c r="AB107" s="3" t="n">
        <v>0.972</v>
      </c>
      <c r="AC107" s="3" t="n">
        <v>4.4</v>
      </c>
      <c r="AD107" s="3" t="n">
        <v>0.0806</v>
      </c>
      <c r="AE107" s="3" t="n">
        <v>11.125</v>
      </c>
      <c r="AF107" s="3" t="n">
        <v>0.3723262721167817</v>
      </c>
      <c r="AG107" s="3" t="n">
        <v>10.45</v>
      </c>
      <c r="AH107" s="3" t="n">
        <v>0.1792092645</v>
      </c>
      <c r="AI107" s="3" t="n">
        <v>64</v>
      </c>
      <c r="AJ107" s="3" t="n">
        <v>2.4232</v>
      </c>
      <c r="AK107" s="3" t="n">
        <v>1.1851</v>
      </c>
      <c r="AL107" s="3" t="n">
        <v>-0.3233128195628788</v>
      </c>
      <c r="AM107" s="6" t="n">
        <v>0</v>
      </c>
      <c r="AN107" s="3" t="n">
        <v>0</v>
      </c>
      <c r="AO107" s="3" t="n">
        <v>0.227</v>
      </c>
      <c r="AP107" s="3" t="n">
        <v>0.319176</v>
      </c>
      <c r="AQ107" s="3">
        <f>N(X107)*N(BJ107)</f>
        <v/>
      </c>
      <c r="AR107" s="3" t="n">
        <v>0</v>
      </c>
      <c r="AS107" s="3" t="n">
        <v>-0</v>
      </c>
      <c r="AT107" s="3" t="n">
        <v>-0.3233128195628788</v>
      </c>
      <c r="AU107" s="3">
        <f>SUM(AO107:AT107)</f>
        <v/>
      </c>
      <c r="AV107" s="7">
        <f>IF(OR(N(W107)&lt;=0,N(BH107)=0),0,N(W107)*IF(N(R107)/N(W107)&gt;=60,N(BH107),1))</f>
        <v/>
      </c>
      <c r="AW107" s="7">
        <f>N(W107)*N(AF107)*N(BI107)</f>
        <v/>
      </c>
      <c r="AX107" s="3">
        <f>IF(N(BH107)=0,0,N(W107)*N(AH107))</f>
        <v/>
      </c>
      <c r="AY107" s="7">
        <f>N(AM107)*(Assumptions!$B$13*N(BK107)-(1-Assumptions!$B$13)*Assumptions!$B$14)+N(AN107)</f>
        <v/>
      </c>
      <c r="AZ107" s="7">
        <f>N(AU107)*N(R107)/90+N(AV107)+N(AW107)+N(AX107)+N(AY107)</f>
        <v/>
      </c>
      <c r="BA107" s="3">
        <f>IF(N(R107)&lt;=0,0,(N(AZ107)-N(AY107))*90/N(R107))</f>
        <v/>
      </c>
      <c r="BB107" s="7">
        <f>IFERROR(AZ107-VLOOKUP($E107,Assumptions!$A$40:$C$43,3,FALSE),"")</f>
        <v/>
      </c>
      <c r="BC107" s="3">
        <f>IFERROR(BB107/H107,"")</f>
        <v/>
      </c>
      <c r="BD107">
        <f>IF(AND($G107=TRUE,$E107="GKP"),AZ107,"")</f>
        <v/>
      </c>
      <c r="BE107">
        <f>IF(AND($G107=TRUE,$E107="DEF"),AZ107,"")</f>
        <v/>
      </c>
      <c r="BF107">
        <f>IF(AND($G107=TRUE,$E107="MID"),AZ107,"")</f>
        <v/>
      </c>
      <c r="BG107">
        <f>IF(AND($G107=TRUE,$E107="FWD"),AZ107,"")</f>
        <v/>
      </c>
      <c r="BH107" t="n">
        <v>2</v>
      </c>
      <c r="BI107" t="n">
        <v>2</v>
      </c>
      <c r="BJ107" t="n">
        <v>1</v>
      </c>
      <c r="BK107" t="n">
        <v>5</v>
      </c>
    </row>
    <row r="108">
      <c r="A108" t="inlineStr">
        <is>
          <t>Senne Lammens</t>
        </is>
      </c>
      <c r="B108" t="inlineStr">
        <is>
          <t>MUN</t>
        </is>
      </c>
      <c r="C108" t="inlineStr">
        <is>
          <t>MUN</t>
        </is>
      </c>
      <c r="D108" t="b">
        <v>0</v>
      </c>
      <c r="E108" t="inlineStr">
        <is>
          <t>GKP</t>
        </is>
      </c>
      <c r="F108" t="inlineStr">
        <is>
          <t>GKP</t>
        </is>
      </c>
      <c r="G108" t="b">
        <v>1</v>
      </c>
      <c r="H108" s="2" t="n">
        <v>5</v>
      </c>
      <c r="I108" t="inlineStr">
        <is>
          <t>a</t>
        </is>
      </c>
      <c r="K108" s="2" t="n">
        <v>2880</v>
      </c>
      <c r="L108" t="n">
        <v>109</v>
      </c>
      <c r="M108" s="3" t="n">
        <v>3385</v>
      </c>
      <c r="N108" s="8" t="n">
        <v>3385</v>
      </c>
      <c r="O108" s="8" t="n">
        <v>0</v>
      </c>
      <c r="Q108" t="inlineStr">
        <is>
          <t>flat</t>
        </is>
      </c>
      <c r="R108" s="6" t="n">
        <v>3385</v>
      </c>
      <c r="S108" t="inlineStr">
        <is>
          <t>Solio</t>
        </is>
      </c>
      <c r="U108" s="6" t="n">
        <v>90</v>
      </c>
      <c r="V108" s="2" t="n">
        <v>32</v>
      </c>
      <c r="W108" s="7">
        <f>IF(N(U108)&lt;=0,0,MIN(Assumptions!$B$15,N(R108)/N(U108)))</f>
        <v/>
      </c>
      <c r="X108" s="6" t="n">
        <v>0.334</v>
      </c>
      <c r="Y108" s="3" t="n">
        <v>0</v>
      </c>
      <c r="Z108" t="inlineStr">
        <is>
          <t>blended xG</t>
        </is>
      </c>
      <c r="AA108" s="3" t="n">
        <v>1</v>
      </c>
      <c r="AB108" s="3" t="n">
        <v>1</v>
      </c>
      <c r="AC108" s="3" t="n">
        <v>0</v>
      </c>
      <c r="AD108" s="3" t="n">
        <v>0</v>
      </c>
      <c r="AE108" s="3" t="n">
        <v>0</v>
      </c>
      <c r="AF108" s="3" t="n">
        <v>0</v>
      </c>
      <c r="AG108" s="3" t="n">
        <v>4.631</v>
      </c>
      <c r="AH108" s="3" t="n">
        <v>0.1295522048</v>
      </c>
      <c r="AI108" s="3" t="n">
        <v>64</v>
      </c>
      <c r="AJ108" s="3" t="n">
        <v>2.2165</v>
      </c>
      <c r="AK108" s="3" t="n">
        <v>1.1467</v>
      </c>
      <c r="AL108" s="3" t="n">
        <v>-0.0274143848760321</v>
      </c>
      <c r="AM108" s="6" t="n">
        <v>0</v>
      </c>
      <c r="AN108" s="3" t="n">
        <v>2.423011666671952</v>
      </c>
      <c r="AO108" s="3" t="n">
        <v>0</v>
      </c>
      <c r="AP108" s="3" t="n">
        <v>0</v>
      </c>
      <c r="AQ108" s="3">
        <f>N(X108)*N(BJ108)</f>
        <v/>
      </c>
      <c r="AR108" s="3" t="n">
        <v>0.407909225741714</v>
      </c>
      <c r="AS108" s="3" t="n">
        <v>-0.348580685135232</v>
      </c>
      <c r="AT108" s="3" t="n">
        <v>-0.0274143848760321</v>
      </c>
      <c r="AU108" s="3">
        <f>SUM(AO108:AT108)</f>
        <v/>
      </c>
      <c r="AV108" s="7">
        <f>IF(OR(N(W108)&lt;=0,N(BH108)=0),0,N(W108)*IF(N(R108)/N(W108)&gt;=60,N(BH108),1))</f>
        <v/>
      </c>
      <c r="AW108" s="7">
        <f>N(W108)*N(AF108)*N(BI108)</f>
        <v/>
      </c>
      <c r="AX108" s="3">
        <f>IF(N(BH108)=0,0,N(W108)*N(AH108))</f>
        <v/>
      </c>
      <c r="AY108" s="7">
        <f>N(AM108)*(Assumptions!$B$13*N(BK108)-(1-Assumptions!$B$13)*Assumptions!$B$14)+N(AN108)</f>
        <v/>
      </c>
      <c r="AZ108" s="7">
        <f>N(AU108)*N(R108)/90+N(AV108)+N(AW108)+N(AX108)+N(AY108)</f>
        <v/>
      </c>
      <c r="BA108" s="3">
        <f>IF(N(R108)&lt;=0,0,(N(AZ108)-N(AY108))*90/N(R108))</f>
        <v/>
      </c>
      <c r="BB108" s="7">
        <f>IFERROR(AZ108-VLOOKUP($E108,Assumptions!$A$40:$C$43,3,FALSE),"")</f>
        <v/>
      </c>
      <c r="BC108" s="3">
        <f>IFERROR(BB108/H108,"")</f>
        <v/>
      </c>
      <c r="BD108">
        <f>IF(AND($G108=TRUE,$E108="GKP"),AZ108,"")</f>
        <v/>
      </c>
      <c r="BE108">
        <f>IF(AND($G108=TRUE,$E108="DEF"),AZ108,"")</f>
        <v/>
      </c>
      <c r="BF108">
        <f>IF(AND($G108=TRUE,$E108="MID"),AZ108,"")</f>
        <v/>
      </c>
      <c r="BG108">
        <f>IF(AND($G108=TRUE,$E108="FWD"),AZ108,"")</f>
        <v/>
      </c>
      <c r="BH108" t="n">
        <v>2</v>
      </c>
      <c r="BI108" t="n">
        <v>0</v>
      </c>
      <c r="BJ108" t="n">
        <v>4</v>
      </c>
      <c r="BK108" t="n">
        <v>10</v>
      </c>
    </row>
    <row r="109">
      <c r="A109" t="inlineStr">
        <is>
          <t>Joe Rodon</t>
        </is>
      </c>
      <c r="B109" t="inlineStr">
        <is>
          <t>LEE</t>
        </is>
      </c>
      <c r="C109" t="inlineStr">
        <is>
          <t>LEE</t>
        </is>
      </c>
      <c r="D109" t="b">
        <v>0</v>
      </c>
      <c r="E109" t="inlineStr">
        <is>
          <t>DEF</t>
        </is>
      </c>
      <c r="F109" t="inlineStr">
        <is>
          <t>DEF</t>
        </is>
      </c>
      <c r="G109" t="b">
        <v>1</v>
      </c>
      <c r="H109" s="2" t="n">
        <v>4.5</v>
      </c>
      <c r="I109" t="inlineStr">
        <is>
          <t>a</t>
        </is>
      </c>
      <c r="K109" s="2" t="n">
        <v>2952</v>
      </c>
      <c r="L109" t="n">
        <v>109</v>
      </c>
      <c r="M109" s="3" t="n">
        <v>3272</v>
      </c>
      <c r="N109" s="8" t="n">
        <v>3272</v>
      </c>
      <c r="O109" s="8" t="n">
        <v>0</v>
      </c>
      <c r="Q109" t="inlineStr">
        <is>
          <t>flat</t>
        </is>
      </c>
      <c r="R109" s="6" t="n">
        <v>3272</v>
      </c>
      <c r="S109" t="inlineStr">
        <is>
          <t>Solio</t>
        </is>
      </c>
      <c r="U109" s="6" t="n">
        <v>87.5</v>
      </c>
      <c r="V109" s="2" t="n">
        <v>33</v>
      </c>
      <c r="W109" s="7">
        <f>IF(N(U109)&lt;=0,0,MIN(Assumptions!$B$15,N(R109)/N(U109)))</f>
        <v/>
      </c>
      <c r="X109" s="6" t="n">
        <v>0.218</v>
      </c>
      <c r="Y109" s="3" t="n">
        <v>0.0477</v>
      </c>
      <c r="Z109" t="inlineStr">
        <is>
          <t>adjusted xGOT</t>
        </is>
      </c>
      <c r="AA109" s="3" t="n">
        <v>1</v>
      </c>
      <c r="AB109" s="3" t="n">
        <v>1.117</v>
      </c>
      <c r="AC109" s="3" t="n">
        <v>1.4</v>
      </c>
      <c r="AD109" s="3" t="n">
        <v>0.0156</v>
      </c>
      <c r="AE109" s="3" t="n">
        <v>8.223000000000001</v>
      </c>
      <c r="AF109" s="3" t="n">
        <v>0.282703885909951</v>
      </c>
      <c r="AG109" s="3" t="n">
        <v>7.705</v>
      </c>
      <c r="AH109" s="3" t="n">
        <v>0.1406439416</v>
      </c>
      <c r="AI109" s="3" t="n">
        <v>67</v>
      </c>
      <c r="AJ109" s="3" t="n">
        <v>3.0611</v>
      </c>
      <c r="AK109" s="3" t="n">
        <v>1.5875</v>
      </c>
      <c r="AL109" s="3" t="n">
        <v>-0.1427805549012233</v>
      </c>
      <c r="AM109" s="6" t="n">
        <v>0</v>
      </c>
      <c r="AN109" s="3" t="n">
        <v>0</v>
      </c>
      <c r="AO109" s="3" t="n">
        <v>0.2862</v>
      </c>
      <c r="AP109" s="3" t="n">
        <v>0.061776</v>
      </c>
      <c r="AQ109" s="3">
        <f>N(X109)*N(BJ109)</f>
        <v/>
      </c>
      <c r="AR109" s="3" t="n">
        <v>0</v>
      </c>
      <c r="AS109" s="3" t="n">
        <v>-0.5541985260210861</v>
      </c>
      <c r="AT109" s="3" t="n">
        <v>-0.1427805549012233</v>
      </c>
      <c r="AU109" s="3">
        <f>SUM(AO109:AT109)</f>
        <v/>
      </c>
      <c r="AV109" s="7">
        <f>IF(OR(N(W109)&lt;=0,N(BH109)=0),0,N(W109)*IF(N(R109)/N(W109)&gt;=60,N(BH109),1))</f>
        <v/>
      </c>
      <c r="AW109" s="7">
        <f>N(W109)*N(AF109)*N(BI109)</f>
        <v/>
      </c>
      <c r="AX109" s="3">
        <f>IF(N(BH109)=0,0,N(W109)*N(AH109))</f>
        <v/>
      </c>
      <c r="AY109" s="7">
        <f>N(AM109)*(Assumptions!$B$13*N(BK109)-(1-Assumptions!$B$13)*Assumptions!$B$14)+N(AN109)</f>
        <v/>
      </c>
      <c r="AZ109" s="7">
        <f>N(AU109)*N(R109)/90+N(AV109)+N(AW109)+N(AX109)+N(AY109)</f>
        <v/>
      </c>
      <c r="BA109" s="3">
        <f>IF(N(R109)&lt;=0,0,(N(AZ109)-N(AY109))*90/N(R109))</f>
        <v/>
      </c>
      <c r="BB109" s="7">
        <f>IFERROR(AZ109-VLOOKUP($E109,Assumptions!$A$40:$C$43,3,FALSE),"")</f>
        <v/>
      </c>
      <c r="BC109" s="3">
        <f>IFERROR(BB109/H109,"")</f>
        <v/>
      </c>
      <c r="BD109">
        <f>IF(AND($G109=TRUE,$E109="GKP"),AZ109,"")</f>
        <v/>
      </c>
      <c r="BE109">
        <f>IF(AND($G109=TRUE,$E109="DEF"),AZ109,"")</f>
        <v/>
      </c>
      <c r="BF109">
        <f>IF(AND($G109=TRUE,$E109="MID"),AZ109,"")</f>
        <v/>
      </c>
      <c r="BG109">
        <f>IF(AND($G109=TRUE,$E109="FWD"),AZ109,"")</f>
        <v/>
      </c>
      <c r="BH109" t="n">
        <v>2</v>
      </c>
      <c r="BI109" t="n">
        <v>2</v>
      </c>
      <c r="BJ109" t="n">
        <v>4</v>
      </c>
      <c r="BK109" t="n">
        <v>6</v>
      </c>
    </row>
    <row r="110">
      <c r="A110" t="inlineStr">
        <is>
          <t>Noah Okafor</t>
        </is>
      </c>
      <c r="B110" t="inlineStr">
        <is>
          <t>LEE</t>
        </is>
      </c>
      <c r="C110" t="inlineStr">
        <is>
          <t>LEE</t>
        </is>
      </c>
      <c r="D110" t="b">
        <v>0</v>
      </c>
      <c r="E110" t="inlineStr">
        <is>
          <t>MID</t>
        </is>
      </c>
      <c r="F110" t="inlineStr">
        <is>
          <t>MID</t>
        </is>
      </c>
      <c r="G110" t="b">
        <v>1</v>
      </c>
      <c r="H110" s="2" t="n">
        <v>6</v>
      </c>
      <c r="I110" t="inlineStr">
        <is>
          <t>a</t>
        </is>
      </c>
      <c r="K110" s="2" t="n">
        <v>1553</v>
      </c>
      <c r="L110" t="n">
        <v>109</v>
      </c>
      <c r="M110" s="3" t="n">
        <v>2229</v>
      </c>
      <c r="N110" s="4" t="n">
        <v>1900</v>
      </c>
      <c r="O110" s="4" t="n">
        <v>-329</v>
      </c>
      <c r="P110" s="5" t="inlineStr">
        <is>
          <t>medium</t>
        </is>
      </c>
      <c r="Q110" t="inlineStr">
        <is>
          <t>flat</t>
        </is>
      </c>
      <c r="R110" s="6" t="n">
        <v>1900</v>
      </c>
      <c r="S110" t="inlineStr">
        <is>
          <t>research</t>
        </is>
      </c>
      <c r="T110" s="5" t="inlineStr">
        <is>
          <t>Fitness deficit at the start of the season. Okafor was given an extended summer break after Switzerland's run to the World Cup quarter-finals, reported back late, and got his first pre-season minutes as a half-time substitute on 12 Aug. Farke on 13 Aug: he 'needs time to be there at full fitness', 'it's important he has a proper pre-season' and 'a start at Nottingham comes too soon'. He came off the bench rather than starting the 15 Aug dress rehearsal. He also only managed 1553 minutes last season. The cut is modest because he should be the preferred option once fit.</t>
        </is>
      </c>
      <c r="U110" s="6" t="n">
        <v>74.59999999999999</v>
      </c>
      <c r="V110" s="2" t="n">
        <v>19</v>
      </c>
      <c r="W110" s="7">
        <f>IF(N(U110)&lt;=0,0,MIN(Assumptions!$B$15,N(R110)/N(U110)))</f>
        <v/>
      </c>
      <c r="X110" s="6" t="n">
        <v>0.218</v>
      </c>
      <c r="Y110" s="3" t="n">
        <v>0.3444</v>
      </c>
      <c r="Z110" t="inlineStr">
        <is>
          <t>adjusted xGOT</t>
        </is>
      </c>
      <c r="AA110" s="3" t="n">
        <v>1</v>
      </c>
      <c r="AB110" s="3" t="n">
        <v>1.132</v>
      </c>
      <c r="AC110" s="3" t="n">
        <v>5.2</v>
      </c>
      <c r="AD110" s="3" t="n">
        <v>0.1037</v>
      </c>
      <c r="AE110" s="3" t="n">
        <v>7.191</v>
      </c>
      <c r="AF110" s="3" t="n">
        <v>0.01921749739369616</v>
      </c>
      <c r="AG110" s="3" t="n">
        <v>4.033</v>
      </c>
      <c r="AH110" s="3" t="n">
        <v>0.4059500376</v>
      </c>
      <c r="AI110" s="3" t="n">
        <v>46</v>
      </c>
      <c r="AJ110" s="3" t="n">
        <v>3.0611</v>
      </c>
      <c r="AK110" s="3" t="n">
        <v>1.5875</v>
      </c>
      <c r="AL110" s="3" t="n">
        <v>-0.2027852452278596</v>
      </c>
      <c r="AM110" s="6" t="n">
        <v>0</v>
      </c>
      <c r="AN110" s="3" t="n">
        <v>0</v>
      </c>
      <c r="AO110" s="3" t="n">
        <v>1.722</v>
      </c>
      <c r="AP110" s="3" t="n">
        <v>0.410652</v>
      </c>
      <c r="AQ110" s="3">
        <f>N(X110)*N(BJ110)</f>
        <v/>
      </c>
      <c r="AR110" s="3" t="n">
        <v>0</v>
      </c>
      <c r="AS110" s="3" t="n">
        <v>-0</v>
      </c>
      <c r="AT110" s="3" t="n">
        <v>-0.2027852452278596</v>
      </c>
      <c r="AU110" s="3">
        <f>SUM(AO110:AT110)</f>
        <v/>
      </c>
      <c r="AV110" s="7">
        <f>IF(OR(N(W110)&lt;=0,N(BH110)=0),0,N(W110)*IF(N(R110)/N(W110)&gt;=60,N(BH110),1))</f>
        <v/>
      </c>
      <c r="AW110" s="7">
        <f>N(W110)*N(AF110)*N(BI110)</f>
        <v/>
      </c>
      <c r="AX110" s="3">
        <f>IF(N(BH110)=0,0,N(W110)*N(AH110))</f>
        <v/>
      </c>
      <c r="AY110" s="7">
        <f>N(AM110)*(Assumptions!$B$13*N(BK110)-(1-Assumptions!$B$13)*Assumptions!$B$14)+N(AN110)</f>
        <v/>
      </c>
      <c r="AZ110" s="7">
        <f>N(AU110)*N(R110)/90+N(AV110)+N(AW110)+N(AX110)+N(AY110)</f>
        <v/>
      </c>
      <c r="BA110" s="3">
        <f>IF(N(R110)&lt;=0,0,(N(AZ110)-N(AY110))*90/N(R110))</f>
        <v/>
      </c>
      <c r="BB110" s="7">
        <f>IFERROR(AZ110-VLOOKUP($E110,Assumptions!$A$40:$C$43,3,FALSE),"")</f>
        <v/>
      </c>
      <c r="BC110" s="3">
        <f>IFERROR(BB110/H110,"")</f>
        <v/>
      </c>
      <c r="BD110">
        <f>IF(AND($G110=TRUE,$E110="GKP"),AZ110,"")</f>
        <v/>
      </c>
      <c r="BE110">
        <f>IF(AND($G110=TRUE,$E110="DEF"),AZ110,"")</f>
        <v/>
      </c>
      <c r="BF110">
        <f>IF(AND($G110=TRUE,$E110="MID"),AZ110,"")</f>
        <v/>
      </c>
      <c r="BG110">
        <f>IF(AND($G110=TRUE,$E110="FWD"),AZ110,"")</f>
        <v/>
      </c>
      <c r="BH110" t="n">
        <v>2</v>
      </c>
      <c r="BI110" t="n">
        <v>2</v>
      </c>
      <c r="BJ110" t="n">
        <v>1</v>
      </c>
      <c r="BK110" t="n">
        <v>5</v>
      </c>
    </row>
    <row r="111">
      <c r="A111" t="inlineStr">
        <is>
          <t>Riccardo Calafiori</t>
        </is>
      </c>
      <c r="B111" t="inlineStr">
        <is>
          <t>ARS</t>
        </is>
      </c>
      <c r="C111" t="inlineStr">
        <is>
          <t>ARS</t>
        </is>
      </c>
      <c r="D111" t="b">
        <v>0</v>
      </c>
      <c r="E111" t="inlineStr">
        <is>
          <t>DEF</t>
        </is>
      </c>
      <c r="F111" t="inlineStr">
        <is>
          <t>DEF</t>
        </is>
      </c>
      <c r="G111" t="b">
        <v>1</v>
      </c>
      <c r="H111" s="2" t="n">
        <v>5.5</v>
      </c>
      <c r="I111" t="inlineStr">
        <is>
          <t>a</t>
        </is>
      </c>
      <c r="K111" s="2" t="n">
        <v>1697</v>
      </c>
      <c r="L111" t="n">
        <v>109</v>
      </c>
      <c r="M111" s="3" t="n">
        <v>2371</v>
      </c>
      <c r="N111" s="8" t="n">
        <v>2371</v>
      </c>
      <c r="O111" s="8" t="n">
        <v>0</v>
      </c>
      <c r="Q111" t="inlineStr">
        <is>
          <t>flat</t>
        </is>
      </c>
      <c r="R111" s="6" t="n">
        <v>2371</v>
      </c>
      <c r="S111" t="inlineStr">
        <is>
          <t>Solio</t>
        </is>
      </c>
      <c r="U111" s="6" t="n">
        <v>78.2</v>
      </c>
      <c r="V111" s="2" t="n">
        <v>22</v>
      </c>
      <c r="W111" s="7">
        <f>IF(N(U111)&lt;=0,0,MIN(Assumptions!$B$15,N(R111)/N(U111)))</f>
        <v/>
      </c>
      <c r="X111" s="6" t="n">
        <v>0.391</v>
      </c>
      <c r="Y111" s="3" t="n">
        <v>0.1779</v>
      </c>
      <c r="Z111" t="inlineStr">
        <is>
          <t>adjusted xGOT</t>
        </is>
      </c>
      <c r="AA111" s="3" t="n">
        <v>1</v>
      </c>
      <c r="AB111" s="3" t="n">
        <v>0.998</v>
      </c>
      <c r="AC111" s="3" t="n">
        <v>4.2</v>
      </c>
      <c r="AD111" s="3" t="n">
        <v>0.0373</v>
      </c>
      <c r="AE111" s="3" t="n">
        <v>6.087</v>
      </c>
      <c r="AF111" s="3" t="n">
        <v>0.04355561627628191</v>
      </c>
      <c r="AG111" s="3" t="n">
        <v>6.163</v>
      </c>
      <c r="AH111" s="3" t="n">
        <v>0.258734632</v>
      </c>
      <c r="AI111" s="3" t="n">
        <v>45</v>
      </c>
      <c r="AJ111" s="3" t="n">
        <v>2.067</v>
      </c>
      <c r="AK111" s="3" t="n">
        <v>0.9838</v>
      </c>
      <c r="AL111" s="3" t="n">
        <v>-0.2709401666718413</v>
      </c>
      <c r="AM111" s="6" t="n">
        <v>0</v>
      </c>
      <c r="AN111" s="3" t="n">
        <v>0</v>
      </c>
      <c r="AO111" s="3" t="n">
        <v>1.0674</v>
      </c>
      <c r="AP111" s="3" t="n">
        <v>0.147708</v>
      </c>
      <c r="AQ111" s="3">
        <f>N(X111)*N(BJ111)</f>
        <v/>
      </c>
      <c r="AR111" s="3" t="n">
        <v>0</v>
      </c>
      <c r="AS111" s="3" t="n">
        <v>-0.2768479886568037</v>
      </c>
      <c r="AT111" s="3" t="n">
        <v>-0.2709401666718413</v>
      </c>
      <c r="AU111" s="3">
        <f>SUM(AO111:AT111)</f>
        <v/>
      </c>
      <c r="AV111" s="7">
        <f>IF(OR(N(W111)&lt;=0,N(BH111)=0),0,N(W111)*IF(N(R111)/N(W111)&gt;=60,N(BH111),1))</f>
        <v/>
      </c>
      <c r="AW111" s="7">
        <f>N(W111)*N(AF111)*N(BI111)</f>
        <v/>
      </c>
      <c r="AX111" s="3">
        <f>IF(N(BH111)=0,0,N(W111)*N(AH111))</f>
        <v/>
      </c>
      <c r="AY111" s="7">
        <f>N(AM111)*(Assumptions!$B$13*N(BK111)-(1-Assumptions!$B$13)*Assumptions!$B$14)+N(AN111)</f>
        <v/>
      </c>
      <c r="AZ111" s="7">
        <f>N(AU111)*N(R111)/90+N(AV111)+N(AW111)+N(AX111)+N(AY111)</f>
        <v/>
      </c>
      <c r="BA111" s="3">
        <f>IF(N(R111)&lt;=0,0,(N(AZ111)-N(AY111))*90/N(R111))</f>
        <v/>
      </c>
      <c r="BB111" s="7">
        <f>IFERROR(AZ111-VLOOKUP($E111,Assumptions!$A$40:$C$43,3,FALSE),"")</f>
        <v/>
      </c>
      <c r="BC111" s="3">
        <f>IFERROR(BB111/H111,"")</f>
        <v/>
      </c>
      <c r="BD111">
        <f>IF(AND($G111=TRUE,$E111="GKP"),AZ111,"")</f>
        <v/>
      </c>
      <c r="BE111">
        <f>IF(AND($G111=TRUE,$E111="DEF"),AZ111,"")</f>
        <v/>
      </c>
      <c r="BF111">
        <f>IF(AND($G111=TRUE,$E111="MID"),AZ111,"")</f>
        <v/>
      </c>
      <c r="BG111">
        <f>IF(AND($G111=TRUE,$E111="FWD"),AZ111,"")</f>
        <v/>
      </c>
      <c r="BH111" t="n">
        <v>2</v>
      </c>
      <c r="BI111" t="n">
        <v>2</v>
      </c>
      <c r="BJ111" t="n">
        <v>4</v>
      </c>
      <c r="BK111" t="n">
        <v>6</v>
      </c>
    </row>
    <row r="112">
      <c r="A112" s="9" t="inlineStr">
        <is>
          <t>Pascal Struijk</t>
        </is>
      </c>
      <c r="B112" t="inlineStr">
        <is>
          <t>BHA</t>
        </is>
      </c>
      <c r="C112" s="9" t="inlineStr">
        <is>
          <t>LEE</t>
        </is>
      </c>
      <c r="D112" t="b">
        <v>1</v>
      </c>
      <c r="E112" t="inlineStr">
        <is>
          <t>DEF</t>
        </is>
      </c>
      <c r="F112" t="inlineStr">
        <is>
          <t>DEF</t>
        </is>
      </c>
      <c r="G112" t="b">
        <v>1</v>
      </c>
      <c r="H112" s="2" t="n">
        <v>5</v>
      </c>
      <c r="I112" t="inlineStr">
        <is>
          <t>a</t>
        </is>
      </c>
      <c r="K112" s="2" t="n">
        <v>2935</v>
      </c>
      <c r="L112" t="n">
        <v>108</v>
      </c>
      <c r="M112" s="3" t="n">
        <v>2548</v>
      </c>
      <c r="N112" s="4" t="n">
        <v>1600</v>
      </c>
      <c r="O112" s="4" t="n">
        <v>-948</v>
      </c>
      <c r="P112" s="5" t="inlineStr">
        <is>
          <t>medium</t>
        </is>
      </c>
      <c r="Q112" t="inlineStr">
        <is>
          <t>flat</t>
        </is>
      </c>
      <c r="R112" s="6" t="n">
        <v>1600</v>
      </c>
      <c r="S112" t="inlineStr">
        <is>
          <t>research</t>
        </is>
      </c>
      <c r="T112" s="5" t="inlineStr">
        <is>
          <t>Signed from Leeds on 30 Jun 2026, but appeared in neither August friendly while Vuskovic and Boscagli started both, and FPL added a 'Knock - 75% chance of playing' flag on 2026-08-15. Solio's 2548 is anchored to his 2935 minutes as a Leeds regular; at Brighton he is currently behind two other centre-backs and short of match sharpness. Left with a substantial allocation because five centre-backs across four competitions guarantees him minutes, and the knock is minor.</t>
        </is>
      </c>
      <c r="U112" s="6" t="n">
        <v>88</v>
      </c>
      <c r="V112" s="2" t="n">
        <v>33</v>
      </c>
      <c r="W112" s="7">
        <f>IF(N(U112)&lt;=0,0,MIN(Assumptions!$B$15,N(R112)/N(U112)))</f>
        <v/>
      </c>
      <c r="X112" s="6" t="n">
        <v>0.252</v>
      </c>
      <c r="Y112" s="10" t="n">
        <v>0.0877</v>
      </c>
      <c r="Z112" t="inlineStr">
        <is>
          <t>adjusted xGOT</t>
        </is>
      </c>
      <c r="AA112" s="3" t="n">
        <v>1</v>
      </c>
      <c r="AB112" s="3" t="n">
        <v>0.9350000000000001</v>
      </c>
      <c r="AC112" s="3" t="n">
        <v>4.4</v>
      </c>
      <c r="AD112" s="10" t="n">
        <v>0.0284</v>
      </c>
      <c r="AE112" s="3" t="n">
        <v>8.827</v>
      </c>
      <c r="AF112" s="3" t="n">
        <v>0.3640784637222881</v>
      </c>
      <c r="AG112" s="3" t="n">
        <v>8.456</v>
      </c>
      <c r="AH112" s="3" t="n">
        <v>0.2273647295</v>
      </c>
      <c r="AI112" s="3" t="n">
        <v>66</v>
      </c>
      <c r="AJ112" s="3" t="n">
        <v>2.8404</v>
      </c>
      <c r="AK112" s="3" t="n">
        <v>1.439</v>
      </c>
      <c r="AL112" s="3" t="n">
        <v>-0.1843958430388362</v>
      </c>
      <c r="AM112" s="6" t="n">
        <v>0</v>
      </c>
      <c r="AN112" s="3" t="n">
        <v>0</v>
      </c>
      <c r="AO112" s="10" t="n">
        <v>0.5262</v>
      </c>
      <c r="AP112" s="10" t="n">
        <v>0.112464</v>
      </c>
      <c r="AQ112" s="3">
        <f>N(X112)*N(BJ112)</f>
        <v/>
      </c>
      <c r="AR112" s="3" t="n">
        <v>0</v>
      </c>
      <c r="AS112" s="3" t="n">
        <v>-0.4835617861760246</v>
      </c>
      <c r="AT112" s="3" t="n">
        <v>-0.1843958430388362</v>
      </c>
      <c r="AU112" s="3">
        <f>SUM(AO112:AT112)</f>
        <v/>
      </c>
      <c r="AV112" s="7">
        <f>IF(OR(N(W112)&lt;=0,N(BH112)=0),0,N(W112)*IF(N(R112)/N(W112)&gt;=60,N(BH112),1))</f>
        <v/>
      </c>
      <c r="AW112" s="7">
        <f>N(W112)*N(AF112)*N(BI112)</f>
        <v/>
      </c>
      <c r="AX112" s="3">
        <f>IF(N(BH112)=0,0,N(W112)*N(AH112))</f>
        <v/>
      </c>
      <c r="AY112" s="7">
        <f>N(AM112)*(Assumptions!$B$13*N(BK112)-(1-Assumptions!$B$13)*Assumptions!$B$14)+N(AN112)</f>
        <v/>
      </c>
      <c r="AZ112" s="7">
        <f>N(AU112)*N(R112)/90+N(AV112)+N(AW112)+N(AX112)+N(AY112)</f>
        <v/>
      </c>
      <c r="BA112" s="3">
        <f>IF(N(R112)&lt;=0,0,(N(AZ112)-N(AY112))*90/N(R112))</f>
        <v/>
      </c>
      <c r="BB112" s="7">
        <f>IFERROR(AZ112-VLOOKUP($E112,Assumptions!$A$40:$C$43,3,FALSE),"")</f>
        <v/>
      </c>
      <c r="BC112" s="3">
        <f>IFERROR(BB112/H112,"")</f>
        <v/>
      </c>
      <c r="BD112">
        <f>IF(AND($G112=TRUE,$E112="GKP"),AZ112,"")</f>
        <v/>
      </c>
      <c r="BE112">
        <f>IF(AND($G112=TRUE,$E112="DEF"),AZ112,"")</f>
        <v/>
      </c>
      <c r="BF112">
        <f>IF(AND($G112=TRUE,$E112="MID"),AZ112,"")</f>
        <v/>
      </c>
      <c r="BG112">
        <f>IF(AND($G112=TRUE,$E112="FWD"),AZ112,"")</f>
        <v/>
      </c>
      <c r="BH112" t="n">
        <v>2</v>
      </c>
      <c r="BI112" t="n">
        <v>2</v>
      </c>
      <c r="BJ112" t="n">
        <v>4</v>
      </c>
      <c r="BK112" t="n">
        <v>6</v>
      </c>
    </row>
    <row r="113">
      <c r="A113" t="inlineStr">
        <is>
          <t>Alexis Mac Allister</t>
        </is>
      </c>
      <c r="B113" t="inlineStr">
        <is>
          <t>LIV</t>
        </is>
      </c>
      <c r="C113" t="inlineStr">
        <is>
          <t>LIV</t>
        </is>
      </c>
      <c r="D113" t="b">
        <v>0</v>
      </c>
      <c r="E113" t="inlineStr">
        <is>
          <t>MID</t>
        </is>
      </c>
      <c r="F113" t="inlineStr">
        <is>
          <t>MID</t>
        </is>
      </c>
      <c r="G113" t="b">
        <v>1</v>
      </c>
      <c r="H113" s="2" t="n">
        <v>5.5</v>
      </c>
      <c r="I113" t="inlineStr">
        <is>
          <t>a</t>
        </is>
      </c>
      <c r="K113" s="2" t="n">
        <v>2654</v>
      </c>
      <c r="L113" t="n">
        <v>108</v>
      </c>
      <c r="M113" s="3" t="n">
        <v>1604</v>
      </c>
      <c r="N113" s="8" t="n">
        <v>1604</v>
      </c>
      <c r="O113" s="8" t="n">
        <v>0</v>
      </c>
      <c r="Q113" t="inlineStr">
        <is>
          <t>flat</t>
        </is>
      </c>
      <c r="R113" s="6" t="n">
        <v>1604</v>
      </c>
      <c r="S113" t="inlineStr">
        <is>
          <t>Solio</t>
        </is>
      </c>
      <c r="U113" s="6" t="n">
        <v>81.5</v>
      </c>
      <c r="V113" s="2" t="n">
        <v>31</v>
      </c>
      <c r="W113" s="7">
        <f>IF(N(U113)&lt;=0,0,MIN(Assumptions!$B$15,N(R113)/N(U113)))</f>
        <v/>
      </c>
      <c r="X113" s="6" t="n">
        <v>0.342</v>
      </c>
      <c r="Y113" s="3" t="n">
        <v>0.1366</v>
      </c>
      <c r="Z113" t="inlineStr">
        <is>
          <t>adjusted xGOT</t>
        </is>
      </c>
      <c r="AA113" s="3" t="n">
        <v>1</v>
      </c>
      <c r="AB113" s="3" t="n">
        <v>1.036</v>
      </c>
      <c r="AC113" s="3" t="n">
        <v>22.4</v>
      </c>
      <c r="AD113" s="3" t="n">
        <v>0.077</v>
      </c>
      <c r="AE113" s="3" t="n">
        <v>7.939</v>
      </c>
      <c r="AF113" s="3" t="n">
        <v>0.06236315434708062</v>
      </c>
      <c r="AG113" s="3" t="n">
        <v>7.286</v>
      </c>
      <c r="AH113" s="3" t="n">
        <v>0.224032578</v>
      </c>
      <c r="AI113" s="3" t="n">
        <v>66</v>
      </c>
      <c r="AJ113" s="3" t="n">
        <v>2.409</v>
      </c>
      <c r="AK113" s="3" t="n">
        <v>1.1228</v>
      </c>
      <c r="AL113" s="3" t="n">
        <v>-0.2397524569675943</v>
      </c>
      <c r="AM113" s="6" t="n">
        <v>0.0009846507981227999</v>
      </c>
      <c r="AN113" s="3" t="n">
        <v>0</v>
      </c>
      <c r="AO113" s="3" t="n">
        <v>0.6830000000000001</v>
      </c>
      <c r="AP113" s="3" t="n">
        <v>0.30492</v>
      </c>
      <c r="AQ113" s="3">
        <f>N(X113)*N(BJ113)</f>
        <v/>
      </c>
      <c r="AR113" s="3" t="n">
        <v>0</v>
      </c>
      <c r="AS113" s="3" t="n">
        <v>-0</v>
      </c>
      <c r="AT113" s="3" t="n">
        <v>-0.2397524569675943</v>
      </c>
      <c r="AU113" s="3">
        <f>SUM(AO113:AT113)</f>
        <v/>
      </c>
      <c r="AV113" s="7">
        <f>IF(OR(N(W113)&lt;=0,N(BH113)=0),0,N(W113)*IF(N(R113)/N(W113)&gt;=60,N(BH113),1))</f>
        <v/>
      </c>
      <c r="AW113" s="7">
        <f>N(W113)*N(AF113)*N(BI113)</f>
        <v/>
      </c>
      <c r="AX113" s="3">
        <f>IF(N(BH113)=0,0,N(W113)*N(AH113))</f>
        <v/>
      </c>
      <c r="AY113" s="7">
        <f>N(AM113)*(Assumptions!$B$13*N(BK113)-(1-Assumptions!$B$13)*Assumptions!$B$14)+N(AN113)</f>
        <v/>
      </c>
      <c r="AZ113" s="7">
        <f>N(AU113)*N(R113)/90+N(AV113)+N(AW113)+N(AX113)+N(AY113)</f>
        <v/>
      </c>
      <c r="BA113" s="3">
        <f>IF(N(R113)&lt;=0,0,(N(AZ113)-N(AY113))*90/N(R113))</f>
        <v/>
      </c>
      <c r="BB113" s="7">
        <f>IFERROR(AZ113-VLOOKUP($E113,Assumptions!$A$40:$C$43,3,FALSE),"")</f>
        <v/>
      </c>
      <c r="BC113" s="3">
        <f>IFERROR(BB113/H113,"")</f>
        <v/>
      </c>
      <c r="BD113">
        <f>IF(AND($G113=TRUE,$E113="GKP"),AZ113,"")</f>
        <v/>
      </c>
      <c r="BE113">
        <f>IF(AND($G113=TRUE,$E113="DEF"),AZ113,"")</f>
        <v/>
      </c>
      <c r="BF113">
        <f>IF(AND($G113=TRUE,$E113="MID"),AZ113,"")</f>
        <v/>
      </c>
      <c r="BG113">
        <f>IF(AND($G113=TRUE,$E113="FWD"),AZ113,"")</f>
        <v/>
      </c>
      <c r="BH113" t="n">
        <v>2</v>
      </c>
      <c r="BI113" t="n">
        <v>2</v>
      </c>
      <c r="BJ113" t="n">
        <v>1</v>
      </c>
      <c r="BK113" t="n">
        <v>5</v>
      </c>
    </row>
    <row r="114">
      <c r="A114" t="inlineStr">
        <is>
          <t>Nick Woltemade</t>
        </is>
      </c>
      <c r="B114" t="inlineStr">
        <is>
          <t>NEW</t>
        </is>
      </c>
      <c r="C114" t="inlineStr">
        <is>
          <t>NEW</t>
        </is>
      </c>
      <c r="D114" t="b">
        <v>0</v>
      </c>
      <c r="E114" t="inlineStr">
        <is>
          <t>FWD</t>
        </is>
      </c>
      <c r="F114" t="inlineStr">
        <is>
          <t>FWD</t>
        </is>
      </c>
      <c r="G114" t="b">
        <v>1</v>
      </c>
      <c r="H114" s="2" t="n">
        <v>6</v>
      </c>
      <c r="I114" t="inlineStr">
        <is>
          <t>a</t>
        </is>
      </c>
      <c r="K114" s="2" t="n">
        <v>1896</v>
      </c>
      <c r="L114" t="n">
        <v>108</v>
      </c>
      <c r="M114" s="3" t="n">
        <v>2371</v>
      </c>
      <c r="N114" s="4" t="n">
        <v>2100</v>
      </c>
      <c r="O114" s="4" t="n">
        <v>-271</v>
      </c>
      <c r="P114" s="5" t="inlineStr">
        <is>
          <t>low</t>
        </is>
      </c>
      <c r="Q114" t="inlineStr">
        <is>
          <t>flat</t>
        </is>
      </c>
      <c r="R114" s="6" t="n">
        <v>2100</v>
      </c>
      <c r="S114" t="inlineStr">
        <is>
          <t>research</t>
        </is>
      </c>
      <c r="T114" s="5" t="inlineStr">
        <is>
          <t>Solio gives him the largest share of the three strikers. The Athletic reported on 14 Jul that Osula, not Woltemade, is the leading No.9 and that Woltemade's system fit is uncertain, and Newcastle told interested clubs he was available for sale this summer. Against that, Jaissle has publicly backed him and started him as the No.10 v Leverkusen, so this is a small trim rather than a demotion.</t>
        </is>
      </c>
      <c r="U114" s="6" t="n">
        <v>74.8</v>
      </c>
      <c r="V114" s="2" t="n">
        <v>24</v>
      </c>
      <c r="W114" s="7">
        <f>IF(N(U114)&lt;=0,0,MIN(Assumptions!$B$15,N(R114)/N(U114)))</f>
        <v/>
      </c>
      <c r="X114" s="6" t="n">
        <v>0.248</v>
      </c>
      <c r="Y114" s="3" t="n">
        <v>0.3095</v>
      </c>
      <c r="Z114" t="inlineStr">
        <is>
          <t>adjusted xGOT</t>
        </is>
      </c>
      <c r="AA114" s="3" t="n">
        <v>0.908</v>
      </c>
      <c r="AB114" s="3" t="n">
        <v>1.09</v>
      </c>
      <c r="AC114" s="3" t="n">
        <v>6.6</v>
      </c>
      <c r="AD114" s="3" t="n">
        <v>0.1052</v>
      </c>
      <c r="AE114" s="3" t="n">
        <v>4.932</v>
      </c>
      <c r="AF114" s="3" t="n">
        <v>0.00112310948056904</v>
      </c>
      <c r="AG114" s="3" t="n">
        <v>1.302</v>
      </c>
      <c r="AH114" s="3" t="n">
        <v>0.392741928</v>
      </c>
      <c r="AI114" s="3" t="n">
        <v>54</v>
      </c>
      <c r="AJ114" s="3" t="n">
        <v>3.0912</v>
      </c>
      <c r="AK114" s="3" t="n">
        <v>1.4534</v>
      </c>
      <c r="AL114" s="3" t="n">
        <v>-0.08201401674780789</v>
      </c>
      <c r="AM114" s="6" t="n">
        <v>3.329038966319989</v>
      </c>
      <c r="AN114" s="3" t="n">
        <v>0</v>
      </c>
      <c r="AO114" s="3" t="n">
        <v>1.238</v>
      </c>
      <c r="AP114" s="3" t="n">
        <v>0.416592</v>
      </c>
      <c r="AQ114" s="3">
        <f>N(X114)*N(BJ114)</f>
        <v/>
      </c>
      <c r="AR114" s="3" t="n">
        <v>0</v>
      </c>
      <c r="AS114" s="3" t="n">
        <v>-0</v>
      </c>
      <c r="AT114" s="3" t="n">
        <v>-0.08201401674780789</v>
      </c>
      <c r="AU114" s="3">
        <f>SUM(AO114:AT114)</f>
        <v/>
      </c>
      <c r="AV114" s="7">
        <f>IF(OR(N(W114)&lt;=0,N(BH114)=0),0,N(W114)*IF(N(R114)/N(W114)&gt;=60,N(BH114),1))</f>
        <v/>
      </c>
      <c r="AW114" s="7">
        <f>N(W114)*N(AF114)*N(BI114)</f>
        <v/>
      </c>
      <c r="AX114" s="3">
        <f>IF(N(BH114)=0,0,N(W114)*N(AH114))</f>
        <v/>
      </c>
      <c r="AY114" s="7">
        <f>N(AM114)*(Assumptions!$B$13*N(BK114)-(1-Assumptions!$B$13)*Assumptions!$B$14)+N(AN114)</f>
        <v/>
      </c>
      <c r="AZ114" s="7">
        <f>N(AU114)*N(R114)/90+N(AV114)+N(AW114)+N(AX114)+N(AY114)</f>
        <v/>
      </c>
      <c r="BA114" s="3">
        <f>IF(N(R114)&lt;=0,0,(N(AZ114)-N(AY114))*90/N(R114))</f>
        <v/>
      </c>
      <c r="BB114" s="7">
        <f>IFERROR(AZ114-VLOOKUP($E114,Assumptions!$A$40:$C$43,3,FALSE),"")</f>
        <v/>
      </c>
      <c r="BC114" s="3">
        <f>IFERROR(BB114/H114,"")</f>
        <v/>
      </c>
      <c r="BD114">
        <f>IF(AND($G114=TRUE,$E114="GKP"),AZ114,"")</f>
        <v/>
      </c>
      <c r="BE114">
        <f>IF(AND($G114=TRUE,$E114="DEF"),AZ114,"")</f>
        <v/>
      </c>
      <c r="BF114">
        <f>IF(AND($G114=TRUE,$E114="MID"),AZ114,"")</f>
        <v/>
      </c>
      <c r="BG114">
        <f>IF(AND($G114=TRUE,$E114="FWD"),AZ114,"")</f>
        <v/>
      </c>
      <c r="BH114" t="n">
        <v>2</v>
      </c>
      <c r="BI114" t="n">
        <v>2</v>
      </c>
      <c r="BJ114" t="n">
        <v>0</v>
      </c>
      <c r="BK114" t="n">
        <v>4</v>
      </c>
    </row>
    <row r="115">
      <c r="A115" s="9" t="inlineStr">
        <is>
          <t>João Gomes</t>
        </is>
      </c>
      <c r="B115" t="inlineStr">
        <is>
          <t>AVL</t>
        </is>
      </c>
      <c r="C115" s="9" t="inlineStr">
        <is>
          <t>WOL</t>
        </is>
      </c>
      <c r="D115" t="b">
        <v>1</v>
      </c>
      <c r="E115" t="inlineStr">
        <is>
          <t>MID</t>
        </is>
      </c>
      <c r="F115" t="inlineStr">
        <is>
          <t>MID</t>
        </is>
      </c>
      <c r="G115" t="b">
        <v>1</v>
      </c>
      <c r="H115" s="2" t="n">
        <v>5.5</v>
      </c>
      <c r="I115" t="inlineStr">
        <is>
          <t>a</t>
        </is>
      </c>
      <c r="K115" s="2" t="n">
        <v>2829</v>
      </c>
      <c r="L115" t="n">
        <v>107</v>
      </c>
      <c r="M115" s="3" t="n">
        <v>3067</v>
      </c>
      <c r="N115" s="4" t="n">
        <v>2770</v>
      </c>
      <c r="O115" s="4" t="n">
        <v>-297</v>
      </c>
      <c r="P115" s="5" t="inlineStr">
        <is>
          <t>high</t>
        </is>
      </c>
      <c r="Q115" t="inlineStr">
        <is>
          <t>ramp-up (injury / late WC return)</t>
        </is>
      </c>
      <c r="R115" s="6" t="n">
        <v>2770</v>
      </c>
      <c r="S115" t="inlineStr">
        <is>
          <t>research</t>
        </is>
      </c>
      <c r="T115" s="5" t="inlineStr">
        <is>
          <t>Picked up a calf/physical issue in the Super Cup on 12 August and is sidelined for 2-4 weeks, so he misses the Brighton opener and probably the Arsenal and following fixtures, then needs a phased return. Roughly three games plus ramp-up.</t>
        </is>
      </c>
      <c r="U115" s="6" t="n">
        <v>84.8</v>
      </c>
      <c r="V115" s="2" t="n">
        <v>32</v>
      </c>
      <c r="W115" s="7">
        <f>IF(N(U115)&lt;=0,0,MIN(Assumptions!$B$15,N(R115)/N(U115)))</f>
        <v/>
      </c>
      <c r="X115" s="6" t="n">
        <v>0.273</v>
      </c>
      <c r="Y115" s="10" t="n">
        <v>0.0395</v>
      </c>
      <c r="Z115" t="inlineStr">
        <is>
          <t>adjusted xGOT</t>
        </is>
      </c>
      <c r="AA115" s="3" t="n">
        <v>1</v>
      </c>
      <c r="AB115" s="3" t="n">
        <v>0.962</v>
      </c>
      <c r="AC115" s="3" t="n">
        <v>6.4</v>
      </c>
      <c r="AD115" s="10" t="n">
        <v>0.0562</v>
      </c>
      <c r="AE115" s="3" t="n">
        <v>11.554</v>
      </c>
      <c r="AF115" s="3" t="n">
        <v>0.4071787964358731</v>
      </c>
      <c r="AG115" s="3" t="n">
        <v>9.531000000000001</v>
      </c>
      <c r="AH115" s="3" t="n">
        <v>0.130075465</v>
      </c>
      <c r="AI115" s="3" t="n">
        <v>66</v>
      </c>
      <c r="AJ115" s="3" t="n">
        <v>2.7451</v>
      </c>
      <c r="AK115" s="3" t="n">
        <v>1.3575</v>
      </c>
      <c r="AL115" s="3" t="n">
        <v>-0.3075560010065471</v>
      </c>
      <c r="AM115" s="6" t="n">
        <v>0</v>
      </c>
      <c r="AN115" s="3" t="n">
        <v>0</v>
      </c>
      <c r="AO115" s="10" t="n">
        <v>0.1975</v>
      </c>
      <c r="AP115" s="10" t="n">
        <v>0.222552</v>
      </c>
      <c r="AQ115" s="3">
        <f>N(X115)*N(BJ115)</f>
        <v/>
      </c>
      <c r="AR115" s="3" t="n">
        <v>0</v>
      </c>
      <c r="AS115" s="3" t="n">
        <v>-0</v>
      </c>
      <c r="AT115" s="3" t="n">
        <v>-0.3075560010065471</v>
      </c>
      <c r="AU115" s="3">
        <f>SUM(AO115:AT115)</f>
        <v/>
      </c>
      <c r="AV115" s="7">
        <f>IF(OR(N(W115)&lt;=0,N(BH115)=0),0,N(W115)*IF(N(R115)/N(W115)&gt;=60,N(BH115),1))</f>
        <v/>
      </c>
      <c r="AW115" s="7">
        <f>N(W115)*N(AF115)*N(BI115)</f>
        <v/>
      </c>
      <c r="AX115" s="3">
        <f>IF(N(BH115)=0,0,N(W115)*N(AH115))</f>
        <v/>
      </c>
      <c r="AY115" s="7">
        <f>N(AM115)*(Assumptions!$B$13*N(BK115)-(1-Assumptions!$B$13)*Assumptions!$B$14)+N(AN115)</f>
        <v/>
      </c>
      <c r="AZ115" s="7">
        <f>N(AU115)*N(R115)/90+N(AV115)+N(AW115)+N(AX115)+N(AY115)</f>
        <v/>
      </c>
      <c r="BA115" s="3">
        <f>IF(N(R115)&lt;=0,0,(N(AZ115)-N(AY115))*90/N(R115))</f>
        <v/>
      </c>
      <c r="BB115" s="7">
        <f>IFERROR(AZ115-VLOOKUP($E115,Assumptions!$A$40:$C$43,3,FALSE),"")</f>
        <v/>
      </c>
      <c r="BC115" s="3">
        <f>IFERROR(BB115/H115,"")</f>
        <v/>
      </c>
      <c r="BD115">
        <f>IF(AND($G115=TRUE,$E115="GKP"),AZ115,"")</f>
        <v/>
      </c>
      <c r="BE115">
        <f>IF(AND($G115=TRUE,$E115="DEF"),AZ115,"")</f>
        <v/>
      </c>
      <c r="BF115">
        <f>IF(AND($G115=TRUE,$E115="MID"),AZ115,"")</f>
        <v/>
      </c>
      <c r="BG115">
        <f>IF(AND($G115=TRUE,$E115="FWD"),AZ115,"")</f>
        <v/>
      </c>
      <c r="BH115" t="n">
        <v>2</v>
      </c>
      <c r="BI115" t="n">
        <v>2</v>
      </c>
      <c r="BJ115" t="n">
        <v>1</v>
      </c>
      <c r="BK115" t="n">
        <v>5</v>
      </c>
    </row>
    <row r="116">
      <c r="A116" t="inlineStr">
        <is>
          <t>Harvey Barnes</t>
        </is>
      </c>
      <c r="B116" t="inlineStr">
        <is>
          <t>NEW</t>
        </is>
      </c>
      <c r="C116" t="inlineStr">
        <is>
          <t>NEW</t>
        </is>
      </c>
      <c r="D116" t="b">
        <v>0</v>
      </c>
      <c r="E116" t="inlineStr">
        <is>
          <t>MID</t>
        </is>
      </c>
      <c r="F116" t="inlineStr">
        <is>
          <t>MID</t>
        </is>
      </c>
      <c r="G116" t="b">
        <v>1</v>
      </c>
      <c r="H116" s="2" t="n">
        <v>6</v>
      </c>
      <c r="I116" t="inlineStr">
        <is>
          <t>a</t>
        </is>
      </c>
      <c r="K116" s="2" t="n">
        <v>1951</v>
      </c>
      <c r="L116" t="n">
        <v>106</v>
      </c>
      <c r="M116" s="3" t="n">
        <v>2308</v>
      </c>
      <c r="N116" s="8" t="n">
        <v>2308</v>
      </c>
      <c r="O116" s="8" t="n">
        <v>0</v>
      </c>
      <c r="Q116" t="inlineStr">
        <is>
          <t>flat</t>
        </is>
      </c>
      <c r="R116" s="6" t="n">
        <v>2308</v>
      </c>
      <c r="S116" t="inlineStr">
        <is>
          <t>Solio</t>
        </is>
      </c>
      <c r="U116" s="6" t="n">
        <v>79.5</v>
      </c>
      <c r="V116" s="2" t="n">
        <v>19</v>
      </c>
      <c r="W116" s="7">
        <f>IF(N(U116)&lt;=0,0,MIN(Assumptions!$B$15,N(R116)/N(U116)))</f>
        <v/>
      </c>
      <c r="X116" s="6" t="n">
        <v>0.248</v>
      </c>
      <c r="Y116" s="3" t="n">
        <v>0.3586</v>
      </c>
      <c r="Z116" t="inlineStr">
        <is>
          <t>adjusted xGOT</t>
        </is>
      </c>
      <c r="AA116" s="3" t="n">
        <v>1</v>
      </c>
      <c r="AB116" s="3" t="n">
        <v>1.136</v>
      </c>
      <c r="AC116" s="3" t="n">
        <v>26.1</v>
      </c>
      <c r="AD116" s="3" t="n">
        <v>0.1344</v>
      </c>
      <c r="AE116" s="3" t="n">
        <v>5.682</v>
      </c>
      <c r="AF116" s="3" t="n">
        <v>0.0056123311710774</v>
      </c>
      <c r="AG116" s="3" t="n">
        <v>3.75</v>
      </c>
      <c r="AH116" s="3" t="n">
        <v>0.457053994</v>
      </c>
      <c r="AI116" s="3" t="n">
        <v>55</v>
      </c>
      <c r="AJ116" s="3" t="n">
        <v>3.0912</v>
      </c>
      <c r="AK116" s="3" t="n">
        <v>1.4534</v>
      </c>
      <c r="AL116" s="3" t="n">
        <v>-0.1111167177144415</v>
      </c>
      <c r="AM116" s="6" t="n">
        <v>0</v>
      </c>
      <c r="AN116" s="3" t="n">
        <v>0</v>
      </c>
      <c r="AO116" s="3" t="n">
        <v>1.793</v>
      </c>
      <c r="AP116" s="3" t="n">
        <v>0.532224</v>
      </c>
      <c r="AQ116" s="3">
        <f>N(X116)*N(BJ116)</f>
        <v/>
      </c>
      <c r="AR116" s="3" t="n">
        <v>0</v>
      </c>
      <c r="AS116" s="3" t="n">
        <v>-0</v>
      </c>
      <c r="AT116" s="3" t="n">
        <v>-0.1111167177144415</v>
      </c>
      <c r="AU116" s="3">
        <f>SUM(AO116:AT116)</f>
        <v/>
      </c>
      <c r="AV116" s="7">
        <f>IF(OR(N(W116)&lt;=0,N(BH116)=0),0,N(W116)*IF(N(R116)/N(W116)&gt;=60,N(BH116),1))</f>
        <v/>
      </c>
      <c r="AW116" s="7">
        <f>N(W116)*N(AF116)*N(BI116)</f>
        <v/>
      </c>
      <c r="AX116" s="3">
        <f>IF(N(BH116)=0,0,N(W116)*N(AH116))</f>
        <v/>
      </c>
      <c r="AY116" s="7">
        <f>N(AM116)*(Assumptions!$B$13*N(BK116)-(1-Assumptions!$B$13)*Assumptions!$B$14)+N(AN116)</f>
        <v/>
      </c>
      <c r="AZ116" s="7">
        <f>N(AU116)*N(R116)/90+N(AV116)+N(AW116)+N(AX116)+N(AY116)</f>
        <v/>
      </c>
      <c r="BA116" s="3">
        <f>IF(N(R116)&lt;=0,0,(N(AZ116)-N(AY116))*90/N(R116))</f>
        <v/>
      </c>
      <c r="BB116" s="7">
        <f>IFERROR(AZ116-VLOOKUP($E116,Assumptions!$A$40:$C$43,3,FALSE),"")</f>
        <v/>
      </c>
      <c r="BC116" s="3">
        <f>IFERROR(BB116/H116,"")</f>
        <v/>
      </c>
      <c r="BD116">
        <f>IF(AND($G116=TRUE,$E116="GKP"),AZ116,"")</f>
        <v/>
      </c>
      <c r="BE116">
        <f>IF(AND($G116=TRUE,$E116="DEF"),AZ116,"")</f>
        <v/>
      </c>
      <c r="BF116">
        <f>IF(AND($G116=TRUE,$E116="MID"),AZ116,"")</f>
        <v/>
      </c>
      <c r="BG116">
        <f>IF(AND($G116=TRUE,$E116="FWD"),AZ116,"")</f>
        <v/>
      </c>
      <c r="BH116" t="n">
        <v>2</v>
      </c>
      <c r="BI116" t="n">
        <v>2</v>
      </c>
      <c r="BJ116" t="n">
        <v>1</v>
      </c>
      <c r="BK116" t="n">
        <v>5</v>
      </c>
    </row>
    <row r="117">
      <c r="A117" t="inlineStr">
        <is>
          <t>Matz Sels</t>
        </is>
      </c>
      <c r="B117" t="inlineStr">
        <is>
          <t>NFO</t>
        </is>
      </c>
      <c r="C117" t="inlineStr">
        <is>
          <t>NFO</t>
        </is>
      </c>
      <c r="D117" t="b">
        <v>0</v>
      </c>
      <c r="E117" t="inlineStr">
        <is>
          <t>GKP</t>
        </is>
      </c>
      <c r="F117" t="inlineStr">
        <is>
          <t>GKP</t>
        </is>
      </c>
      <c r="G117" t="b">
        <v>1</v>
      </c>
      <c r="H117" s="2" t="n">
        <v>5</v>
      </c>
      <c r="I117" t="inlineStr">
        <is>
          <t>a</t>
        </is>
      </c>
      <c r="K117" s="2" t="n">
        <v>2667</v>
      </c>
      <c r="L117" t="n">
        <v>105</v>
      </c>
      <c r="M117" s="3" t="n">
        <v>3385</v>
      </c>
      <c r="N117" s="4" t="n">
        <v>3250</v>
      </c>
      <c r="O117" s="4" t="n">
        <v>-135</v>
      </c>
      <c r="P117" s="5" t="inlineStr">
        <is>
          <t>medium</t>
        </is>
      </c>
      <c r="Q117" t="inlineStr">
        <is>
          <t>flat</t>
        </is>
      </c>
      <c r="R117" s="6" t="n">
        <v>3250</v>
      </c>
      <c r="S117" t="inlineStr">
        <is>
          <t>research</t>
        </is>
      </c>
      <c r="T117" s="5" t="inlineStr">
        <is>
          <t>Solio gives Sels 99% of available minutes, but he played only 2,667 league minutes in 2025-26 with John Victor taking 437, so Forest have changed keeper mid-season within the last year. Steven Benda was also added on a free on 15 Aug 2026.</t>
        </is>
      </c>
      <c r="U117" s="6" t="n">
        <v>88.8</v>
      </c>
      <c r="V117" s="2" t="n">
        <v>30</v>
      </c>
      <c r="W117" s="7">
        <f>IF(N(U117)&lt;=0,0,MIN(Assumptions!$B$15,N(R117)/N(U117)))</f>
        <v/>
      </c>
      <c r="X117" s="6" t="n">
        <v>0.224</v>
      </c>
      <c r="Y117" s="3" t="n">
        <v>0</v>
      </c>
      <c r="Z117" t="inlineStr">
        <is>
          <t>blended xG</t>
        </is>
      </c>
      <c r="AA117" s="3" t="n">
        <v>1</v>
      </c>
      <c r="AB117" s="3" t="n">
        <v>1</v>
      </c>
      <c r="AC117" s="3" t="n">
        <v>0</v>
      </c>
      <c r="AD117" s="3" t="n">
        <v>0.001</v>
      </c>
      <c r="AE117" s="3" t="n">
        <v>0</v>
      </c>
      <c r="AF117" s="3" t="n">
        <v>0</v>
      </c>
      <c r="AG117" s="3" t="n">
        <v>5.072</v>
      </c>
      <c r="AH117" s="3" t="n">
        <v>0.194741544</v>
      </c>
      <c r="AI117" s="3" t="n">
        <v>60</v>
      </c>
      <c r="AJ117" s="3" t="n">
        <v>3.1134</v>
      </c>
      <c r="AK117" s="3" t="n">
        <v>1.5588</v>
      </c>
      <c r="AL117" s="3" t="n">
        <v>-0.0827884725356831</v>
      </c>
      <c r="AM117" s="6" t="n">
        <v>0</v>
      </c>
      <c r="AN117" s="3" t="n">
        <v>3.293683305840039</v>
      </c>
      <c r="AO117" s="3" t="n">
        <v>0</v>
      </c>
      <c r="AP117" s="3" t="n">
        <v>0.00396</v>
      </c>
      <c r="AQ117" s="3">
        <f>N(X117)*N(BJ117)</f>
        <v/>
      </c>
      <c r="AR117" s="3" t="n">
        <v>0.7024243676191486</v>
      </c>
      <c r="AS117" s="3" t="n">
        <v>-0.5404658182244797</v>
      </c>
      <c r="AT117" s="3" t="n">
        <v>-0.0827884725356831</v>
      </c>
      <c r="AU117" s="3">
        <f>SUM(AO117:AT117)</f>
        <v/>
      </c>
      <c r="AV117" s="7">
        <f>IF(OR(N(W117)&lt;=0,N(BH117)=0),0,N(W117)*IF(N(R117)/N(W117)&gt;=60,N(BH117),1))</f>
        <v/>
      </c>
      <c r="AW117" s="7">
        <f>N(W117)*N(AF117)*N(BI117)</f>
        <v/>
      </c>
      <c r="AX117" s="3">
        <f>IF(N(BH117)=0,0,N(W117)*N(AH117))</f>
        <v/>
      </c>
      <c r="AY117" s="7">
        <f>N(AM117)*(Assumptions!$B$13*N(BK117)-(1-Assumptions!$B$13)*Assumptions!$B$14)+N(AN117)</f>
        <v/>
      </c>
      <c r="AZ117" s="7">
        <f>N(AU117)*N(R117)/90+N(AV117)+N(AW117)+N(AX117)+N(AY117)</f>
        <v/>
      </c>
      <c r="BA117" s="3">
        <f>IF(N(R117)&lt;=0,0,(N(AZ117)-N(AY117))*90/N(R117))</f>
        <v/>
      </c>
      <c r="BB117" s="7">
        <f>IFERROR(AZ117-VLOOKUP($E117,Assumptions!$A$40:$C$43,3,FALSE),"")</f>
        <v/>
      </c>
      <c r="BC117" s="3">
        <f>IFERROR(BB117/H117,"")</f>
        <v/>
      </c>
      <c r="BD117">
        <f>IF(AND($G117=TRUE,$E117="GKP"),AZ117,"")</f>
        <v/>
      </c>
      <c r="BE117">
        <f>IF(AND($G117=TRUE,$E117="DEF"),AZ117,"")</f>
        <v/>
      </c>
      <c r="BF117">
        <f>IF(AND($G117=TRUE,$E117="MID"),AZ117,"")</f>
        <v/>
      </c>
      <c r="BG117">
        <f>IF(AND($G117=TRUE,$E117="FWD"),AZ117,"")</f>
        <v/>
      </c>
      <c r="BH117" t="n">
        <v>2</v>
      </c>
      <c r="BI117" t="n">
        <v>0</v>
      </c>
      <c r="BJ117" t="n">
        <v>4</v>
      </c>
      <c r="BK117" t="n">
        <v>10</v>
      </c>
    </row>
    <row r="118">
      <c r="A118" t="inlineStr">
        <is>
          <t>Beto</t>
        </is>
      </c>
      <c r="B118" t="inlineStr">
        <is>
          <t>EVE</t>
        </is>
      </c>
      <c r="C118" t="inlineStr">
        <is>
          <t>EVE</t>
        </is>
      </c>
      <c r="D118" t="b">
        <v>0</v>
      </c>
      <c r="E118" t="inlineStr">
        <is>
          <t>FWD</t>
        </is>
      </c>
      <c r="F118" t="inlineStr">
        <is>
          <t>FWD</t>
        </is>
      </c>
      <c r="G118" t="b">
        <v>1</v>
      </c>
      <c r="H118" s="2" t="n">
        <v>5.5</v>
      </c>
      <c r="I118" t="inlineStr">
        <is>
          <t>a</t>
        </is>
      </c>
      <c r="K118" s="2" t="n">
        <v>1551</v>
      </c>
      <c r="L118" t="n">
        <v>104</v>
      </c>
      <c r="M118" s="3" t="n">
        <v>858</v>
      </c>
      <c r="N118" s="8" t="n">
        <v>858</v>
      </c>
      <c r="O118" s="8" t="n">
        <v>0</v>
      </c>
      <c r="Q118" t="inlineStr">
        <is>
          <t>flat</t>
        </is>
      </c>
      <c r="R118" s="6" t="n">
        <v>858</v>
      </c>
      <c r="S118" t="inlineStr">
        <is>
          <t>Solio</t>
        </is>
      </c>
      <c r="U118" s="6" t="n">
        <v>74</v>
      </c>
      <c r="V118" s="2" t="n">
        <v>17</v>
      </c>
      <c r="W118" s="7">
        <f>IF(N(U118)&lt;=0,0,MIN(Assumptions!$B$15,N(R118)/N(U118)))</f>
        <v/>
      </c>
      <c r="X118" s="6" t="n">
        <v>0.231</v>
      </c>
      <c r="Y118" s="3" t="n">
        <v>0.5123</v>
      </c>
      <c r="Z118" t="inlineStr">
        <is>
          <t>adjusted xGOT</t>
        </is>
      </c>
      <c r="AA118" s="3" t="n">
        <v>1</v>
      </c>
      <c r="AB118" s="3" t="n">
        <v>0.992</v>
      </c>
      <c r="AC118" s="3" t="n">
        <v>23.2</v>
      </c>
      <c r="AD118" s="3" t="n">
        <v>0.0358</v>
      </c>
      <c r="AE118" s="3" t="n">
        <v>5.047</v>
      </c>
      <c r="AF118" s="3" t="n">
        <v>0.001243848459158259</v>
      </c>
      <c r="AG118" s="3" t="n">
        <v>-0.083</v>
      </c>
      <c r="AH118" s="3" t="n">
        <v>0.5815681809</v>
      </c>
      <c r="AI118" s="3" t="n">
        <v>53</v>
      </c>
      <c r="AJ118" s="3" t="n">
        <v>3.0311</v>
      </c>
      <c r="AK118" s="3" t="n">
        <v>1.5252</v>
      </c>
      <c r="AL118" s="3" t="n">
        <v>-0.1715995153376238</v>
      </c>
      <c r="AM118" s="6" t="n">
        <v>0.0006611948454638</v>
      </c>
      <c r="AN118" s="3" t="n">
        <v>0</v>
      </c>
      <c r="AO118" s="3" t="n">
        <v>2.0492</v>
      </c>
      <c r="AP118" s="3" t="n">
        <v>0.141768</v>
      </c>
      <c r="AQ118" s="3">
        <f>N(X118)*N(BJ118)</f>
        <v/>
      </c>
      <c r="AR118" s="3" t="n">
        <v>0</v>
      </c>
      <c r="AS118" s="3" t="n">
        <v>-0</v>
      </c>
      <c r="AT118" s="3" t="n">
        <v>-0.1715995153376238</v>
      </c>
      <c r="AU118" s="3">
        <f>SUM(AO118:AT118)</f>
        <v/>
      </c>
      <c r="AV118" s="7">
        <f>IF(OR(N(W118)&lt;=0,N(BH118)=0),0,N(W118)*IF(N(R118)/N(W118)&gt;=60,N(BH118),1))</f>
        <v/>
      </c>
      <c r="AW118" s="7">
        <f>N(W118)*N(AF118)*N(BI118)</f>
        <v/>
      </c>
      <c r="AX118" s="3">
        <f>IF(N(BH118)=0,0,N(W118)*N(AH118))</f>
        <v/>
      </c>
      <c r="AY118" s="7">
        <f>N(AM118)*(Assumptions!$B$13*N(BK118)-(1-Assumptions!$B$13)*Assumptions!$B$14)+N(AN118)</f>
        <v/>
      </c>
      <c r="AZ118" s="7">
        <f>N(AU118)*N(R118)/90+N(AV118)+N(AW118)+N(AX118)+N(AY118)</f>
        <v/>
      </c>
      <c r="BA118" s="3">
        <f>IF(N(R118)&lt;=0,0,(N(AZ118)-N(AY118))*90/N(R118))</f>
        <v/>
      </c>
      <c r="BB118" s="7">
        <f>IFERROR(AZ118-VLOOKUP($E118,Assumptions!$A$40:$C$43,3,FALSE),"")</f>
        <v/>
      </c>
      <c r="BC118" s="3">
        <f>IFERROR(BB118/H118,"")</f>
        <v/>
      </c>
      <c r="BD118">
        <f>IF(AND($G118=TRUE,$E118="GKP"),AZ118,"")</f>
        <v/>
      </c>
      <c r="BE118">
        <f>IF(AND($G118=TRUE,$E118="DEF"),AZ118,"")</f>
        <v/>
      </c>
      <c r="BF118">
        <f>IF(AND($G118=TRUE,$E118="MID"),AZ118,"")</f>
        <v/>
      </c>
      <c r="BG118">
        <f>IF(AND($G118=TRUE,$E118="FWD"),AZ118,"")</f>
        <v/>
      </c>
      <c r="BH118" t="n">
        <v>2</v>
      </c>
      <c r="BI118" t="n">
        <v>2</v>
      </c>
      <c r="BJ118" t="n">
        <v>0</v>
      </c>
      <c r="BK118" t="n">
        <v>4</v>
      </c>
    </row>
    <row r="119">
      <c r="A119" t="inlineStr">
        <is>
          <t>Yehor Yarmoliuk</t>
        </is>
      </c>
      <c r="B119" t="inlineStr">
        <is>
          <t>BRE</t>
        </is>
      </c>
      <c r="C119" t="inlineStr">
        <is>
          <t>BRE</t>
        </is>
      </c>
      <c r="D119" t="b">
        <v>0</v>
      </c>
      <c r="E119" t="inlineStr">
        <is>
          <t>MID</t>
        </is>
      </c>
      <c r="F119" t="inlineStr">
        <is>
          <t>MID</t>
        </is>
      </c>
      <c r="G119" t="b">
        <v>1</v>
      </c>
      <c r="H119" s="2" t="n">
        <v>5</v>
      </c>
      <c r="I119" t="inlineStr">
        <is>
          <t>a</t>
        </is>
      </c>
      <c r="K119" s="2" t="n">
        <v>2652</v>
      </c>
      <c r="L119" t="n">
        <v>104</v>
      </c>
      <c r="M119" s="3" t="n">
        <v>2987</v>
      </c>
      <c r="N119" s="4" t="n">
        <v>2200</v>
      </c>
      <c r="O119" s="4" t="n">
        <v>-787</v>
      </c>
      <c r="P119" s="5" t="inlineStr">
        <is>
          <t>medium</t>
        </is>
      </c>
      <c r="Q119" t="inlineStr">
        <is>
          <t>flat</t>
        </is>
      </c>
      <c r="R119" s="6" t="n">
        <v>2200</v>
      </c>
      <c r="S119" t="inlineStr">
        <is>
          <t>research</t>
        </is>
      </c>
      <c r="T119" s="5" t="inlineStr">
        <is>
          <t>Solio projects him UP from 2652 to 2987 in the same window that the club spent a club-record fee on a central midfielder in his position. Sangare arrived from Lens on 1 August and started both subsequent friendlies; Yarmoliuk was named among the substitutes for the 15 Aug Frankfurt match while Janelt, Sangare and Jensen started. Transfermarkt also lists an unspecified injury since 23 May 2026. He remains a heavily used squad member, so this is a demotion from near-ever-present to a strong rotation starter, not a benching.</t>
        </is>
      </c>
      <c r="U119" s="6" t="n">
        <v>82</v>
      </c>
      <c r="V119" s="2" t="n">
        <v>30</v>
      </c>
      <c r="W119" s="7">
        <f>IF(N(U119)&lt;=0,0,MIN(Assumptions!$B$15,N(R119)/N(U119)))</f>
        <v/>
      </c>
      <c r="X119" s="6" t="n">
        <v>0.228</v>
      </c>
      <c r="Y119" s="3" t="n">
        <v>0.0403</v>
      </c>
      <c r="Z119" t="inlineStr">
        <is>
          <t>adjusted xGOT</t>
        </is>
      </c>
      <c r="AA119" s="3" t="n">
        <v>1</v>
      </c>
      <c r="AB119" s="3" t="n">
        <v>0.974</v>
      </c>
      <c r="AC119" s="3" t="n">
        <v>2.8</v>
      </c>
      <c r="AD119" s="3" t="n">
        <v>0.0449</v>
      </c>
      <c r="AE119" s="3" t="n">
        <v>10.853</v>
      </c>
      <c r="AF119" s="3" t="n">
        <v>0.2905918371817506</v>
      </c>
      <c r="AG119" s="3" t="n">
        <v>7.291</v>
      </c>
      <c r="AH119" s="3" t="n">
        <v>0.09036351879999999</v>
      </c>
      <c r="AI119" s="3" t="n">
        <v>66</v>
      </c>
      <c r="AJ119" s="3" t="n">
        <v>3.2371</v>
      </c>
      <c r="AK119" s="3" t="n">
        <v>1.5396</v>
      </c>
      <c r="AL119" s="3" t="n">
        <v>-0.2681475566974504</v>
      </c>
      <c r="AM119" s="6" t="n">
        <v>0</v>
      </c>
      <c r="AN119" s="3" t="n">
        <v>0</v>
      </c>
      <c r="AO119" s="3" t="n">
        <v>0.2015</v>
      </c>
      <c r="AP119" s="3" t="n">
        <v>0.177804</v>
      </c>
      <c r="AQ119" s="3">
        <f>N(X119)*N(BJ119)</f>
        <v/>
      </c>
      <c r="AR119" s="3" t="n">
        <v>0</v>
      </c>
      <c r="AS119" s="3" t="n">
        <v>-0</v>
      </c>
      <c r="AT119" s="3" t="n">
        <v>-0.2681475566974504</v>
      </c>
      <c r="AU119" s="3">
        <f>SUM(AO119:AT119)</f>
        <v/>
      </c>
      <c r="AV119" s="7">
        <f>IF(OR(N(W119)&lt;=0,N(BH119)=0),0,N(W119)*IF(N(R119)/N(W119)&gt;=60,N(BH119),1))</f>
        <v/>
      </c>
      <c r="AW119" s="7">
        <f>N(W119)*N(AF119)*N(BI119)</f>
        <v/>
      </c>
      <c r="AX119" s="3">
        <f>IF(N(BH119)=0,0,N(W119)*N(AH119))</f>
        <v/>
      </c>
      <c r="AY119" s="7">
        <f>N(AM119)*(Assumptions!$B$13*N(BK119)-(1-Assumptions!$B$13)*Assumptions!$B$14)+N(AN119)</f>
        <v/>
      </c>
      <c r="AZ119" s="7">
        <f>N(AU119)*N(R119)/90+N(AV119)+N(AW119)+N(AX119)+N(AY119)</f>
        <v/>
      </c>
      <c r="BA119" s="3">
        <f>IF(N(R119)&lt;=0,0,(N(AZ119)-N(AY119))*90/N(R119))</f>
        <v/>
      </c>
      <c r="BB119" s="7">
        <f>IFERROR(AZ119-VLOOKUP($E119,Assumptions!$A$40:$C$43,3,FALSE),"")</f>
        <v/>
      </c>
      <c r="BC119" s="3">
        <f>IFERROR(BB119/H119,"")</f>
        <v/>
      </c>
      <c r="BD119">
        <f>IF(AND($G119=TRUE,$E119="GKP"),AZ119,"")</f>
        <v/>
      </c>
      <c r="BE119">
        <f>IF(AND($G119=TRUE,$E119="DEF"),AZ119,"")</f>
        <v/>
      </c>
      <c r="BF119">
        <f>IF(AND($G119=TRUE,$E119="MID"),AZ119,"")</f>
        <v/>
      </c>
      <c r="BG119">
        <f>IF(AND($G119=TRUE,$E119="FWD"),AZ119,"")</f>
        <v/>
      </c>
      <c r="BH119" t="n">
        <v>2</v>
      </c>
      <c r="BI119" t="n">
        <v>2</v>
      </c>
      <c r="BJ119" t="n">
        <v>1</v>
      </c>
      <c r="BK119" t="n">
        <v>5</v>
      </c>
    </row>
    <row r="120">
      <c r="A120" t="inlineStr">
        <is>
          <t>Alex Iwobi</t>
        </is>
      </c>
      <c r="B120" t="inlineStr">
        <is>
          <t>FUL</t>
        </is>
      </c>
      <c r="C120" t="inlineStr">
        <is>
          <t>FUL</t>
        </is>
      </c>
      <c r="D120" t="b">
        <v>0</v>
      </c>
      <c r="E120" t="inlineStr">
        <is>
          <t>MID</t>
        </is>
      </c>
      <c r="F120" t="inlineStr">
        <is>
          <t>MID</t>
        </is>
      </c>
      <c r="G120" t="b">
        <v>1</v>
      </c>
      <c r="H120" s="2" t="n">
        <v>5.5</v>
      </c>
      <c r="I120" t="inlineStr">
        <is>
          <t>a</t>
        </is>
      </c>
      <c r="K120" s="2" t="n">
        <v>2420</v>
      </c>
      <c r="L120" t="n">
        <v>103</v>
      </c>
      <c r="M120" s="3" t="n">
        <v>3152</v>
      </c>
      <c r="N120" s="8" t="n">
        <v>3152</v>
      </c>
      <c r="O120" s="8" t="n">
        <v>0</v>
      </c>
      <c r="Q120" t="inlineStr">
        <is>
          <t>flat</t>
        </is>
      </c>
      <c r="R120" s="6" t="n">
        <v>3152</v>
      </c>
      <c r="S120" t="inlineStr">
        <is>
          <t>Solio</t>
        </is>
      </c>
      <c r="U120" s="6" t="n">
        <v>82.59999999999999</v>
      </c>
      <c r="V120" s="2" t="n">
        <v>29</v>
      </c>
      <c r="W120" s="7">
        <f>IF(N(U120)&lt;=0,0,MIN(Assumptions!$B$15,N(R120)/N(U120)))</f>
        <v/>
      </c>
      <c r="X120" s="6" t="n">
        <v>0.214</v>
      </c>
      <c r="Y120" s="3" t="n">
        <v>0.0848</v>
      </c>
      <c r="Z120" t="inlineStr">
        <is>
          <t>adjusted xGOT</t>
        </is>
      </c>
      <c r="AA120" s="3" t="n">
        <v>1</v>
      </c>
      <c r="AB120" s="3" t="n">
        <v>1.194</v>
      </c>
      <c r="AC120" s="3" t="n">
        <v>14</v>
      </c>
      <c r="AD120" s="3" t="n">
        <v>0.1549</v>
      </c>
      <c r="AE120" s="3" t="n">
        <v>7.355</v>
      </c>
      <c r="AF120" s="3" t="n">
        <v>0.04286042950417901</v>
      </c>
      <c r="AG120" s="3" t="n">
        <v>8.327</v>
      </c>
      <c r="AH120" s="3" t="n">
        <v>0.256473538</v>
      </c>
      <c r="AI120" s="3" t="n">
        <v>57</v>
      </c>
      <c r="AJ120" s="3" t="n">
        <v>3.22</v>
      </c>
      <c r="AK120" s="3" t="n">
        <v>1.6019</v>
      </c>
      <c r="AL120" s="3" t="n">
        <v>-0.120440907420585</v>
      </c>
      <c r="AM120" s="6" t="n">
        <v>0.3691433583482733</v>
      </c>
      <c r="AN120" s="3" t="n">
        <v>0</v>
      </c>
      <c r="AO120" s="3" t="n">
        <v>0.424</v>
      </c>
      <c r="AP120" s="3" t="n">
        <v>0.6134040000000001</v>
      </c>
      <c r="AQ120" s="3">
        <f>N(X120)*N(BJ120)</f>
        <v/>
      </c>
      <c r="AR120" s="3" t="n">
        <v>0</v>
      </c>
      <c r="AS120" s="3" t="n">
        <v>-0</v>
      </c>
      <c r="AT120" s="3" t="n">
        <v>-0.120440907420585</v>
      </c>
      <c r="AU120" s="3">
        <f>SUM(AO120:AT120)</f>
        <v/>
      </c>
      <c r="AV120" s="7">
        <f>IF(OR(N(W120)&lt;=0,N(BH120)=0),0,N(W120)*IF(N(R120)/N(W120)&gt;=60,N(BH120),1))</f>
        <v/>
      </c>
      <c r="AW120" s="7">
        <f>N(W120)*N(AF120)*N(BI120)</f>
        <v/>
      </c>
      <c r="AX120" s="3">
        <f>IF(N(BH120)=0,0,N(W120)*N(AH120))</f>
        <v/>
      </c>
      <c r="AY120" s="7">
        <f>N(AM120)*(Assumptions!$B$13*N(BK120)-(1-Assumptions!$B$13)*Assumptions!$B$14)+N(AN120)</f>
        <v/>
      </c>
      <c r="AZ120" s="7">
        <f>N(AU120)*N(R120)/90+N(AV120)+N(AW120)+N(AX120)+N(AY120)</f>
        <v/>
      </c>
      <c r="BA120" s="3">
        <f>IF(N(R120)&lt;=0,0,(N(AZ120)-N(AY120))*90/N(R120))</f>
        <v/>
      </c>
      <c r="BB120" s="7">
        <f>IFERROR(AZ120-VLOOKUP($E120,Assumptions!$A$40:$C$43,3,FALSE),"")</f>
        <v/>
      </c>
      <c r="BC120" s="3">
        <f>IFERROR(BB120/H120,"")</f>
        <v/>
      </c>
      <c r="BD120">
        <f>IF(AND($G120=TRUE,$E120="GKP"),AZ120,"")</f>
        <v/>
      </c>
      <c r="BE120">
        <f>IF(AND($G120=TRUE,$E120="DEF"),AZ120,"")</f>
        <v/>
      </c>
      <c r="BF120">
        <f>IF(AND($G120=TRUE,$E120="MID"),AZ120,"")</f>
        <v/>
      </c>
      <c r="BG120">
        <f>IF(AND($G120=TRUE,$E120="FWD"),AZ120,"")</f>
        <v/>
      </c>
      <c r="BH120" t="n">
        <v>2</v>
      </c>
      <c r="BI120" t="n">
        <v>2</v>
      </c>
      <c r="BJ120" t="n">
        <v>1</v>
      </c>
      <c r="BK120" t="n">
        <v>5</v>
      </c>
    </row>
    <row r="121">
      <c r="A121" t="inlineStr">
        <is>
          <t>Calvin Bassey</t>
        </is>
      </c>
      <c r="B121" t="inlineStr">
        <is>
          <t>FUL</t>
        </is>
      </c>
      <c r="C121" t="inlineStr">
        <is>
          <t>FUL</t>
        </is>
      </c>
      <c r="D121" t="b">
        <v>0</v>
      </c>
      <c r="E121" t="inlineStr">
        <is>
          <t>DEF</t>
        </is>
      </c>
      <c r="F121" t="inlineStr">
        <is>
          <t>DEF</t>
        </is>
      </c>
      <c r="G121" t="b">
        <v>1</v>
      </c>
      <c r="H121" s="2" t="n">
        <v>4.5</v>
      </c>
      <c r="I121" t="inlineStr">
        <is>
          <t>a</t>
        </is>
      </c>
      <c r="K121" s="2" t="n">
        <v>2532</v>
      </c>
      <c r="L121" t="n">
        <v>103</v>
      </c>
      <c r="M121" s="3" t="n">
        <v>3141</v>
      </c>
      <c r="N121" s="8" t="n">
        <v>3141</v>
      </c>
      <c r="O121" s="8" t="n">
        <v>0</v>
      </c>
      <c r="Q121" t="inlineStr">
        <is>
          <t>flat</t>
        </is>
      </c>
      <c r="R121" s="6" t="n">
        <v>3141</v>
      </c>
      <c r="S121" t="inlineStr">
        <is>
          <t>Solio</t>
        </is>
      </c>
      <c r="U121" s="6" t="n">
        <v>88.8</v>
      </c>
      <c r="V121" s="2" t="n">
        <v>28</v>
      </c>
      <c r="W121" s="7">
        <f>IF(N(U121)&lt;=0,0,MIN(Assumptions!$B$15,N(R121)/N(U121)))</f>
        <v/>
      </c>
      <c r="X121" s="6" t="n">
        <v>0.214</v>
      </c>
      <c r="Y121" s="3" t="n">
        <v>0.0564</v>
      </c>
      <c r="Z121" t="inlineStr">
        <is>
          <t>adjusted xGOT</t>
        </is>
      </c>
      <c r="AA121" s="3" t="n">
        <v>1</v>
      </c>
      <c r="AB121" s="3" t="n">
        <v>0.928</v>
      </c>
      <c r="AC121" s="3" t="n">
        <v>3.1</v>
      </c>
      <c r="AD121" s="3" t="n">
        <v>0.0139</v>
      </c>
      <c r="AE121" s="3" t="n">
        <v>7.375</v>
      </c>
      <c r="AF121" s="3" t="n">
        <v>0.1986297417824545</v>
      </c>
      <c r="AG121" s="3" t="n">
        <v>8.814</v>
      </c>
      <c r="AH121" s="3" t="n">
        <v>0.1785754376</v>
      </c>
      <c r="AI121" s="3" t="n">
        <v>58</v>
      </c>
      <c r="AJ121" s="3" t="n">
        <v>3.22</v>
      </c>
      <c r="AK121" s="3" t="n">
        <v>1.6019</v>
      </c>
      <c r="AL121" s="3" t="n">
        <v>-0.204688653168472</v>
      </c>
      <c r="AM121" s="6" t="n">
        <v>0</v>
      </c>
      <c r="AN121" s="3" t="n">
        <v>0</v>
      </c>
      <c r="AO121" s="3" t="n">
        <v>0.3384</v>
      </c>
      <c r="AP121" s="3" t="n">
        <v>0.055044</v>
      </c>
      <c r="AQ121" s="3">
        <f>N(X121)*N(BJ121)</f>
        <v/>
      </c>
      <c r="AR121" s="3" t="n">
        <v>0</v>
      </c>
      <c r="AS121" s="3" t="n">
        <v>-0.5611019003833156</v>
      </c>
      <c r="AT121" s="3" t="n">
        <v>-0.204688653168472</v>
      </c>
      <c r="AU121" s="3">
        <f>SUM(AO121:AT121)</f>
        <v/>
      </c>
      <c r="AV121" s="7">
        <f>IF(OR(N(W121)&lt;=0,N(BH121)=0),0,N(W121)*IF(N(R121)/N(W121)&gt;=60,N(BH121),1))</f>
        <v/>
      </c>
      <c r="AW121" s="7">
        <f>N(W121)*N(AF121)*N(BI121)</f>
        <v/>
      </c>
      <c r="AX121" s="3">
        <f>IF(N(BH121)=0,0,N(W121)*N(AH121))</f>
        <v/>
      </c>
      <c r="AY121" s="7">
        <f>N(AM121)*(Assumptions!$B$13*N(BK121)-(1-Assumptions!$B$13)*Assumptions!$B$14)+N(AN121)</f>
        <v/>
      </c>
      <c r="AZ121" s="7">
        <f>N(AU121)*N(R121)/90+N(AV121)+N(AW121)+N(AX121)+N(AY121)</f>
        <v/>
      </c>
      <c r="BA121" s="3">
        <f>IF(N(R121)&lt;=0,0,(N(AZ121)-N(AY121))*90/N(R121))</f>
        <v/>
      </c>
      <c r="BB121" s="7">
        <f>IFERROR(AZ121-VLOOKUP($E121,Assumptions!$A$40:$C$43,3,FALSE),"")</f>
        <v/>
      </c>
      <c r="BC121" s="3">
        <f>IFERROR(BB121/H121,"")</f>
        <v/>
      </c>
      <c r="BD121">
        <f>IF(AND($G121=TRUE,$E121="GKP"),AZ121,"")</f>
        <v/>
      </c>
      <c r="BE121">
        <f>IF(AND($G121=TRUE,$E121="DEF"),AZ121,"")</f>
        <v/>
      </c>
      <c r="BF121">
        <f>IF(AND($G121=TRUE,$E121="MID"),AZ121,"")</f>
        <v/>
      </c>
      <c r="BG121">
        <f>IF(AND($G121=TRUE,$E121="FWD"),AZ121,"")</f>
        <v/>
      </c>
      <c r="BH121" t="n">
        <v>2</v>
      </c>
      <c r="BI121" t="n">
        <v>2</v>
      </c>
      <c r="BJ121" t="n">
        <v>4</v>
      </c>
      <c r="BK121" t="n">
        <v>6</v>
      </c>
    </row>
    <row r="122">
      <c r="A122" t="inlineStr">
        <is>
          <t>John McGinn</t>
        </is>
      </c>
      <c r="B122" t="inlineStr">
        <is>
          <t>AVL</t>
        </is>
      </c>
      <c r="C122" t="inlineStr">
        <is>
          <t>AVL</t>
        </is>
      </c>
      <c r="D122" t="b">
        <v>0</v>
      </c>
      <c r="E122" t="inlineStr">
        <is>
          <t>MID</t>
        </is>
      </c>
      <c r="F122" t="inlineStr">
        <is>
          <t>MID</t>
        </is>
      </c>
      <c r="G122" t="b">
        <v>1</v>
      </c>
      <c r="H122" s="2" t="n">
        <v>5.5</v>
      </c>
      <c r="I122" t="inlineStr">
        <is>
          <t>a</t>
        </is>
      </c>
      <c r="K122" s="2" t="n">
        <v>2136</v>
      </c>
      <c r="L122" t="n">
        <v>103</v>
      </c>
      <c r="M122" s="3" t="n">
        <v>2844</v>
      </c>
      <c r="N122" s="8" t="n">
        <v>2844</v>
      </c>
      <c r="O122" s="8" t="n">
        <v>0</v>
      </c>
      <c r="Q122" t="inlineStr">
        <is>
          <t>flat</t>
        </is>
      </c>
      <c r="R122" s="6" t="n">
        <v>2844</v>
      </c>
      <c r="S122" t="inlineStr">
        <is>
          <t>Solio</t>
        </is>
      </c>
      <c r="U122" s="6" t="n">
        <v>76</v>
      </c>
      <c r="V122" s="2" t="n">
        <v>28</v>
      </c>
      <c r="W122" s="7">
        <f>IF(N(U122)&lt;=0,0,MIN(Assumptions!$B$15,N(R122)/N(U122)))</f>
        <v/>
      </c>
      <c r="X122" s="6" t="n">
        <v>0.273</v>
      </c>
      <c r="Y122" s="3" t="n">
        <v>0.1222</v>
      </c>
      <c r="Z122" t="inlineStr">
        <is>
          <t>adjusted xGOT</t>
        </is>
      </c>
      <c r="AA122" s="3" t="n">
        <v>1</v>
      </c>
      <c r="AB122" s="3" t="n">
        <v>0.967</v>
      </c>
      <c r="AC122" s="3" t="n">
        <v>13.5</v>
      </c>
      <c r="AD122" s="3" t="n">
        <v>0.189</v>
      </c>
      <c r="AE122" s="3" t="n">
        <v>6.889</v>
      </c>
      <c r="AF122" s="3" t="n">
        <v>0.01628176959757188</v>
      </c>
      <c r="AG122" s="3" t="n">
        <v>6.661</v>
      </c>
      <c r="AH122" s="3" t="n">
        <v>0.242554875</v>
      </c>
      <c r="AI122" s="3" t="n">
        <v>55</v>
      </c>
      <c r="AJ122" s="3" t="n">
        <v>2.7451</v>
      </c>
      <c r="AK122" s="3" t="n">
        <v>1.3575</v>
      </c>
      <c r="AL122" s="3" t="n">
        <v>-0.252321156696781</v>
      </c>
      <c r="AM122" s="6" t="n">
        <v>0</v>
      </c>
      <c r="AN122" s="3" t="n">
        <v>0</v>
      </c>
      <c r="AO122" s="3" t="n">
        <v>0.611</v>
      </c>
      <c r="AP122" s="3" t="n">
        <v>0.74844</v>
      </c>
      <c r="AQ122" s="3">
        <f>N(X122)*N(BJ122)</f>
        <v/>
      </c>
      <c r="AR122" s="3" t="n">
        <v>0</v>
      </c>
      <c r="AS122" s="3" t="n">
        <v>-0</v>
      </c>
      <c r="AT122" s="3" t="n">
        <v>-0.252321156696781</v>
      </c>
      <c r="AU122" s="3">
        <f>SUM(AO122:AT122)</f>
        <v/>
      </c>
      <c r="AV122" s="7">
        <f>IF(OR(N(W122)&lt;=0,N(BH122)=0),0,N(W122)*IF(N(R122)/N(W122)&gt;=60,N(BH122),1))</f>
        <v/>
      </c>
      <c r="AW122" s="7">
        <f>N(W122)*N(AF122)*N(BI122)</f>
        <v/>
      </c>
      <c r="AX122" s="3">
        <f>IF(N(BH122)=0,0,N(W122)*N(AH122))</f>
        <v/>
      </c>
      <c r="AY122" s="7">
        <f>N(AM122)*(Assumptions!$B$13*N(BK122)-(1-Assumptions!$B$13)*Assumptions!$B$14)+N(AN122)</f>
        <v/>
      </c>
      <c r="AZ122" s="7">
        <f>N(AU122)*N(R122)/90+N(AV122)+N(AW122)+N(AX122)+N(AY122)</f>
        <v/>
      </c>
      <c r="BA122" s="3">
        <f>IF(N(R122)&lt;=0,0,(N(AZ122)-N(AY122))*90/N(R122))</f>
        <v/>
      </c>
      <c r="BB122" s="7">
        <f>IFERROR(AZ122-VLOOKUP($E122,Assumptions!$A$40:$C$43,3,FALSE),"")</f>
        <v/>
      </c>
      <c r="BC122" s="3">
        <f>IFERROR(BB122/H122,"")</f>
        <v/>
      </c>
      <c r="BD122">
        <f>IF(AND($G122=TRUE,$E122="GKP"),AZ122,"")</f>
        <v/>
      </c>
      <c r="BE122">
        <f>IF(AND($G122=TRUE,$E122="DEF"),AZ122,"")</f>
        <v/>
      </c>
      <c r="BF122">
        <f>IF(AND($G122=TRUE,$E122="MID"),AZ122,"")</f>
        <v/>
      </c>
      <c r="BG122">
        <f>IF(AND($G122=TRUE,$E122="FWD"),AZ122,"")</f>
        <v/>
      </c>
      <c r="BH122" t="n">
        <v>2</v>
      </c>
      <c r="BI122" t="n">
        <v>2</v>
      </c>
      <c r="BJ122" t="n">
        <v>1</v>
      </c>
      <c r="BK122" t="n">
        <v>5</v>
      </c>
    </row>
    <row r="123">
      <c r="A123" t="inlineStr">
        <is>
          <t>Emiliano Buendía</t>
        </is>
      </c>
      <c r="B123" t="inlineStr">
        <is>
          <t>AVL</t>
        </is>
      </c>
      <c r="C123" t="inlineStr">
        <is>
          <t>AVL</t>
        </is>
      </c>
      <c r="D123" t="b">
        <v>0</v>
      </c>
      <c r="E123" t="inlineStr">
        <is>
          <t>MID</t>
        </is>
      </c>
      <c r="F123" t="inlineStr">
        <is>
          <t>MID</t>
        </is>
      </c>
      <c r="G123" t="b">
        <v>1</v>
      </c>
      <c r="H123" s="2" t="n">
        <v>6</v>
      </c>
      <c r="I123" t="inlineStr">
        <is>
          <t>a</t>
        </is>
      </c>
      <c r="K123" s="2" t="n">
        <v>1753</v>
      </c>
      <c r="L123" t="n">
        <v>102</v>
      </c>
      <c r="M123" s="3" t="n">
        <v>2776</v>
      </c>
      <c r="N123" s="8" t="n">
        <v>2776</v>
      </c>
      <c r="O123" s="8" t="n">
        <v>0</v>
      </c>
      <c r="Q123" t="inlineStr">
        <is>
          <t>flat</t>
        </is>
      </c>
      <c r="R123" s="6" t="n">
        <v>2776</v>
      </c>
      <c r="S123" t="inlineStr">
        <is>
          <t>Solio</t>
        </is>
      </c>
      <c r="U123" s="6" t="n">
        <v>71.8</v>
      </c>
      <c r="V123" s="2" t="n">
        <v>21</v>
      </c>
      <c r="W123" s="7">
        <f>IF(N(U123)&lt;=0,0,MIN(Assumptions!$B$15,N(R123)/N(U123)))</f>
        <v/>
      </c>
      <c r="X123" s="6" t="n">
        <v>0.273</v>
      </c>
      <c r="Y123" s="3" t="n">
        <v>0.157</v>
      </c>
      <c r="Z123" t="inlineStr">
        <is>
          <t>adjusted xGOT</t>
        </is>
      </c>
      <c r="AA123" s="3" t="n">
        <v>1</v>
      </c>
      <c r="AB123" s="3" t="n">
        <v>0.905</v>
      </c>
      <c r="AC123" s="3" t="n">
        <v>10.4</v>
      </c>
      <c r="AD123" s="3" t="n">
        <v>0.1503</v>
      </c>
      <c r="AE123" s="3" t="n">
        <v>9.667</v>
      </c>
      <c r="AF123" s="3" t="n">
        <v>0.09227044983751365</v>
      </c>
      <c r="AG123" s="3" t="n">
        <v>6.271</v>
      </c>
      <c r="AH123" s="3" t="n">
        <v>0.222364921</v>
      </c>
      <c r="AI123" s="3" t="n">
        <v>51</v>
      </c>
      <c r="AJ123" s="3" t="n">
        <v>2.7451</v>
      </c>
      <c r="AK123" s="3" t="n">
        <v>1.3575</v>
      </c>
      <c r="AL123" s="3" t="n">
        <v>-0.2880579955741491</v>
      </c>
      <c r="AM123" s="6" t="n">
        <v>4.201881467969086</v>
      </c>
      <c r="AN123" s="3" t="n">
        <v>0</v>
      </c>
      <c r="AO123" s="3" t="n">
        <v>0.785</v>
      </c>
      <c r="AP123" s="3" t="n">
        <v>0.5951879999999999</v>
      </c>
      <c r="AQ123" s="3">
        <f>N(X123)*N(BJ123)</f>
        <v/>
      </c>
      <c r="AR123" s="3" t="n">
        <v>0</v>
      </c>
      <c r="AS123" s="3" t="n">
        <v>-0</v>
      </c>
      <c r="AT123" s="3" t="n">
        <v>-0.2880579955741491</v>
      </c>
      <c r="AU123" s="3">
        <f>SUM(AO123:AT123)</f>
        <v/>
      </c>
      <c r="AV123" s="7">
        <f>IF(OR(N(W123)&lt;=0,N(BH123)=0),0,N(W123)*IF(N(R123)/N(W123)&gt;=60,N(BH123),1))</f>
        <v/>
      </c>
      <c r="AW123" s="7">
        <f>N(W123)*N(AF123)*N(BI123)</f>
        <v/>
      </c>
      <c r="AX123" s="3">
        <f>IF(N(BH123)=0,0,N(W123)*N(AH123))</f>
        <v/>
      </c>
      <c r="AY123" s="7">
        <f>N(AM123)*(Assumptions!$B$13*N(BK123)-(1-Assumptions!$B$13)*Assumptions!$B$14)+N(AN123)</f>
        <v/>
      </c>
      <c r="AZ123" s="7">
        <f>N(AU123)*N(R123)/90+N(AV123)+N(AW123)+N(AX123)+N(AY123)</f>
        <v/>
      </c>
      <c r="BA123" s="3">
        <f>IF(N(R123)&lt;=0,0,(N(AZ123)-N(AY123))*90/N(R123))</f>
        <v/>
      </c>
      <c r="BB123" s="7">
        <f>IFERROR(AZ123-VLOOKUP($E123,Assumptions!$A$40:$C$43,3,FALSE),"")</f>
        <v/>
      </c>
      <c r="BC123" s="3">
        <f>IFERROR(BB123/H123,"")</f>
        <v/>
      </c>
      <c r="BD123">
        <f>IF(AND($G123=TRUE,$E123="GKP"),AZ123,"")</f>
        <v/>
      </c>
      <c r="BE123">
        <f>IF(AND($G123=TRUE,$E123="DEF"),AZ123,"")</f>
        <v/>
      </c>
      <c r="BF123">
        <f>IF(AND($G123=TRUE,$E123="MID"),AZ123,"")</f>
        <v/>
      </c>
      <c r="BG123">
        <f>IF(AND($G123=TRUE,$E123="FWD"),AZ123,"")</f>
        <v/>
      </c>
      <c r="BH123" t="n">
        <v>2</v>
      </c>
      <c r="BI123" t="n">
        <v>2</v>
      </c>
      <c r="BJ123" t="n">
        <v>1</v>
      </c>
      <c r="BK123" t="n">
        <v>5</v>
      </c>
    </row>
    <row r="124">
      <c r="A124" t="inlineStr">
        <is>
          <t>Ezri Konsa</t>
        </is>
      </c>
      <c r="B124" t="inlineStr">
        <is>
          <t>AVL</t>
        </is>
      </c>
      <c r="C124" t="inlineStr">
        <is>
          <t>AVL</t>
        </is>
      </c>
      <c r="D124" t="b">
        <v>0</v>
      </c>
      <c r="E124" t="inlineStr">
        <is>
          <t>DEF</t>
        </is>
      </c>
      <c r="F124" t="inlineStr">
        <is>
          <t>DEF</t>
        </is>
      </c>
      <c r="G124" t="b">
        <v>1</v>
      </c>
      <c r="H124" s="2" t="n">
        <v>4.5</v>
      </c>
      <c r="I124" t="inlineStr">
        <is>
          <t>a</t>
        </is>
      </c>
      <c r="K124" s="2" t="n">
        <v>3035</v>
      </c>
      <c r="L124" t="n">
        <v>100</v>
      </c>
      <c r="M124" s="3" t="n">
        <v>3340</v>
      </c>
      <c r="N124" s="4" t="n">
        <v>3050</v>
      </c>
      <c r="O124" s="4" t="n">
        <v>-290</v>
      </c>
      <c r="P124" s="5" t="inlineStr">
        <is>
          <t>medium</t>
        </is>
      </c>
      <c r="Q124" t="inlineStr">
        <is>
          <t>flat</t>
        </is>
      </c>
      <c r="R124" s="6" t="n">
        <v>3050</v>
      </c>
      <c r="S124" t="inlineStr">
        <is>
          <t>research</t>
        </is>
      </c>
      <c r="T124" s="5" t="inlineStr">
        <is>
          <t>Played to England's World Cup third-place playoff on 19 July, was given four weeks off by Emery plus an extra week, and only returned to training in the week of 10 August. No pre-season minutes, missed the Super Cup. Emery said explicitly he is managing the load of the World Cup returnees. Set close to his actual 3,035 from 2025/26 rather than above it.</t>
        </is>
      </c>
      <c r="U124" s="6" t="n">
        <v>89</v>
      </c>
      <c r="V124" s="2" t="n">
        <v>33</v>
      </c>
      <c r="W124" s="7">
        <f>IF(N(U124)&lt;=0,0,MIN(Assumptions!$B$15,N(R124)/N(U124)))</f>
        <v/>
      </c>
      <c r="X124" s="6" t="n">
        <v>0.273</v>
      </c>
      <c r="Y124" s="3" t="n">
        <v>0.0313</v>
      </c>
      <c r="Z124" t="inlineStr">
        <is>
          <t>adjusted xGOT</t>
        </is>
      </c>
      <c r="AA124" s="3" t="n">
        <v>1</v>
      </c>
      <c r="AB124" s="3" t="n">
        <v>0.831</v>
      </c>
      <c r="AC124" s="3" t="n">
        <v>6.2</v>
      </c>
      <c r="AD124" s="3" t="n">
        <v>0.0177</v>
      </c>
      <c r="AE124" s="3" t="n">
        <v>6.171</v>
      </c>
      <c r="AF124" s="3" t="n">
        <v>0.09115589374114308</v>
      </c>
      <c r="AG124" s="3" t="n">
        <v>9.321999999999999</v>
      </c>
      <c r="AH124" s="3" t="n">
        <v>0.227395317</v>
      </c>
      <c r="AI124" s="3" t="n">
        <v>68</v>
      </c>
      <c r="AJ124" s="3" t="n">
        <v>2.7451</v>
      </c>
      <c r="AK124" s="3" t="n">
        <v>1.3575</v>
      </c>
      <c r="AL124" s="3" t="n">
        <v>-0.0879156393384785</v>
      </c>
      <c r="AM124" s="6" t="n">
        <v>0</v>
      </c>
      <c r="AN124" s="3" t="n">
        <v>0</v>
      </c>
      <c r="AO124" s="3" t="n">
        <v>0.1878</v>
      </c>
      <c r="AP124" s="3" t="n">
        <v>0.070092</v>
      </c>
      <c r="AQ124" s="3">
        <f>N(X124)*N(BJ124)</f>
        <v/>
      </c>
      <c r="AR124" s="3" t="n">
        <v>0</v>
      </c>
      <c r="AS124" s="3" t="n">
        <v>-0.4453012382517575</v>
      </c>
      <c r="AT124" s="3" t="n">
        <v>-0.0879156393384785</v>
      </c>
      <c r="AU124" s="3">
        <f>SUM(AO124:AT124)</f>
        <v/>
      </c>
      <c r="AV124" s="7">
        <f>IF(OR(N(W124)&lt;=0,N(BH124)=0),0,N(W124)*IF(N(R124)/N(W124)&gt;=60,N(BH124),1))</f>
        <v/>
      </c>
      <c r="AW124" s="7">
        <f>N(W124)*N(AF124)*N(BI124)</f>
        <v/>
      </c>
      <c r="AX124" s="3">
        <f>IF(N(BH124)=0,0,N(W124)*N(AH124))</f>
        <v/>
      </c>
      <c r="AY124" s="7">
        <f>N(AM124)*(Assumptions!$B$13*N(BK124)-(1-Assumptions!$B$13)*Assumptions!$B$14)+N(AN124)</f>
        <v/>
      </c>
      <c r="AZ124" s="7">
        <f>N(AU124)*N(R124)/90+N(AV124)+N(AW124)+N(AX124)+N(AY124)</f>
        <v/>
      </c>
      <c r="BA124" s="3">
        <f>IF(N(R124)&lt;=0,0,(N(AZ124)-N(AY124))*90/N(R124))</f>
        <v/>
      </c>
      <c r="BB124" s="7">
        <f>IFERROR(AZ124-VLOOKUP($E124,Assumptions!$A$40:$C$43,3,FALSE),"")</f>
        <v/>
      </c>
      <c r="BC124" s="3">
        <f>IFERROR(BB124/H124,"")</f>
        <v/>
      </c>
      <c r="BD124">
        <f>IF(AND($G124=TRUE,$E124="GKP"),AZ124,"")</f>
        <v/>
      </c>
      <c r="BE124">
        <f>IF(AND($G124=TRUE,$E124="DEF"),AZ124,"")</f>
        <v/>
      </c>
      <c r="BF124">
        <f>IF(AND($G124=TRUE,$E124="MID"),AZ124,"")</f>
        <v/>
      </c>
      <c r="BG124">
        <f>IF(AND($G124=TRUE,$E124="FWD"),AZ124,"")</f>
        <v/>
      </c>
      <c r="BH124" t="n">
        <v>2</v>
      </c>
      <c r="BI124" t="n">
        <v>2</v>
      </c>
      <c r="BJ124" t="n">
        <v>4</v>
      </c>
      <c r="BK124" t="n">
        <v>6</v>
      </c>
    </row>
    <row r="125">
      <c r="A125" t="inlineStr">
        <is>
          <t>Lewis Dunk</t>
        </is>
      </c>
      <c r="B125" t="inlineStr">
        <is>
          <t>BHA</t>
        </is>
      </c>
      <c r="C125" t="inlineStr">
        <is>
          <t>BHA</t>
        </is>
      </c>
      <c r="D125" t="b">
        <v>0</v>
      </c>
      <c r="E125" t="inlineStr">
        <is>
          <t>DEF</t>
        </is>
      </c>
      <c r="F125" t="inlineStr">
        <is>
          <t>DEF</t>
        </is>
      </c>
      <c r="G125" t="b">
        <v>1</v>
      </c>
      <c r="H125" s="2" t="n">
        <v>4.5</v>
      </c>
      <c r="I125" t="inlineStr">
        <is>
          <t>a</t>
        </is>
      </c>
      <c r="K125" s="2" t="n">
        <v>2837</v>
      </c>
      <c r="L125" t="n">
        <v>100</v>
      </c>
      <c r="M125" s="3" t="n">
        <v>1898</v>
      </c>
      <c r="N125" s="4" t="n">
        <v>1000</v>
      </c>
      <c r="O125" s="4" t="n">
        <v>-898</v>
      </c>
      <c r="P125" s="5" t="inlineStr">
        <is>
          <t>medium</t>
        </is>
      </c>
      <c r="Q125" t="inlineStr">
        <is>
          <t>flat</t>
        </is>
      </c>
      <c r="R125" s="6" t="n">
        <v>1000</v>
      </c>
      <c r="S125" t="inlineStr">
        <is>
          <t>research</t>
        </is>
      </c>
      <c r="T125" s="5" t="inlineStr">
        <is>
          <t>Came off the BENCH in both August friendlies (on at 45' v Roma, on at 66' v Bologna) while Vuskovic and Boscagli started. We Are Brighton's centre-back analysis (11 Aug) concludes this scenario 'would likely relegate Lewis Dunk to cup competitions'. He turns 35 in November and Brighton spent roughly GBP 65m on Vuskovic, Struijk and Svoboda this summer after selling van Hecke. Retained a meaningful figure because he is club captain and injuries in a five-CB group are certain.</t>
        </is>
      </c>
      <c r="U125" s="6" t="n">
        <v>88.90000000000001</v>
      </c>
      <c r="V125" s="2" t="n">
        <v>31</v>
      </c>
      <c r="W125" s="7">
        <f>IF(N(U125)&lt;=0,0,MIN(Assumptions!$B$15,N(R125)/N(U125)))</f>
        <v/>
      </c>
      <c r="X125" s="6" t="n">
        <v>0.252</v>
      </c>
      <c r="Y125" s="3" t="n">
        <v>0.0518</v>
      </c>
      <c r="Z125" t="inlineStr">
        <is>
          <t>adjusted xGOT</t>
        </is>
      </c>
      <c r="AA125" s="3" t="n">
        <v>1</v>
      </c>
      <c r="AB125" s="3" t="n">
        <v>0.893</v>
      </c>
      <c r="AC125" s="3" t="n">
        <v>7.5</v>
      </c>
      <c r="AD125" s="3" t="n">
        <v>0.0175</v>
      </c>
      <c r="AE125" s="3" t="n">
        <v>7.4</v>
      </c>
      <c r="AF125" s="3" t="n">
        <v>0.2022284073503849</v>
      </c>
      <c r="AG125" s="3" t="n">
        <v>9.289</v>
      </c>
      <c r="AH125" s="3" t="n">
        <v>0.2368429641</v>
      </c>
      <c r="AI125" s="3" t="n">
        <v>64</v>
      </c>
      <c r="AJ125" s="3" t="n">
        <v>2.8404</v>
      </c>
      <c r="AK125" s="3" t="n">
        <v>1.439</v>
      </c>
      <c r="AL125" s="3" t="n">
        <v>-0.2684546345789187</v>
      </c>
      <c r="AM125" s="6" t="n">
        <v>0</v>
      </c>
      <c r="AN125" s="3" t="n">
        <v>0</v>
      </c>
      <c r="AO125" s="3" t="n">
        <v>0.3108</v>
      </c>
      <c r="AP125" s="3" t="n">
        <v>0.06930000000000001</v>
      </c>
      <c r="AQ125" s="3">
        <f>N(X125)*N(BJ125)</f>
        <v/>
      </c>
      <c r="AR125" s="3" t="n">
        <v>0</v>
      </c>
      <c r="AS125" s="3" t="n">
        <v>-0.4835617861760246</v>
      </c>
      <c r="AT125" s="3" t="n">
        <v>-0.2684546345789187</v>
      </c>
      <c r="AU125" s="3">
        <f>SUM(AO125:AT125)</f>
        <v/>
      </c>
      <c r="AV125" s="7">
        <f>IF(OR(N(W125)&lt;=0,N(BH125)=0),0,N(W125)*IF(N(R125)/N(W125)&gt;=60,N(BH125),1))</f>
        <v/>
      </c>
      <c r="AW125" s="7">
        <f>N(W125)*N(AF125)*N(BI125)</f>
        <v/>
      </c>
      <c r="AX125" s="3">
        <f>IF(N(BH125)=0,0,N(W125)*N(AH125))</f>
        <v/>
      </c>
      <c r="AY125" s="7">
        <f>N(AM125)*(Assumptions!$B$13*N(BK125)-(1-Assumptions!$B$13)*Assumptions!$B$14)+N(AN125)</f>
        <v/>
      </c>
      <c r="AZ125" s="7">
        <f>N(AU125)*N(R125)/90+N(AV125)+N(AW125)+N(AX125)+N(AY125)</f>
        <v/>
      </c>
      <c r="BA125" s="3">
        <f>IF(N(R125)&lt;=0,0,(N(AZ125)-N(AY125))*90/N(R125))</f>
        <v/>
      </c>
      <c r="BB125" s="7">
        <f>IFERROR(AZ125-VLOOKUP($E125,Assumptions!$A$40:$C$43,3,FALSE),"")</f>
        <v/>
      </c>
      <c r="BC125" s="3">
        <f>IFERROR(BB125/H125,"")</f>
        <v/>
      </c>
      <c r="BD125">
        <f>IF(AND($G125=TRUE,$E125="GKP"),AZ125,"")</f>
        <v/>
      </c>
      <c r="BE125">
        <f>IF(AND($G125=TRUE,$E125="DEF"),AZ125,"")</f>
        <v/>
      </c>
      <c r="BF125">
        <f>IF(AND($G125=TRUE,$E125="MID"),AZ125,"")</f>
        <v/>
      </c>
      <c r="BG125">
        <f>IF(AND($G125=TRUE,$E125="FWD"),AZ125,"")</f>
        <v/>
      </c>
      <c r="BH125" t="n">
        <v>2</v>
      </c>
      <c r="BI125" t="n">
        <v>2</v>
      </c>
      <c r="BJ125" t="n">
        <v>4</v>
      </c>
      <c r="BK125" t="n">
        <v>6</v>
      </c>
    </row>
    <row r="126">
      <c r="A126" t="inlineStr">
        <is>
          <t>Jaka Bijol</t>
        </is>
      </c>
      <c r="B126" t="inlineStr">
        <is>
          <t>LEE</t>
        </is>
      </c>
      <c r="C126" t="inlineStr">
        <is>
          <t>LEE</t>
        </is>
      </c>
      <c r="D126" t="b">
        <v>0</v>
      </c>
      <c r="E126" t="inlineStr">
        <is>
          <t>DEF</t>
        </is>
      </c>
      <c r="F126" t="inlineStr">
        <is>
          <t>DEF</t>
        </is>
      </c>
      <c r="G126" t="b">
        <v>1</v>
      </c>
      <c r="H126" s="2" t="n">
        <v>5</v>
      </c>
      <c r="I126" t="inlineStr">
        <is>
          <t>a</t>
        </is>
      </c>
      <c r="K126" s="2" t="n">
        <v>1888</v>
      </c>
      <c r="L126" t="n">
        <v>99</v>
      </c>
      <c r="M126" s="3" t="n">
        <v>2046</v>
      </c>
      <c r="N126" s="4" t="n">
        <v>2500</v>
      </c>
      <c r="O126" s="4" t="n">
        <v>454</v>
      </c>
      <c r="P126" s="5" t="inlineStr">
        <is>
          <t>medium</t>
        </is>
      </c>
      <c r="Q126" t="inlineStr">
        <is>
          <t>flat</t>
        </is>
      </c>
      <c r="R126" s="6" t="n">
        <v>2500</v>
      </c>
      <c r="S126" t="inlineStr">
        <is>
          <t>research</t>
        </is>
      </c>
      <c r="T126" s="5" t="inlineStr">
        <is>
          <t>Solio appears to be carrying forward last season's 1888 minutes, which were suppressed by rotation with Pascal Struijk. Struijk has been sold to Brighton (Transfermarkt: EUR 23.2m; Wikipedia: GBP 15m), removing a direct competitor for the third centre-back slot. Bijol started the final friendly in the back three alongside Rodon and Muharemovic, and the only other senior centre-back, Bornauw, is being courted by HSV. Held back from a full starter's allocation because Elvedi's arrival is reported close.</t>
        </is>
      </c>
      <c r="U126" s="6" t="n">
        <v>85.3</v>
      </c>
      <c r="V126" s="2" t="n">
        <v>21</v>
      </c>
      <c r="W126" s="7">
        <f>IF(N(U126)&lt;=0,0,MIN(Assumptions!$B$15,N(R126)/N(U126)))</f>
        <v/>
      </c>
      <c r="X126" s="6" t="n">
        <v>0.218</v>
      </c>
      <c r="Y126" s="3" t="n">
        <v>0.0424</v>
      </c>
      <c r="Z126" t="inlineStr">
        <is>
          <t>adjusted xGOT</t>
        </is>
      </c>
      <c r="AA126" s="3" t="n">
        <v>1</v>
      </c>
      <c r="AB126" s="3" t="n">
        <v>0.989</v>
      </c>
      <c r="AC126" s="3" t="n">
        <v>0.9</v>
      </c>
      <c r="AD126" s="3" t="n">
        <v>0.0512</v>
      </c>
      <c r="AE126" s="3" t="n">
        <v>9.679</v>
      </c>
      <c r="AF126" s="3" t="n">
        <v>0.4354441515097367</v>
      </c>
      <c r="AG126" s="3" t="n">
        <v>7.737</v>
      </c>
      <c r="AH126" s="3" t="n">
        <v>0.1665632347</v>
      </c>
      <c r="AI126" s="3" t="n">
        <v>46</v>
      </c>
      <c r="AJ126" s="3" t="n">
        <v>3.0611</v>
      </c>
      <c r="AK126" s="3" t="n">
        <v>1.5875</v>
      </c>
      <c r="AL126" s="3" t="n">
        <v>-0.2086948344647888</v>
      </c>
      <c r="AM126" s="6" t="n">
        <v>0</v>
      </c>
      <c r="AN126" s="3" t="n">
        <v>0</v>
      </c>
      <c r="AO126" s="3" t="n">
        <v>0.2544</v>
      </c>
      <c r="AP126" s="3" t="n">
        <v>0.202752</v>
      </c>
      <c r="AQ126" s="3">
        <f>N(X126)*N(BJ126)</f>
        <v/>
      </c>
      <c r="AR126" s="3" t="n">
        <v>0</v>
      </c>
      <c r="AS126" s="3" t="n">
        <v>-0.5541985260210861</v>
      </c>
      <c r="AT126" s="3" t="n">
        <v>-0.2086948344647888</v>
      </c>
      <c r="AU126" s="3">
        <f>SUM(AO126:AT126)</f>
        <v/>
      </c>
      <c r="AV126" s="7">
        <f>IF(OR(N(W126)&lt;=0,N(BH126)=0),0,N(W126)*IF(N(R126)/N(W126)&gt;=60,N(BH126),1))</f>
        <v/>
      </c>
      <c r="AW126" s="7">
        <f>N(W126)*N(AF126)*N(BI126)</f>
        <v/>
      </c>
      <c r="AX126" s="3">
        <f>IF(N(BH126)=0,0,N(W126)*N(AH126))</f>
        <v/>
      </c>
      <c r="AY126" s="7">
        <f>N(AM126)*(Assumptions!$B$13*N(BK126)-(1-Assumptions!$B$13)*Assumptions!$B$14)+N(AN126)</f>
        <v/>
      </c>
      <c r="AZ126" s="7">
        <f>N(AU126)*N(R126)/90+N(AV126)+N(AW126)+N(AX126)+N(AY126)</f>
        <v/>
      </c>
      <c r="BA126" s="3">
        <f>IF(N(R126)&lt;=0,0,(N(AZ126)-N(AY126))*90/N(R126))</f>
        <v/>
      </c>
      <c r="BB126" s="7">
        <f>IFERROR(AZ126-VLOOKUP($E126,Assumptions!$A$40:$C$43,3,FALSE),"")</f>
        <v/>
      </c>
      <c r="BC126" s="3">
        <f>IFERROR(BB126/H126,"")</f>
        <v/>
      </c>
      <c r="BD126">
        <f>IF(AND($G126=TRUE,$E126="GKP"),AZ126,"")</f>
        <v/>
      </c>
      <c r="BE126">
        <f>IF(AND($G126=TRUE,$E126="DEF"),AZ126,"")</f>
        <v/>
      </c>
      <c r="BF126">
        <f>IF(AND($G126=TRUE,$E126="MID"),AZ126,"")</f>
        <v/>
      </c>
      <c r="BG126">
        <f>IF(AND($G126=TRUE,$E126="FWD"),AZ126,"")</f>
        <v/>
      </c>
      <c r="BH126" t="n">
        <v>2</v>
      </c>
      <c r="BI126" t="n">
        <v>2</v>
      </c>
      <c r="BJ126" t="n">
        <v>4</v>
      </c>
      <c r="BK126" t="n">
        <v>6</v>
      </c>
    </row>
    <row r="127">
      <c r="A127" t="inlineStr">
        <is>
          <t>Yasin Ayari</t>
        </is>
      </c>
      <c r="B127" t="inlineStr">
        <is>
          <t>BHA</t>
        </is>
      </c>
      <c r="C127" t="inlineStr">
        <is>
          <t>BHA</t>
        </is>
      </c>
      <c r="D127" t="b">
        <v>0</v>
      </c>
      <c r="E127" t="inlineStr">
        <is>
          <t>MID</t>
        </is>
      </c>
      <c r="F127" t="inlineStr">
        <is>
          <t>MID</t>
        </is>
      </c>
      <c r="G127" t="b">
        <v>1</v>
      </c>
      <c r="H127" s="2" t="n">
        <v>5.5</v>
      </c>
      <c r="I127" t="inlineStr">
        <is>
          <t>a</t>
        </is>
      </c>
      <c r="K127" s="2" t="n">
        <v>1921</v>
      </c>
      <c r="L127" t="n">
        <v>98</v>
      </c>
      <c r="M127" s="3" t="n">
        <v>1402</v>
      </c>
      <c r="N127" s="4" t="n">
        <v>2000</v>
      </c>
      <c r="O127" s="4" t="n">
        <v>598</v>
      </c>
      <c r="P127" s="5" t="inlineStr">
        <is>
          <t>medium</t>
        </is>
      </c>
      <c r="Q127" t="inlineStr">
        <is>
          <t>fade (losing his place)</t>
        </is>
      </c>
      <c r="R127" s="6" t="n">
        <v>2000</v>
      </c>
      <c r="S127" t="inlineStr">
        <is>
          <t>research</t>
        </is>
      </c>
      <c r="T127" s="5" t="inlineStr">
        <is>
          <t>Solio flags 'fade (losing his place)' and cuts him from 1921 minutes to 1402, but he started in central midfield in both August friendlies and scored twice against Roma. Sports Mole's 14 Aug team news names him and Gross as the expected pivot. Capped at 2000 rather than higher because Baleba returns from an ankle injury around 23 Aug and directly competes for the same slot.</t>
        </is>
      </c>
      <c r="U127" s="6" t="n">
        <v>84.3</v>
      </c>
      <c r="V127" s="2" t="n">
        <v>20</v>
      </c>
      <c r="W127" s="7">
        <f>IF(N(U127)&lt;=0,0,MIN(Assumptions!$B$15,N(R127)/N(U127)))</f>
        <v/>
      </c>
      <c r="X127" s="6" t="n">
        <v>0.252</v>
      </c>
      <c r="Y127" s="3" t="n">
        <v>0.1272</v>
      </c>
      <c r="Z127" t="inlineStr">
        <is>
          <t>adjusted xGOT</t>
        </is>
      </c>
      <c r="AA127" s="3" t="n">
        <v>1</v>
      </c>
      <c r="AB127" s="3" t="n">
        <v>1.005</v>
      </c>
      <c r="AC127" s="3" t="n">
        <v>5.2</v>
      </c>
      <c r="AD127" s="3" t="n">
        <v>0.0598</v>
      </c>
      <c r="AE127" s="3" t="n">
        <v>10.006</v>
      </c>
      <c r="AF127" s="3" t="n">
        <v>0.234529238374678</v>
      </c>
      <c r="AG127" s="3" t="n">
        <v>7.362</v>
      </c>
      <c r="AH127" s="3" t="n">
        <v>0.240124087</v>
      </c>
      <c r="AI127" s="3" t="n">
        <v>49</v>
      </c>
      <c r="AJ127" s="3" t="n">
        <v>2.8404</v>
      </c>
      <c r="AK127" s="3" t="n">
        <v>1.439</v>
      </c>
      <c r="AL127" s="3" t="n">
        <v>-0.1474051509917553</v>
      </c>
      <c r="AM127" s="6" t="n">
        <v>0</v>
      </c>
      <c r="AN127" s="3" t="n">
        <v>0</v>
      </c>
      <c r="AO127" s="3" t="n">
        <v>0.636</v>
      </c>
      <c r="AP127" s="3" t="n">
        <v>0.236808</v>
      </c>
      <c r="AQ127" s="3">
        <f>N(X127)*N(BJ127)</f>
        <v/>
      </c>
      <c r="AR127" s="3" t="n">
        <v>0</v>
      </c>
      <c r="AS127" s="3" t="n">
        <v>-0</v>
      </c>
      <c r="AT127" s="3" t="n">
        <v>-0.1474051509917553</v>
      </c>
      <c r="AU127" s="3">
        <f>SUM(AO127:AT127)</f>
        <v/>
      </c>
      <c r="AV127" s="7">
        <f>IF(OR(N(W127)&lt;=0,N(BH127)=0),0,N(W127)*IF(N(R127)/N(W127)&gt;=60,N(BH127),1))</f>
        <v/>
      </c>
      <c r="AW127" s="7">
        <f>N(W127)*N(AF127)*N(BI127)</f>
        <v/>
      </c>
      <c r="AX127" s="3">
        <f>IF(N(BH127)=0,0,N(W127)*N(AH127))</f>
        <v/>
      </c>
      <c r="AY127" s="7">
        <f>N(AM127)*(Assumptions!$B$13*N(BK127)-(1-Assumptions!$B$13)*Assumptions!$B$14)+N(AN127)</f>
        <v/>
      </c>
      <c r="AZ127" s="7">
        <f>N(AU127)*N(R127)/90+N(AV127)+N(AW127)+N(AX127)+N(AY127)</f>
        <v/>
      </c>
      <c r="BA127" s="3">
        <f>IF(N(R127)&lt;=0,0,(N(AZ127)-N(AY127))*90/N(R127))</f>
        <v/>
      </c>
      <c r="BB127" s="7">
        <f>IFERROR(AZ127-VLOOKUP($E127,Assumptions!$A$40:$C$43,3,FALSE),"")</f>
        <v/>
      </c>
      <c r="BC127" s="3">
        <f>IFERROR(BB127/H127,"")</f>
        <v/>
      </c>
      <c r="BD127">
        <f>IF(AND($G127=TRUE,$E127="GKP"),AZ127,"")</f>
        <v/>
      </c>
      <c r="BE127">
        <f>IF(AND($G127=TRUE,$E127="DEF"),AZ127,"")</f>
        <v/>
      </c>
      <c r="BF127">
        <f>IF(AND($G127=TRUE,$E127="MID"),AZ127,"")</f>
        <v/>
      </c>
      <c r="BG127">
        <f>IF(AND($G127=TRUE,$E127="FWD"),AZ127,"")</f>
        <v/>
      </c>
      <c r="BH127" t="n">
        <v>2</v>
      </c>
      <c r="BI127" t="n">
        <v>2</v>
      </c>
      <c r="BJ127" t="n">
        <v>1</v>
      </c>
      <c r="BK127" t="n">
        <v>5</v>
      </c>
    </row>
    <row r="128">
      <c r="A128" t="inlineStr">
        <is>
          <t>Mathias Jensen</t>
        </is>
      </c>
      <c r="B128" t="inlineStr">
        <is>
          <t>BRE</t>
        </is>
      </c>
      <c r="C128" t="inlineStr">
        <is>
          <t>BRE</t>
        </is>
      </c>
      <c r="D128" t="b">
        <v>0</v>
      </c>
      <c r="E128" t="inlineStr">
        <is>
          <t>MID</t>
        </is>
      </c>
      <c r="F128" t="inlineStr">
        <is>
          <t>MID</t>
        </is>
      </c>
      <c r="G128" t="b">
        <v>1</v>
      </c>
      <c r="H128" s="2" t="n">
        <v>5.5</v>
      </c>
      <c r="I128" t="inlineStr">
        <is>
          <t>a</t>
        </is>
      </c>
      <c r="K128" s="2" t="n">
        <v>2239</v>
      </c>
      <c r="L128" t="n">
        <v>98</v>
      </c>
      <c r="M128" s="3" t="n">
        <v>1573</v>
      </c>
      <c r="N128" s="8" t="n">
        <v>1573</v>
      </c>
      <c r="O128" s="8" t="n">
        <v>0</v>
      </c>
      <c r="Q128" t="inlineStr">
        <is>
          <t>flat</t>
        </is>
      </c>
      <c r="R128" s="6" t="n">
        <v>1573</v>
      </c>
      <c r="S128" t="inlineStr">
        <is>
          <t>Solio</t>
        </is>
      </c>
      <c r="U128" s="6" t="n">
        <v>81</v>
      </c>
      <c r="V128" s="2" t="n">
        <v>26</v>
      </c>
      <c r="W128" s="7">
        <f>IF(N(U128)&lt;=0,0,MIN(Assumptions!$B$15,N(R128)/N(U128)))</f>
        <v/>
      </c>
      <c r="X128" s="6" t="n">
        <v>0.228</v>
      </c>
      <c r="Y128" s="3" t="n">
        <v>0.0882</v>
      </c>
      <c r="Z128" t="inlineStr">
        <is>
          <t>adjusted xGOT</t>
        </is>
      </c>
      <c r="AA128" s="3" t="n">
        <v>1</v>
      </c>
      <c r="AB128" s="3" t="n">
        <v>0.993</v>
      </c>
      <c r="AC128" s="3" t="n">
        <v>5.5</v>
      </c>
      <c r="AD128" s="3" t="n">
        <v>0.229</v>
      </c>
      <c r="AE128" s="3" t="n">
        <v>8.778</v>
      </c>
      <c r="AF128" s="3" t="n">
        <v>0.1048545787035969</v>
      </c>
      <c r="AG128" s="3" t="n">
        <v>8.042999999999999</v>
      </c>
      <c r="AH128" s="3" t="n">
        <v>0.2734180681</v>
      </c>
      <c r="AI128" s="3" t="n">
        <v>62</v>
      </c>
      <c r="AJ128" s="3" t="n">
        <v>3.2371</v>
      </c>
      <c r="AK128" s="3" t="n">
        <v>1.5396</v>
      </c>
      <c r="AL128" s="3" t="n">
        <v>-0.1834293757151458</v>
      </c>
      <c r="AM128" s="6" t="n">
        <v>0.0228187842591649</v>
      </c>
      <c r="AN128" s="3" t="n">
        <v>0</v>
      </c>
      <c r="AO128" s="3" t="n">
        <v>0.441</v>
      </c>
      <c r="AP128" s="3" t="n">
        <v>0.9068400000000001</v>
      </c>
      <c r="AQ128" s="3">
        <f>N(X128)*N(BJ128)</f>
        <v/>
      </c>
      <c r="AR128" s="3" t="n">
        <v>0</v>
      </c>
      <c r="AS128" s="3" t="n">
        <v>-0</v>
      </c>
      <c r="AT128" s="3" t="n">
        <v>-0.1834293757151458</v>
      </c>
      <c r="AU128" s="3">
        <f>SUM(AO128:AT128)</f>
        <v/>
      </c>
      <c r="AV128" s="7">
        <f>IF(OR(N(W128)&lt;=0,N(BH128)=0),0,N(W128)*IF(N(R128)/N(W128)&gt;=60,N(BH128),1))</f>
        <v/>
      </c>
      <c r="AW128" s="7">
        <f>N(W128)*N(AF128)*N(BI128)</f>
        <v/>
      </c>
      <c r="AX128" s="3">
        <f>IF(N(BH128)=0,0,N(W128)*N(AH128))</f>
        <v/>
      </c>
      <c r="AY128" s="7">
        <f>N(AM128)*(Assumptions!$B$13*N(BK128)-(1-Assumptions!$B$13)*Assumptions!$B$14)+N(AN128)</f>
        <v/>
      </c>
      <c r="AZ128" s="7">
        <f>N(AU128)*N(R128)/90+N(AV128)+N(AW128)+N(AX128)+N(AY128)</f>
        <v/>
      </c>
      <c r="BA128" s="3">
        <f>IF(N(R128)&lt;=0,0,(N(AZ128)-N(AY128))*90/N(R128))</f>
        <v/>
      </c>
      <c r="BB128" s="7">
        <f>IFERROR(AZ128-VLOOKUP($E128,Assumptions!$A$40:$C$43,3,FALSE),"")</f>
        <v/>
      </c>
      <c r="BC128" s="3">
        <f>IFERROR(BB128/H128,"")</f>
        <v/>
      </c>
      <c r="BD128">
        <f>IF(AND($G128=TRUE,$E128="GKP"),AZ128,"")</f>
        <v/>
      </c>
      <c r="BE128">
        <f>IF(AND($G128=TRUE,$E128="DEF"),AZ128,"")</f>
        <v/>
      </c>
      <c r="BF128">
        <f>IF(AND($G128=TRUE,$E128="MID"),AZ128,"")</f>
        <v/>
      </c>
      <c r="BG128">
        <f>IF(AND($G128=TRUE,$E128="FWD"),AZ128,"")</f>
        <v/>
      </c>
      <c r="BH128" t="n">
        <v>2</v>
      </c>
      <c r="BI128" t="n">
        <v>2</v>
      </c>
      <c r="BJ128" t="n">
        <v>1</v>
      </c>
      <c r="BK128" t="n">
        <v>5</v>
      </c>
    </row>
    <row r="129">
      <c r="A129" t="inlineStr">
        <is>
          <t>Diego Gómez</t>
        </is>
      </c>
      <c r="B129" t="inlineStr">
        <is>
          <t>BHA</t>
        </is>
      </c>
      <c r="C129" t="inlineStr">
        <is>
          <t>BHA</t>
        </is>
      </c>
      <c r="D129" t="b">
        <v>0</v>
      </c>
      <c r="E129" t="inlineStr">
        <is>
          <t>MID</t>
        </is>
      </c>
      <c r="F129" t="inlineStr">
        <is>
          <t>MID</t>
        </is>
      </c>
      <c r="G129" t="b">
        <v>1</v>
      </c>
      <c r="H129" s="2" t="n">
        <v>5</v>
      </c>
      <c r="I129" t="inlineStr">
        <is>
          <t>a</t>
        </is>
      </c>
      <c r="K129" s="2" t="n">
        <v>2117</v>
      </c>
      <c r="L129" t="n">
        <v>97</v>
      </c>
      <c r="M129" s="3" t="n">
        <v>2605</v>
      </c>
      <c r="N129" s="8" t="n">
        <v>2605</v>
      </c>
      <c r="O129" s="8" t="n">
        <v>0</v>
      </c>
      <c r="Q129" t="inlineStr">
        <is>
          <t>flat</t>
        </is>
      </c>
      <c r="R129" s="6" t="n">
        <v>2605</v>
      </c>
      <c r="S129" t="inlineStr">
        <is>
          <t>Solio</t>
        </is>
      </c>
      <c r="U129" s="6" t="n">
        <v>76.5</v>
      </c>
      <c r="V129" s="2" t="n">
        <v>26</v>
      </c>
      <c r="W129" s="7">
        <f>IF(N(U129)&lt;=0,0,MIN(Assumptions!$B$15,N(R129)/N(U129)))</f>
        <v/>
      </c>
      <c r="X129" s="6" t="n">
        <v>0.252</v>
      </c>
      <c r="Y129" s="3" t="n">
        <v>0.2396</v>
      </c>
      <c r="Z129" t="inlineStr">
        <is>
          <t>adjusted xGOT</t>
        </is>
      </c>
      <c r="AA129" s="3" t="n">
        <v>1</v>
      </c>
      <c r="AB129" s="3" t="n">
        <v>0.903</v>
      </c>
      <c r="AC129" s="3" t="n">
        <v>7.1</v>
      </c>
      <c r="AD129" s="3" t="n">
        <v>0.081</v>
      </c>
      <c r="AE129" s="3" t="n">
        <v>9.727</v>
      </c>
      <c r="AF129" s="3" t="n">
        <v>0.132230453556892</v>
      </c>
      <c r="AG129" s="3" t="n">
        <v>5.621</v>
      </c>
      <c r="AH129" s="3" t="n">
        <v>0.3030482103</v>
      </c>
      <c r="AI129" s="3" t="n">
        <v>55</v>
      </c>
      <c r="AJ129" s="3" t="n">
        <v>2.8404</v>
      </c>
      <c r="AK129" s="3" t="n">
        <v>1.439</v>
      </c>
      <c r="AL129" s="3" t="n">
        <v>-0.300781752368114</v>
      </c>
      <c r="AM129" s="6" t="n">
        <v>0</v>
      </c>
      <c r="AN129" s="3" t="n">
        <v>0</v>
      </c>
      <c r="AO129" s="3" t="n">
        <v>1.198</v>
      </c>
      <c r="AP129" s="3" t="n">
        <v>0.32076</v>
      </c>
      <c r="AQ129" s="3">
        <f>N(X129)*N(BJ129)</f>
        <v/>
      </c>
      <c r="AR129" s="3" t="n">
        <v>0</v>
      </c>
      <c r="AS129" s="3" t="n">
        <v>-0</v>
      </c>
      <c r="AT129" s="3" t="n">
        <v>-0.300781752368114</v>
      </c>
      <c r="AU129" s="3">
        <f>SUM(AO129:AT129)</f>
        <v/>
      </c>
      <c r="AV129" s="7">
        <f>IF(OR(N(W129)&lt;=0,N(BH129)=0),0,N(W129)*IF(N(R129)/N(W129)&gt;=60,N(BH129),1))</f>
        <v/>
      </c>
      <c r="AW129" s="7">
        <f>N(W129)*N(AF129)*N(BI129)</f>
        <v/>
      </c>
      <c r="AX129" s="3">
        <f>IF(N(BH129)=0,0,N(W129)*N(AH129))</f>
        <v/>
      </c>
      <c r="AY129" s="7">
        <f>N(AM129)*(Assumptions!$B$13*N(BK129)-(1-Assumptions!$B$13)*Assumptions!$B$14)+N(AN129)</f>
        <v/>
      </c>
      <c r="AZ129" s="7">
        <f>N(AU129)*N(R129)/90+N(AV129)+N(AW129)+N(AX129)+N(AY129)</f>
        <v/>
      </c>
      <c r="BA129" s="3">
        <f>IF(N(R129)&lt;=0,0,(N(AZ129)-N(AY129))*90/N(R129))</f>
        <v/>
      </c>
      <c r="BB129" s="7">
        <f>IFERROR(AZ129-VLOOKUP($E129,Assumptions!$A$40:$C$43,3,FALSE),"")</f>
        <v/>
      </c>
      <c r="BC129" s="3">
        <f>IFERROR(BB129/H129,"")</f>
        <v/>
      </c>
      <c r="BD129">
        <f>IF(AND($G129=TRUE,$E129="GKP"),AZ129,"")</f>
        <v/>
      </c>
      <c r="BE129">
        <f>IF(AND($G129=TRUE,$E129="DEF"),AZ129,"")</f>
        <v/>
      </c>
      <c r="BF129">
        <f>IF(AND($G129=TRUE,$E129="MID"),AZ129,"")</f>
        <v/>
      </c>
      <c r="BG129">
        <f>IF(AND($G129=TRUE,$E129="FWD"),AZ129,"")</f>
        <v/>
      </c>
      <c r="BH129" t="n">
        <v>2</v>
      </c>
      <c r="BI129" t="n">
        <v>2</v>
      </c>
      <c r="BJ129" t="n">
        <v>1</v>
      </c>
      <c r="BK129" t="n">
        <v>5</v>
      </c>
    </row>
    <row r="130">
      <c r="A130" t="inlineStr">
        <is>
          <t>Lucas Digne</t>
        </is>
      </c>
      <c r="B130" t="inlineStr">
        <is>
          <t>AVL</t>
        </is>
      </c>
      <c r="C130" t="inlineStr">
        <is>
          <t>AVL</t>
        </is>
      </c>
      <c r="D130" t="b">
        <v>0</v>
      </c>
      <c r="E130" t="inlineStr">
        <is>
          <t>DEF</t>
        </is>
      </c>
      <c r="F130" t="inlineStr">
        <is>
          <t>DEF</t>
        </is>
      </c>
      <c r="G130" t="b">
        <v>1</v>
      </c>
      <c r="H130" s="2" t="n">
        <v>4.5</v>
      </c>
      <c r="I130" t="inlineStr">
        <is>
          <t>u</t>
        </is>
      </c>
      <c r="J130" t="inlineStr">
        <is>
          <t>Has joined Paris Saint-Germain permanently</t>
        </is>
      </c>
      <c r="K130" s="2" t="n">
        <v>1842</v>
      </c>
      <c r="L130" t="n">
        <v>97</v>
      </c>
      <c r="M130" s="3" t="n"/>
      <c r="N130" s="4" t="n">
        <v>0</v>
      </c>
      <c r="O130" s="4" t="n">
        <v>-1842</v>
      </c>
      <c r="P130" s="5" t="inlineStr">
        <is>
          <t>high</t>
        </is>
      </c>
      <c r="R130" s="6" t="n">
        <v>0</v>
      </c>
      <c r="S130" t="inlineStr">
        <is>
          <t>research</t>
        </is>
      </c>
      <c r="T130" s="5" t="inlineStr">
        <is>
          <t>Left the club. Digne joined Paris Saint-Germain permanently for GBP 8.5m on 9 August 2026. Note the data artefact: his solio_xmins is exactly equal to his 2025/26 minutes and his pattern field is null, unlike every other player in the squad, so this is a back-filled prior-season figure rather than a Solio projection. Removing it is what reconciles Solio's 39,425 total with the club's real 37,620-minute budget.</t>
        </is>
      </c>
      <c r="U130" s="6" t="n">
        <v>82.09999999999999</v>
      </c>
      <c r="V130" s="2" t="n">
        <v>21</v>
      </c>
      <c r="W130" s="7">
        <f>IF(N(U130)&lt;=0,0,MIN(Assumptions!$B$15,N(R130)/N(U130)))</f>
        <v/>
      </c>
      <c r="X130" s="6" t="n">
        <v>0.273</v>
      </c>
      <c r="Y130" s="3" t="n">
        <v>0.0331</v>
      </c>
      <c r="Z130" t="inlineStr">
        <is>
          <t>adjusted xGOT</t>
        </is>
      </c>
      <c r="AA130" s="3" t="n">
        <v>1</v>
      </c>
      <c r="AB130" s="3" t="n">
        <v>1.01</v>
      </c>
      <c r="AC130" s="3" t="n">
        <v>2.9</v>
      </c>
      <c r="AD130" s="3" t="n">
        <v>0.1547</v>
      </c>
      <c r="AE130" s="3" t="n">
        <v>6.129</v>
      </c>
      <c r="AF130" s="3" t="n">
        <v>0.05863514018157512</v>
      </c>
      <c r="AG130" s="3" t="n">
        <v>7.888</v>
      </c>
      <c r="AH130" s="3" t="n">
        <v>0.228381313</v>
      </c>
      <c r="AI130" s="3" t="n">
        <v>50</v>
      </c>
      <c r="AJ130" s="3" t="n">
        <v>2.7451</v>
      </c>
      <c r="AK130" s="3" t="n">
        <v>1.3575</v>
      </c>
      <c r="AL130" s="3" t="n">
        <v>-0.1984538561379551</v>
      </c>
      <c r="AM130" s="6" t="n">
        <v>0</v>
      </c>
      <c r="AN130" s="3" t="n">
        <v>0</v>
      </c>
      <c r="AO130" s="3" t="n">
        <v>0.1986</v>
      </c>
      <c r="AP130" s="3" t="n">
        <v>0.612612</v>
      </c>
      <c r="AQ130" s="3">
        <f>N(X130)*N(BJ130)</f>
        <v/>
      </c>
      <c r="AR130" s="3" t="n">
        <v>0</v>
      </c>
      <c r="AS130" s="3" t="n">
        <v>-0.4453012382517575</v>
      </c>
      <c r="AT130" s="3" t="n">
        <v>-0.1984538561379551</v>
      </c>
      <c r="AU130" s="3">
        <f>SUM(AO130:AT130)</f>
        <v/>
      </c>
      <c r="AV130" s="7">
        <f>IF(OR(N(W130)&lt;=0,N(BH130)=0),0,N(W130)*IF(N(R130)/N(W130)&gt;=60,N(BH130),1))</f>
        <v/>
      </c>
      <c r="AW130" s="7">
        <f>N(W130)*N(AF130)*N(BI130)</f>
        <v/>
      </c>
      <c r="AX130" s="3">
        <f>IF(N(BH130)=0,0,N(W130)*N(AH130))</f>
        <v/>
      </c>
      <c r="AY130" s="7">
        <f>N(AM130)*(Assumptions!$B$13*N(BK130)-(1-Assumptions!$B$13)*Assumptions!$B$14)+N(AN130)</f>
        <v/>
      </c>
      <c r="AZ130" s="7">
        <f>N(AU130)*N(R130)/90+N(AV130)+N(AW130)+N(AX130)+N(AY130)</f>
        <v/>
      </c>
      <c r="BA130" s="3">
        <f>IF(N(R130)&lt;=0,0,(N(AZ130)-N(AY130))*90/N(R130))</f>
        <v/>
      </c>
      <c r="BB130" s="7">
        <f>IFERROR(AZ130-VLOOKUP($E130,Assumptions!$A$40:$C$43,3,FALSE),"")</f>
        <v/>
      </c>
      <c r="BC130" s="3">
        <f>IFERROR(BB130/H130,"")</f>
        <v/>
      </c>
      <c r="BD130">
        <f>IF(AND($G130=TRUE,$E130="GKP"),AZ130,"")</f>
        <v/>
      </c>
      <c r="BE130">
        <f>IF(AND($G130=TRUE,$E130="DEF"),AZ130,"")</f>
        <v/>
      </c>
      <c r="BF130">
        <f>IF(AND($G130=TRUE,$E130="MID"),AZ130,"")</f>
        <v/>
      </c>
      <c r="BG130">
        <f>IF(AND($G130=TRUE,$E130="FWD"),AZ130,"")</f>
        <v/>
      </c>
      <c r="BH130" t="n">
        <v>2</v>
      </c>
      <c r="BI130" t="n">
        <v>2</v>
      </c>
      <c r="BJ130" t="n">
        <v>4</v>
      </c>
      <c r="BK130" t="n">
        <v>6</v>
      </c>
    </row>
    <row r="131">
      <c r="A131" s="9" t="inlineStr">
        <is>
          <t>Martin Dúbravka</t>
        </is>
      </c>
      <c r="B131" t="inlineStr">
        <is>
          <t>TOT</t>
        </is>
      </c>
      <c r="C131" s="9" t="inlineStr">
        <is>
          <t>BUR</t>
        </is>
      </c>
      <c r="D131" t="b">
        <v>1</v>
      </c>
      <c r="E131" t="inlineStr">
        <is>
          <t>GKP</t>
        </is>
      </c>
      <c r="F131" t="inlineStr">
        <is>
          <t>GKP</t>
        </is>
      </c>
      <c r="G131" t="b">
        <v>1</v>
      </c>
      <c r="H131" s="2" t="n">
        <v>4</v>
      </c>
      <c r="I131" t="inlineStr">
        <is>
          <t>a</t>
        </is>
      </c>
      <c r="K131" s="2" t="n">
        <v>3150</v>
      </c>
      <c r="L131" t="n">
        <v>96</v>
      </c>
      <c r="M131" s="3" t="n">
        <v>35</v>
      </c>
      <c r="N131" s="8" t="n">
        <v>35</v>
      </c>
      <c r="O131" s="8" t="n">
        <v>0</v>
      </c>
      <c r="Q131" t="inlineStr">
        <is>
          <t>flat</t>
        </is>
      </c>
      <c r="R131" s="6" t="n">
        <v>35</v>
      </c>
      <c r="S131" t="inlineStr">
        <is>
          <t>Solio</t>
        </is>
      </c>
      <c r="U131" s="6" t="n">
        <v>90</v>
      </c>
      <c r="V131" s="2" t="n">
        <v>35</v>
      </c>
      <c r="W131" s="7">
        <f>IF(N(U131)&lt;=0,0,MIN(Assumptions!$B$15,N(R131)/N(U131)))</f>
        <v/>
      </c>
      <c r="X131" s="6" t="n">
        <v>0.286</v>
      </c>
      <c r="Y131" s="10" t="n">
        <v>0</v>
      </c>
      <c r="Z131" t="inlineStr">
        <is>
          <t>blended xG</t>
        </is>
      </c>
      <c r="AA131" s="3" t="n">
        <v>1</v>
      </c>
      <c r="AB131" s="3" t="n">
        <v>1</v>
      </c>
      <c r="AC131" s="3" t="n">
        <v>0</v>
      </c>
      <c r="AD131" s="10" t="n">
        <v>0.0005999999999999999</v>
      </c>
      <c r="AE131" s="3" t="n">
        <v>0</v>
      </c>
      <c r="AF131" s="3" t="n">
        <v>0</v>
      </c>
      <c r="AG131" s="3" t="n">
        <v>6.057</v>
      </c>
      <c r="AH131" s="3" t="n">
        <v>0.2220984448</v>
      </c>
      <c r="AI131" s="3" t="n">
        <v>70</v>
      </c>
      <c r="AJ131" s="3" t="n">
        <v>2.5739</v>
      </c>
      <c r="AK131" s="3" t="n">
        <v>1.3096</v>
      </c>
      <c r="AL131" s="3" t="n">
        <v>-0.0420652993253894</v>
      </c>
      <c r="AM131" s="6" t="n">
        <v>0</v>
      </c>
      <c r="AN131" s="3" t="n">
        <v>0.028612790566365</v>
      </c>
      <c r="AO131" s="10" t="n">
        <v>0</v>
      </c>
      <c r="AP131" s="10" t="n">
        <v>0.002376</v>
      </c>
      <c r="AQ131" s="3">
        <f>N(X131)*N(BJ131)</f>
        <v/>
      </c>
      <c r="AR131" s="3" t="n">
        <v>0.5235455255089686</v>
      </c>
      <c r="AS131" s="3" t="n">
        <v>-0.4230152821052008</v>
      </c>
      <c r="AT131" s="3" t="n">
        <v>-0.0420652993253894</v>
      </c>
      <c r="AU131" s="3">
        <f>SUM(AO131:AT131)</f>
        <v/>
      </c>
      <c r="AV131" s="7">
        <f>IF(OR(N(W131)&lt;=0,N(BH131)=0),0,N(W131)*IF(N(R131)/N(W131)&gt;=60,N(BH131),1))</f>
        <v/>
      </c>
      <c r="AW131" s="7">
        <f>N(W131)*N(AF131)*N(BI131)</f>
        <v/>
      </c>
      <c r="AX131" s="3">
        <f>IF(N(BH131)=0,0,N(W131)*N(AH131))</f>
        <v/>
      </c>
      <c r="AY131" s="7">
        <f>N(AM131)*(Assumptions!$B$13*N(BK131)-(1-Assumptions!$B$13)*Assumptions!$B$14)+N(AN131)</f>
        <v/>
      </c>
      <c r="AZ131" s="7">
        <f>N(AU131)*N(R131)/90+N(AV131)+N(AW131)+N(AX131)+N(AY131)</f>
        <v/>
      </c>
      <c r="BA131" s="3">
        <f>IF(N(R131)&lt;=0,0,(N(AZ131)-N(AY131))*90/N(R131))</f>
        <v/>
      </c>
      <c r="BB131" s="7">
        <f>IFERROR(AZ131-VLOOKUP($E131,Assumptions!$A$40:$C$43,3,FALSE),"")</f>
        <v/>
      </c>
      <c r="BC131" s="3">
        <f>IFERROR(BB131/H131,"")</f>
        <v/>
      </c>
      <c r="BD131">
        <f>IF(AND($G131=TRUE,$E131="GKP"),AZ131,"")</f>
        <v/>
      </c>
      <c r="BE131">
        <f>IF(AND($G131=TRUE,$E131="DEF"),AZ131,"")</f>
        <v/>
      </c>
      <c r="BF131">
        <f>IF(AND($G131=TRUE,$E131="MID"),AZ131,"")</f>
        <v/>
      </c>
      <c r="BG131">
        <f>IF(AND($G131=TRUE,$E131="FWD"),AZ131,"")</f>
        <v/>
      </c>
      <c r="BH131" t="n">
        <v>2</v>
      </c>
      <c r="BI131" t="n">
        <v>0</v>
      </c>
      <c r="BJ131" t="n">
        <v>4</v>
      </c>
      <c r="BK131" t="n">
        <v>10</v>
      </c>
    </row>
    <row r="132">
      <c r="A132" t="inlineStr">
        <is>
          <t>Malo Gusto</t>
        </is>
      </c>
      <c r="B132" t="inlineStr">
        <is>
          <t>CHE</t>
        </is>
      </c>
      <c r="C132" t="inlineStr">
        <is>
          <t>CHE</t>
        </is>
      </c>
      <c r="D132" t="b">
        <v>0</v>
      </c>
      <c r="E132" t="inlineStr">
        <is>
          <t>DEF</t>
        </is>
      </c>
      <c r="F132" t="inlineStr">
        <is>
          <t>DEF</t>
        </is>
      </c>
      <c r="G132" t="b">
        <v>1</v>
      </c>
      <c r="H132" s="2" t="n">
        <v>5</v>
      </c>
      <c r="I132" t="inlineStr">
        <is>
          <t>a</t>
        </is>
      </c>
      <c r="K132" s="2" t="n">
        <v>2255</v>
      </c>
      <c r="L132" t="n">
        <v>96</v>
      </c>
      <c r="M132" s="3" t="n">
        <v>663</v>
      </c>
      <c r="N132" s="8" t="n">
        <v>663</v>
      </c>
      <c r="O132" s="8" t="n">
        <v>0</v>
      </c>
      <c r="Q132" t="inlineStr">
        <is>
          <t>flat</t>
        </is>
      </c>
      <c r="R132" s="6" t="n">
        <v>663</v>
      </c>
      <c r="S132" t="inlineStr">
        <is>
          <t>Solio</t>
        </is>
      </c>
      <c r="U132" s="6" t="n">
        <v>81.09999999999999</v>
      </c>
      <c r="V132" s="2" t="n">
        <v>25</v>
      </c>
      <c r="W132" s="7">
        <f>IF(N(U132)&lt;=0,0,MIN(Assumptions!$B$15,N(R132)/N(U132)))</f>
        <v/>
      </c>
      <c r="X132" s="6" t="n">
        <v>0.322</v>
      </c>
      <c r="Y132" s="3" t="n">
        <v>0.0555</v>
      </c>
      <c r="Z132" t="inlineStr">
        <is>
          <t>adjusted xGOT</t>
        </is>
      </c>
      <c r="AA132" s="3" t="n">
        <v>1</v>
      </c>
      <c r="AB132" s="3" t="n">
        <v>0.891</v>
      </c>
      <c r="AC132" s="3" t="n">
        <v>4</v>
      </c>
      <c r="AD132" s="3" t="n">
        <v>0.1352</v>
      </c>
      <c r="AE132" s="3" t="n">
        <v>5.672</v>
      </c>
      <c r="AF132" s="3" t="n">
        <v>0.03603857619028139</v>
      </c>
      <c r="AG132" s="3" t="n">
        <v>9.316000000000001</v>
      </c>
      <c r="AH132" s="3" t="n">
        <v>0.2936285696</v>
      </c>
      <c r="AI132" s="3" t="n">
        <v>57</v>
      </c>
      <c r="AJ132" s="3" t="n">
        <v>2.4232</v>
      </c>
      <c r="AK132" s="3" t="n">
        <v>1.1851</v>
      </c>
      <c r="AL132" s="3" t="n">
        <v>-0.2032062374408385</v>
      </c>
      <c r="AM132" s="6" t="n">
        <v>0</v>
      </c>
      <c r="AN132" s="3" t="n">
        <v>0</v>
      </c>
      <c r="AO132" s="3" t="n">
        <v>0.333</v>
      </c>
      <c r="AP132" s="3" t="n">
        <v>0.535392</v>
      </c>
      <c r="AQ132" s="3">
        <f>N(X132)*N(BJ132)</f>
        <v/>
      </c>
      <c r="AR132" s="3" t="n">
        <v>0</v>
      </c>
      <c r="AS132" s="3" t="n">
        <v>-0.365915508000572</v>
      </c>
      <c r="AT132" s="3" t="n">
        <v>-0.2032062374408385</v>
      </c>
      <c r="AU132" s="3">
        <f>SUM(AO132:AT132)</f>
        <v/>
      </c>
      <c r="AV132" s="7">
        <f>IF(OR(N(W132)&lt;=0,N(BH132)=0),0,N(W132)*IF(N(R132)/N(W132)&gt;=60,N(BH132),1))</f>
        <v/>
      </c>
      <c r="AW132" s="7">
        <f>N(W132)*N(AF132)*N(BI132)</f>
        <v/>
      </c>
      <c r="AX132" s="3">
        <f>IF(N(BH132)=0,0,N(W132)*N(AH132))</f>
        <v/>
      </c>
      <c r="AY132" s="7">
        <f>N(AM132)*(Assumptions!$B$13*N(BK132)-(1-Assumptions!$B$13)*Assumptions!$B$14)+N(AN132)</f>
        <v/>
      </c>
      <c r="AZ132" s="7">
        <f>N(AU132)*N(R132)/90+N(AV132)+N(AW132)+N(AX132)+N(AY132)</f>
        <v/>
      </c>
      <c r="BA132" s="3">
        <f>IF(N(R132)&lt;=0,0,(N(AZ132)-N(AY132))*90/N(R132))</f>
        <v/>
      </c>
      <c r="BB132" s="7">
        <f>IFERROR(AZ132-VLOOKUP($E132,Assumptions!$A$40:$C$43,3,FALSE),"")</f>
        <v/>
      </c>
      <c r="BC132" s="3">
        <f>IFERROR(BB132/H132,"")</f>
        <v/>
      </c>
      <c r="BD132">
        <f>IF(AND($G132=TRUE,$E132="GKP"),AZ132,"")</f>
        <v/>
      </c>
      <c r="BE132">
        <f>IF(AND($G132=TRUE,$E132="DEF"),AZ132,"")</f>
        <v/>
      </c>
      <c r="BF132">
        <f>IF(AND($G132=TRUE,$E132="MID"),AZ132,"")</f>
        <v/>
      </c>
      <c r="BG132">
        <f>IF(AND($G132=TRUE,$E132="FWD"),AZ132,"")</f>
        <v/>
      </c>
      <c r="BH132" t="n">
        <v>2</v>
      </c>
      <c r="BI132" t="n">
        <v>2</v>
      </c>
      <c r="BJ132" t="n">
        <v>4</v>
      </c>
      <c r="BK132" t="n">
        <v>6</v>
      </c>
    </row>
    <row r="133">
      <c r="A133" t="inlineStr">
        <is>
          <t>Jayden Bogle</t>
        </is>
      </c>
      <c r="B133" t="inlineStr">
        <is>
          <t>LEE</t>
        </is>
      </c>
      <c r="C133" t="inlineStr">
        <is>
          <t>LEE</t>
        </is>
      </c>
      <c r="D133" t="b">
        <v>0</v>
      </c>
      <c r="E133" t="inlineStr">
        <is>
          <t>DEF</t>
        </is>
      </c>
      <c r="F133" t="inlineStr">
        <is>
          <t>DEF</t>
        </is>
      </c>
      <c r="G133" t="b">
        <v>1</v>
      </c>
      <c r="H133" s="2" t="n">
        <v>4.5</v>
      </c>
      <c r="I133" t="inlineStr">
        <is>
          <t>a</t>
        </is>
      </c>
      <c r="K133" s="2" t="n">
        <v>2795</v>
      </c>
      <c r="L133" t="n">
        <v>96</v>
      </c>
      <c r="M133" s="3" t="n">
        <v>2440</v>
      </c>
      <c r="N133" s="8" t="n">
        <v>2440</v>
      </c>
      <c r="O133" s="8" t="n">
        <v>0</v>
      </c>
      <c r="Q133" t="inlineStr">
        <is>
          <t>flat</t>
        </is>
      </c>
      <c r="R133" s="6" t="n">
        <v>2440</v>
      </c>
      <c r="S133" t="inlineStr">
        <is>
          <t>Solio</t>
        </is>
      </c>
      <c r="U133" s="6" t="n">
        <v>85.7</v>
      </c>
      <c r="V133" s="2" t="n">
        <v>32</v>
      </c>
      <c r="W133" s="7">
        <f>IF(N(U133)&lt;=0,0,MIN(Assumptions!$B$15,N(R133)/N(U133)))</f>
        <v/>
      </c>
      <c r="X133" s="6" t="n">
        <v>0.218</v>
      </c>
      <c r="Y133" s="3" t="n">
        <v>0.0625</v>
      </c>
      <c r="Z133" t="inlineStr">
        <is>
          <t>adjusted xGOT</t>
        </is>
      </c>
      <c r="AA133" s="3" t="n">
        <v>1</v>
      </c>
      <c r="AB133" s="3" t="n">
        <v>0.9320000000000001</v>
      </c>
      <c r="AC133" s="3" t="n">
        <v>4.4</v>
      </c>
      <c r="AD133" s="3" t="n">
        <v>0.1068</v>
      </c>
      <c r="AE133" s="3" t="n">
        <v>6.132</v>
      </c>
      <c r="AF133" s="3" t="n">
        <v>0.07328847801431904</v>
      </c>
      <c r="AG133" s="3" t="n">
        <v>5.573</v>
      </c>
      <c r="AH133" s="3" t="n">
        <v>0.135698831</v>
      </c>
      <c r="AI133" s="3" t="n">
        <v>65</v>
      </c>
      <c r="AJ133" s="3" t="n">
        <v>3.0611</v>
      </c>
      <c r="AK133" s="3" t="n">
        <v>1.5875</v>
      </c>
      <c r="AL133" s="3" t="n">
        <v>-0.2320454308872428</v>
      </c>
      <c r="AM133" s="6" t="n">
        <v>0</v>
      </c>
      <c r="AN133" s="3" t="n">
        <v>0</v>
      </c>
      <c r="AO133" s="3" t="n">
        <v>0.375</v>
      </c>
      <c r="AP133" s="3" t="n">
        <v>0.422928</v>
      </c>
      <c r="AQ133" s="3">
        <f>N(X133)*N(BJ133)</f>
        <v/>
      </c>
      <c r="AR133" s="3" t="n">
        <v>0</v>
      </c>
      <c r="AS133" s="3" t="n">
        <v>-0.5541985260210861</v>
      </c>
      <c r="AT133" s="3" t="n">
        <v>-0.2320454308872428</v>
      </c>
      <c r="AU133" s="3">
        <f>SUM(AO133:AT133)</f>
        <v/>
      </c>
      <c r="AV133" s="7">
        <f>IF(OR(N(W133)&lt;=0,N(BH133)=0),0,N(W133)*IF(N(R133)/N(W133)&gt;=60,N(BH133),1))</f>
        <v/>
      </c>
      <c r="AW133" s="7">
        <f>N(W133)*N(AF133)*N(BI133)</f>
        <v/>
      </c>
      <c r="AX133" s="3">
        <f>IF(N(BH133)=0,0,N(W133)*N(AH133))</f>
        <v/>
      </c>
      <c r="AY133" s="7">
        <f>N(AM133)*(Assumptions!$B$13*N(BK133)-(1-Assumptions!$B$13)*Assumptions!$B$14)+N(AN133)</f>
        <v/>
      </c>
      <c r="AZ133" s="7">
        <f>N(AU133)*N(R133)/90+N(AV133)+N(AW133)+N(AX133)+N(AY133)</f>
        <v/>
      </c>
      <c r="BA133" s="3">
        <f>IF(N(R133)&lt;=0,0,(N(AZ133)-N(AY133))*90/N(R133))</f>
        <v/>
      </c>
      <c r="BB133" s="7">
        <f>IFERROR(AZ133-VLOOKUP($E133,Assumptions!$A$40:$C$43,3,FALSE),"")</f>
        <v/>
      </c>
      <c r="BC133" s="3">
        <f>IFERROR(BB133/H133,"")</f>
        <v/>
      </c>
      <c r="BD133">
        <f>IF(AND($G133=TRUE,$E133="GKP"),AZ133,"")</f>
        <v/>
      </c>
      <c r="BE133">
        <f>IF(AND($G133=TRUE,$E133="DEF"),AZ133,"")</f>
        <v/>
      </c>
      <c r="BF133">
        <f>IF(AND($G133=TRUE,$E133="MID"),AZ133,"")</f>
        <v/>
      </c>
      <c r="BG133">
        <f>IF(AND($G133=TRUE,$E133="FWD"),AZ133,"")</f>
        <v/>
      </c>
      <c r="BH133" t="n">
        <v>2</v>
      </c>
      <c r="BI133" t="n">
        <v>2</v>
      </c>
      <c r="BJ133" t="n">
        <v>4</v>
      </c>
      <c r="BK133" t="n">
        <v>6</v>
      </c>
    </row>
    <row r="134">
      <c r="A134" t="inlineStr">
        <is>
          <t>Nick Pope</t>
        </is>
      </c>
      <c r="B134" t="inlineStr">
        <is>
          <t>NEW</t>
        </is>
      </c>
      <c r="C134" t="inlineStr">
        <is>
          <t>NEW</t>
        </is>
      </c>
      <c r="D134" t="b">
        <v>0</v>
      </c>
      <c r="E134" t="inlineStr">
        <is>
          <t>GKP</t>
        </is>
      </c>
      <c r="F134" t="inlineStr">
        <is>
          <t>GKP</t>
        </is>
      </c>
      <c r="G134" t="b">
        <v>1</v>
      </c>
      <c r="H134" s="2" t="n">
        <v>5</v>
      </c>
      <c r="I134" t="inlineStr">
        <is>
          <t>a</t>
        </is>
      </c>
      <c r="K134" s="2" t="n">
        <v>2416</v>
      </c>
      <c r="L134" t="n">
        <v>96</v>
      </c>
      <c r="M134" s="3" t="n">
        <v>4</v>
      </c>
      <c r="N134" s="8" t="n">
        <v>4</v>
      </c>
      <c r="O134" s="8" t="n">
        <v>0</v>
      </c>
      <c r="Q134" t="inlineStr">
        <is>
          <t>flat</t>
        </is>
      </c>
      <c r="R134" s="6" t="n">
        <v>4</v>
      </c>
      <c r="S134" t="inlineStr">
        <is>
          <t>Solio</t>
        </is>
      </c>
      <c r="U134" s="6" t="n">
        <v>89.59999999999999</v>
      </c>
      <c r="V134" s="2" t="n">
        <v>27</v>
      </c>
      <c r="W134" s="7">
        <f>IF(N(U134)&lt;=0,0,MIN(Assumptions!$B$15,N(R134)/N(U134)))</f>
        <v/>
      </c>
      <c r="X134" s="6" t="n">
        <v>0.248</v>
      </c>
      <c r="Y134" s="3" t="n">
        <v>0.006</v>
      </c>
      <c r="Z134" t="inlineStr">
        <is>
          <t>adjusted xGOT</t>
        </is>
      </c>
      <c r="AA134" s="3" t="n">
        <v>1</v>
      </c>
      <c r="AB134" s="3" t="n">
        <v>1.015</v>
      </c>
      <c r="AC134" s="3" t="n">
        <v>0.2</v>
      </c>
      <c r="AD134" s="3" t="n">
        <v>0</v>
      </c>
      <c r="AE134" s="3" t="n">
        <v>0</v>
      </c>
      <c r="AF134" s="3" t="n">
        <v>0</v>
      </c>
      <c r="AG134" s="3" t="n">
        <v>5.647</v>
      </c>
      <c r="AH134" s="3" t="n">
        <v>0.2434391174</v>
      </c>
      <c r="AI134" s="3" t="n">
        <v>54</v>
      </c>
      <c r="AJ134" s="3" t="n">
        <v>3.0912</v>
      </c>
      <c r="AK134" s="3" t="n">
        <v>1.4534</v>
      </c>
      <c r="AL134" s="3" t="n">
        <v>-0.0757070602473932</v>
      </c>
      <c r="AM134" s="6" t="n">
        <v>0</v>
      </c>
      <c r="AN134" s="3" t="n">
        <v>0.0036289312781513</v>
      </c>
      <c r="AO134" s="3" t="n">
        <v>0.06</v>
      </c>
      <c r="AP134" s="3" t="n">
        <v>0</v>
      </c>
      <c r="AQ134" s="3">
        <f>N(X134)*N(BJ134)</f>
        <v/>
      </c>
      <c r="AR134" s="3" t="n">
        <v>0.6950146973483665</v>
      </c>
      <c r="AS134" s="3" t="n">
        <v>-0.4903625828545308</v>
      </c>
      <c r="AT134" s="3" t="n">
        <v>-0.0757070602473932</v>
      </c>
      <c r="AU134" s="3">
        <f>SUM(AO134:AT134)</f>
        <v/>
      </c>
      <c r="AV134" s="7">
        <f>IF(OR(N(W134)&lt;=0,N(BH134)=0),0,N(W134)*IF(N(R134)/N(W134)&gt;=60,N(BH134),1))</f>
        <v/>
      </c>
      <c r="AW134" s="7">
        <f>N(W134)*N(AF134)*N(BI134)</f>
        <v/>
      </c>
      <c r="AX134" s="3">
        <f>IF(N(BH134)=0,0,N(W134)*N(AH134))</f>
        <v/>
      </c>
      <c r="AY134" s="7">
        <f>N(AM134)*(Assumptions!$B$13*N(BK134)-(1-Assumptions!$B$13)*Assumptions!$B$14)+N(AN134)</f>
        <v/>
      </c>
      <c r="AZ134" s="7">
        <f>N(AU134)*N(R134)/90+N(AV134)+N(AW134)+N(AX134)+N(AY134)</f>
        <v/>
      </c>
      <c r="BA134" s="3">
        <f>IF(N(R134)&lt;=0,0,(N(AZ134)-N(AY134))*90/N(R134))</f>
        <v/>
      </c>
      <c r="BB134" s="7">
        <f>IFERROR(AZ134-VLOOKUP($E134,Assumptions!$A$40:$C$43,3,FALSE),"")</f>
        <v/>
      </c>
      <c r="BC134" s="3">
        <f>IFERROR(BB134/H134,"")</f>
        <v/>
      </c>
      <c r="BD134">
        <f>IF(AND($G134=TRUE,$E134="GKP"),AZ134,"")</f>
        <v/>
      </c>
      <c r="BE134">
        <f>IF(AND($G134=TRUE,$E134="DEF"),AZ134,"")</f>
        <v/>
      </c>
      <c r="BF134">
        <f>IF(AND($G134=TRUE,$E134="MID"),AZ134,"")</f>
        <v/>
      </c>
      <c r="BG134">
        <f>IF(AND($G134=TRUE,$E134="FWD"),AZ134,"")</f>
        <v/>
      </c>
      <c r="BH134" t="n">
        <v>2</v>
      </c>
      <c r="BI134" t="n">
        <v>0</v>
      </c>
      <c r="BJ134" t="n">
        <v>4</v>
      </c>
      <c r="BK134" t="n">
        <v>10</v>
      </c>
    </row>
    <row r="135">
      <c r="A135" t="inlineStr">
        <is>
          <t>Vitalii Mykolenko</t>
        </is>
      </c>
      <c r="B135" t="inlineStr">
        <is>
          <t>EVE</t>
        </is>
      </c>
      <c r="C135" t="inlineStr">
        <is>
          <t>EVE</t>
        </is>
      </c>
      <c r="D135" t="b">
        <v>0</v>
      </c>
      <c r="E135" t="inlineStr">
        <is>
          <t>DEF</t>
        </is>
      </c>
      <c r="F135" t="inlineStr">
        <is>
          <t>DEF</t>
        </is>
      </c>
      <c r="G135" t="b">
        <v>1</v>
      </c>
      <c r="H135" s="2" t="n">
        <v>4.5</v>
      </c>
      <c r="I135" t="inlineStr">
        <is>
          <t>a</t>
        </is>
      </c>
      <c r="K135" s="2" t="n">
        <v>2959</v>
      </c>
      <c r="L135" t="n">
        <v>95</v>
      </c>
      <c r="M135" s="3" t="n">
        <v>3004</v>
      </c>
      <c r="N135" s="4" t="n">
        <v>2450</v>
      </c>
      <c r="O135" s="4" t="n">
        <v>-554</v>
      </c>
      <c r="P135" s="5" t="inlineStr">
        <is>
          <t>medium</t>
        </is>
      </c>
      <c r="Q135" t="inlineStr">
        <is>
          <t>flat</t>
        </is>
      </c>
      <c r="R135" s="6" t="n">
        <v>2450</v>
      </c>
      <c r="S135" t="inlineStr">
        <is>
          <t>research</t>
        </is>
      </c>
      <c r="T135" s="5" t="inlineStr">
        <is>
          <t>The other side of the Aznou correction. Solio's 3,004 assumes essentially no competition; Read Everton's 15 August tracker has Aznou staying specifically to challenge for the shirt, and the injury tracker notes Mykolenko is 'back to full training and match fitness, though now facing competition for the left-back spot from Adam Aznou'. He remains the clear first choice - he started both of the last two friendlies - so this is a rotation haircut, not a demotion.</t>
        </is>
      </c>
      <c r="U135" s="6" t="n">
        <v>88.7</v>
      </c>
      <c r="V135" s="2" t="n">
        <v>33</v>
      </c>
      <c r="W135" s="7">
        <f>IF(N(U135)&lt;=0,0,MIN(Assumptions!$B$15,N(R135)/N(U135)))</f>
        <v/>
      </c>
      <c r="X135" s="6" t="n">
        <v>0.231</v>
      </c>
      <c r="Y135" s="3" t="n">
        <v>0.0081</v>
      </c>
      <c r="Z135" t="inlineStr">
        <is>
          <t>adjusted xGOT</t>
        </is>
      </c>
      <c r="AA135" s="3" t="n">
        <v>1</v>
      </c>
      <c r="AB135" s="3" t="n">
        <v>0.945</v>
      </c>
      <c r="AC135" s="3" t="n">
        <v>2.8</v>
      </c>
      <c r="AD135" s="3" t="n">
        <v>0.0548</v>
      </c>
      <c r="AE135" s="3" t="n">
        <v>7.155</v>
      </c>
      <c r="AF135" s="3" t="n">
        <v>0.1747800195244338</v>
      </c>
      <c r="AG135" s="3" t="n">
        <v>6.821</v>
      </c>
      <c r="AH135" s="3" t="n">
        <v>0.1190338682</v>
      </c>
      <c r="AI135" s="3" t="n">
        <v>66</v>
      </c>
      <c r="AJ135" s="3" t="n">
        <v>3.0311</v>
      </c>
      <c r="AK135" s="3" t="n">
        <v>1.5252</v>
      </c>
      <c r="AL135" s="3" t="n">
        <v>-0.1671381260374793</v>
      </c>
      <c r="AM135" s="6" t="n">
        <v>0</v>
      </c>
      <c r="AN135" s="3" t="n">
        <v>0</v>
      </c>
      <c r="AO135" s="3" t="n">
        <v>0.0486</v>
      </c>
      <c r="AP135" s="3" t="n">
        <v>0.217008</v>
      </c>
      <c r="AQ135" s="3">
        <f>N(X135)*N(BJ135)</f>
        <v/>
      </c>
      <c r="AR135" s="3" t="n">
        <v>0</v>
      </c>
      <c r="AS135" s="3" t="n">
        <v>-0.524434996152324</v>
      </c>
      <c r="AT135" s="3" t="n">
        <v>-0.1671381260374793</v>
      </c>
      <c r="AU135" s="3">
        <f>SUM(AO135:AT135)</f>
        <v/>
      </c>
      <c r="AV135" s="7">
        <f>IF(OR(N(W135)&lt;=0,N(BH135)=0),0,N(W135)*IF(N(R135)/N(W135)&gt;=60,N(BH135),1))</f>
        <v/>
      </c>
      <c r="AW135" s="7">
        <f>N(W135)*N(AF135)*N(BI135)</f>
        <v/>
      </c>
      <c r="AX135" s="3">
        <f>IF(N(BH135)=0,0,N(W135)*N(AH135))</f>
        <v/>
      </c>
      <c r="AY135" s="7">
        <f>N(AM135)*(Assumptions!$B$13*N(BK135)-(1-Assumptions!$B$13)*Assumptions!$B$14)+N(AN135)</f>
        <v/>
      </c>
      <c r="AZ135" s="7">
        <f>N(AU135)*N(R135)/90+N(AV135)+N(AW135)+N(AX135)+N(AY135)</f>
        <v/>
      </c>
      <c r="BA135" s="3">
        <f>IF(N(R135)&lt;=0,0,(N(AZ135)-N(AY135))*90/N(R135))</f>
        <v/>
      </c>
      <c r="BB135" s="7">
        <f>IFERROR(AZ135-VLOOKUP($E135,Assumptions!$A$40:$C$43,3,FALSE),"")</f>
        <v/>
      </c>
      <c r="BC135" s="3">
        <f>IFERROR(BB135/H135,"")</f>
        <v/>
      </c>
      <c r="BD135">
        <f>IF(AND($G135=TRUE,$E135="GKP"),AZ135,"")</f>
        <v/>
      </c>
      <c r="BE135">
        <f>IF(AND($G135=TRUE,$E135="DEF"),AZ135,"")</f>
        <v/>
      </c>
      <c r="BF135">
        <f>IF(AND($G135=TRUE,$E135="MID"),AZ135,"")</f>
        <v/>
      </c>
      <c r="BG135">
        <f>IF(AND($G135=TRUE,$E135="FWD"),AZ135,"")</f>
        <v/>
      </c>
      <c r="BH135" t="n">
        <v>2</v>
      </c>
      <c r="BI135" t="n">
        <v>2</v>
      </c>
      <c r="BJ135" t="n">
        <v>4</v>
      </c>
      <c r="BK135" t="n">
        <v>6</v>
      </c>
    </row>
    <row r="136">
      <c r="A136" t="inlineStr">
        <is>
          <t>Patrick Dorgu</t>
        </is>
      </c>
      <c r="B136" t="inlineStr">
        <is>
          <t>MUN</t>
        </is>
      </c>
      <c r="C136" t="inlineStr">
        <is>
          <t>MUN</t>
        </is>
      </c>
      <c r="D136" t="b">
        <v>0</v>
      </c>
      <c r="E136" t="inlineStr">
        <is>
          <t>MID</t>
        </is>
      </c>
      <c r="F136" t="inlineStr">
        <is>
          <t>DEF</t>
        </is>
      </c>
      <c r="G136" t="b">
        <v>1</v>
      </c>
      <c r="H136" s="2" t="n">
        <v>6</v>
      </c>
      <c r="I136" t="inlineStr">
        <is>
          <t>a</t>
        </is>
      </c>
      <c r="K136" s="2" t="n">
        <v>1440</v>
      </c>
      <c r="L136" t="n">
        <v>95</v>
      </c>
      <c r="M136" s="3" t="n">
        <v>812</v>
      </c>
      <c r="N136" s="4" t="n">
        <v>1050</v>
      </c>
      <c r="O136" s="4" t="n">
        <v>238</v>
      </c>
      <c r="P136" s="5" t="inlineStr">
        <is>
          <t>low</t>
        </is>
      </c>
      <c r="Q136" t="inlineStr">
        <is>
          <t>fade (losing his place)</t>
        </is>
      </c>
      <c r="R136" s="6" t="n">
        <v>1050</v>
      </c>
      <c r="S136" t="inlineStr">
        <is>
          <t>research</t>
        </is>
      </c>
      <c r="T136" s="5" t="inlineStr">
        <is>
          <t>Started on the left wing in the dress rehearsal against Milan and scored. Carrick has preferred to use him further forward rather than at left-back, he has said he wants left wing as his primary position, and FPL has reclassified him from defender to midfielder. Kept small because the left wing is the most crowded slot at the club — Cunha, Rashford and Mbeumo are all alternatives — so a settled run of starts is far from assured.</t>
        </is>
      </c>
      <c r="U136" s="6" t="n">
        <v>84.59999999999999</v>
      </c>
      <c r="V136" s="2" t="n">
        <v>15</v>
      </c>
      <c r="W136" s="7">
        <f>IF(N(U136)&lt;=0,0,MIN(Assumptions!$B$15,N(R136)/N(U136)))</f>
        <v/>
      </c>
      <c r="X136" s="6" t="n">
        <v>0.334</v>
      </c>
      <c r="Y136" s="3" t="n">
        <v>0.1477</v>
      </c>
      <c r="Z136" t="inlineStr">
        <is>
          <t>adjusted xGOT</t>
        </is>
      </c>
      <c r="AA136" s="3" t="n">
        <v>1</v>
      </c>
      <c r="AB136" s="3" t="n">
        <v>0.989</v>
      </c>
      <c r="AC136" s="3" t="n">
        <v>2.8</v>
      </c>
      <c r="AD136" s="3" t="n">
        <v>0.1547</v>
      </c>
      <c r="AE136" s="3" t="n">
        <v>6.645</v>
      </c>
      <c r="AF136" s="3" t="n">
        <v>0.02623179266874187</v>
      </c>
      <c r="AG136" s="3" t="n">
        <v>8.414999999999999</v>
      </c>
      <c r="AH136" s="3" t="n">
        <v>0.3428494752</v>
      </c>
      <c r="AI136" s="3" t="n">
        <v>40</v>
      </c>
      <c r="AJ136" s="3" t="n">
        <v>2.2165</v>
      </c>
      <c r="AK136" s="3" t="n">
        <v>1.1467</v>
      </c>
      <c r="AL136" s="3" t="n">
        <v>-0.2823405479327748</v>
      </c>
      <c r="AM136" s="6" t="n">
        <v>0</v>
      </c>
      <c r="AN136" s="3" t="n">
        <v>0</v>
      </c>
      <c r="AO136" s="3" t="n">
        <v>0.7384999999999999</v>
      </c>
      <c r="AP136" s="3" t="n">
        <v>0.612612</v>
      </c>
      <c r="AQ136" s="3">
        <f>N(X136)*N(BJ136)</f>
        <v/>
      </c>
      <c r="AR136" s="3" t="n">
        <v>0</v>
      </c>
      <c r="AS136" s="3" t="n">
        <v>-0</v>
      </c>
      <c r="AT136" s="3" t="n">
        <v>-0.2823405479327748</v>
      </c>
      <c r="AU136" s="3">
        <f>SUM(AO136:AT136)</f>
        <v/>
      </c>
      <c r="AV136" s="7">
        <f>IF(OR(N(W136)&lt;=0,N(BH136)=0),0,N(W136)*IF(N(R136)/N(W136)&gt;=60,N(BH136),1))</f>
        <v/>
      </c>
      <c r="AW136" s="7">
        <f>N(W136)*N(AF136)*N(BI136)</f>
        <v/>
      </c>
      <c r="AX136" s="3">
        <f>IF(N(BH136)=0,0,N(W136)*N(AH136))</f>
        <v/>
      </c>
      <c r="AY136" s="7">
        <f>N(AM136)*(Assumptions!$B$13*N(BK136)-(1-Assumptions!$B$13)*Assumptions!$B$14)+N(AN136)</f>
        <v/>
      </c>
      <c r="AZ136" s="7">
        <f>N(AU136)*N(R136)/90+N(AV136)+N(AW136)+N(AX136)+N(AY136)</f>
        <v/>
      </c>
      <c r="BA136" s="3">
        <f>IF(N(R136)&lt;=0,0,(N(AZ136)-N(AY136))*90/N(R136))</f>
        <v/>
      </c>
      <c r="BB136" s="7">
        <f>IFERROR(AZ136-VLOOKUP($E136,Assumptions!$A$40:$C$43,3,FALSE),"")</f>
        <v/>
      </c>
      <c r="BC136" s="3">
        <f>IFERROR(BB136/H136,"")</f>
        <v/>
      </c>
      <c r="BD136">
        <f>IF(AND($G136=TRUE,$E136="GKP"),AZ136,"")</f>
        <v/>
      </c>
      <c r="BE136">
        <f>IF(AND($G136=TRUE,$E136="DEF"),AZ136,"")</f>
        <v/>
      </c>
      <c r="BF136">
        <f>IF(AND($G136=TRUE,$E136="MID"),AZ136,"")</f>
        <v/>
      </c>
      <c r="BG136">
        <f>IF(AND($G136=TRUE,$E136="FWD"),AZ136,"")</f>
        <v/>
      </c>
      <c r="BH136" t="n">
        <v>2</v>
      </c>
      <c r="BI136" t="n">
        <v>2</v>
      </c>
      <c r="BJ136" t="n">
        <v>1</v>
      </c>
      <c r="BK136" t="n">
        <v>5</v>
      </c>
    </row>
    <row r="137">
      <c r="A137" t="inlineStr">
        <is>
          <t>Ryan Sessegnon</t>
        </is>
      </c>
      <c r="B137" t="inlineStr">
        <is>
          <t>FUL</t>
        </is>
      </c>
      <c r="C137" t="inlineStr">
        <is>
          <t>FUL</t>
        </is>
      </c>
      <c r="D137" t="b">
        <v>0</v>
      </c>
      <c r="E137" t="inlineStr">
        <is>
          <t>DEF</t>
        </is>
      </c>
      <c r="F137" t="inlineStr">
        <is>
          <t>MID</t>
        </is>
      </c>
      <c r="G137" t="b">
        <v>1</v>
      </c>
      <c r="H137" s="2" t="n">
        <v>4.5</v>
      </c>
      <c r="I137" t="inlineStr">
        <is>
          <t>a</t>
        </is>
      </c>
      <c r="K137" s="2" t="n">
        <v>1816</v>
      </c>
      <c r="L137" t="n">
        <v>95</v>
      </c>
      <c r="M137" s="3" t="n">
        <v>1525</v>
      </c>
      <c r="N137" s="4" t="n">
        <v>1150</v>
      </c>
      <c r="O137" s="4" t="n">
        <v>-375</v>
      </c>
      <c r="P137" s="5" t="inlineStr">
        <is>
          <t>medium</t>
        </is>
      </c>
      <c r="Q137" t="inlineStr">
        <is>
          <t>flat</t>
        </is>
      </c>
      <c r="R137" s="6" t="n">
        <v>1150</v>
      </c>
      <c r="S137" t="inlineStr">
        <is>
          <t>research</t>
        </is>
      </c>
      <c r="T137" s="5" t="inlineStr">
        <is>
          <t>Benched behind Robinson at left-back in the 7 Aug and 12 Aug friendlies and left out of the 15 Aug squad entirely. Season preview framing is that Sessegnon plays further forward only 'if Robinson's fitness allows him regular appearances at left-back' - i.e. his defensive minutes are contingent on Robinson breaking down.</t>
        </is>
      </c>
      <c r="U137" s="6" t="n">
        <v>83</v>
      </c>
      <c r="V137" s="2" t="n">
        <v>20</v>
      </c>
      <c r="W137" s="7">
        <f>IF(N(U137)&lt;=0,0,MIN(Assumptions!$B$15,N(R137)/N(U137)))</f>
        <v/>
      </c>
      <c r="X137" s="6" t="n">
        <v>0.214</v>
      </c>
      <c r="Y137" s="3" t="n">
        <v>0.0893</v>
      </c>
      <c r="Z137" t="inlineStr">
        <is>
          <t>adjusted xGOT</t>
        </is>
      </c>
      <c r="AA137" s="3" t="n">
        <v>1</v>
      </c>
      <c r="AB137" s="3" t="n">
        <v>1.126</v>
      </c>
      <c r="AC137" s="3" t="n">
        <v>4.9</v>
      </c>
      <c r="AD137" s="3" t="n">
        <v>0.0998</v>
      </c>
      <c r="AE137" s="3" t="n">
        <v>10.172</v>
      </c>
      <c r="AF137" s="3" t="n">
        <v>0.4626384731024534</v>
      </c>
      <c r="AG137" s="3" t="n">
        <v>5.227</v>
      </c>
      <c r="AH137" s="3" t="n">
        <v>0.1402188007</v>
      </c>
      <c r="AI137" s="3" t="n">
        <v>47</v>
      </c>
      <c r="AJ137" s="3" t="n">
        <v>3.22</v>
      </c>
      <c r="AK137" s="3" t="n">
        <v>1.6019</v>
      </c>
      <c r="AL137" s="3" t="n">
        <v>-0.1095186729303973</v>
      </c>
      <c r="AM137" s="6" t="n">
        <v>0</v>
      </c>
      <c r="AN137" s="3" t="n">
        <v>0</v>
      </c>
      <c r="AO137" s="3" t="n">
        <v>0.5358000000000001</v>
      </c>
      <c r="AP137" s="3" t="n">
        <v>0.395208</v>
      </c>
      <c r="AQ137" s="3">
        <f>N(X137)*N(BJ137)</f>
        <v/>
      </c>
      <c r="AR137" s="3" t="n">
        <v>0</v>
      </c>
      <c r="AS137" s="3" t="n">
        <v>-0.5611019003833156</v>
      </c>
      <c r="AT137" s="3" t="n">
        <v>-0.1095186729303973</v>
      </c>
      <c r="AU137" s="3">
        <f>SUM(AO137:AT137)</f>
        <v/>
      </c>
      <c r="AV137" s="7">
        <f>IF(OR(N(W137)&lt;=0,N(BH137)=0),0,N(W137)*IF(N(R137)/N(W137)&gt;=60,N(BH137),1))</f>
        <v/>
      </c>
      <c r="AW137" s="7">
        <f>N(W137)*N(AF137)*N(BI137)</f>
        <v/>
      </c>
      <c r="AX137" s="3">
        <f>IF(N(BH137)=0,0,N(W137)*N(AH137))</f>
        <v/>
      </c>
      <c r="AY137" s="7">
        <f>N(AM137)*(Assumptions!$B$13*N(BK137)-(1-Assumptions!$B$13)*Assumptions!$B$14)+N(AN137)</f>
        <v/>
      </c>
      <c r="AZ137" s="7">
        <f>N(AU137)*N(R137)/90+N(AV137)+N(AW137)+N(AX137)+N(AY137)</f>
        <v/>
      </c>
      <c r="BA137" s="3">
        <f>IF(N(R137)&lt;=0,0,(N(AZ137)-N(AY137))*90/N(R137))</f>
        <v/>
      </c>
      <c r="BB137" s="7">
        <f>IFERROR(AZ137-VLOOKUP($E137,Assumptions!$A$40:$C$43,3,FALSE),"")</f>
        <v/>
      </c>
      <c r="BC137" s="3">
        <f>IFERROR(BB137/H137,"")</f>
        <v/>
      </c>
      <c r="BD137">
        <f>IF(AND($G137=TRUE,$E137="GKP"),AZ137,"")</f>
        <v/>
      </c>
      <c r="BE137">
        <f>IF(AND($G137=TRUE,$E137="DEF"),AZ137,"")</f>
        <v/>
      </c>
      <c r="BF137">
        <f>IF(AND($G137=TRUE,$E137="MID"),AZ137,"")</f>
        <v/>
      </c>
      <c r="BG137">
        <f>IF(AND($G137=TRUE,$E137="FWD"),AZ137,"")</f>
        <v/>
      </c>
      <c r="BH137" t="n">
        <v>2</v>
      </c>
      <c r="BI137" t="n">
        <v>2</v>
      </c>
      <c r="BJ137" t="n">
        <v>4</v>
      </c>
      <c r="BK137" t="n">
        <v>6</v>
      </c>
    </row>
    <row r="138">
      <c r="A138" t="inlineStr">
        <is>
          <t>Thierno Barry</t>
        </is>
      </c>
      <c r="B138" t="inlineStr">
        <is>
          <t>EVE</t>
        </is>
      </c>
      <c r="C138" t="inlineStr">
        <is>
          <t>EVE</t>
        </is>
      </c>
      <c r="D138" t="b">
        <v>0</v>
      </c>
      <c r="E138" t="inlineStr">
        <is>
          <t>FWD</t>
        </is>
      </c>
      <c r="F138" t="inlineStr">
        <is>
          <t>FWD</t>
        </is>
      </c>
      <c r="G138" t="b">
        <v>1</v>
      </c>
      <c r="H138" s="2" t="n">
        <v>5.5</v>
      </c>
      <c r="I138" t="inlineStr">
        <is>
          <t>a</t>
        </is>
      </c>
      <c r="K138" s="2" t="n">
        <v>1898</v>
      </c>
      <c r="L138" t="n">
        <v>95</v>
      </c>
      <c r="M138" s="3" t="n">
        <v>2514</v>
      </c>
      <c r="N138" s="8" t="n">
        <v>2514</v>
      </c>
      <c r="O138" s="8" t="n">
        <v>0</v>
      </c>
      <c r="Q138" t="inlineStr">
        <is>
          <t>flat</t>
        </is>
      </c>
      <c r="R138" s="6" t="n">
        <v>2514</v>
      </c>
      <c r="S138" t="inlineStr">
        <is>
          <t>Solio</t>
        </is>
      </c>
      <c r="U138" s="6" t="n">
        <v>76.59999999999999</v>
      </c>
      <c r="V138" s="2" t="n">
        <v>21</v>
      </c>
      <c r="W138" s="7">
        <f>IF(N(U138)&lt;=0,0,MIN(Assumptions!$B$15,N(R138)/N(U138)))</f>
        <v/>
      </c>
      <c r="X138" s="6" t="n">
        <v>0.231</v>
      </c>
      <c r="Y138" s="3" t="n">
        <v>0.333</v>
      </c>
      <c r="Z138" t="inlineStr">
        <is>
          <t>adjusted xGOT</t>
        </is>
      </c>
      <c r="AA138" s="3" t="n">
        <v>1</v>
      </c>
      <c r="AB138" s="3" t="n">
        <v>0.86</v>
      </c>
      <c r="AC138" s="3" t="n">
        <v>8.199999999999999</v>
      </c>
      <c r="AD138" s="3" t="n">
        <v>0.0342</v>
      </c>
      <c r="AE138" s="3" t="n">
        <v>3.862</v>
      </c>
      <c r="AF138" s="3" t="n">
        <v>0.0001648511147070986</v>
      </c>
      <c r="AG138" s="3" t="n">
        <v>-0.929</v>
      </c>
      <c r="AH138" s="3" t="n">
        <v>0.3653681825</v>
      </c>
      <c r="AI138" s="3" t="n">
        <v>57</v>
      </c>
      <c r="AJ138" s="3" t="n">
        <v>3.0311</v>
      </c>
      <c r="AK138" s="3" t="n">
        <v>1.5252</v>
      </c>
      <c r="AL138" s="3" t="n">
        <v>-0.1628586016462849</v>
      </c>
      <c r="AM138" s="6" t="n">
        <v>0.227372938242642</v>
      </c>
      <c r="AN138" s="3" t="n">
        <v>0</v>
      </c>
      <c r="AO138" s="3" t="n">
        <v>1.332</v>
      </c>
      <c r="AP138" s="3" t="n">
        <v>0.135432</v>
      </c>
      <c r="AQ138" s="3">
        <f>N(X138)*N(BJ138)</f>
        <v/>
      </c>
      <c r="AR138" s="3" t="n">
        <v>0</v>
      </c>
      <c r="AS138" s="3" t="n">
        <v>-0</v>
      </c>
      <c r="AT138" s="3" t="n">
        <v>-0.1628586016462849</v>
      </c>
      <c r="AU138" s="3">
        <f>SUM(AO138:AT138)</f>
        <v/>
      </c>
      <c r="AV138" s="7">
        <f>IF(OR(N(W138)&lt;=0,N(BH138)=0),0,N(W138)*IF(N(R138)/N(W138)&gt;=60,N(BH138),1))</f>
        <v/>
      </c>
      <c r="AW138" s="7">
        <f>N(W138)*N(AF138)*N(BI138)</f>
        <v/>
      </c>
      <c r="AX138" s="3">
        <f>IF(N(BH138)=0,0,N(W138)*N(AH138))</f>
        <v/>
      </c>
      <c r="AY138" s="7">
        <f>N(AM138)*(Assumptions!$B$13*N(BK138)-(1-Assumptions!$B$13)*Assumptions!$B$14)+N(AN138)</f>
        <v/>
      </c>
      <c r="AZ138" s="7">
        <f>N(AU138)*N(R138)/90+N(AV138)+N(AW138)+N(AX138)+N(AY138)</f>
        <v/>
      </c>
      <c r="BA138" s="3">
        <f>IF(N(R138)&lt;=0,0,(N(AZ138)-N(AY138))*90/N(R138))</f>
        <v/>
      </c>
      <c r="BB138" s="7">
        <f>IFERROR(AZ138-VLOOKUP($E138,Assumptions!$A$40:$C$43,3,FALSE),"")</f>
        <v/>
      </c>
      <c r="BC138" s="3">
        <f>IFERROR(BB138/H138,"")</f>
        <v/>
      </c>
      <c r="BD138">
        <f>IF(AND($G138=TRUE,$E138="GKP"),AZ138,"")</f>
        <v/>
      </c>
      <c r="BE138">
        <f>IF(AND($G138=TRUE,$E138="DEF"),AZ138,"")</f>
        <v/>
      </c>
      <c r="BF138">
        <f>IF(AND($G138=TRUE,$E138="MID"),AZ138,"")</f>
        <v/>
      </c>
      <c r="BG138">
        <f>IF(AND($G138=TRUE,$E138="FWD"),AZ138,"")</f>
        <v/>
      </c>
      <c r="BH138" t="n">
        <v>2</v>
      </c>
      <c r="BI138" t="n">
        <v>2</v>
      </c>
      <c r="BJ138" t="n">
        <v>0</v>
      </c>
      <c r="BK138" t="n">
        <v>4</v>
      </c>
    </row>
    <row r="139">
      <c r="A139" t="inlineStr">
        <is>
          <t>Mats Wieffer</t>
        </is>
      </c>
      <c r="B139" t="inlineStr">
        <is>
          <t>BHA</t>
        </is>
      </c>
      <c r="C139" t="inlineStr">
        <is>
          <t>BHA</t>
        </is>
      </c>
      <c r="D139" t="b">
        <v>0</v>
      </c>
      <c r="E139" t="inlineStr">
        <is>
          <t>DEF</t>
        </is>
      </c>
      <c r="F139" t="inlineStr">
        <is>
          <t>MID</t>
        </is>
      </c>
      <c r="G139" t="b">
        <v>1</v>
      </c>
      <c r="H139" s="2" t="n">
        <v>5</v>
      </c>
      <c r="I139" t="inlineStr">
        <is>
          <t>a</t>
        </is>
      </c>
      <c r="K139" s="2" t="n">
        <v>1901</v>
      </c>
      <c r="L139" t="n">
        <v>94</v>
      </c>
      <c r="M139" s="3" t="n">
        <v>2787</v>
      </c>
      <c r="N139" s="8" t="n">
        <v>2787</v>
      </c>
      <c r="O139" s="8" t="n">
        <v>0</v>
      </c>
      <c r="Q139" t="inlineStr">
        <is>
          <t>flat</t>
        </is>
      </c>
      <c r="R139" s="6" t="n">
        <v>2787</v>
      </c>
      <c r="S139" t="inlineStr">
        <is>
          <t>Solio</t>
        </is>
      </c>
      <c r="U139" s="6" t="n">
        <v>79.3</v>
      </c>
      <c r="V139" s="2" t="n">
        <v>23</v>
      </c>
      <c r="W139" s="7">
        <f>IF(N(U139)&lt;=0,0,MIN(Assumptions!$B$15,N(R139)/N(U139)))</f>
        <v/>
      </c>
      <c r="X139" s="6" t="n">
        <v>0.252</v>
      </c>
      <c r="Y139" s="3" t="n">
        <v>0.0984</v>
      </c>
      <c r="Z139" t="inlineStr">
        <is>
          <t>adjusted xGOT</t>
        </is>
      </c>
      <c r="AA139" s="3" t="n">
        <v>1</v>
      </c>
      <c r="AB139" s="3" t="n">
        <v>1.082</v>
      </c>
      <c r="AC139" s="3" t="n">
        <v>2.7</v>
      </c>
      <c r="AD139" s="3" t="n">
        <v>0.1119</v>
      </c>
      <c r="AE139" s="3" t="n">
        <v>11.593</v>
      </c>
      <c r="AF139" s="3" t="n">
        <v>0.568629616679645</v>
      </c>
      <c r="AG139" s="3" t="n">
        <v>8.483000000000001</v>
      </c>
      <c r="AH139" s="3" t="n">
        <v>0.2397988797</v>
      </c>
      <c r="AI139" s="3" t="n">
        <v>46</v>
      </c>
      <c r="AJ139" s="3" t="n">
        <v>2.8404</v>
      </c>
      <c r="AK139" s="3" t="n">
        <v>1.439</v>
      </c>
      <c r="AL139" s="3" t="n">
        <v>-0.3529394299384296</v>
      </c>
      <c r="AM139" s="6" t="n">
        <v>0</v>
      </c>
      <c r="AN139" s="3" t="n">
        <v>0</v>
      </c>
      <c r="AO139" s="3" t="n">
        <v>0.5904</v>
      </c>
      <c r="AP139" s="3" t="n">
        <v>0.443124</v>
      </c>
      <c r="AQ139" s="3">
        <f>N(X139)*N(BJ139)</f>
        <v/>
      </c>
      <c r="AR139" s="3" t="n">
        <v>0</v>
      </c>
      <c r="AS139" s="3" t="n">
        <v>-0.4835617861760246</v>
      </c>
      <c r="AT139" s="3" t="n">
        <v>-0.3529394299384296</v>
      </c>
      <c r="AU139" s="3">
        <f>SUM(AO139:AT139)</f>
        <v/>
      </c>
      <c r="AV139" s="7">
        <f>IF(OR(N(W139)&lt;=0,N(BH139)=0),0,N(W139)*IF(N(R139)/N(W139)&gt;=60,N(BH139),1))</f>
        <v/>
      </c>
      <c r="AW139" s="7">
        <f>N(W139)*N(AF139)*N(BI139)</f>
        <v/>
      </c>
      <c r="AX139" s="3">
        <f>IF(N(BH139)=0,0,N(W139)*N(AH139))</f>
        <v/>
      </c>
      <c r="AY139" s="7">
        <f>N(AM139)*(Assumptions!$B$13*N(BK139)-(1-Assumptions!$B$13)*Assumptions!$B$14)+N(AN139)</f>
        <v/>
      </c>
      <c r="AZ139" s="7">
        <f>N(AU139)*N(R139)/90+N(AV139)+N(AW139)+N(AX139)+N(AY139)</f>
        <v/>
      </c>
      <c r="BA139" s="3">
        <f>IF(N(R139)&lt;=0,0,(N(AZ139)-N(AY139))*90/N(R139))</f>
        <v/>
      </c>
      <c r="BB139" s="7">
        <f>IFERROR(AZ139-VLOOKUP($E139,Assumptions!$A$40:$C$43,3,FALSE),"")</f>
        <v/>
      </c>
      <c r="BC139" s="3">
        <f>IFERROR(BB139/H139,"")</f>
        <v/>
      </c>
      <c r="BD139">
        <f>IF(AND($G139=TRUE,$E139="GKP"),AZ139,"")</f>
        <v/>
      </c>
      <c r="BE139">
        <f>IF(AND($G139=TRUE,$E139="DEF"),AZ139,"")</f>
        <v/>
      </c>
      <c r="BF139">
        <f>IF(AND($G139=TRUE,$E139="MID"),AZ139,"")</f>
        <v/>
      </c>
      <c r="BG139">
        <f>IF(AND($G139=TRUE,$E139="FWD"),AZ139,"")</f>
        <v/>
      </c>
      <c r="BH139" t="n">
        <v>2</v>
      </c>
      <c r="BI139" t="n">
        <v>2</v>
      </c>
      <c r="BJ139" t="n">
        <v>4</v>
      </c>
      <c r="BK139" t="n">
        <v>6</v>
      </c>
    </row>
    <row r="140">
      <c r="A140" t="inlineStr">
        <is>
          <t>James Justin</t>
        </is>
      </c>
      <c r="B140" t="inlineStr">
        <is>
          <t>LEE</t>
        </is>
      </c>
      <c r="C140" t="inlineStr">
        <is>
          <t>LEE</t>
        </is>
      </c>
      <c r="D140" t="b">
        <v>0</v>
      </c>
      <c r="E140" t="inlineStr">
        <is>
          <t>DEF</t>
        </is>
      </c>
      <c r="F140" t="inlineStr">
        <is>
          <t>DEF</t>
        </is>
      </c>
      <c r="G140" t="b">
        <v>1</v>
      </c>
      <c r="H140" s="2" t="n">
        <v>4.5</v>
      </c>
      <c r="I140" t="inlineStr">
        <is>
          <t>a</t>
        </is>
      </c>
      <c r="K140" s="2" t="n">
        <v>1893</v>
      </c>
      <c r="L140" t="n">
        <v>94</v>
      </c>
      <c r="M140" s="3" t="n">
        <v>2280</v>
      </c>
      <c r="N140" s="8" t="n">
        <v>2280</v>
      </c>
      <c r="O140" s="8" t="n">
        <v>0</v>
      </c>
      <c r="Q140" t="inlineStr">
        <is>
          <t>flat</t>
        </is>
      </c>
      <c r="R140" s="6" t="n">
        <v>2280</v>
      </c>
      <c r="S140" t="inlineStr">
        <is>
          <t>Solio</t>
        </is>
      </c>
      <c r="U140" s="6" t="n">
        <v>85.7</v>
      </c>
      <c r="V140" s="2" t="n">
        <v>21</v>
      </c>
      <c r="W140" s="7">
        <f>IF(N(U140)&lt;=0,0,MIN(Assumptions!$B$15,N(R140)/N(U140)))</f>
        <v/>
      </c>
      <c r="X140" s="6" t="n">
        <v>0.218</v>
      </c>
      <c r="Y140" s="3" t="n">
        <v>0.0727</v>
      </c>
      <c r="Z140" t="inlineStr">
        <is>
          <t>adjusted xGOT</t>
        </is>
      </c>
      <c r="AA140" s="3" t="n">
        <v>1</v>
      </c>
      <c r="AB140" s="3" t="n">
        <v>0.836</v>
      </c>
      <c r="AC140" s="3" t="n">
        <v>3.6</v>
      </c>
      <c r="AD140" s="3" t="n">
        <v>0.0887</v>
      </c>
      <c r="AE140" s="3" t="n">
        <v>8.420999999999999</v>
      </c>
      <c r="AF140" s="3" t="n">
        <v>0.2856941144800449</v>
      </c>
      <c r="AG140" s="3" t="n">
        <v>8.282</v>
      </c>
      <c r="AH140" s="3" t="n">
        <v>0.2262738374</v>
      </c>
      <c r="AI140" s="3" t="n">
        <v>49</v>
      </c>
      <c r="AJ140" s="3" t="n">
        <v>3.0611</v>
      </c>
      <c r="AK140" s="3" t="n">
        <v>1.5875</v>
      </c>
      <c r="AL140" s="3" t="n">
        <v>-0.2078031145580293</v>
      </c>
      <c r="AM140" s="6" t="n">
        <v>0</v>
      </c>
      <c r="AN140" s="3" t="n">
        <v>0</v>
      </c>
      <c r="AO140" s="3" t="n">
        <v>0.4362</v>
      </c>
      <c r="AP140" s="3" t="n">
        <v>0.351252</v>
      </c>
      <c r="AQ140" s="3">
        <f>N(X140)*N(BJ140)</f>
        <v/>
      </c>
      <c r="AR140" s="3" t="n">
        <v>0</v>
      </c>
      <c r="AS140" s="3" t="n">
        <v>-0.5541985260210861</v>
      </c>
      <c r="AT140" s="3" t="n">
        <v>-0.2078031145580293</v>
      </c>
      <c r="AU140" s="3">
        <f>SUM(AO140:AT140)</f>
        <v/>
      </c>
      <c r="AV140" s="7">
        <f>IF(OR(N(W140)&lt;=0,N(BH140)=0),0,N(W140)*IF(N(R140)/N(W140)&gt;=60,N(BH140),1))</f>
        <v/>
      </c>
      <c r="AW140" s="7">
        <f>N(W140)*N(AF140)*N(BI140)</f>
        <v/>
      </c>
      <c r="AX140" s="3">
        <f>IF(N(BH140)=0,0,N(W140)*N(AH140))</f>
        <v/>
      </c>
      <c r="AY140" s="7">
        <f>N(AM140)*(Assumptions!$B$13*N(BK140)-(1-Assumptions!$B$13)*Assumptions!$B$14)+N(AN140)</f>
        <v/>
      </c>
      <c r="AZ140" s="7">
        <f>N(AU140)*N(R140)/90+N(AV140)+N(AW140)+N(AX140)+N(AY140)</f>
        <v/>
      </c>
      <c r="BA140" s="3">
        <f>IF(N(R140)&lt;=0,0,(N(AZ140)-N(AY140))*90/N(R140))</f>
        <v/>
      </c>
      <c r="BB140" s="7">
        <f>IFERROR(AZ140-VLOOKUP($E140,Assumptions!$A$40:$C$43,3,FALSE),"")</f>
        <v/>
      </c>
      <c r="BC140" s="3">
        <f>IFERROR(BB140/H140,"")</f>
        <v/>
      </c>
      <c r="BD140">
        <f>IF(AND($G140=TRUE,$E140="GKP"),AZ140,"")</f>
        <v/>
      </c>
      <c r="BE140">
        <f>IF(AND($G140=TRUE,$E140="DEF"),AZ140,"")</f>
        <v/>
      </c>
      <c r="BF140">
        <f>IF(AND($G140=TRUE,$E140="MID"),AZ140,"")</f>
        <v/>
      </c>
      <c r="BG140">
        <f>IF(AND($G140=TRUE,$E140="FWD"),AZ140,"")</f>
        <v/>
      </c>
      <c r="BH140" t="n">
        <v>2</v>
      </c>
      <c r="BI140" t="n">
        <v>2</v>
      </c>
      <c r="BJ140" t="n">
        <v>4</v>
      </c>
      <c r="BK140" t="n">
        <v>6</v>
      </c>
    </row>
    <row r="141">
      <c r="A141" t="inlineStr">
        <is>
          <t>Dan Burn</t>
        </is>
      </c>
      <c r="B141" t="inlineStr">
        <is>
          <t>NEW</t>
        </is>
      </c>
      <c r="C141" t="inlineStr">
        <is>
          <t>NEW</t>
        </is>
      </c>
      <c r="D141" t="b">
        <v>0</v>
      </c>
      <c r="E141" t="inlineStr">
        <is>
          <t>DEF</t>
        </is>
      </c>
      <c r="F141" t="inlineStr">
        <is>
          <t>DEF</t>
        </is>
      </c>
      <c r="G141" t="b">
        <v>1</v>
      </c>
      <c r="H141" s="2" t="n">
        <v>5</v>
      </c>
      <c r="I141" t="inlineStr">
        <is>
          <t>a</t>
        </is>
      </c>
      <c r="K141" s="2" t="n">
        <v>2195</v>
      </c>
      <c r="L141" t="n">
        <v>93</v>
      </c>
      <c r="M141" s="3" t="n">
        <v>1406</v>
      </c>
      <c r="N141" s="8" t="n">
        <v>1406</v>
      </c>
      <c r="O141" s="8" t="n">
        <v>0</v>
      </c>
      <c r="Q141" t="inlineStr">
        <is>
          <t>flat</t>
        </is>
      </c>
      <c r="R141" s="6" t="n">
        <v>1406</v>
      </c>
      <c r="S141" t="inlineStr">
        <is>
          <t>Solio</t>
        </is>
      </c>
      <c r="U141" s="6" t="n">
        <v>86.2</v>
      </c>
      <c r="V141" s="2" t="n">
        <v>24</v>
      </c>
      <c r="W141" s="7">
        <f>IF(N(U141)&lt;=0,0,MIN(Assumptions!$B$15,N(R141)/N(U141)))</f>
        <v/>
      </c>
      <c r="X141" s="6" t="n">
        <v>0.248</v>
      </c>
      <c r="Y141" s="3" t="n">
        <v>0.0397</v>
      </c>
      <c r="Z141" t="inlineStr">
        <is>
          <t>adjusted xGOT</t>
        </is>
      </c>
      <c r="AA141" s="3" t="n">
        <v>1</v>
      </c>
      <c r="AB141" s="3" t="n">
        <v>0.896</v>
      </c>
      <c r="AC141" s="3" t="n">
        <v>8.5</v>
      </c>
      <c r="AD141" s="3" t="n">
        <v>0.0158</v>
      </c>
      <c r="AE141" s="3" t="n">
        <v>8.845000000000001</v>
      </c>
      <c r="AF141" s="3" t="n">
        <v>0.3433340116847217</v>
      </c>
      <c r="AG141" s="3" t="n">
        <v>7.093</v>
      </c>
      <c r="AH141" s="3" t="n">
        <v>0.1209342664</v>
      </c>
      <c r="AI141" s="3" t="n">
        <v>53</v>
      </c>
      <c r="AJ141" s="3" t="n">
        <v>3.0912</v>
      </c>
      <c r="AK141" s="3" t="n">
        <v>1.4534</v>
      </c>
      <c r="AL141" s="3" t="n">
        <v>-0.2907194972641908</v>
      </c>
      <c r="AM141" s="6" t="n">
        <v>0</v>
      </c>
      <c r="AN141" s="3" t="n">
        <v>0</v>
      </c>
      <c r="AO141" s="3" t="n">
        <v>0.2382</v>
      </c>
      <c r="AP141" s="3" t="n">
        <v>0.06256800000000001</v>
      </c>
      <c r="AQ141" s="3">
        <f>N(X141)*N(BJ141)</f>
        <v/>
      </c>
      <c r="AR141" s="3" t="n">
        <v>0</v>
      </c>
      <c r="AS141" s="3" t="n">
        <v>-0.4903625828545308</v>
      </c>
      <c r="AT141" s="3" t="n">
        <v>-0.2907194972641908</v>
      </c>
      <c r="AU141" s="3">
        <f>SUM(AO141:AT141)</f>
        <v/>
      </c>
      <c r="AV141" s="7">
        <f>IF(OR(N(W141)&lt;=0,N(BH141)=0),0,N(W141)*IF(N(R141)/N(W141)&gt;=60,N(BH141),1))</f>
        <v/>
      </c>
      <c r="AW141" s="7">
        <f>N(W141)*N(AF141)*N(BI141)</f>
        <v/>
      </c>
      <c r="AX141" s="3">
        <f>IF(N(BH141)=0,0,N(W141)*N(AH141))</f>
        <v/>
      </c>
      <c r="AY141" s="7">
        <f>N(AM141)*(Assumptions!$B$13*N(BK141)-(1-Assumptions!$B$13)*Assumptions!$B$14)+N(AN141)</f>
        <v/>
      </c>
      <c r="AZ141" s="7">
        <f>N(AU141)*N(R141)/90+N(AV141)+N(AW141)+N(AX141)+N(AY141)</f>
        <v/>
      </c>
      <c r="BA141" s="3">
        <f>IF(N(R141)&lt;=0,0,(N(AZ141)-N(AY141))*90/N(R141))</f>
        <v/>
      </c>
      <c r="BB141" s="7">
        <f>IFERROR(AZ141-VLOOKUP($E141,Assumptions!$A$40:$C$43,3,FALSE),"")</f>
        <v/>
      </c>
      <c r="BC141" s="3">
        <f>IFERROR(BB141/H141,"")</f>
        <v/>
      </c>
      <c r="BD141">
        <f>IF(AND($G141=TRUE,$E141="GKP"),AZ141,"")</f>
        <v/>
      </c>
      <c r="BE141">
        <f>IF(AND($G141=TRUE,$E141="DEF"),AZ141,"")</f>
        <v/>
      </c>
      <c r="BF141">
        <f>IF(AND($G141=TRUE,$E141="MID"),AZ141,"")</f>
        <v/>
      </c>
      <c r="BG141">
        <f>IF(AND($G141=TRUE,$E141="FWD"),AZ141,"")</f>
        <v/>
      </c>
      <c r="BH141" t="n">
        <v>2</v>
      </c>
      <c r="BI141" t="n">
        <v>2</v>
      </c>
      <c r="BJ141" t="n">
        <v>4</v>
      </c>
      <c r="BK141" t="n">
        <v>6</v>
      </c>
    </row>
    <row r="142">
      <c r="A142" t="inlineStr">
        <is>
          <t>Tijjani Reijnders</t>
        </is>
      </c>
      <c r="B142" t="inlineStr">
        <is>
          <t>MCI</t>
        </is>
      </c>
      <c r="C142" t="inlineStr">
        <is>
          <t>MCI</t>
        </is>
      </c>
      <c r="D142" t="b">
        <v>0</v>
      </c>
      <c r="E142" t="inlineStr">
        <is>
          <t>MID</t>
        </is>
      </c>
      <c r="F142" t="inlineStr">
        <is>
          <t>MID</t>
        </is>
      </c>
      <c r="G142" t="b">
        <v>1</v>
      </c>
      <c r="H142" s="2" t="n">
        <v>6</v>
      </c>
      <c r="I142" t="inlineStr">
        <is>
          <t>a</t>
        </is>
      </c>
      <c r="K142" s="2" t="n">
        <v>1623</v>
      </c>
      <c r="L142" t="n">
        <v>92</v>
      </c>
      <c r="M142" s="3" t="n">
        <v>247</v>
      </c>
      <c r="N142" s="4" t="n">
        <v>0</v>
      </c>
      <c r="O142" s="4" t="n">
        <v>-247</v>
      </c>
      <c r="P142" s="5" t="inlineStr">
        <is>
          <t>high</t>
        </is>
      </c>
      <c r="Q142" t="inlineStr">
        <is>
          <t>flat</t>
        </is>
      </c>
      <c r="R142" s="6" t="n">
        <v>0</v>
      </c>
      <c r="S142" t="inlineStr">
        <is>
          <t>research</t>
        </is>
      </c>
      <c r="T142" s="5" t="inlineStr">
        <is>
          <t>Sale to Al Qadsiah is done bar the medical: Romano reported on 13 Aug that Reijnders 'says yes to Al Qadsiah and all parties have now a verbal agreement' at around €61m, with the player awaiting the green light to fly out. Solio's 247 already assumed he goes; this just closes it to zero. Small delta, high certainty — included mainly because it is one of the few free minutes in the budget.</t>
        </is>
      </c>
      <c r="U142" s="6" t="n">
        <v>78.3</v>
      </c>
      <c r="V142" s="2" t="n">
        <v>19</v>
      </c>
      <c r="W142" s="7">
        <f>IF(N(U142)&lt;=0,0,MIN(Assumptions!$B$15,N(R142)/N(U142)))</f>
        <v/>
      </c>
      <c r="X142" s="6" t="n">
        <v>0.371</v>
      </c>
      <c r="Y142" s="3" t="n">
        <v>0.2473</v>
      </c>
      <c r="Z142" t="inlineStr">
        <is>
          <t>adjusted xGOT</t>
        </is>
      </c>
      <c r="AA142" s="3" t="n">
        <v>1</v>
      </c>
      <c r="AB142" s="3" t="n">
        <v>0.968</v>
      </c>
      <c r="AC142" s="3" t="n">
        <v>4.6</v>
      </c>
      <c r="AD142" s="3" t="n">
        <v>0.1504</v>
      </c>
      <c r="AE142" s="3" t="n">
        <v>6.477</v>
      </c>
      <c r="AF142" s="3" t="n">
        <v>0.01304719904556217</v>
      </c>
      <c r="AG142" s="3" t="n">
        <v>5.325</v>
      </c>
      <c r="AH142" s="3" t="n">
        <v>0.3564844352</v>
      </c>
      <c r="AI142" s="3" t="n">
        <v>45</v>
      </c>
      <c r="AJ142" s="3" t="n">
        <v>1.9737</v>
      </c>
      <c r="AK142" s="3" t="n">
        <v>1.0365</v>
      </c>
      <c r="AL142" s="3" t="n">
        <v>-0.1691481127379736</v>
      </c>
      <c r="AM142" s="6" t="n">
        <v>0</v>
      </c>
      <c r="AN142" s="3" t="n">
        <v>0</v>
      </c>
      <c r="AO142" s="3" t="n">
        <v>1.2365</v>
      </c>
      <c r="AP142" s="3" t="n">
        <v>0.5955840000000001</v>
      </c>
      <c r="AQ142" s="3">
        <f>N(X142)*N(BJ142)</f>
        <v/>
      </c>
      <c r="AR142" s="3" t="n">
        <v>0</v>
      </c>
      <c r="AS142" s="3" t="n">
        <v>-0</v>
      </c>
      <c r="AT142" s="3" t="n">
        <v>-0.1691481127379736</v>
      </c>
      <c r="AU142" s="3">
        <f>SUM(AO142:AT142)</f>
        <v/>
      </c>
      <c r="AV142" s="7">
        <f>IF(OR(N(W142)&lt;=0,N(BH142)=0),0,N(W142)*IF(N(R142)/N(W142)&gt;=60,N(BH142),1))</f>
        <v/>
      </c>
      <c r="AW142" s="7">
        <f>N(W142)*N(AF142)*N(BI142)</f>
        <v/>
      </c>
      <c r="AX142" s="3">
        <f>IF(N(BH142)=0,0,N(W142)*N(AH142))</f>
        <v/>
      </c>
      <c r="AY142" s="7">
        <f>N(AM142)*(Assumptions!$B$13*N(BK142)-(1-Assumptions!$B$13)*Assumptions!$B$14)+N(AN142)</f>
        <v/>
      </c>
      <c r="AZ142" s="7">
        <f>N(AU142)*N(R142)/90+N(AV142)+N(AW142)+N(AX142)+N(AY142)</f>
        <v/>
      </c>
      <c r="BA142" s="3">
        <f>IF(N(R142)&lt;=0,0,(N(AZ142)-N(AY142))*90/N(R142))</f>
        <v/>
      </c>
      <c r="BB142" s="7">
        <f>IFERROR(AZ142-VLOOKUP($E142,Assumptions!$A$40:$C$43,3,FALSE),"")</f>
        <v/>
      </c>
      <c r="BC142" s="3">
        <f>IFERROR(BB142/H142,"")</f>
        <v/>
      </c>
      <c r="BD142">
        <f>IF(AND($G142=TRUE,$E142="GKP"),AZ142,"")</f>
        <v/>
      </c>
      <c r="BE142">
        <f>IF(AND($G142=TRUE,$E142="DEF"),AZ142,"")</f>
        <v/>
      </c>
      <c r="BF142">
        <f>IF(AND($G142=TRUE,$E142="MID"),AZ142,"")</f>
        <v/>
      </c>
      <c r="BG142">
        <f>IF(AND($G142=TRUE,$E142="FWD"),AZ142,"")</f>
        <v/>
      </c>
      <c r="BH142" t="n">
        <v>2</v>
      </c>
      <c r="BI142" t="n">
        <v>2</v>
      </c>
      <c r="BJ142" t="n">
        <v>1</v>
      </c>
      <c r="BK142" t="n">
        <v>5</v>
      </c>
    </row>
    <row r="143">
      <c r="A143" t="inlineStr">
        <is>
          <t>Brian Brobbey</t>
        </is>
      </c>
      <c r="B143" t="inlineStr">
        <is>
          <t>SUN</t>
        </is>
      </c>
      <c r="C143" t="inlineStr">
        <is>
          <t>SUN</t>
        </is>
      </c>
      <c r="D143" t="b">
        <v>0</v>
      </c>
      <c r="E143" t="inlineStr">
        <is>
          <t>FWD</t>
        </is>
      </c>
      <c r="F143" t="inlineStr">
        <is>
          <t>FWD</t>
        </is>
      </c>
      <c r="G143" t="b">
        <v>1</v>
      </c>
      <c r="H143" s="2" t="n">
        <v>6</v>
      </c>
      <c r="I143" t="inlineStr">
        <is>
          <t>a</t>
        </is>
      </c>
      <c r="K143" s="2" t="n">
        <v>1920</v>
      </c>
      <c r="L143" t="n">
        <v>92</v>
      </c>
      <c r="M143" s="3" t="n">
        <v>2884</v>
      </c>
      <c r="N143" s="4" t="n">
        <v>2600</v>
      </c>
      <c r="O143" s="4" t="n">
        <v>-284</v>
      </c>
      <c r="P143" s="5" t="inlineStr">
        <is>
          <t>medium</t>
        </is>
      </c>
      <c r="Q143" t="inlineStr">
        <is>
          <t>flat</t>
        </is>
      </c>
      <c r="R143" s="6" t="n">
        <v>2600</v>
      </c>
      <c r="S143" t="inlineStr">
        <is>
          <t>research</t>
        </is>
      </c>
      <c r="T143" s="5" t="inlineStr">
        <is>
          <t>The counterweight to the Isidor change: Solio's Brobbey and Isidor numbers together imply only one of them is a real Premier League contributor. Brobbey remains the near-certain starter and this is a deliberately small trim, but he was withdrawn on 72' against Rennes, Isidor is confirmed to be staying as the impact option, and eight Europa League fixtures give Le Bris a strong reason to rest the only recognised first-choice striker in some league games.</t>
        </is>
      </c>
      <c r="U143" s="6" t="n">
        <v>78.5</v>
      </c>
      <c r="V143" s="2" t="n">
        <v>22</v>
      </c>
      <c r="W143" s="7">
        <f>IF(N(U143)&lt;=0,0,MIN(Assumptions!$B$15,N(R143)/N(U143)))</f>
        <v/>
      </c>
      <c r="X143" s="6" t="n">
        <v>0.204</v>
      </c>
      <c r="Y143" s="3" t="n">
        <v>0.3039</v>
      </c>
      <c r="Z143" t="inlineStr">
        <is>
          <t>adjusted xGOT</t>
        </is>
      </c>
      <c r="AA143" s="3" t="n">
        <v>1</v>
      </c>
      <c r="AB143" s="3" t="n">
        <v>1.077</v>
      </c>
      <c r="AC143" s="3" t="n">
        <v>6</v>
      </c>
      <c r="AD143" s="3" t="n">
        <v>0.0511</v>
      </c>
      <c r="AE143" s="3" t="n">
        <v>3.83</v>
      </c>
      <c r="AF143" s="3" t="n">
        <v>0.0001907227640456366</v>
      </c>
      <c r="AG143" s="3" t="n">
        <v>0.484</v>
      </c>
      <c r="AH143" s="3" t="n">
        <v>0.3551605045</v>
      </c>
      <c r="AI143" s="3" t="n">
        <v>52</v>
      </c>
      <c r="AJ143" s="3" t="n">
        <v>3.3348</v>
      </c>
      <c r="AK143" s="3" t="n">
        <v>1.6498</v>
      </c>
      <c r="AL143" s="3" t="n">
        <v>-0.2422255324303657</v>
      </c>
      <c r="AM143" s="6" t="n">
        <v>0</v>
      </c>
      <c r="AN143" s="3" t="n">
        <v>0</v>
      </c>
      <c r="AO143" s="3" t="n">
        <v>1.2156</v>
      </c>
      <c r="AP143" s="3" t="n">
        <v>0.202356</v>
      </c>
      <c r="AQ143" s="3">
        <f>N(X143)*N(BJ143)</f>
        <v/>
      </c>
      <c r="AR143" s="3" t="n">
        <v>0</v>
      </c>
      <c r="AS143" s="3" t="n">
        <v>-0</v>
      </c>
      <c r="AT143" s="3" t="n">
        <v>-0.2422255324303657</v>
      </c>
      <c r="AU143" s="3">
        <f>SUM(AO143:AT143)</f>
        <v/>
      </c>
      <c r="AV143" s="7">
        <f>IF(OR(N(W143)&lt;=0,N(BH143)=0),0,N(W143)*IF(N(R143)/N(W143)&gt;=60,N(BH143),1))</f>
        <v/>
      </c>
      <c r="AW143" s="7">
        <f>N(W143)*N(AF143)*N(BI143)</f>
        <v/>
      </c>
      <c r="AX143" s="3">
        <f>IF(N(BH143)=0,0,N(W143)*N(AH143))</f>
        <v/>
      </c>
      <c r="AY143" s="7">
        <f>N(AM143)*(Assumptions!$B$13*N(BK143)-(1-Assumptions!$B$13)*Assumptions!$B$14)+N(AN143)</f>
        <v/>
      </c>
      <c r="AZ143" s="7">
        <f>N(AU143)*N(R143)/90+N(AV143)+N(AW143)+N(AX143)+N(AY143)</f>
        <v/>
      </c>
      <c r="BA143" s="3">
        <f>IF(N(R143)&lt;=0,0,(N(AZ143)-N(AY143))*90/N(R143))</f>
        <v/>
      </c>
      <c r="BB143" s="7">
        <f>IFERROR(AZ143-VLOOKUP($E143,Assumptions!$A$40:$C$43,3,FALSE),"")</f>
        <v/>
      </c>
      <c r="BC143" s="3">
        <f>IFERROR(BB143/H143,"")</f>
        <v/>
      </c>
      <c r="BD143">
        <f>IF(AND($G143=TRUE,$E143="GKP"),AZ143,"")</f>
        <v/>
      </c>
      <c r="BE143">
        <f>IF(AND($G143=TRUE,$E143="DEF"),AZ143,"")</f>
        <v/>
      </c>
      <c r="BF143">
        <f>IF(AND($G143=TRUE,$E143="MID"),AZ143,"")</f>
        <v/>
      </c>
      <c r="BG143">
        <f>IF(AND($G143=TRUE,$E143="FWD"),AZ143,"")</f>
        <v/>
      </c>
      <c r="BH143" t="n">
        <v>2</v>
      </c>
      <c r="BI143" t="n">
        <v>2</v>
      </c>
      <c r="BJ143" t="n">
        <v>0</v>
      </c>
      <c r="BK143" t="n">
        <v>4</v>
      </c>
    </row>
    <row r="144">
      <c r="A144" t="inlineStr">
        <is>
          <t>Jack Hinshelwood</t>
        </is>
      </c>
      <c r="B144" t="inlineStr">
        <is>
          <t>BHA</t>
        </is>
      </c>
      <c r="C144" t="inlineStr">
        <is>
          <t>BHA</t>
        </is>
      </c>
      <c r="D144" t="b">
        <v>0</v>
      </c>
      <c r="E144" t="inlineStr">
        <is>
          <t>MID</t>
        </is>
      </c>
      <c r="F144" t="inlineStr">
        <is>
          <t>MID</t>
        </is>
      </c>
      <c r="G144" t="b">
        <v>1</v>
      </c>
      <c r="H144" s="2" t="n">
        <v>6</v>
      </c>
      <c r="I144" t="inlineStr">
        <is>
          <t>a</t>
        </is>
      </c>
      <c r="K144" s="2" t="n">
        <v>1736</v>
      </c>
      <c r="L144" t="n">
        <v>91</v>
      </c>
      <c r="M144" s="3" t="n">
        <v>2782</v>
      </c>
      <c r="N144" s="8" t="n">
        <v>2782</v>
      </c>
      <c r="O144" s="8" t="n">
        <v>0</v>
      </c>
      <c r="Q144" t="inlineStr">
        <is>
          <t>flat</t>
        </is>
      </c>
      <c r="R144" s="6" t="n">
        <v>2782</v>
      </c>
      <c r="S144" t="inlineStr">
        <is>
          <t>Solio</t>
        </is>
      </c>
      <c r="U144" s="6" t="n">
        <v>77.2</v>
      </c>
      <c r="V144" s="2" t="n">
        <v>20</v>
      </c>
      <c r="W144" s="7">
        <f>IF(N(U144)&lt;=0,0,MIN(Assumptions!$B$15,N(R144)/N(U144)))</f>
        <v/>
      </c>
      <c r="X144" s="6" t="n">
        <v>0.252</v>
      </c>
      <c r="Y144" s="3" t="n">
        <v>0.2866</v>
      </c>
      <c r="Z144" t="inlineStr">
        <is>
          <t>adjusted xGOT</t>
        </is>
      </c>
      <c r="AA144" s="3" t="n">
        <v>1</v>
      </c>
      <c r="AB144" s="3" t="n">
        <v>1.119</v>
      </c>
      <c r="AC144" s="3" t="n">
        <v>9.800000000000001</v>
      </c>
      <c r="AD144" s="3" t="n">
        <v>0.1218</v>
      </c>
      <c r="AE144" s="3" t="n">
        <v>6.692</v>
      </c>
      <c r="AF144" s="3" t="n">
        <v>0.01484749484487635</v>
      </c>
      <c r="AG144" s="3" t="n">
        <v>3.974</v>
      </c>
      <c r="AH144" s="3" t="n">
        <v>0.3471181103</v>
      </c>
      <c r="AI144" s="3" t="n">
        <v>47</v>
      </c>
      <c r="AJ144" s="3" t="n">
        <v>2.8404</v>
      </c>
      <c r="AK144" s="3" t="n">
        <v>1.439</v>
      </c>
      <c r="AL144" s="3" t="n">
        <v>-0.1448608691693078</v>
      </c>
      <c r="AM144" s="6" t="n">
        <v>0</v>
      </c>
      <c r="AN144" s="3" t="n">
        <v>0</v>
      </c>
      <c r="AO144" s="3" t="n">
        <v>1.433</v>
      </c>
      <c r="AP144" s="3" t="n">
        <v>0.482328</v>
      </c>
      <c r="AQ144" s="3">
        <f>N(X144)*N(BJ144)</f>
        <v/>
      </c>
      <c r="AR144" s="3" t="n">
        <v>0</v>
      </c>
      <c r="AS144" s="3" t="n">
        <v>-0</v>
      </c>
      <c r="AT144" s="3" t="n">
        <v>-0.1448608691693078</v>
      </c>
      <c r="AU144" s="3">
        <f>SUM(AO144:AT144)</f>
        <v/>
      </c>
      <c r="AV144" s="7">
        <f>IF(OR(N(W144)&lt;=0,N(BH144)=0),0,N(W144)*IF(N(R144)/N(W144)&gt;=60,N(BH144),1))</f>
        <v/>
      </c>
      <c r="AW144" s="7">
        <f>N(W144)*N(AF144)*N(BI144)</f>
        <v/>
      </c>
      <c r="AX144" s="3">
        <f>IF(N(BH144)=0,0,N(W144)*N(AH144))</f>
        <v/>
      </c>
      <c r="AY144" s="7">
        <f>N(AM144)*(Assumptions!$B$13*N(BK144)-(1-Assumptions!$B$13)*Assumptions!$B$14)+N(AN144)</f>
        <v/>
      </c>
      <c r="AZ144" s="7">
        <f>N(AU144)*N(R144)/90+N(AV144)+N(AW144)+N(AX144)+N(AY144)</f>
        <v/>
      </c>
      <c r="BA144" s="3">
        <f>IF(N(R144)&lt;=0,0,(N(AZ144)-N(AY144))*90/N(R144))</f>
        <v/>
      </c>
      <c r="BB144" s="7">
        <f>IFERROR(AZ144-VLOOKUP($E144,Assumptions!$A$40:$C$43,3,FALSE),"")</f>
        <v/>
      </c>
      <c r="BC144" s="3">
        <f>IFERROR(BB144/H144,"")</f>
        <v/>
      </c>
      <c r="BD144">
        <f>IF(AND($G144=TRUE,$E144="GKP"),AZ144,"")</f>
        <v/>
      </c>
      <c r="BE144">
        <f>IF(AND($G144=TRUE,$E144="DEF"),AZ144,"")</f>
        <v/>
      </c>
      <c r="BF144">
        <f>IF(AND($G144=TRUE,$E144="MID"),AZ144,"")</f>
        <v/>
      </c>
      <c r="BG144">
        <f>IF(AND($G144=TRUE,$E144="FWD"),AZ144,"")</f>
        <v/>
      </c>
      <c r="BH144" t="n">
        <v>2</v>
      </c>
      <c r="BI144" t="n">
        <v>2</v>
      </c>
      <c r="BJ144" t="n">
        <v>1</v>
      </c>
      <c r="BK144" t="n">
        <v>5</v>
      </c>
    </row>
    <row r="145">
      <c r="A145" t="inlineStr">
        <is>
          <t>Cristian Romero</t>
        </is>
      </c>
      <c r="B145" t="inlineStr">
        <is>
          <t>TOT</t>
        </is>
      </c>
      <c r="C145" t="inlineStr">
        <is>
          <t>TOT</t>
        </is>
      </c>
      <c r="D145" t="b">
        <v>0</v>
      </c>
      <c r="E145" t="inlineStr">
        <is>
          <t>DEF</t>
        </is>
      </c>
      <c r="F145" t="inlineStr">
        <is>
          <t>DEF</t>
        </is>
      </c>
      <c r="G145" t="b">
        <v>1</v>
      </c>
      <c r="H145" s="2" t="n">
        <v>5</v>
      </c>
      <c r="I145" t="inlineStr">
        <is>
          <t>a</t>
        </is>
      </c>
      <c r="K145" s="2" t="n">
        <v>1869</v>
      </c>
      <c r="L145" t="n">
        <v>91</v>
      </c>
      <c r="M145" s="3" t="n">
        <v>5</v>
      </c>
      <c r="N145" s="4" t="n">
        <v>0</v>
      </c>
      <c r="O145" s="4" t="n">
        <v>-5</v>
      </c>
      <c r="P145" s="5" t="inlineStr">
        <is>
          <t>high</t>
        </is>
      </c>
      <c r="Q145" t="inlineStr">
        <is>
          <t>flat</t>
        </is>
      </c>
      <c r="R145" s="6" t="n">
        <v>0</v>
      </c>
      <c r="S145" t="inlineStr">
        <is>
          <t>research</t>
        </is>
      </c>
      <c r="T145" s="5" t="inlineStr">
        <is>
          <t>Sold to Atletico Madrid for GBP 34.2m on 15 August 2026. Solio had effectively already written him off at 5 minutes; corrected to zero for completeness.</t>
        </is>
      </c>
      <c r="U145" s="6" t="n">
        <v>85.90000000000001</v>
      </c>
      <c r="V145" s="2" t="n">
        <v>20</v>
      </c>
      <c r="W145" s="7">
        <f>IF(N(U145)&lt;=0,0,MIN(Assumptions!$B$15,N(R145)/N(U145)))</f>
        <v/>
      </c>
      <c r="X145" s="6" t="n">
        <v>0.286</v>
      </c>
      <c r="Y145" s="3" t="n">
        <v>0.0701</v>
      </c>
      <c r="Z145" t="inlineStr">
        <is>
          <t>adjusted xGOT</t>
        </is>
      </c>
      <c r="AA145" s="3" t="n">
        <v>1</v>
      </c>
      <c r="AB145" s="3" t="n">
        <v>1.047</v>
      </c>
      <c r="AC145" s="3" t="n">
        <v>7.7</v>
      </c>
      <c r="AD145" s="3" t="n">
        <v>0.0738</v>
      </c>
      <c r="AE145" s="3" t="n">
        <v>8.984999999999999</v>
      </c>
      <c r="AF145" s="3" t="n">
        <v>0.3568759754485757</v>
      </c>
      <c r="AG145" s="3" t="n">
        <v>9.266</v>
      </c>
      <c r="AH145" s="3" t="n">
        <v>0.2808620736</v>
      </c>
      <c r="AI145" s="3" t="n">
        <v>43</v>
      </c>
      <c r="AJ145" s="3" t="n">
        <v>2.5739</v>
      </c>
      <c r="AK145" s="3" t="n">
        <v>1.3096</v>
      </c>
      <c r="AL145" s="3" t="n">
        <v>-0.303303089842538</v>
      </c>
      <c r="AM145" s="6" t="n">
        <v>0</v>
      </c>
      <c r="AN145" s="3" t="n">
        <v>0</v>
      </c>
      <c r="AO145" s="3" t="n">
        <v>0.4206</v>
      </c>
      <c r="AP145" s="3" t="n">
        <v>0.292248</v>
      </c>
      <c r="AQ145" s="3">
        <f>N(X145)*N(BJ145)</f>
        <v/>
      </c>
      <c r="AR145" s="3" t="n">
        <v>0</v>
      </c>
      <c r="AS145" s="3" t="n">
        <v>-0.4230152821052008</v>
      </c>
      <c r="AT145" s="3" t="n">
        <v>-0.303303089842538</v>
      </c>
      <c r="AU145" s="3">
        <f>SUM(AO145:AT145)</f>
        <v/>
      </c>
      <c r="AV145" s="7">
        <f>IF(OR(N(W145)&lt;=0,N(BH145)=0),0,N(W145)*IF(N(R145)/N(W145)&gt;=60,N(BH145),1))</f>
        <v/>
      </c>
      <c r="AW145" s="7">
        <f>N(W145)*N(AF145)*N(BI145)</f>
        <v/>
      </c>
      <c r="AX145" s="3">
        <f>IF(N(BH145)=0,0,N(W145)*N(AH145))</f>
        <v/>
      </c>
      <c r="AY145" s="7">
        <f>N(AM145)*(Assumptions!$B$13*N(BK145)-(1-Assumptions!$B$13)*Assumptions!$B$14)+N(AN145)</f>
        <v/>
      </c>
      <c r="AZ145" s="7">
        <f>N(AU145)*N(R145)/90+N(AV145)+N(AW145)+N(AX145)+N(AY145)</f>
        <v/>
      </c>
      <c r="BA145" s="3">
        <f>IF(N(R145)&lt;=0,0,(N(AZ145)-N(AY145))*90/N(R145))</f>
        <v/>
      </c>
      <c r="BB145" s="7">
        <f>IFERROR(AZ145-VLOOKUP($E145,Assumptions!$A$40:$C$43,3,FALSE),"")</f>
        <v/>
      </c>
      <c r="BC145" s="3">
        <f>IFERROR(BB145/H145,"")</f>
        <v/>
      </c>
      <c r="BD145">
        <f>IF(AND($G145=TRUE,$E145="GKP"),AZ145,"")</f>
        <v/>
      </c>
      <c r="BE145">
        <f>IF(AND($G145=TRUE,$E145="DEF"),AZ145,"")</f>
        <v/>
      </c>
      <c r="BF145">
        <f>IF(AND($G145=TRUE,$E145="MID"),AZ145,"")</f>
        <v/>
      </c>
      <c r="BG145">
        <f>IF(AND($G145=TRUE,$E145="FWD"),AZ145,"")</f>
        <v/>
      </c>
      <c r="BH145" t="n">
        <v>2</v>
      </c>
      <c r="BI145" t="n">
        <v>2</v>
      </c>
      <c r="BJ145" t="n">
        <v>4</v>
      </c>
      <c r="BK145" t="n">
        <v>6</v>
      </c>
    </row>
    <row r="146">
      <c r="A146" t="inlineStr">
        <is>
          <t>Sander Berge</t>
        </is>
      </c>
      <c r="B146" t="inlineStr">
        <is>
          <t>FUL</t>
        </is>
      </c>
      <c r="C146" t="inlineStr">
        <is>
          <t>FUL</t>
        </is>
      </c>
      <c r="D146" t="b">
        <v>0</v>
      </c>
      <c r="E146" t="inlineStr">
        <is>
          <t>MID</t>
        </is>
      </c>
      <c r="F146" t="inlineStr">
        <is>
          <t>MID</t>
        </is>
      </c>
      <c r="G146" t="b">
        <v>1</v>
      </c>
      <c r="H146" s="2" t="n">
        <v>5</v>
      </c>
      <c r="I146" t="inlineStr">
        <is>
          <t>a</t>
        </is>
      </c>
      <c r="K146" s="2" t="n">
        <v>2904</v>
      </c>
      <c r="L146" t="n">
        <v>91</v>
      </c>
      <c r="M146" s="3" t="n">
        <v>2337</v>
      </c>
      <c r="N146" s="8" t="n">
        <v>2337</v>
      </c>
      <c r="O146" s="8" t="n">
        <v>0</v>
      </c>
      <c r="Q146" t="inlineStr">
        <is>
          <t>flat</t>
        </is>
      </c>
      <c r="R146" s="6" t="n">
        <v>2337</v>
      </c>
      <c r="S146" t="inlineStr">
        <is>
          <t>Solio</t>
        </is>
      </c>
      <c r="U146" s="6" t="n">
        <v>83.8</v>
      </c>
      <c r="V146" s="2" t="n">
        <v>34</v>
      </c>
      <c r="W146" s="7">
        <f>IF(N(U146)&lt;=0,0,MIN(Assumptions!$B$15,N(R146)/N(U146)))</f>
        <v/>
      </c>
      <c r="X146" s="6" t="n">
        <v>0.214</v>
      </c>
      <c r="Y146" s="3" t="n">
        <v>0.0373</v>
      </c>
      <c r="Z146" t="inlineStr">
        <is>
          <t>adjusted xGOT</t>
        </is>
      </c>
      <c r="AA146" s="3" t="n">
        <v>1</v>
      </c>
      <c r="AB146" s="3" t="n">
        <v>0.781</v>
      </c>
      <c r="AC146" s="3" t="n">
        <v>4</v>
      </c>
      <c r="AD146" s="3" t="n">
        <v>0.054</v>
      </c>
      <c r="AE146" s="3" t="n">
        <v>8.657999999999999</v>
      </c>
      <c r="AF146" s="3" t="n">
        <v>0.1164192334050407</v>
      </c>
      <c r="AG146" s="3" t="n">
        <v>8.371</v>
      </c>
      <c r="AH146" s="3" t="n">
        <v>0.1034428373</v>
      </c>
      <c r="AI146" s="3" t="n">
        <v>68</v>
      </c>
      <c r="AJ146" s="3" t="n">
        <v>3.22</v>
      </c>
      <c r="AK146" s="3" t="n">
        <v>1.6019</v>
      </c>
      <c r="AL146" s="3" t="n">
        <v>-0.2128060229925173</v>
      </c>
      <c r="AM146" s="6" t="n">
        <v>0</v>
      </c>
      <c r="AN146" s="3" t="n">
        <v>0</v>
      </c>
      <c r="AO146" s="3" t="n">
        <v>0.1865</v>
      </c>
      <c r="AP146" s="3" t="n">
        <v>0.21384</v>
      </c>
      <c r="AQ146" s="3">
        <f>N(X146)*N(BJ146)</f>
        <v/>
      </c>
      <c r="AR146" s="3" t="n">
        <v>0</v>
      </c>
      <c r="AS146" s="3" t="n">
        <v>-0</v>
      </c>
      <c r="AT146" s="3" t="n">
        <v>-0.2128060229925173</v>
      </c>
      <c r="AU146" s="3">
        <f>SUM(AO146:AT146)</f>
        <v/>
      </c>
      <c r="AV146" s="7">
        <f>IF(OR(N(W146)&lt;=0,N(BH146)=0),0,N(W146)*IF(N(R146)/N(W146)&gt;=60,N(BH146),1))</f>
        <v/>
      </c>
      <c r="AW146" s="7">
        <f>N(W146)*N(AF146)*N(BI146)</f>
        <v/>
      </c>
      <c r="AX146" s="3">
        <f>IF(N(BH146)=0,0,N(W146)*N(AH146))</f>
        <v/>
      </c>
      <c r="AY146" s="7">
        <f>N(AM146)*(Assumptions!$B$13*N(BK146)-(1-Assumptions!$B$13)*Assumptions!$B$14)+N(AN146)</f>
        <v/>
      </c>
      <c r="AZ146" s="7">
        <f>N(AU146)*N(R146)/90+N(AV146)+N(AW146)+N(AX146)+N(AY146)</f>
        <v/>
      </c>
      <c r="BA146" s="3">
        <f>IF(N(R146)&lt;=0,0,(N(AZ146)-N(AY146))*90/N(R146))</f>
        <v/>
      </c>
      <c r="BB146" s="7">
        <f>IFERROR(AZ146-VLOOKUP($E146,Assumptions!$A$40:$C$43,3,FALSE),"")</f>
        <v/>
      </c>
      <c r="BC146" s="3">
        <f>IFERROR(BB146/H146,"")</f>
        <v/>
      </c>
      <c r="BD146">
        <f>IF(AND($G146=TRUE,$E146="GKP"),AZ146,"")</f>
        <v/>
      </c>
      <c r="BE146">
        <f>IF(AND($G146=TRUE,$E146="DEF"),AZ146,"")</f>
        <v/>
      </c>
      <c r="BF146">
        <f>IF(AND($G146=TRUE,$E146="MID"),AZ146,"")</f>
        <v/>
      </c>
      <c r="BG146">
        <f>IF(AND($G146=TRUE,$E146="FWD"),AZ146,"")</f>
        <v/>
      </c>
      <c r="BH146" t="n">
        <v>2</v>
      </c>
      <c r="BI146" t="n">
        <v>2</v>
      </c>
      <c r="BJ146" t="n">
        <v>1</v>
      </c>
      <c r="BK146" t="n">
        <v>5</v>
      </c>
    </row>
    <row r="147">
      <c r="A147" t="inlineStr">
        <is>
          <t>Amad Diallo</t>
        </is>
      </c>
      <c r="B147" t="inlineStr">
        <is>
          <t>MUN</t>
        </is>
      </c>
      <c r="C147" t="inlineStr">
        <is>
          <t>MUN</t>
        </is>
      </c>
      <c r="D147" t="b">
        <v>0</v>
      </c>
      <c r="E147" t="inlineStr">
        <is>
          <t>MID</t>
        </is>
      </c>
      <c r="F147" t="inlineStr">
        <is>
          <t>MID</t>
        </is>
      </c>
      <c r="G147" t="b">
        <v>1</v>
      </c>
      <c r="H147" s="2" t="n">
        <v>6</v>
      </c>
      <c r="I147" t="inlineStr">
        <is>
          <t>a</t>
        </is>
      </c>
      <c r="K147" s="2" t="n">
        <v>2339</v>
      </c>
      <c r="L147" t="n">
        <v>91</v>
      </c>
      <c r="M147" s="3" t="n">
        <v>1653</v>
      </c>
      <c r="N147" s="4" t="n">
        <v>2100</v>
      </c>
      <c r="O147" s="4" t="n">
        <v>447</v>
      </c>
      <c r="P147" s="5" t="inlineStr">
        <is>
          <t>medium</t>
        </is>
      </c>
      <c r="Q147" t="inlineStr">
        <is>
          <t>fade (losing his place)</t>
        </is>
      </c>
      <c r="R147" s="6" t="n">
        <v>2100</v>
      </c>
      <c r="S147" t="inlineStr">
        <is>
          <t>research</t>
        </is>
      </c>
      <c r="T147" s="5" t="inlineStr">
        <is>
          <t>The 'fade (losing his place)' flag is stale. Amad played 1,140 minutes across 17 appearances with 13 starts under Carrick after January, started all three of the friendlies he was available for, and is named among the eight virtually locked in for the opener. MEN rated him 7/10 and The Sun said he has got better with each of his three starts. United have told the hierarchy he is not for sale and rejected approaches; he is contracted to 2030. He is on 2,100 rather than higher because Mbeumo can also play right wing.</t>
        </is>
      </c>
      <c r="U147" s="6" t="n">
        <v>81.59999999999999</v>
      </c>
      <c r="V147" s="2" t="n">
        <v>27</v>
      </c>
      <c r="W147" s="7">
        <f>IF(N(U147)&lt;=0,0,MIN(Assumptions!$B$15,N(R147)/N(U147)))</f>
        <v/>
      </c>
      <c r="X147" s="6" t="n">
        <v>0.334</v>
      </c>
      <c r="Y147" s="3" t="n">
        <v>0.2011</v>
      </c>
      <c r="Z147" t="inlineStr">
        <is>
          <t>adjusted xGOT</t>
        </is>
      </c>
      <c r="AA147" s="3" t="n">
        <v>1</v>
      </c>
      <c r="AB147" s="3" t="n">
        <v>0.957</v>
      </c>
      <c r="AC147" s="3" t="n">
        <v>10.7</v>
      </c>
      <c r="AD147" s="3" t="n">
        <v>0.1998</v>
      </c>
      <c r="AE147" s="3" t="n">
        <v>7.844</v>
      </c>
      <c r="AF147" s="3" t="n">
        <v>0.05856659753239657</v>
      </c>
      <c r="AG147" s="3" t="n">
        <v>7.713</v>
      </c>
      <c r="AH147" s="3" t="n">
        <v>0.402609856</v>
      </c>
      <c r="AI147" s="3" t="n">
        <v>55</v>
      </c>
      <c r="AJ147" s="3" t="n">
        <v>2.2165</v>
      </c>
      <c r="AK147" s="3" t="n">
        <v>1.1467</v>
      </c>
      <c r="AL147" s="3" t="n">
        <v>-0.169075376276899</v>
      </c>
      <c r="AM147" s="6" t="n">
        <v>0</v>
      </c>
      <c r="AN147" s="3" t="n">
        <v>0</v>
      </c>
      <c r="AO147" s="3" t="n">
        <v>1.0055</v>
      </c>
      <c r="AP147" s="3" t="n">
        <v>0.7912080000000001</v>
      </c>
      <c r="AQ147" s="3">
        <f>N(X147)*N(BJ147)</f>
        <v/>
      </c>
      <c r="AR147" s="3" t="n">
        <v>0</v>
      </c>
      <c r="AS147" s="3" t="n">
        <v>-0</v>
      </c>
      <c r="AT147" s="3" t="n">
        <v>-0.169075376276899</v>
      </c>
      <c r="AU147" s="3">
        <f>SUM(AO147:AT147)</f>
        <v/>
      </c>
      <c r="AV147" s="7">
        <f>IF(OR(N(W147)&lt;=0,N(BH147)=0),0,N(W147)*IF(N(R147)/N(W147)&gt;=60,N(BH147),1))</f>
        <v/>
      </c>
      <c r="AW147" s="7">
        <f>N(W147)*N(AF147)*N(BI147)</f>
        <v/>
      </c>
      <c r="AX147" s="3">
        <f>IF(N(BH147)=0,0,N(W147)*N(AH147))</f>
        <v/>
      </c>
      <c r="AY147" s="7">
        <f>N(AM147)*(Assumptions!$B$13*N(BK147)-(1-Assumptions!$B$13)*Assumptions!$B$14)+N(AN147)</f>
        <v/>
      </c>
      <c r="AZ147" s="7">
        <f>N(AU147)*N(R147)/90+N(AV147)+N(AW147)+N(AX147)+N(AY147)</f>
        <v/>
      </c>
      <c r="BA147" s="3">
        <f>IF(N(R147)&lt;=0,0,(N(AZ147)-N(AY147))*90/N(R147))</f>
        <v/>
      </c>
      <c r="BB147" s="7">
        <f>IFERROR(AZ147-VLOOKUP($E147,Assumptions!$A$40:$C$43,3,FALSE),"")</f>
        <v/>
      </c>
      <c r="BC147" s="3">
        <f>IFERROR(BB147/H147,"")</f>
        <v/>
      </c>
      <c r="BD147">
        <f>IF(AND($G147=TRUE,$E147="GKP"),AZ147,"")</f>
        <v/>
      </c>
      <c r="BE147">
        <f>IF(AND($G147=TRUE,$E147="DEF"),AZ147,"")</f>
        <v/>
      </c>
      <c r="BF147">
        <f>IF(AND($G147=TRUE,$E147="MID"),AZ147,"")</f>
        <v/>
      </c>
      <c r="BG147">
        <f>IF(AND($G147=TRUE,$E147="FWD"),AZ147,"")</f>
        <v/>
      </c>
      <c r="BH147" t="n">
        <v>2</v>
      </c>
      <c r="BI147" t="n">
        <v>2</v>
      </c>
      <c r="BJ147" t="n">
        <v>1</v>
      </c>
      <c r="BK147" t="n">
        <v>5</v>
      </c>
    </row>
    <row r="148">
      <c r="A148" t="inlineStr">
        <is>
          <t>Alisson Becker</t>
        </is>
      </c>
      <c r="B148" t="inlineStr">
        <is>
          <t>LIV</t>
        </is>
      </c>
      <c r="C148" t="inlineStr">
        <is>
          <t>LIV</t>
        </is>
      </c>
      <c r="D148" t="b">
        <v>0</v>
      </c>
      <c r="E148" t="inlineStr">
        <is>
          <t>GKP</t>
        </is>
      </c>
      <c r="F148" t="inlineStr">
        <is>
          <t>GKP</t>
        </is>
      </c>
      <c r="G148" t="b">
        <v>1</v>
      </c>
      <c r="H148" s="2" t="n">
        <v>5.5</v>
      </c>
      <c r="I148" t="inlineStr">
        <is>
          <t>a</t>
        </is>
      </c>
      <c r="K148" s="2" t="n">
        <v>2340</v>
      </c>
      <c r="L148" t="n">
        <v>91</v>
      </c>
      <c r="M148" s="3" t="n">
        <v>3385</v>
      </c>
      <c r="N148" s="8" t="n">
        <v>3385</v>
      </c>
      <c r="O148" s="8" t="n">
        <v>0</v>
      </c>
      <c r="Q148" t="inlineStr">
        <is>
          <t>flat</t>
        </is>
      </c>
      <c r="R148" s="6" t="n">
        <v>3385</v>
      </c>
      <c r="S148" t="inlineStr">
        <is>
          <t>Solio</t>
        </is>
      </c>
      <c r="U148" s="6" t="n">
        <v>89.90000000000001</v>
      </c>
      <c r="V148" s="2" t="n">
        <v>26</v>
      </c>
      <c r="W148" s="7">
        <f>IF(N(U148)&lt;=0,0,MIN(Assumptions!$B$15,N(R148)/N(U148)))</f>
        <v/>
      </c>
      <c r="X148" s="6" t="n">
        <v>0.342</v>
      </c>
      <c r="Y148" s="3" t="n">
        <v>0</v>
      </c>
      <c r="Z148" t="inlineStr">
        <is>
          <t>blended xG</t>
        </is>
      </c>
      <c r="AA148" s="3" t="n">
        <v>1</v>
      </c>
      <c r="AB148" s="3" t="n">
        <v>1</v>
      </c>
      <c r="AC148" s="3" t="n">
        <v>0</v>
      </c>
      <c r="AD148" s="3" t="n">
        <v>0.0005999999999999999</v>
      </c>
      <c r="AE148" s="3" t="n">
        <v>0</v>
      </c>
      <c r="AF148" s="3" t="n">
        <v>0</v>
      </c>
      <c r="AG148" s="3" t="n">
        <v>5.927</v>
      </c>
      <c r="AH148" s="3" t="n">
        <v>0.240990249</v>
      </c>
      <c r="AI148" s="3" t="n">
        <v>52</v>
      </c>
      <c r="AJ148" s="3" t="n">
        <v>2.409</v>
      </c>
      <c r="AK148" s="3" t="n">
        <v>1.1228</v>
      </c>
      <c r="AL148" s="3" t="n">
        <v>-0.03977102677674</v>
      </c>
      <c r="AM148" s="6" t="n">
        <v>0</v>
      </c>
      <c r="AN148" s="3" t="n">
        <v>2.372410619817758</v>
      </c>
      <c r="AO148" s="3" t="n">
        <v>0</v>
      </c>
      <c r="AP148" s="3" t="n">
        <v>0.002376</v>
      </c>
      <c r="AQ148" s="3">
        <f>N(X148)*N(BJ148)</f>
        <v/>
      </c>
      <c r="AR148" s="3" t="n">
        <v>0.4697511244203511</v>
      </c>
      <c r="AS148" s="3" t="n">
        <v>-0.3378660007281162</v>
      </c>
      <c r="AT148" s="3" t="n">
        <v>-0.03977102677674</v>
      </c>
      <c r="AU148" s="3">
        <f>SUM(AO148:AT148)</f>
        <v/>
      </c>
      <c r="AV148" s="7">
        <f>IF(OR(N(W148)&lt;=0,N(BH148)=0),0,N(W148)*IF(N(R148)/N(W148)&gt;=60,N(BH148),1))</f>
        <v/>
      </c>
      <c r="AW148" s="7">
        <f>N(W148)*N(AF148)*N(BI148)</f>
        <v/>
      </c>
      <c r="AX148" s="3">
        <f>IF(N(BH148)=0,0,N(W148)*N(AH148))</f>
        <v/>
      </c>
      <c r="AY148" s="7">
        <f>N(AM148)*(Assumptions!$B$13*N(BK148)-(1-Assumptions!$B$13)*Assumptions!$B$14)+N(AN148)</f>
        <v/>
      </c>
      <c r="AZ148" s="7">
        <f>N(AU148)*N(R148)/90+N(AV148)+N(AW148)+N(AX148)+N(AY148)</f>
        <v/>
      </c>
      <c r="BA148" s="3">
        <f>IF(N(R148)&lt;=0,0,(N(AZ148)-N(AY148))*90/N(R148))</f>
        <v/>
      </c>
      <c r="BB148" s="7">
        <f>IFERROR(AZ148-VLOOKUP($E148,Assumptions!$A$40:$C$43,3,FALSE),"")</f>
        <v/>
      </c>
      <c r="BC148" s="3">
        <f>IFERROR(BB148/H148,"")</f>
        <v/>
      </c>
      <c r="BD148">
        <f>IF(AND($G148=TRUE,$E148="GKP"),AZ148,"")</f>
        <v/>
      </c>
      <c r="BE148">
        <f>IF(AND($G148=TRUE,$E148="DEF"),AZ148,"")</f>
        <v/>
      </c>
      <c r="BF148">
        <f>IF(AND($G148=TRUE,$E148="MID"),AZ148,"")</f>
        <v/>
      </c>
      <c r="BG148">
        <f>IF(AND($G148=TRUE,$E148="FWD"),AZ148,"")</f>
        <v/>
      </c>
      <c r="BH148" t="n">
        <v>2</v>
      </c>
      <c r="BI148" t="n">
        <v>0</v>
      </c>
      <c r="BJ148" t="n">
        <v>4</v>
      </c>
      <c r="BK148" t="n">
        <v>10</v>
      </c>
    </row>
    <row r="149">
      <c r="A149" t="inlineStr">
        <is>
          <t>Guglielmo Vicario</t>
        </is>
      </c>
      <c r="B149" t="inlineStr">
        <is>
          <t>TOT</t>
        </is>
      </c>
      <c r="C149" t="inlineStr">
        <is>
          <t>TOT</t>
        </is>
      </c>
      <c r="D149" t="b">
        <v>0</v>
      </c>
      <c r="E149" t="inlineStr">
        <is>
          <t>GKP</t>
        </is>
      </c>
      <c r="F149" t="inlineStr">
        <is>
          <t>GKP</t>
        </is>
      </c>
      <c r="G149" t="b">
        <v>1</v>
      </c>
      <c r="H149" s="2" t="n">
        <v>4.5</v>
      </c>
      <c r="I149" t="inlineStr">
        <is>
          <t>a</t>
        </is>
      </c>
      <c r="K149" s="2" t="n">
        <v>2790</v>
      </c>
      <c r="L149" t="n">
        <v>90</v>
      </c>
      <c r="M149" s="3" t="n">
        <v>0</v>
      </c>
      <c r="N149" s="8" t="n">
        <v>0</v>
      </c>
      <c r="O149" s="8" t="n">
        <v>0</v>
      </c>
      <c r="Q149" t="inlineStr">
        <is>
          <t>flat</t>
        </is>
      </c>
      <c r="R149" s="6" t="n">
        <v>0</v>
      </c>
      <c r="S149" t="inlineStr">
        <is>
          <t>Solio</t>
        </is>
      </c>
      <c r="U149" s="6" t="n">
        <v>90</v>
      </c>
      <c r="V149" s="2" t="n">
        <v>31</v>
      </c>
      <c r="W149" s="7">
        <f>IF(N(U149)&lt;=0,0,MIN(Assumptions!$B$15,N(R149)/N(U149)))</f>
        <v/>
      </c>
      <c r="X149" s="6" t="n">
        <v>0.286</v>
      </c>
      <c r="Y149" s="3" t="n">
        <v>0</v>
      </c>
      <c r="Z149" t="inlineStr">
        <is>
          <t>blended xG</t>
        </is>
      </c>
      <c r="AA149" s="3" t="n">
        <v>1</v>
      </c>
      <c r="AB149" s="3" t="n">
        <v>1</v>
      </c>
      <c r="AC149" s="3" t="n">
        <v>0</v>
      </c>
      <c r="AD149" s="3" t="n">
        <v>0.0018</v>
      </c>
      <c r="AE149" s="3" t="n">
        <v>0</v>
      </c>
      <c r="AF149" s="3" t="n">
        <v>0</v>
      </c>
      <c r="AG149" s="3" t="n">
        <v>5.936</v>
      </c>
      <c r="AH149" s="3" t="n">
        <v>0.213204252</v>
      </c>
      <c r="AI149" s="3" t="n">
        <v>62</v>
      </c>
      <c r="AJ149" s="3" t="n">
        <v>2.5739</v>
      </c>
      <c r="AK149" s="3" t="n">
        <v>1.3096</v>
      </c>
      <c r="AL149" s="3" t="n">
        <v>-0.0496157705751257</v>
      </c>
      <c r="AM149" s="6" t="n">
        <v>0</v>
      </c>
      <c r="AN149" s="3" t="n">
        <v>0</v>
      </c>
      <c r="AO149" s="3" t="n">
        <v>0</v>
      </c>
      <c r="AP149" s="3" t="n">
        <v>0.007128000000000001</v>
      </c>
      <c r="AQ149" s="3">
        <f>N(X149)*N(BJ149)</f>
        <v/>
      </c>
      <c r="AR149" s="3" t="n">
        <v>0.5235455255089686</v>
      </c>
      <c r="AS149" s="3" t="n">
        <v>-0.4230152821052008</v>
      </c>
      <c r="AT149" s="3" t="n">
        <v>-0.0496157705751257</v>
      </c>
      <c r="AU149" s="3">
        <f>SUM(AO149:AT149)</f>
        <v/>
      </c>
      <c r="AV149" s="7">
        <f>IF(OR(N(W149)&lt;=0,N(BH149)=0),0,N(W149)*IF(N(R149)/N(W149)&gt;=60,N(BH149),1))</f>
        <v/>
      </c>
      <c r="AW149" s="7">
        <f>N(W149)*N(AF149)*N(BI149)</f>
        <v/>
      </c>
      <c r="AX149" s="3">
        <f>IF(N(BH149)=0,0,N(W149)*N(AH149))</f>
        <v/>
      </c>
      <c r="AY149" s="7">
        <f>N(AM149)*(Assumptions!$B$13*N(BK149)-(1-Assumptions!$B$13)*Assumptions!$B$14)+N(AN149)</f>
        <v/>
      </c>
      <c r="AZ149" s="7">
        <f>N(AU149)*N(R149)/90+N(AV149)+N(AW149)+N(AX149)+N(AY149)</f>
        <v/>
      </c>
      <c r="BA149" s="3">
        <f>IF(N(R149)&lt;=0,0,(N(AZ149)-N(AY149))*90/N(R149))</f>
        <v/>
      </c>
      <c r="BB149" s="7">
        <f>IFERROR(AZ149-VLOOKUP($E149,Assumptions!$A$40:$C$43,3,FALSE),"")</f>
        <v/>
      </c>
      <c r="BC149" s="3">
        <f>IFERROR(BB149/H149,"")</f>
        <v/>
      </c>
      <c r="BD149">
        <f>IF(AND($G149=TRUE,$E149="GKP"),AZ149,"")</f>
        <v/>
      </c>
      <c r="BE149">
        <f>IF(AND($G149=TRUE,$E149="DEF"),AZ149,"")</f>
        <v/>
      </c>
      <c r="BF149">
        <f>IF(AND($G149=TRUE,$E149="MID"),AZ149,"")</f>
        <v/>
      </c>
      <c r="BG149">
        <f>IF(AND($G149=TRUE,$E149="FWD"),AZ149,"")</f>
        <v/>
      </c>
      <c r="BH149" t="n">
        <v>2</v>
      </c>
      <c r="BI149" t="n">
        <v>0</v>
      </c>
      <c r="BJ149" t="n">
        <v>4</v>
      </c>
      <c r="BK149" t="n">
        <v>10</v>
      </c>
    </row>
    <row r="150">
      <c r="A150" t="inlineStr">
        <is>
          <t>Harry Maguire</t>
        </is>
      </c>
      <c r="B150" t="inlineStr">
        <is>
          <t>MUN</t>
        </is>
      </c>
      <c r="C150" t="inlineStr">
        <is>
          <t>MUN</t>
        </is>
      </c>
      <c r="D150" t="b">
        <v>0</v>
      </c>
      <c r="E150" t="inlineStr">
        <is>
          <t>DEF</t>
        </is>
      </c>
      <c r="F150" t="inlineStr">
        <is>
          <t>DEF</t>
        </is>
      </c>
      <c r="G150" t="b">
        <v>1</v>
      </c>
      <c r="H150" s="2" t="n">
        <v>5</v>
      </c>
      <c r="I150" t="inlineStr">
        <is>
          <t>a</t>
        </is>
      </c>
      <c r="K150" s="2" t="n">
        <v>1649</v>
      </c>
      <c r="L150" t="n">
        <v>90</v>
      </c>
      <c r="M150" s="3" t="n">
        <v>1972</v>
      </c>
      <c r="N150" s="4" t="n">
        <v>2300</v>
      </c>
      <c r="O150" s="4" t="n">
        <v>328</v>
      </c>
      <c r="P150" s="5" t="inlineStr">
        <is>
          <t>medium</t>
        </is>
      </c>
      <c r="Q150" t="inlineStr">
        <is>
          <t>flat</t>
        </is>
      </c>
      <c r="R150" s="6" t="n">
        <v>2300</v>
      </c>
      <c r="S150" t="inlineStr">
        <is>
          <t>research</t>
        </is>
      </c>
      <c r="T150" s="5" t="inlineStr">
        <is>
          <t>Named among the eight players virtually locked in for the opener, started both the Leeds and AC Milan friendlies and scored inside two minutes against Milan. With de Ligt out until autumn and Martinez short of fitness, Maguire is the only senior centre-back who is fit and settled. Solio's 1,972 minutes implies barely half a season for the man leading the back line.</t>
        </is>
      </c>
      <c r="U150" s="6" t="n">
        <v>85</v>
      </c>
      <c r="V150" s="2" t="n">
        <v>18</v>
      </c>
      <c r="W150" s="7">
        <f>IF(N(U150)&lt;=0,0,MIN(Assumptions!$B$15,N(R150)/N(U150)))</f>
        <v/>
      </c>
      <c r="X150" s="6" t="n">
        <v>0.334</v>
      </c>
      <c r="Y150" s="3" t="n">
        <v>0.0541</v>
      </c>
      <c r="Z150" t="inlineStr">
        <is>
          <t>adjusted xGOT</t>
        </is>
      </c>
      <c r="AA150" s="3" t="n">
        <v>1</v>
      </c>
      <c r="AB150" s="3" t="n">
        <v>0.885</v>
      </c>
      <c r="AC150" s="3" t="n">
        <v>5.2</v>
      </c>
      <c r="AD150" s="3" t="n">
        <v>0.0334</v>
      </c>
      <c r="AE150" s="3" t="n">
        <v>8.071999999999999</v>
      </c>
      <c r="AF150" s="3" t="n">
        <v>0.2379024844029314</v>
      </c>
      <c r="AG150" s="3" t="n">
        <v>8.016999999999999</v>
      </c>
      <c r="AH150" s="3" t="n">
        <v>0.1998669792</v>
      </c>
      <c r="AI150" s="3" t="n">
        <v>42</v>
      </c>
      <c r="AJ150" s="3" t="n">
        <v>2.2165</v>
      </c>
      <c r="AK150" s="3" t="n">
        <v>1.1467</v>
      </c>
      <c r="AL150" s="3" t="n">
        <v>-0.2337138364565698</v>
      </c>
      <c r="AM150" s="6" t="n">
        <v>0</v>
      </c>
      <c r="AN150" s="3" t="n">
        <v>0</v>
      </c>
      <c r="AO150" s="3" t="n">
        <v>0.3246</v>
      </c>
      <c r="AP150" s="3" t="n">
        <v>0.132264</v>
      </c>
      <c r="AQ150" s="3">
        <f>N(X150)*N(BJ150)</f>
        <v/>
      </c>
      <c r="AR150" s="3" t="n">
        <v>0</v>
      </c>
      <c r="AS150" s="3" t="n">
        <v>-0.348580685135232</v>
      </c>
      <c r="AT150" s="3" t="n">
        <v>-0.2337138364565698</v>
      </c>
      <c r="AU150" s="3">
        <f>SUM(AO150:AT150)</f>
        <v/>
      </c>
      <c r="AV150" s="7">
        <f>IF(OR(N(W150)&lt;=0,N(BH150)=0),0,N(W150)*IF(N(R150)/N(W150)&gt;=60,N(BH150),1))</f>
        <v/>
      </c>
      <c r="AW150" s="7">
        <f>N(W150)*N(AF150)*N(BI150)</f>
        <v/>
      </c>
      <c r="AX150" s="3">
        <f>IF(N(BH150)=0,0,N(W150)*N(AH150))</f>
        <v/>
      </c>
      <c r="AY150" s="7">
        <f>N(AM150)*(Assumptions!$B$13*N(BK150)-(1-Assumptions!$B$13)*Assumptions!$B$14)+N(AN150)</f>
        <v/>
      </c>
      <c r="AZ150" s="7">
        <f>N(AU150)*N(R150)/90+N(AV150)+N(AW150)+N(AX150)+N(AY150)</f>
        <v/>
      </c>
      <c r="BA150" s="3">
        <f>IF(N(R150)&lt;=0,0,(N(AZ150)-N(AY150))*90/N(R150))</f>
        <v/>
      </c>
      <c r="BB150" s="7">
        <f>IFERROR(AZ150-VLOOKUP($E150,Assumptions!$A$40:$C$43,3,FALSE),"")</f>
        <v/>
      </c>
      <c r="BC150" s="3">
        <f>IFERROR(BB150/H150,"")</f>
        <v/>
      </c>
      <c r="BD150">
        <f>IF(AND($G150=TRUE,$E150="GKP"),AZ150,"")</f>
        <v/>
      </c>
      <c r="BE150">
        <f>IF(AND($G150=TRUE,$E150="DEF"),AZ150,"")</f>
        <v/>
      </c>
      <c r="BF150">
        <f>IF(AND($G150=TRUE,$E150="MID"),AZ150,"")</f>
        <v/>
      </c>
      <c r="BG150">
        <f>IF(AND($G150=TRUE,$E150="FWD"),AZ150,"")</f>
        <v/>
      </c>
      <c r="BH150" t="n">
        <v>2</v>
      </c>
      <c r="BI150" t="n">
        <v>2</v>
      </c>
      <c r="BJ150" t="n">
        <v>4</v>
      </c>
      <c r="BK150" t="n">
        <v>6</v>
      </c>
    </row>
    <row r="151">
      <c r="A151" t="inlineStr">
        <is>
          <t>Sven Botman</t>
        </is>
      </c>
      <c r="B151" t="inlineStr">
        <is>
          <t>NEW</t>
        </is>
      </c>
      <c r="C151" t="inlineStr">
        <is>
          <t>NEW</t>
        </is>
      </c>
      <c r="D151" t="b">
        <v>0</v>
      </c>
      <c r="E151" t="inlineStr">
        <is>
          <t>DEF</t>
        </is>
      </c>
      <c r="F151" t="inlineStr">
        <is>
          <t>DEF</t>
        </is>
      </c>
      <c r="G151" t="b">
        <v>1</v>
      </c>
      <c r="H151" s="2" t="n">
        <v>5</v>
      </c>
      <c r="I151" t="inlineStr">
        <is>
          <t>a</t>
        </is>
      </c>
      <c r="K151" s="2" t="n">
        <v>1834</v>
      </c>
      <c r="L151" t="n">
        <v>89</v>
      </c>
      <c r="M151" s="3" t="n">
        <v>2440</v>
      </c>
      <c r="N151" s="8" t="n">
        <v>2440</v>
      </c>
      <c r="O151" s="8" t="n">
        <v>0</v>
      </c>
      <c r="Q151" t="inlineStr">
        <is>
          <t>flat</t>
        </is>
      </c>
      <c r="R151" s="6" t="n">
        <v>2440</v>
      </c>
      <c r="S151" t="inlineStr">
        <is>
          <t>Solio</t>
        </is>
      </c>
      <c r="U151" s="6" t="n">
        <v>84.8</v>
      </c>
      <c r="V151" s="2" t="n">
        <v>21</v>
      </c>
      <c r="W151" s="7">
        <f>IF(N(U151)&lt;=0,0,MIN(Assumptions!$B$15,N(R151)/N(U151)))</f>
        <v/>
      </c>
      <c r="X151" s="6" t="n">
        <v>0.248</v>
      </c>
      <c r="Y151" s="3" t="n">
        <v>0.0794</v>
      </c>
      <c r="Z151" t="inlineStr">
        <is>
          <t>adjusted xGOT</t>
        </is>
      </c>
      <c r="AA151" s="3" t="n">
        <v>1</v>
      </c>
      <c r="AB151" s="3" t="n">
        <v>0.9350000000000001</v>
      </c>
      <c r="AC151" s="3" t="n">
        <v>5.7</v>
      </c>
      <c r="AD151" s="3" t="n">
        <v>0.0575</v>
      </c>
      <c r="AE151" s="3" t="n">
        <v>9.778</v>
      </c>
      <c r="AF151" s="3" t="n">
        <v>0.4406388464832017</v>
      </c>
      <c r="AG151" s="3" t="n">
        <v>9.268000000000001</v>
      </c>
      <c r="AH151" s="3" t="n">
        <v>0.2468481024</v>
      </c>
      <c r="AI151" s="3" t="n">
        <v>45</v>
      </c>
      <c r="AJ151" s="3" t="n">
        <v>3.0912</v>
      </c>
      <c r="AK151" s="3" t="n">
        <v>1.4534</v>
      </c>
      <c r="AL151" s="3" t="n">
        <v>-0.1612034639024684</v>
      </c>
      <c r="AM151" s="6" t="n">
        <v>0</v>
      </c>
      <c r="AN151" s="3" t="n">
        <v>0</v>
      </c>
      <c r="AO151" s="3" t="n">
        <v>0.4764</v>
      </c>
      <c r="AP151" s="3" t="n">
        <v>0.2277</v>
      </c>
      <c r="AQ151" s="3">
        <f>N(X151)*N(BJ151)</f>
        <v/>
      </c>
      <c r="AR151" s="3" t="n">
        <v>0</v>
      </c>
      <c r="AS151" s="3" t="n">
        <v>-0.4903625828545308</v>
      </c>
      <c r="AT151" s="3" t="n">
        <v>-0.1612034639024684</v>
      </c>
      <c r="AU151" s="3">
        <f>SUM(AO151:AT151)</f>
        <v/>
      </c>
      <c r="AV151" s="7">
        <f>IF(OR(N(W151)&lt;=0,N(BH151)=0),0,N(W151)*IF(N(R151)/N(W151)&gt;=60,N(BH151),1))</f>
        <v/>
      </c>
      <c r="AW151" s="7">
        <f>N(W151)*N(AF151)*N(BI151)</f>
        <v/>
      </c>
      <c r="AX151" s="3">
        <f>IF(N(BH151)=0,0,N(W151)*N(AH151))</f>
        <v/>
      </c>
      <c r="AY151" s="7">
        <f>N(AM151)*(Assumptions!$B$13*N(BK151)-(1-Assumptions!$B$13)*Assumptions!$B$14)+N(AN151)</f>
        <v/>
      </c>
      <c r="AZ151" s="7">
        <f>N(AU151)*N(R151)/90+N(AV151)+N(AW151)+N(AX151)+N(AY151)</f>
        <v/>
      </c>
      <c r="BA151" s="3">
        <f>IF(N(R151)&lt;=0,0,(N(AZ151)-N(AY151))*90/N(R151))</f>
        <v/>
      </c>
      <c r="BB151" s="7">
        <f>IFERROR(AZ151-VLOOKUP($E151,Assumptions!$A$40:$C$43,3,FALSE),"")</f>
        <v/>
      </c>
      <c r="BC151" s="3">
        <f>IFERROR(BB151/H151,"")</f>
        <v/>
      </c>
      <c r="BD151">
        <f>IF(AND($G151=TRUE,$E151="GKP"),AZ151,"")</f>
        <v/>
      </c>
      <c r="BE151">
        <f>IF(AND($G151=TRUE,$E151="DEF"),AZ151,"")</f>
        <v/>
      </c>
      <c r="BF151">
        <f>IF(AND($G151=TRUE,$E151="MID"),AZ151,"")</f>
        <v/>
      </c>
      <c r="BG151">
        <f>IF(AND($G151=TRUE,$E151="FWD"),AZ151,"")</f>
        <v/>
      </c>
      <c r="BH151" t="n">
        <v>2</v>
      </c>
      <c r="BI151" t="n">
        <v>2</v>
      </c>
      <c r="BJ151" t="n">
        <v>4</v>
      </c>
      <c r="BK151" t="n">
        <v>6</v>
      </c>
    </row>
    <row r="152">
      <c r="A152" t="inlineStr">
        <is>
          <t>Ibrahim Sangaré</t>
        </is>
      </c>
      <c r="B152" t="inlineStr">
        <is>
          <t>NFO</t>
        </is>
      </c>
      <c r="C152" t="inlineStr">
        <is>
          <t>NFO</t>
        </is>
      </c>
      <c r="D152" t="b">
        <v>0</v>
      </c>
      <c r="E152" t="inlineStr">
        <is>
          <t>MID</t>
        </is>
      </c>
      <c r="F152" t="inlineStr">
        <is>
          <t>MID</t>
        </is>
      </c>
      <c r="G152" t="b">
        <v>1</v>
      </c>
      <c r="H152" s="2" t="n">
        <v>5</v>
      </c>
      <c r="I152" t="inlineStr">
        <is>
          <t>a</t>
        </is>
      </c>
      <c r="K152" s="2" t="n">
        <v>2073</v>
      </c>
      <c r="L152" t="n">
        <v>89</v>
      </c>
      <c r="M152" s="3" t="n">
        <v>2998</v>
      </c>
      <c r="N152" s="4" t="n">
        <v>2840</v>
      </c>
      <c r="O152" s="4" t="n">
        <v>-158</v>
      </c>
      <c r="P152" s="5" t="inlineStr">
        <is>
          <t>medium</t>
        </is>
      </c>
      <c r="Q152" t="inlineStr">
        <is>
          <t>flat</t>
        </is>
      </c>
      <c r="R152" s="6" t="n">
        <v>2840</v>
      </c>
      <c r="S152" t="inlineStr">
        <is>
          <t>research</t>
        </is>
      </c>
      <c r="T152" s="5" t="inlineStr">
        <is>
          <t>The uplift from 2,073 minutes is correctly motivated by Elliot Anderson's sale, but Solio then gives him 88% of a pivot slot that Ryan Yates captained in Glasner's first pre-season match and that Dominguez and McAtee also contest.</t>
        </is>
      </c>
      <c r="U152" s="6" t="n">
        <v>81.09999999999999</v>
      </c>
      <c r="V152" s="2" t="n">
        <v>25</v>
      </c>
      <c r="W152" s="7">
        <f>IF(N(U152)&lt;=0,0,MIN(Assumptions!$B$15,N(R152)/N(U152)))</f>
        <v/>
      </c>
      <c r="X152" s="6" t="n">
        <v>0.224</v>
      </c>
      <c r="Y152" s="3" t="n">
        <v>0.0511</v>
      </c>
      <c r="Z152" t="inlineStr">
        <is>
          <t>adjusted xGOT</t>
        </is>
      </c>
      <c r="AA152" s="3" t="n">
        <v>1</v>
      </c>
      <c r="AB152" s="3" t="n">
        <v>1.015</v>
      </c>
      <c r="AC152" s="3" t="n">
        <v>1.8</v>
      </c>
      <c r="AD152" s="3" t="n">
        <v>0.07049999999999999</v>
      </c>
      <c r="AE152" s="3" t="n">
        <v>10.815</v>
      </c>
      <c r="AF152" s="3" t="n">
        <v>0.2746791347388957</v>
      </c>
      <c r="AG152" s="3" t="n">
        <v>7.074</v>
      </c>
      <c r="AH152" s="3" t="n">
        <v>0.123210256</v>
      </c>
      <c r="AI152" s="3" t="n">
        <v>50</v>
      </c>
      <c r="AJ152" s="3" t="n">
        <v>3.1134</v>
      </c>
      <c r="AK152" s="3" t="n">
        <v>1.5588</v>
      </c>
      <c r="AL152" s="3" t="n">
        <v>-0.2774393696749703</v>
      </c>
      <c r="AM152" s="6" t="n">
        <v>0</v>
      </c>
      <c r="AN152" s="3" t="n">
        <v>0</v>
      </c>
      <c r="AO152" s="3" t="n">
        <v>0.2555</v>
      </c>
      <c r="AP152" s="3" t="n">
        <v>0.27918</v>
      </c>
      <c r="AQ152" s="3">
        <f>N(X152)*N(BJ152)</f>
        <v/>
      </c>
      <c r="AR152" s="3" t="n">
        <v>0</v>
      </c>
      <c r="AS152" s="3" t="n">
        <v>-0</v>
      </c>
      <c r="AT152" s="3" t="n">
        <v>-0.2774393696749703</v>
      </c>
      <c r="AU152" s="3">
        <f>SUM(AO152:AT152)</f>
        <v/>
      </c>
      <c r="AV152" s="7">
        <f>IF(OR(N(W152)&lt;=0,N(BH152)=0),0,N(W152)*IF(N(R152)/N(W152)&gt;=60,N(BH152),1))</f>
        <v/>
      </c>
      <c r="AW152" s="7">
        <f>N(W152)*N(AF152)*N(BI152)</f>
        <v/>
      </c>
      <c r="AX152" s="3">
        <f>IF(N(BH152)=0,0,N(W152)*N(AH152))</f>
        <v/>
      </c>
      <c r="AY152" s="7">
        <f>N(AM152)*(Assumptions!$B$13*N(BK152)-(1-Assumptions!$B$13)*Assumptions!$B$14)+N(AN152)</f>
        <v/>
      </c>
      <c r="AZ152" s="7">
        <f>N(AU152)*N(R152)/90+N(AV152)+N(AW152)+N(AX152)+N(AY152)</f>
        <v/>
      </c>
      <c r="BA152" s="3">
        <f>IF(N(R152)&lt;=0,0,(N(AZ152)-N(AY152))*90/N(R152))</f>
        <v/>
      </c>
      <c r="BB152" s="7">
        <f>IFERROR(AZ152-VLOOKUP($E152,Assumptions!$A$40:$C$43,3,FALSE),"")</f>
        <v/>
      </c>
      <c r="BC152" s="3">
        <f>IFERROR(BB152/H152,"")</f>
        <v/>
      </c>
      <c r="BD152">
        <f>IF(AND($G152=TRUE,$E152="GKP"),AZ152,"")</f>
        <v/>
      </c>
      <c r="BE152">
        <f>IF(AND($G152=TRUE,$E152="DEF"),AZ152,"")</f>
        <v/>
      </c>
      <c r="BF152">
        <f>IF(AND($G152=TRUE,$E152="MID"),AZ152,"")</f>
        <v/>
      </c>
      <c r="BG152">
        <f>IF(AND($G152=TRUE,$E152="FWD"),AZ152,"")</f>
        <v/>
      </c>
      <c r="BH152" t="n">
        <v>2</v>
      </c>
      <c r="BI152" t="n">
        <v>2</v>
      </c>
      <c r="BJ152" t="n">
        <v>1</v>
      </c>
      <c r="BK152" t="n">
        <v>5</v>
      </c>
    </row>
    <row r="153">
      <c r="A153" t="inlineStr">
        <is>
          <t>Callum Hudson-Odoi</t>
        </is>
      </c>
      <c r="B153" t="inlineStr">
        <is>
          <t>NFO</t>
        </is>
      </c>
      <c r="C153" t="inlineStr">
        <is>
          <t>NFO</t>
        </is>
      </c>
      <c r="D153" t="b">
        <v>0</v>
      </c>
      <c r="E153" t="inlineStr">
        <is>
          <t>MID</t>
        </is>
      </c>
      <c r="F153" t="inlineStr">
        <is>
          <t>MID</t>
        </is>
      </c>
      <c r="G153" t="b">
        <v>1</v>
      </c>
      <c r="H153" s="2" t="n">
        <v>6</v>
      </c>
      <c r="I153" t="inlineStr">
        <is>
          <t>a</t>
        </is>
      </c>
      <c r="K153" s="2" t="n">
        <v>1838</v>
      </c>
      <c r="L153" t="n">
        <v>88</v>
      </c>
      <c r="M153" s="3" t="n">
        <v>739</v>
      </c>
      <c r="N153" s="8" t="n">
        <v>739</v>
      </c>
      <c r="O153" s="8" t="n">
        <v>0</v>
      </c>
      <c r="Q153" t="inlineStr">
        <is>
          <t>flat</t>
        </is>
      </c>
      <c r="R153" s="6" t="n">
        <v>739</v>
      </c>
      <c r="S153" t="inlineStr">
        <is>
          <t>Solio</t>
        </is>
      </c>
      <c r="U153" s="6" t="n">
        <v>76.5</v>
      </c>
      <c r="V153" s="2" t="n">
        <v>21</v>
      </c>
      <c r="W153" s="7">
        <f>IF(N(U153)&lt;=0,0,MIN(Assumptions!$B$15,N(R153)/N(U153)))</f>
        <v/>
      </c>
      <c r="X153" s="6" t="n">
        <v>0.224</v>
      </c>
      <c r="Y153" s="3" t="n">
        <v>0.1583</v>
      </c>
      <c r="Z153" t="inlineStr">
        <is>
          <t>adjusted xGOT</t>
        </is>
      </c>
      <c r="AA153" s="3" t="n">
        <v>1</v>
      </c>
      <c r="AB153" s="3" t="n">
        <v>1.167</v>
      </c>
      <c r="AC153" s="3" t="n">
        <v>7.9</v>
      </c>
      <c r="AD153" s="3" t="n">
        <v>0.1703</v>
      </c>
      <c r="AE153" s="3" t="n">
        <v>6.144</v>
      </c>
      <c r="AF153" s="3" t="n">
        <v>0.007546119652821703</v>
      </c>
      <c r="AG153" s="3" t="n">
        <v>6.239</v>
      </c>
      <c r="AH153" s="3" t="n">
        <v>0.27839596</v>
      </c>
      <c r="AI153" s="3" t="n">
        <v>47</v>
      </c>
      <c r="AJ153" s="3" t="n">
        <v>3.1134</v>
      </c>
      <c r="AK153" s="3" t="n">
        <v>1.5588</v>
      </c>
      <c r="AL153" s="3" t="n">
        <v>-0.0907658396755127</v>
      </c>
      <c r="AM153" s="6" t="n">
        <v>0</v>
      </c>
      <c r="AN153" s="3" t="n">
        <v>0</v>
      </c>
      <c r="AO153" s="3" t="n">
        <v>0.7915</v>
      </c>
      <c r="AP153" s="3" t="n">
        <v>0.6743880000000001</v>
      </c>
      <c r="AQ153" s="3">
        <f>N(X153)*N(BJ153)</f>
        <v/>
      </c>
      <c r="AR153" s="3" t="n">
        <v>0</v>
      </c>
      <c r="AS153" s="3" t="n">
        <v>-0</v>
      </c>
      <c r="AT153" s="3" t="n">
        <v>-0.0907658396755127</v>
      </c>
      <c r="AU153" s="3">
        <f>SUM(AO153:AT153)</f>
        <v/>
      </c>
      <c r="AV153" s="7">
        <f>IF(OR(N(W153)&lt;=0,N(BH153)=0),0,N(W153)*IF(N(R153)/N(W153)&gt;=60,N(BH153),1))</f>
        <v/>
      </c>
      <c r="AW153" s="7">
        <f>N(W153)*N(AF153)*N(BI153)</f>
        <v/>
      </c>
      <c r="AX153" s="3">
        <f>IF(N(BH153)=0,0,N(W153)*N(AH153))</f>
        <v/>
      </c>
      <c r="AY153" s="7">
        <f>N(AM153)*(Assumptions!$B$13*N(BK153)-(1-Assumptions!$B$13)*Assumptions!$B$14)+N(AN153)</f>
        <v/>
      </c>
      <c r="AZ153" s="7">
        <f>N(AU153)*N(R153)/90+N(AV153)+N(AW153)+N(AX153)+N(AY153)</f>
        <v/>
      </c>
      <c r="BA153" s="3">
        <f>IF(N(R153)&lt;=0,0,(N(AZ153)-N(AY153))*90/N(R153))</f>
        <v/>
      </c>
      <c r="BB153" s="7">
        <f>IFERROR(AZ153-VLOOKUP($E153,Assumptions!$A$40:$C$43,3,FALSE),"")</f>
        <v/>
      </c>
      <c r="BC153" s="3">
        <f>IFERROR(BB153/H153,"")</f>
        <v/>
      </c>
      <c r="BD153">
        <f>IF(AND($G153=TRUE,$E153="GKP"),AZ153,"")</f>
        <v/>
      </c>
      <c r="BE153">
        <f>IF(AND($G153=TRUE,$E153="DEF"),AZ153,"")</f>
        <v/>
      </c>
      <c r="BF153">
        <f>IF(AND($G153=TRUE,$E153="MID"),AZ153,"")</f>
        <v/>
      </c>
      <c r="BG153">
        <f>IF(AND($G153=TRUE,$E153="FWD"),AZ153,"")</f>
        <v/>
      </c>
      <c r="BH153" t="n">
        <v>2</v>
      </c>
      <c r="BI153" t="n">
        <v>2</v>
      </c>
      <c r="BJ153" t="n">
        <v>1</v>
      </c>
      <c r="BK153" t="n">
        <v>5</v>
      </c>
    </row>
    <row r="154">
      <c r="A154" t="inlineStr">
        <is>
          <t>Georginio Rutter</t>
        </is>
      </c>
      <c r="B154" t="inlineStr">
        <is>
          <t>BHA</t>
        </is>
      </c>
      <c r="C154" t="inlineStr">
        <is>
          <t>BHA</t>
        </is>
      </c>
      <c r="D154" t="b">
        <v>0</v>
      </c>
      <c r="E154" t="inlineStr">
        <is>
          <t>FWD</t>
        </is>
      </c>
      <c r="F154" t="inlineStr">
        <is>
          <t>MID</t>
        </is>
      </c>
      <c r="G154" t="b">
        <v>1</v>
      </c>
      <c r="H154" s="2" t="n">
        <v>5.5</v>
      </c>
      <c r="I154" t="inlineStr">
        <is>
          <t>a</t>
        </is>
      </c>
      <c r="K154" s="2" t="n">
        <v>1776</v>
      </c>
      <c r="L154" t="n">
        <v>87</v>
      </c>
      <c r="M154" s="3" t="n">
        <v>2611</v>
      </c>
      <c r="N154" s="8" t="n">
        <v>2611</v>
      </c>
      <c r="O154" s="8" t="n">
        <v>0</v>
      </c>
      <c r="Q154" t="inlineStr">
        <is>
          <t>flat</t>
        </is>
      </c>
      <c r="R154" s="6" t="n">
        <v>2611</v>
      </c>
      <c r="S154" t="inlineStr">
        <is>
          <t>Solio</t>
        </is>
      </c>
      <c r="U154" s="6" t="n">
        <v>78.59999999999999</v>
      </c>
      <c r="V154" s="2" t="n">
        <v>20</v>
      </c>
      <c r="W154" s="7">
        <f>IF(N(U154)&lt;=0,0,MIN(Assumptions!$B$15,N(R154)/N(U154)))</f>
        <v/>
      </c>
      <c r="X154" s="6" t="n">
        <v>0.252</v>
      </c>
      <c r="Y154" s="3" t="n">
        <v>0.1425</v>
      </c>
      <c r="Z154" t="inlineStr">
        <is>
          <t>adjusted xGOT</t>
        </is>
      </c>
      <c r="AA154" s="3" t="n">
        <v>1</v>
      </c>
      <c r="AB154" s="3" t="n">
        <v>0.97</v>
      </c>
      <c r="AC154" s="3" t="n">
        <v>7.9</v>
      </c>
      <c r="AD154" s="3" t="n">
        <v>0.19</v>
      </c>
      <c r="AE154" s="3" t="n">
        <v>7.198</v>
      </c>
      <c r="AF154" s="3" t="n">
        <v>0.02734378434918772</v>
      </c>
      <c r="AG154" s="3" t="n">
        <v>3.591</v>
      </c>
      <c r="AH154" s="3" t="n">
        <v>0.2460799612</v>
      </c>
      <c r="AI154" s="3" t="n">
        <v>50</v>
      </c>
      <c r="AJ154" s="3" t="n">
        <v>2.8404</v>
      </c>
      <c r="AK154" s="3" t="n">
        <v>1.439</v>
      </c>
      <c r="AL154" s="3" t="n">
        <v>-0.1359103647373657</v>
      </c>
      <c r="AM154" s="6" t="n">
        <v>0</v>
      </c>
      <c r="AN154" s="3" t="n">
        <v>0</v>
      </c>
      <c r="AO154" s="3" t="n">
        <v>0.57</v>
      </c>
      <c r="AP154" s="3" t="n">
        <v>0.7524000000000001</v>
      </c>
      <c r="AQ154" s="3">
        <f>N(X154)*N(BJ154)</f>
        <v/>
      </c>
      <c r="AR154" s="3" t="n">
        <v>0</v>
      </c>
      <c r="AS154" s="3" t="n">
        <v>-0</v>
      </c>
      <c r="AT154" s="3" t="n">
        <v>-0.1359103647373657</v>
      </c>
      <c r="AU154" s="3">
        <f>SUM(AO154:AT154)</f>
        <v/>
      </c>
      <c r="AV154" s="7">
        <f>IF(OR(N(W154)&lt;=0,N(BH154)=0),0,N(W154)*IF(N(R154)/N(W154)&gt;=60,N(BH154),1))</f>
        <v/>
      </c>
      <c r="AW154" s="7">
        <f>N(W154)*N(AF154)*N(BI154)</f>
        <v/>
      </c>
      <c r="AX154" s="3">
        <f>IF(N(BH154)=0,0,N(W154)*N(AH154))</f>
        <v/>
      </c>
      <c r="AY154" s="7">
        <f>N(AM154)*(Assumptions!$B$13*N(BK154)-(1-Assumptions!$B$13)*Assumptions!$B$14)+N(AN154)</f>
        <v/>
      </c>
      <c r="AZ154" s="7">
        <f>N(AU154)*N(R154)/90+N(AV154)+N(AW154)+N(AX154)+N(AY154)</f>
        <v/>
      </c>
      <c r="BA154" s="3">
        <f>IF(N(R154)&lt;=0,0,(N(AZ154)-N(AY154))*90/N(R154))</f>
        <v/>
      </c>
      <c r="BB154" s="7">
        <f>IFERROR(AZ154-VLOOKUP($E154,Assumptions!$A$40:$C$43,3,FALSE),"")</f>
        <v/>
      </c>
      <c r="BC154" s="3">
        <f>IFERROR(BB154/H154,"")</f>
        <v/>
      </c>
      <c r="BD154">
        <f>IF(AND($G154=TRUE,$E154="GKP"),AZ154,"")</f>
        <v/>
      </c>
      <c r="BE154">
        <f>IF(AND($G154=TRUE,$E154="DEF"),AZ154,"")</f>
        <v/>
      </c>
      <c r="BF154">
        <f>IF(AND($G154=TRUE,$E154="MID"),AZ154,"")</f>
        <v/>
      </c>
      <c r="BG154">
        <f>IF(AND($G154=TRUE,$E154="FWD"),AZ154,"")</f>
        <v/>
      </c>
      <c r="BH154" t="n">
        <v>2</v>
      </c>
      <c r="BI154" t="n">
        <v>2</v>
      </c>
      <c r="BJ154" t="n">
        <v>0</v>
      </c>
      <c r="BK154" t="n">
        <v>4</v>
      </c>
    </row>
    <row r="155">
      <c r="A155" t="inlineStr">
        <is>
          <t>Piero Hincapié</t>
        </is>
      </c>
      <c r="B155" t="inlineStr">
        <is>
          <t>ARS</t>
        </is>
      </c>
      <c r="C155" t="inlineStr">
        <is>
          <t>ARS</t>
        </is>
      </c>
      <c r="D155" t="b">
        <v>0</v>
      </c>
      <c r="E155" t="inlineStr">
        <is>
          <t>DEF</t>
        </is>
      </c>
      <c r="F155" t="inlineStr">
        <is>
          <t>DEF</t>
        </is>
      </c>
      <c r="G155" t="b">
        <v>1</v>
      </c>
      <c r="H155" s="2" t="n">
        <v>5.5</v>
      </c>
      <c r="I155" t="inlineStr">
        <is>
          <t>a</t>
        </is>
      </c>
      <c r="K155" s="2" t="n">
        <v>1787</v>
      </c>
      <c r="L155" t="n">
        <v>87</v>
      </c>
      <c r="M155" s="3" t="n">
        <v>1043</v>
      </c>
      <c r="N155" s="4" t="n">
        <v>1440</v>
      </c>
      <c r="O155" s="4" t="n">
        <v>397</v>
      </c>
      <c r="P155" s="5" t="inlineStr">
        <is>
          <t>medium</t>
        </is>
      </c>
      <c r="Q155" t="inlineStr">
        <is>
          <t>flat</t>
        </is>
      </c>
      <c r="R155" s="6" t="n">
        <v>1440</v>
      </c>
      <c r="S155" t="inlineStr">
        <is>
          <t>research</t>
        </is>
      </c>
      <c r="T155" s="5" t="inlineStr">
        <is>
          <t>Hincapie's loan was made permanent on 1 July for a reported £34.5m on a deal to 2031. He played 1787 league minutes last season against Calafiori's 1697, splitting left-back with him and covering left centre-back when Gabriel was unavailable. Solio's 1043 is a sharp cut on a player who has just been bought outright, at a moment when Arseblog describes the defence as 'very, very light' with Saliba and Timber both out. Kept modest because Arseblog's list of available cover for the right side names only White and Mosquera, so Hincapie is not a direct replacement for Saliba's slot.</t>
        </is>
      </c>
      <c r="U155" s="6" t="n">
        <v>85.3</v>
      </c>
      <c r="V155" s="2" t="n">
        <v>20</v>
      </c>
      <c r="W155" s="7">
        <f>IF(N(U155)&lt;=0,0,MIN(Assumptions!$B$15,N(R155)/N(U155)))</f>
        <v/>
      </c>
      <c r="X155" s="6" t="n">
        <v>0.391</v>
      </c>
      <c r="Y155" s="3" t="n">
        <v>0.018</v>
      </c>
      <c r="Z155" t="inlineStr">
        <is>
          <t>adjusted xGOT</t>
        </is>
      </c>
      <c r="AA155" s="3" t="n">
        <v>1</v>
      </c>
      <c r="AB155" s="3" t="n">
        <v>0.993</v>
      </c>
      <c r="AC155" s="3" t="n">
        <v>0.4</v>
      </c>
      <c r="AD155" s="3" t="n">
        <v>0.0956</v>
      </c>
      <c r="AE155" s="3" t="n">
        <v>8.346</v>
      </c>
      <c r="AF155" s="3" t="n">
        <v>0.2722923131640878</v>
      </c>
      <c r="AG155" s="3" t="n">
        <v>8.586</v>
      </c>
      <c r="AH155" s="3" t="n">
        <v>0.2594187776</v>
      </c>
      <c r="AI155" s="3" t="n">
        <v>43</v>
      </c>
      <c r="AJ155" s="3" t="n">
        <v>2.067</v>
      </c>
      <c r="AK155" s="3" t="n">
        <v>0.9838</v>
      </c>
      <c r="AL155" s="3" t="n">
        <v>-0.15878379459564</v>
      </c>
      <c r="AM155" s="6" t="n">
        <v>0</v>
      </c>
      <c r="AN155" s="3" t="n">
        <v>0</v>
      </c>
      <c r="AO155" s="3" t="n">
        <v>0.108</v>
      </c>
      <c r="AP155" s="3" t="n">
        <v>0.378576</v>
      </c>
      <c r="AQ155" s="3">
        <f>N(X155)*N(BJ155)</f>
        <v/>
      </c>
      <c r="AR155" s="3" t="n">
        <v>0</v>
      </c>
      <c r="AS155" s="3" t="n">
        <v>-0.2768479886568037</v>
      </c>
      <c r="AT155" s="3" t="n">
        <v>-0.15878379459564</v>
      </c>
      <c r="AU155" s="3">
        <f>SUM(AO155:AT155)</f>
        <v/>
      </c>
      <c r="AV155" s="7">
        <f>IF(OR(N(W155)&lt;=0,N(BH155)=0),0,N(W155)*IF(N(R155)/N(W155)&gt;=60,N(BH155),1))</f>
        <v/>
      </c>
      <c r="AW155" s="7">
        <f>N(W155)*N(AF155)*N(BI155)</f>
        <v/>
      </c>
      <c r="AX155" s="3">
        <f>IF(N(BH155)=0,0,N(W155)*N(AH155))</f>
        <v/>
      </c>
      <c r="AY155" s="7">
        <f>N(AM155)*(Assumptions!$B$13*N(BK155)-(1-Assumptions!$B$13)*Assumptions!$B$14)+N(AN155)</f>
        <v/>
      </c>
      <c r="AZ155" s="7">
        <f>N(AU155)*N(R155)/90+N(AV155)+N(AW155)+N(AX155)+N(AY155)</f>
        <v/>
      </c>
      <c r="BA155" s="3">
        <f>IF(N(R155)&lt;=0,0,(N(AZ155)-N(AY155))*90/N(R155))</f>
        <v/>
      </c>
      <c r="BB155" s="7">
        <f>IFERROR(AZ155-VLOOKUP($E155,Assumptions!$A$40:$C$43,3,FALSE),"")</f>
        <v/>
      </c>
      <c r="BC155" s="3">
        <f>IFERROR(BB155/H155,"")</f>
        <v/>
      </c>
      <c r="BD155">
        <f>IF(AND($G155=TRUE,$E155="GKP"),AZ155,"")</f>
        <v/>
      </c>
      <c r="BE155">
        <f>IF(AND($G155=TRUE,$E155="DEF"),AZ155,"")</f>
        <v/>
      </c>
      <c r="BF155">
        <f>IF(AND($G155=TRUE,$E155="MID"),AZ155,"")</f>
        <v/>
      </c>
      <c r="BG155">
        <f>IF(AND($G155=TRUE,$E155="FWD"),AZ155,"")</f>
        <v/>
      </c>
      <c r="BH155" t="n">
        <v>2</v>
      </c>
      <c r="BI155" t="n">
        <v>2</v>
      </c>
      <c r="BJ155" t="n">
        <v>4</v>
      </c>
      <c r="BK155" t="n">
        <v>6</v>
      </c>
    </row>
    <row r="156">
      <c r="A156" t="inlineStr">
        <is>
          <t>Rodrigo Bentancur</t>
        </is>
      </c>
      <c r="B156" t="inlineStr">
        <is>
          <t>TOT</t>
        </is>
      </c>
      <c r="C156" t="inlineStr">
        <is>
          <t>TOT</t>
        </is>
      </c>
      <c r="D156" t="b">
        <v>0</v>
      </c>
      <c r="E156" t="inlineStr">
        <is>
          <t>MID</t>
        </is>
      </c>
      <c r="F156" t="inlineStr">
        <is>
          <t>MID</t>
        </is>
      </c>
      <c r="G156" t="b">
        <v>1</v>
      </c>
      <c r="H156" s="2" t="n">
        <v>5.5</v>
      </c>
      <c r="I156" t="inlineStr">
        <is>
          <t>a</t>
        </is>
      </c>
      <c r="K156" s="2" t="n">
        <v>1880</v>
      </c>
      <c r="L156" t="n">
        <v>86</v>
      </c>
      <c r="M156" s="3" t="n">
        <v>356</v>
      </c>
      <c r="N156" s="8" t="n">
        <v>356</v>
      </c>
      <c r="O156" s="8" t="n">
        <v>0</v>
      </c>
      <c r="Q156" t="inlineStr">
        <is>
          <t>fade (losing his place)</t>
        </is>
      </c>
      <c r="R156" s="6" t="n">
        <v>356</v>
      </c>
      <c r="S156" t="inlineStr">
        <is>
          <t>Solio</t>
        </is>
      </c>
      <c r="U156" s="6" t="n">
        <v>79.40000000000001</v>
      </c>
      <c r="V156" s="2" t="n">
        <v>23</v>
      </c>
      <c r="W156" s="7">
        <f>IF(N(U156)&lt;=0,0,MIN(Assumptions!$B$15,N(R156)/N(U156)))</f>
        <v/>
      </c>
      <c r="X156" s="6" t="n">
        <v>0.286</v>
      </c>
      <c r="Y156" s="3" t="n">
        <v>0.0346</v>
      </c>
      <c r="Z156" t="inlineStr">
        <is>
          <t>adjusted xGOT</t>
        </is>
      </c>
      <c r="AA156" s="3" t="n">
        <v>1</v>
      </c>
      <c r="AB156" s="3" t="n">
        <v>1.004</v>
      </c>
      <c r="AC156" s="3" t="n">
        <v>6.4</v>
      </c>
      <c r="AD156" s="3" t="n">
        <v>0.0411</v>
      </c>
      <c r="AE156" s="3" t="n">
        <v>11.998</v>
      </c>
      <c r="AF156" s="3" t="n">
        <v>0.3713112201122564</v>
      </c>
      <c r="AG156" s="3" t="n">
        <v>9.18</v>
      </c>
      <c r="AH156" s="3" t="n">
        <v>0.1009172304</v>
      </c>
      <c r="AI156" s="3" t="n">
        <v>47</v>
      </c>
      <c r="AJ156" s="3" t="n">
        <v>2.5739</v>
      </c>
      <c r="AK156" s="3" t="n">
        <v>1.3096</v>
      </c>
      <c r="AL156" s="3" t="n">
        <v>-0.368584307643905</v>
      </c>
      <c r="AM156" s="6" t="n">
        <v>0</v>
      </c>
      <c r="AN156" s="3" t="n">
        <v>0</v>
      </c>
      <c r="AO156" s="3" t="n">
        <v>0.173</v>
      </c>
      <c r="AP156" s="3" t="n">
        <v>0.162756</v>
      </c>
      <c r="AQ156" s="3">
        <f>N(X156)*N(BJ156)</f>
        <v/>
      </c>
      <c r="AR156" s="3" t="n">
        <v>0</v>
      </c>
      <c r="AS156" s="3" t="n">
        <v>-0</v>
      </c>
      <c r="AT156" s="3" t="n">
        <v>-0.368584307643905</v>
      </c>
      <c r="AU156" s="3">
        <f>SUM(AO156:AT156)</f>
        <v/>
      </c>
      <c r="AV156" s="7">
        <f>IF(OR(N(W156)&lt;=0,N(BH156)=0),0,N(W156)*IF(N(R156)/N(W156)&gt;=60,N(BH156),1))</f>
        <v/>
      </c>
      <c r="AW156" s="7">
        <f>N(W156)*N(AF156)*N(BI156)</f>
        <v/>
      </c>
      <c r="AX156" s="3">
        <f>IF(N(BH156)=0,0,N(W156)*N(AH156))</f>
        <v/>
      </c>
      <c r="AY156" s="7">
        <f>N(AM156)*(Assumptions!$B$13*N(BK156)-(1-Assumptions!$B$13)*Assumptions!$B$14)+N(AN156)</f>
        <v/>
      </c>
      <c r="AZ156" s="7">
        <f>N(AU156)*N(R156)/90+N(AV156)+N(AW156)+N(AX156)+N(AY156)</f>
        <v/>
      </c>
      <c r="BA156" s="3">
        <f>IF(N(R156)&lt;=0,0,(N(AZ156)-N(AY156))*90/N(R156))</f>
        <v/>
      </c>
      <c r="BB156" s="7">
        <f>IFERROR(AZ156-VLOOKUP($E156,Assumptions!$A$40:$C$43,3,FALSE),"")</f>
        <v/>
      </c>
      <c r="BC156" s="3">
        <f>IFERROR(BB156/H156,"")</f>
        <v/>
      </c>
      <c r="BD156">
        <f>IF(AND($G156=TRUE,$E156="GKP"),AZ156,"")</f>
        <v/>
      </c>
      <c r="BE156">
        <f>IF(AND($G156=TRUE,$E156="DEF"),AZ156,"")</f>
        <v/>
      </c>
      <c r="BF156">
        <f>IF(AND($G156=TRUE,$E156="MID"),AZ156,"")</f>
        <v/>
      </c>
      <c r="BG156">
        <f>IF(AND($G156=TRUE,$E156="FWD"),AZ156,"")</f>
        <v/>
      </c>
      <c r="BH156" t="n">
        <v>2</v>
      </c>
      <c r="BI156" t="n">
        <v>2</v>
      </c>
      <c r="BJ156" t="n">
        <v>1</v>
      </c>
      <c r="BK156" t="n">
        <v>5</v>
      </c>
    </row>
    <row r="157">
      <c r="A157" t="inlineStr">
        <is>
          <t>Milos Kerkez</t>
        </is>
      </c>
      <c r="B157" t="inlineStr">
        <is>
          <t>LIV</t>
        </is>
      </c>
      <c r="C157" t="inlineStr">
        <is>
          <t>LIV</t>
        </is>
      </c>
      <c r="D157" t="b">
        <v>0</v>
      </c>
      <c r="E157" t="inlineStr">
        <is>
          <t>DEF</t>
        </is>
      </c>
      <c r="F157" t="inlineStr">
        <is>
          <t>DEF</t>
        </is>
      </c>
      <c r="G157" t="b">
        <v>1</v>
      </c>
      <c r="H157" s="2" t="n">
        <v>5.5</v>
      </c>
      <c r="I157" t="inlineStr">
        <is>
          <t>a</t>
        </is>
      </c>
      <c r="K157" s="2" t="n">
        <v>2251</v>
      </c>
      <c r="L157" t="n">
        <v>85</v>
      </c>
      <c r="M157" s="3" t="n">
        <v>3137</v>
      </c>
      <c r="N157" s="8" t="n">
        <v>3137</v>
      </c>
      <c r="O157" s="8" t="n">
        <v>0</v>
      </c>
      <c r="Q157" t="inlineStr">
        <is>
          <t>flat</t>
        </is>
      </c>
      <c r="R157" s="6" t="n">
        <v>3137</v>
      </c>
      <c r="S157" t="inlineStr">
        <is>
          <t>Solio</t>
        </is>
      </c>
      <c r="U157" s="6" t="n">
        <v>81.09999999999999</v>
      </c>
      <c r="V157" s="2" t="n">
        <v>27</v>
      </c>
      <c r="W157" s="7">
        <f>IF(N(U157)&lt;=0,0,MIN(Assumptions!$B$15,N(R157)/N(U157)))</f>
        <v/>
      </c>
      <c r="X157" s="6" t="n">
        <v>0.342</v>
      </c>
      <c r="Y157" s="3" t="n">
        <v>0.0573</v>
      </c>
      <c r="Z157" t="inlineStr">
        <is>
          <t>adjusted xGOT</t>
        </is>
      </c>
      <c r="AA157" s="3" t="n">
        <v>1</v>
      </c>
      <c r="AB157" s="3" t="n">
        <v>0.954</v>
      </c>
      <c r="AC157" s="3" t="n">
        <v>3.4</v>
      </c>
      <c r="AD157" s="3" t="n">
        <v>0.051</v>
      </c>
      <c r="AE157" s="3" t="n">
        <v>5.922</v>
      </c>
      <c r="AF157" s="3" t="n">
        <v>0.04572860564221393</v>
      </c>
      <c r="AG157" s="3" t="n">
        <v>8.593</v>
      </c>
      <c r="AH157" s="3" t="n">
        <v>0.2373107052</v>
      </c>
      <c r="AI157" s="3" t="n">
        <v>57</v>
      </c>
      <c r="AJ157" s="3" t="n">
        <v>2.409</v>
      </c>
      <c r="AK157" s="3" t="n">
        <v>1.1228</v>
      </c>
      <c r="AL157" s="3" t="n">
        <v>-0.1730721735107377</v>
      </c>
      <c r="AM157" s="6" t="n">
        <v>0</v>
      </c>
      <c r="AN157" s="3" t="n">
        <v>0</v>
      </c>
      <c r="AO157" s="3" t="n">
        <v>0.3438</v>
      </c>
      <c r="AP157" s="3" t="n">
        <v>0.20196</v>
      </c>
      <c r="AQ157" s="3">
        <f>N(X157)*N(BJ157)</f>
        <v/>
      </c>
      <c r="AR157" s="3" t="n">
        <v>0</v>
      </c>
      <c r="AS157" s="3" t="n">
        <v>-0.3378660007281162</v>
      </c>
      <c r="AT157" s="3" t="n">
        <v>-0.1730721735107377</v>
      </c>
      <c r="AU157" s="3">
        <f>SUM(AO157:AT157)</f>
        <v/>
      </c>
      <c r="AV157" s="7">
        <f>IF(OR(N(W157)&lt;=0,N(BH157)=0),0,N(W157)*IF(N(R157)/N(W157)&gt;=60,N(BH157),1))</f>
        <v/>
      </c>
      <c r="AW157" s="7">
        <f>N(W157)*N(AF157)*N(BI157)</f>
        <v/>
      </c>
      <c r="AX157" s="3">
        <f>IF(N(BH157)=0,0,N(W157)*N(AH157))</f>
        <v/>
      </c>
      <c r="AY157" s="7">
        <f>N(AM157)*(Assumptions!$B$13*N(BK157)-(1-Assumptions!$B$13)*Assumptions!$B$14)+N(AN157)</f>
        <v/>
      </c>
      <c r="AZ157" s="7">
        <f>N(AU157)*N(R157)/90+N(AV157)+N(AW157)+N(AX157)+N(AY157)</f>
        <v/>
      </c>
      <c r="BA157" s="3">
        <f>IF(N(R157)&lt;=0,0,(N(AZ157)-N(AY157))*90/N(R157))</f>
        <v/>
      </c>
      <c r="BB157" s="7">
        <f>IFERROR(AZ157-VLOOKUP($E157,Assumptions!$A$40:$C$43,3,FALSE),"")</f>
        <v/>
      </c>
      <c r="BC157" s="3">
        <f>IFERROR(BB157/H157,"")</f>
        <v/>
      </c>
      <c r="BD157">
        <f>IF(AND($G157=TRUE,$E157="GKP"),AZ157,"")</f>
        <v/>
      </c>
      <c r="BE157">
        <f>IF(AND($G157=TRUE,$E157="DEF"),AZ157,"")</f>
        <v/>
      </c>
      <c r="BF157">
        <f>IF(AND($G157=TRUE,$E157="MID"),AZ157,"")</f>
        <v/>
      </c>
      <c r="BG157">
        <f>IF(AND($G157=TRUE,$E157="FWD"),AZ157,"")</f>
        <v/>
      </c>
      <c r="BH157" t="n">
        <v>2</v>
      </c>
      <c r="BI157" t="n">
        <v>2</v>
      </c>
      <c r="BJ157" t="n">
        <v>4</v>
      </c>
      <c r="BK157" t="n">
        <v>6</v>
      </c>
    </row>
    <row r="158">
      <c r="A158" t="inlineStr">
        <is>
          <t>Maxim De Cuyper</t>
        </is>
      </c>
      <c r="B158" t="inlineStr">
        <is>
          <t>BHA</t>
        </is>
      </c>
      <c r="C158" t="inlineStr">
        <is>
          <t>BHA</t>
        </is>
      </c>
      <c r="D158" t="b">
        <v>0</v>
      </c>
      <c r="E158" t="inlineStr">
        <is>
          <t>DEF</t>
        </is>
      </c>
      <c r="F158" t="inlineStr">
        <is>
          <t>DEF</t>
        </is>
      </c>
      <c r="G158" t="b">
        <v>1</v>
      </c>
      <c r="H158" s="2" t="n">
        <v>4.5</v>
      </c>
      <c r="I158" t="inlineStr">
        <is>
          <t>a</t>
        </is>
      </c>
      <c r="K158" s="2" t="n">
        <v>1404</v>
      </c>
      <c r="L158" t="n">
        <v>84</v>
      </c>
      <c r="M158" s="3" t="n">
        <v>830</v>
      </c>
      <c r="N158" s="4" t="n">
        <v>1150</v>
      </c>
      <c r="O158" s="4" t="n">
        <v>320</v>
      </c>
      <c r="P158" s="5" t="inlineStr">
        <is>
          <t>medium</t>
        </is>
      </c>
      <c r="Q158" t="inlineStr">
        <is>
          <t>fade (losing his place)</t>
        </is>
      </c>
      <c r="R158" s="6" t="n">
        <v>1150</v>
      </c>
      <c r="S158" t="inlineStr">
        <is>
          <t>research</t>
        </is>
      </c>
      <c r="T158" s="5" t="inlineStr">
        <is>
          <t>Flagged 'fade (losing his place)' by Solio at 830, but he started at left wing against Bologna on 15 Aug - the single enforced change from the Roma XI, forced by Minteh's injury - and came on at 60' against Roma. With Minteh out to around late November and Mitoma's return undated, he is currently covering two positions. Modest raise only, since his 2025/26 total was 1404 and Kadioglu is ahead of him at left-back.</t>
        </is>
      </c>
      <c r="U158" s="6" t="n">
        <v>75.59999999999999</v>
      </c>
      <c r="V158" s="2" t="n">
        <v>17</v>
      </c>
      <c r="W158" s="7">
        <f>IF(N(U158)&lt;=0,0,MIN(Assumptions!$B$15,N(R158)/N(U158)))</f>
        <v/>
      </c>
      <c r="X158" s="6" t="n">
        <v>0.252</v>
      </c>
      <c r="Y158" s="3" t="n">
        <v>0.109</v>
      </c>
      <c r="Z158" t="inlineStr">
        <is>
          <t>adjusted xGOT</t>
        </is>
      </c>
      <c r="AA158" s="3" t="n">
        <v>1</v>
      </c>
      <c r="AB158" s="3" t="n">
        <v>1.025</v>
      </c>
      <c r="AC158" s="3" t="n">
        <v>1.7</v>
      </c>
      <c r="AD158" s="3" t="n">
        <v>0.2809</v>
      </c>
      <c r="AE158" s="3" t="n">
        <v>5.317</v>
      </c>
      <c r="AF158" s="3" t="n">
        <v>0.01632471038188099</v>
      </c>
      <c r="AG158" s="3" t="n">
        <v>9.506</v>
      </c>
      <c r="AH158" s="3" t="n">
        <v>0.3765371932</v>
      </c>
      <c r="AI158" s="3" t="n">
        <v>42</v>
      </c>
      <c r="AJ158" s="3" t="n">
        <v>2.8404</v>
      </c>
      <c r="AK158" s="3" t="n">
        <v>1.439</v>
      </c>
      <c r="AL158" s="3" t="n">
        <v>-0.1773122607005057</v>
      </c>
      <c r="AM158" s="6" t="n">
        <v>0</v>
      </c>
      <c r="AN158" s="3" t="n">
        <v>0</v>
      </c>
      <c r="AO158" s="3" t="n">
        <v>0.654</v>
      </c>
      <c r="AP158" s="3" t="n">
        <v>1.112364</v>
      </c>
      <c r="AQ158" s="3">
        <f>N(X158)*N(BJ158)</f>
        <v/>
      </c>
      <c r="AR158" s="3" t="n">
        <v>0</v>
      </c>
      <c r="AS158" s="3" t="n">
        <v>-0.4835617861760246</v>
      </c>
      <c r="AT158" s="3" t="n">
        <v>-0.1773122607005057</v>
      </c>
      <c r="AU158" s="3">
        <f>SUM(AO158:AT158)</f>
        <v/>
      </c>
      <c r="AV158" s="7">
        <f>IF(OR(N(W158)&lt;=0,N(BH158)=0),0,N(W158)*IF(N(R158)/N(W158)&gt;=60,N(BH158),1))</f>
        <v/>
      </c>
      <c r="AW158" s="7">
        <f>N(W158)*N(AF158)*N(BI158)</f>
        <v/>
      </c>
      <c r="AX158" s="3">
        <f>IF(N(BH158)=0,0,N(W158)*N(AH158))</f>
        <v/>
      </c>
      <c r="AY158" s="7">
        <f>N(AM158)*(Assumptions!$B$13*N(BK158)-(1-Assumptions!$B$13)*Assumptions!$B$14)+N(AN158)</f>
        <v/>
      </c>
      <c r="AZ158" s="7">
        <f>N(AU158)*N(R158)/90+N(AV158)+N(AW158)+N(AX158)+N(AY158)</f>
        <v/>
      </c>
      <c r="BA158" s="3">
        <f>IF(N(R158)&lt;=0,0,(N(AZ158)-N(AY158))*90/N(R158))</f>
        <v/>
      </c>
      <c r="BB158" s="7">
        <f>IFERROR(AZ158-VLOOKUP($E158,Assumptions!$A$40:$C$43,3,FALSE),"")</f>
        <v/>
      </c>
      <c r="BC158" s="3">
        <f>IFERROR(BB158/H158,"")</f>
        <v/>
      </c>
      <c r="BD158">
        <f>IF(AND($G158=TRUE,$E158="GKP"),AZ158,"")</f>
        <v/>
      </c>
      <c r="BE158">
        <f>IF(AND($G158=TRUE,$E158="DEF"),AZ158,"")</f>
        <v/>
      </c>
      <c r="BF158">
        <f>IF(AND($G158=TRUE,$E158="MID"),AZ158,"")</f>
        <v/>
      </c>
      <c r="BG158">
        <f>IF(AND($G158=TRUE,$E158="FWD"),AZ158,"")</f>
        <v/>
      </c>
      <c r="BH158" t="n">
        <v>2</v>
      </c>
      <c r="BI158" t="n">
        <v>2</v>
      </c>
      <c r="BJ158" t="n">
        <v>4</v>
      </c>
      <c r="BK158" t="n">
        <v>6</v>
      </c>
    </row>
    <row r="159">
      <c r="A159" s="9" t="inlineStr">
        <is>
          <t>Florentino</t>
        </is>
      </c>
      <c r="B159" t="inlineStr">
        <is>
          <t>IPS</t>
        </is>
      </c>
      <c r="C159" s="9" t="inlineStr">
        <is>
          <t>BUR</t>
        </is>
      </c>
      <c r="D159" t="b">
        <v>1</v>
      </c>
      <c r="E159" t="inlineStr">
        <is>
          <t>MID</t>
        </is>
      </c>
      <c r="F159" t="inlineStr">
        <is>
          <t>MID</t>
        </is>
      </c>
      <c r="G159" t="b">
        <v>1</v>
      </c>
      <c r="H159" s="2" t="n">
        <v>5</v>
      </c>
      <c r="I159" t="inlineStr">
        <is>
          <t>a</t>
        </is>
      </c>
      <c r="K159" s="2" t="n">
        <v>2100</v>
      </c>
      <c r="L159" t="n">
        <v>84</v>
      </c>
      <c r="M159" s="3" t="n">
        <v>1881</v>
      </c>
      <c r="N159" s="8" t="n">
        <v>1881</v>
      </c>
      <c r="O159" s="8" t="n">
        <v>0</v>
      </c>
      <c r="Q159" t="inlineStr">
        <is>
          <t>flat</t>
        </is>
      </c>
      <c r="R159" s="6" t="n">
        <v>1881</v>
      </c>
      <c r="S159" t="inlineStr">
        <is>
          <t>Solio</t>
        </is>
      </c>
      <c r="U159" s="6" t="n">
        <v>79.59999999999999</v>
      </c>
      <c r="V159" s="2" t="n">
        <v>25</v>
      </c>
      <c r="W159" s="7">
        <f>IF(N(U159)&lt;=0,0,MIN(Assumptions!$B$15,N(R159)/N(U159)))</f>
        <v/>
      </c>
      <c r="X159" s="6" t="n">
        <v>0.17</v>
      </c>
      <c r="Y159" s="10" t="n">
        <v>0.0257</v>
      </c>
      <c r="Z159" t="inlineStr">
        <is>
          <t>adjusted xGOT</t>
        </is>
      </c>
      <c r="AA159" s="3" t="n">
        <v>1</v>
      </c>
      <c r="AB159" s="3" t="n">
        <v>0.9379999999999999</v>
      </c>
      <c r="AC159" s="3" t="n">
        <v>0.6</v>
      </c>
      <c r="AD159" s="10" t="n">
        <v>0.0227</v>
      </c>
      <c r="AE159" s="3" t="n">
        <v>12.179</v>
      </c>
      <c r="AF159" s="3" t="n">
        <v>0.3934948723249607</v>
      </c>
      <c r="AG159" s="3" t="n">
        <v>7.797</v>
      </c>
      <c r="AH159" s="3" t="n">
        <v>0.06672403170000001</v>
      </c>
      <c r="AI159" s="3" t="n">
        <v>54</v>
      </c>
      <c r="AJ159" s="3" t="n">
        <v>3.5741</v>
      </c>
      <c r="AK159" s="3" t="n">
        <v>1.8319</v>
      </c>
      <c r="AL159" s="3" t="n">
        <v>-0.2502924944666128</v>
      </c>
      <c r="AM159" s="6" t="n">
        <v>0</v>
      </c>
      <c r="AN159" s="3" t="n">
        <v>0</v>
      </c>
      <c r="AO159" s="10" t="n">
        <v>0.1285</v>
      </c>
      <c r="AP159" s="10" t="n">
        <v>0.08989200000000001</v>
      </c>
      <c r="AQ159" s="3">
        <f>N(X159)*N(BJ159)</f>
        <v/>
      </c>
      <c r="AR159" s="3" t="n">
        <v>0</v>
      </c>
      <c r="AS159" s="3" t="n">
        <v>-0</v>
      </c>
      <c r="AT159" s="3" t="n">
        <v>-0.2502924944666128</v>
      </c>
      <c r="AU159" s="3">
        <f>SUM(AO159:AT159)</f>
        <v/>
      </c>
      <c r="AV159" s="7">
        <f>IF(OR(N(W159)&lt;=0,N(BH159)=0),0,N(W159)*IF(N(R159)/N(W159)&gt;=60,N(BH159),1))</f>
        <v/>
      </c>
      <c r="AW159" s="7">
        <f>N(W159)*N(AF159)*N(BI159)</f>
        <v/>
      </c>
      <c r="AX159" s="3">
        <f>IF(N(BH159)=0,0,N(W159)*N(AH159))</f>
        <v/>
      </c>
      <c r="AY159" s="7">
        <f>N(AM159)*(Assumptions!$B$13*N(BK159)-(1-Assumptions!$B$13)*Assumptions!$B$14)+N(AN159)</f>
        <v/>
      </c>
      <c r="AZ159" s="7">
        <f>N(AU159)*N(R159)/90+N(AV159)+N(AW159)+N(AX159)+N(AY159)</f>
        <v/>
      </c>
      <c r="BA159" s="3">
        <f>IF(N(R159)&lt;=0,0,(N(AZ159)-N(AY159))*90/N(R159))</f>
        <v/>
      </c>
      <c r="BB159" s="7">
        <f>IFERROR(AZ159-VLOOKUP($E159,Assumptions!$A$40:$C$43,3,FALSE),"")</f>
        <v/>
      </c>
      <c r="BC159" s="3">
        <f>IFERROR(BB159/H159,"")</f>
        <v/>
      </c>
      <c r="BD159">
        <f>IF(AND($G159=TRUE,$E159="GKP"),AZ159,"")</f>
        <v/>
      </c>
      <c r="BE159">
        <f>IF(AND($G159=TRUE,$E159="DEF"),AZ159,"")</f>
        <v/>
      </c>
      <c r="BF159">
        <f>IF(AND($G159=TRUE,$E159="MID"),AZ159,"")</f>
        <v/>
      </c>
      <c r="BG159">
        <f>IF(AND($G159=TRUE,$E159="FWD"),AZ159,"")</f>
        <v/>
      </c>
      <c r="BH159" t="n">
        <v>2</v>
      </c>
      <c r="BI159" t="n">
        <v>2</v>
      </c>
      <c r="BJ159" t="n">
        <v>1</v>
      </c>
      <c r="BK159" t="n">
        <v>5</v>
      </c>
    </row>
    <row r="160">
      <c r="A160" t="inlineStr">
        <is>
          <t>Murillo</t>
        </is>
      </c>
      <c r="B160" t="inlineStr">
        <is>
          <t>NFO</t>
        </is>
      </c>
      <c r="C160" t="inlineStr">
        <is>
          <t>NFO</t>
        </is>
      </c>
      <c r="D160" t="b">
        <v>0</v>
      </c>
      <c r="E160" t="inlineStr">
        <is>
          <t>DEF</t>
        </is>
      </c>
      <c r="F160" t="inlineStr">
        <is>
          <t>DEF</t>
        </is>
      </c>
      <c r="G160" t="b">
        <v>1</v>
      </c>
      <c r="H160" s="2" t="n">
        <v>5.5</v>
      </c>
      <c r="I160" t="inlineStr">
        <is>
          <t>a</t>
        </is>
      </c>
      <c r="K160" s="2" t="n">
        <v>2130</v>
      </c>
      <c r="L160" t="n">
        <v>83</v>
      </c>
      <c r="M160" s="3" t="n">
        <v>3101</v>
      </c>
      <c r="N160" s="4" t="n">
        <v>2900</v>
      </c>
      <c r="O160" s="4" t="n">
        <v>-201</v>
      </c>
      <c r="P160" s="5" t="inlineStr">
        <is>
          <t>medium</t>
        </is>
      </c>
      <c r="Q160" t="inlineStr">
        <is>
          <t>flat</t>
        </is>
      </c>
      <c r="R160" s="6" t="n">
        <v>2900</v>
      </c>
      <c r="S160" t="inlineStr">
        <is>
          <t>research</t>
        </is>
      </c>
      <c r="T160" s="5" t="inlineStr">
        <is>
          <t>Confirmed starter in the back three, but Solio adds 971 minutes to a 2025-26 return of 2,130. Forest carry five senior centre-backs for three slots after the Diomande signing, so a modest allowance for the absences that actually occurred last season is warranted.</t>
        </is>
      </c>
      <c r="U160" s="6" t="n">
        <v>85.3</v>
      </c>
      <c r="V160" s="2" t="n">
        <v>25</v>
      </c>
      <c r="W160" s="7">
        <f>IF(N(U160)&lt;=0,0,MIN(Assumptions!$B$15,N(R160)/N(U160)))</f>
        <v/>
      </c>
      <c r="X160" s="6" t="n">
        <v>0.224</v>
      </c>
      <c r="Y160" s="3" t="n">
        <v>0.0299</v>
      </c>
      <c r="Z160" t="inlineStr">
        <is>
          <t>adjusted xGOT</t>
        </is>
      </c>
      <c r="AA160" s="3" t="n">
        <v>1</v>
      </c>
      <c r="AB160" s="3" t="n">
        <v>0.968</v>
      </c>
      <c r="AC160" s="3" t="n">
        <v>4</v>
      </c>
      <c r="AD160" s="3" t="n">
        <v>0.0163</v>
      </c>
      <c r="AE160" s="3" t="n">
        <v>8.984</v>
      </c>
      <c r="AF160" s="3" t="n">
        <v>0.3489538470900022</v>
      </c>
      <c r="AG160" s="3" t="n">
        <v>8.798999999999999</v>
      </c>
      <c r="AH160" s="3" t="n">
        <v>0.149125192</v>
      </c>
      <c r="AI160" s="3" t="n">
        <v>48</v>
      </c>
      <c r="AJ160" s="3" t="n">
        <v>3.1134</v>
      </c>
      <c r="AK160" s="3" t="n">
        <v>1.5588</v>
      </c>
      <c r="AL160" s="3" t="n">
        <v>-0.2057759377817235</v>
      </c>
      <c r="AM160" s="6" t="n">
        <v>0</v>
      </c>
      <c r="AN160" s="3" t="n">
        <v>0</v>
      </c>
      <c r="AO160" s="3" t="n">
        <v>0.1794</v>
      </c>
      <c r="AP160" s="3" t="n">
        <v>0.06454800000000001</v>
      </c>
      <c r="AQ160" s="3">
        <f>N(X160)*N(BJ160)</f>
        <v/>
      </c>
      <c r="AR160" s="3" t="n">
        <v>0</v>
      </c>
      <c r="AS160" s="3" t="n">
        <v>-0.5404658182244797</v>
      </c>
      <c r="AT160" s="3" t="n">
        <v>-0.2057759377817235</v>
      </c>
      <c r="AU160" s="3">
        <f>SUM(AO160:AT160)</f>
        <v/>
      </c>
      <c r="AV160" s="7">
        <f>IF(OR(N(W160)&lt;=0,N(BH160)=0),0,N(W160)*IF(N(R160)/N(W160)&gt;=60,N(BH160),1))</f>
        <v/>
      </c>
      <c r="AW160" s="7">
        <f>N(W160)*N(AF160)*N(BI160)</f>
        <v/>
      </c>
      <c r="AX160" s="3">
        <f>IF(N(BH160)=0,0,N(W160)*N(AH160))</f>
        <v/>
      </c>
      <c r="AY160" s="7">
        <f>N(AM160)*(Assumptions!$B$13*N(BK160)-(1-Assumptions!$B$13)*Assumptions!$B$14)+N(AN160)</f>
        <v/>
      </c>
      <c r="AZ160" s="7">
        <f>N(AU160)*N(R160)/90+N(AV160)+N(AW160)+N(AX160)+N(AY160)</f>
        <v/>
      </c>
      <c r="BA160" s="3">
        <f>IF(N(R160)&lt;=0,0,(N(AZ160)-N(AY160))*90/N(R160))</f>
        <v/>
      </c>
      <c r="BB160" s="7">
        <f>IFERROR(AZ160-VLOOKUP($E160,Assumptions!$A$40:$C$43,3,FALSE),"")</f>
        <v/>
      </c>
      <c r="BC160" s="3">
        <f>IFERROR(BB160/H160,"")</f>
        <v/>
      </c>
      <c r="BD160">
        <f>IF(AND($G160=TRUE,$E160="GKP"),AZ160,"")</f>
        <v/>
      </c>
      <c r="BE160">
        <f>IF(AND($G160=TRUE,$E160="DEF"),AZ160,"")</f>
        <v/>
      </c>
      <c r="BF160">
        <f>IF(AND($G160=TRUE,$E160="MID"),AZ160,"")</f>
        <v/>
      </c>
      <c r="BG160">
        <f>IF(AND($G160=TRUE,$E160="FWD"),AZ160,"")</f>
        <v/>
      </c>
      <c r="BH160" t="n">
        <v>2</v>
      </c>
      <c r="BI160" t="n">
        <v>2</v>
      </c>
      <c r="BJ160" t="n">
        <v>4</v>
      </c>
      <c r="BK160" t="n">
        <v>6</v>
      </c>
    </row>
    <row r="161">
      <c r="A161" t="inlineStr">
        <is>
          <t>Chemsdine Talbi</t>
        </is>
      </c>
      <c r="B161" t="inlineStr">
        <is>
          <t>SUN</t>
        </is>
      </c>
      <c r="C161" t="inlineStr">
        <is>
          <t>SUN</t>
        </is>
      </c>
      <c r="D161" t="b">
        <v>0</v>
      </c>
      <c r="E161" t="inlineStr">
        <is>
          <t>MID</t>
        </is>
      </c>
      <c r="F161" t="inlineStr">
        <is>
          <t>MID</t>
        </is>
      </c>
      <c r="G161" t="b">
        <v>1</v>
      </c>
      <c r="H161" s="2" t="n">
        <v>5.5</v>
      </c>
      <c r="I161" t="inlineStr">
        <is>
          <t>a</t>
        </is>
      </c>
      <c r="K161" s="2" t="n">
        <v>1553</v>
      </c>
      <c r="L161" t="n">
        <v>83</v>
      </c>
      <c r="M161" s="3" t="n">
        <v>2263</v>
      </c>
      <c r="N161" s="4" t="n">
        <v>2500</v>
      </c>
      <c r="O161" s="4" t="n">
        <v>237</v>
      </c>
      <c r="P161" s="5" t="inlineStr">
        <is>
          <t>medium</t>
        </is>
      </c>
      <c r="Q161" t="inlineStr">
        <is>
          <t>flat</t>
        </is>
      </c>
      <c r="R161" s="6" t="n">
        <v>2500</v>
      </c>
      <c r="S161" t="inlineStr">
        <is>
          <t>research</t>
        </is>
      </c>
      <c r="T161" s="5" t="inlineStr">
        <is>
          <t>Small upward move. Talbi started the final friendly in the front three and the Echo's opener preview favours him for the contested wide slot on the basis of his Premier League experience. Kept modest because he shares the flank with Angulo and because Sunderland are still targeting a right winger, which would compress the wide minutes further.</t>
        </is>
      </c>
      <c r="U161" s="6" t="n">
        <v>79.09999999999999</v>
      </c>
      <c r="V161" s="2" t="n">
        <v>16</v>
      </c>
      <c r="W161" s="7">
        <f>IF(N(U161)&lt;=0,0,MIN(Assumptions!$B$15,N(R161)/N(U161)))</f>
        <v/>
      </c>
      <c r="X161" s="6" t="n">
        <v>0.204</v>
      </c>
      <c r="Y161" s="3" t="n">
        <v>0.1438</v>
      </c>
      <c r="Z161" t="inlineStr">
        <is>
          <t>adjusted xGOT</t>
        </is>
      </c>
      <c r="AA161" s="3" t="n">
        <v>1</v>
      </c>
      <c r="AB161" s="3" t="n">
        <v>1.165</v>
      </c>
      <c r="AC161" s="3" t="n">
        <v>2.1</v>
      </c>
      <c r="AD161" s="3" t="n">
        <v>0.0516</v>
      </c>
      <c r="AE161" s="3" t="n">
        <v>6.36</v>
      </c>
      <c r="AF161" s="3" t="n">
        <v>0.0123265355904606</v>
      </c>
      <c r="AG161" s="3" t="n">
        <v>3.235</v>
      </c>
      <c r="AH161" s="3" t="n">
        <v>0.1625780428</v>
      </c>
      <c r="AI161" s="3" t="n">
        <v>44</v>
      </c>
      <c r="AJ161" s="3" t="n">
        <v>3.3348</v>
      </c>
      <c r="AK161" s="3" t="n">
        <v>1.6498</v>
      </c>
      <c r="AL161" s="3" t="n">
        <v>-0.1125747540818522</v>
      </c>
      <c r="AM161" s="6" t="n">
        <v>0</v>
      </c>
      <c r="AN161" s="3" t="n">
        <v>0</v>
      </c>
      <c r="AO161" s="3" t="n">
        <v>0.7190000000000001</v>
      </c>
      <c r="AP161" s="3" t="n">
        <v>0.204336</v>
      </c>
      <c r="AQ161" s="3">
        <f>N(X161)*N(BJ161)</f>
        <v/>
      </c>
      <c r="AR161" s="3" t="n">
        <v>0</v>
      </c>
      <c r="AS161" s="3" t="n">
        <v>-0</v>
      </c>
      <c r="AT161" s="3" t="n">
        <v>-0.1125747540818522</v>
      </c>
      <c r="AU161" s="3">
        <f>SUM(AO161:AT161)</f>
        <v/>
      </c>
      <c r="AV161" s="7">
        <f>IF(OR(N(W161)&lt;=0,N(BH161)=0),0,N(W161)*IF(N(R161)/N(W161)&gt;=60,N(BH161),1))</f>
        <v/>
      </c>
      <c r="AW161" s="7">
        <f>N(W161)*N(AF161)*N(BI161)</f>
        <v/>
      </c>
      <c r="AX161" s="3">
        <f>IF(N(BH161)=0,0,N(W161)*N(AH161))</f>
        <v/>
      </c>
      <c r="AY161" s="7">
        <f>N(AM161)*(Assumptions!$B$13*N(BK161)-(1-Assumptions!$B$13)*Assumptions!$B$14)+N(AN161)</f>
        <v/>
      </c>
      <c r="AZ161" s="7">
        <f>N(AU161)*N(R161)/90+N(AV161)+N(AW161)+N(AX161)+N(AY161)</f>
        <v/>
      </c>
      <c r="BA161" s="3">
        <f>IF(N(R161)&lt;=0,0,(N(AZ161)-N(AY161))*90/N(R161))</f>
        <v/>
      </c>
      <c r="BB161" s="7">
        <f>IFERROR(AZ161-VLOOKUP($E161,Assumptions!$A$40:$C$43,3,FALSE),"")</f>
        <v/>
      </c>
      <c r="BC161" s="3">
        <f>IFERROR(BB161/H161,"")</f>
        <v/>
      </c>
      <c r="BD161">
        <f>IF(AND($G161=TRUE,$E161="GKP"),AZ161,"")</f>
        <v/>
      </c>
      <c r="BE161">
        <f>IF(AND($G161=TRUE,$E161="DEF"),AZ161,"")</f>
        <v/>
      </c>
      <c r="BF161">
        <f>IF(AND($G161=TRUE,$E161="MID"),AZ161,"")</f>
        <v/>
      </c>
      <c r="BG161">
        <f>IF(AND($G161=TRUE,$E161="FWD"),AZ161,"")</f>
        <v/>
      </c>
      <c r="BH161" t="n">
        <v>2</v>
      </c>
      <c r="BI161" t="n">
        <v>2</v>
      </c>
      <c r="BJ161" t="n">
        <v>1</v>
      </c>
      <c r="BK161" t="n">
        <v>5</v>
      </c>
    </row>
    <row r="162">
      <c r="A162" t="inlineStr">
        <is>
          <t>Omari Hutchinson</t>
        </is>
      </c>
      <c r="B162" t="inlineStr">
        <is>
          <t>NFO</t>
        </is>
      </c>
      <c r="C162" t="inlineStr">
        <is>
          <t>NFO</t>
        </is>
      </c>
      <c r="D162" t="b">
        <v>0</v>
      </c>
      <c r="E162" t="inlineStr">
        <is>
          <t>MID</t>
        </is>
      </c>
      <c r="F162" t="inlineStr">
        <is>
          <t>MID</t>
        </is>
      </c>
      <c r="G162" t="b">
        <v>1</v>
      </c>
      <c r="H162" s="2" t="n">
        <v>5.5</v>
      </c>
      <c r="I162" t="inlineStr">
        <is>
          <t>a</t>
        </is>
      </c>
      <c r="K162" s="2" t="n">
        <v>1676</v>
      </c>
      <c r="L162" t="n">
        <v>82</v>
      </c>
      <c r="M162" s="3" t="n">
        <v>443</v>
      </c>
      <c r="N162" s="4" t="n">
        <v>690</v>
      </c>
      <c r="O162" s="4" t="n">
        <v>247</v>
      </c>
      <c r="P162" s="5" t="inlineStr">
        <is>
          <t>low</t>
        </is>
      </c>
      <c r="Q162" t="inlineStr">
        <is>
          <t>flat</t>
        </is>
      </c>
      <c r="R162" s="6" t="n">
        <v>690</v>
      </c>
      <c r="S162" t="inlineStr">
        <is>
          <t>research</t>
        </is>
      </c>
      <c r="T162" s="5" t="inlineStr">
        <is>
          <t>A club-record GBP 37m signing who played 1,676 league minutes in 2025-26 and featured in Glasner's first pre-season XI in the ten role. He is out of the current first-choice XI, but 443 minutes understates the first reserve for two attacking-midfield slots.</t>
        </is>
      </c>
      <c r="U162" s="6" t="n">
        <v>78.8</v>
      </c>
      <c r="V162" s="2" t="n">
        <v>17</v>
      </c>
      <c r="W162" s="7">
        <f>IF(N(U162)&lt;=0,0,MIN(Assumptions!$B$15,N(R162)/N(U162)))</f>
        <v/>
      </c>
      <c r="X162" s="6" t="n">
        <v>0.224</v>
      </c>
      <c r="Y162" s="3" t="n">
        <v>0.1126</v>
      </c>
      <c r="Z162" t="inlineStr">
        <is>
          <t>adjusted xGOT</t>
        </is>
      </c>
      <c r="AA162" s="3" t="n">
        <v>1</v>
      </c>
      <c r="AB162" s="3" t="n">
        <v>1.043</v>
      </c>
      <c r="AC162" s="3" t="n">
        <v>4.9</v>
      </c>
      <c r="AD162" s="3" t="n">
        <v>0.2363</v>
      </c>
      <c r="AE162" s="3" t="n">
        <v>7.423</v>
      </c>
      <c r="AF162" s="3" t="n">
        <v>0.03385480945361452</v>
      </c>
      <c r="AG162" s="3" t="n">
        <v>5.977</v>
      </c>
      <c r="AH162" s="3" t="n">
        <v>0.25931124</v>
      </c>
      <c r="AI162" s="3" t="n">
        <v>46</v>
      </c>
      <c r="AJ162" s="3" t="n">
        <v>3.1134</v>
      </c>
      <c r="AK162" s="3" t="n">
        <v>1.5588</v>
      </c>
      <c r="AL162" s="3" t="n">
        <v>-0.1552994984010327</v>
      </c>
      <c r="AM162" s="6" t="n">
        <v>0</v>
      </c>
      <c r="AN162" s="3" t="n">
        <v>0</v>
      </c>
      <c r="AO162" s="3" t="n">
        <v>0.5630000000000001</v>
      </c>
      <c r="AP162" s="3" t="n">
        <v>0.9357480000000001</v>
      </c>
      <c r="AQ162" s="3">
        <f>N(X162)*N(BJ162)</f>
        <v/>
      </c>
      <c r="AR162" s="3" t="n">
        <v>0</v>
      </c>
      <c r="AS162" s="3" t="n">
        <v>-0</v>
      </c>
      <c r="AT162" s="3" t="n">
        <v>-0.1552994984010327</v>
      </c>
      <c r="AU162" s="3">
        <f>SUM(AO162:AT162)</f>
        <v/>
      </c>
      <c r="AV162" s="7">
        <f>IF(OR(N(W162)&lt;=0,N(BH162)=0),0,N(W162)*IF(N(R162)/N(W162)&gt;=60,N(BH162),1))</f>
        <v/>
      </c>
      <c r="AW162" s="7">
        <f>N(W162)*N(AF162)*N(BI162)</f>
        <v/>
      </c>
      <c r="AX162" s="3">
        <f>IF(N(BH162)=0,0,N(W162)*N(AH162))</f>
        <v/>
      </c>
      <c r="AY162" s="7">
        <f>N(AM162)*(Assumptions!$B$13*N(BK162)-(1-Assumptions!$B$13)*Assumptions!$B$14)+N(AN162)</f>
        <v/>
      </c>
      <c r="AZ162" s="7">
        <f>N(AU162)*N(R162)/90+N(AV162)+N(AW162)+N(AX162)+N(AY162)</f>
        <v/>
      </c>
      <c r="BA162" s="3">
        <f>IF(N(R162)&lt;=0,0,(N(AZ162)-N(AY162))*90/N(R162))</f>
        <v/>
      </c>
      <c r="BB162" s="7">
        <f>IFERROR(AZ162-VLOOKUP($E162,Assumptions!$A$40:$C$43,3,FALSE),"")</f>
        <v/>
      </c>
      <c r="BC162" s="3">
        <f>IFERROR(BB162/H162,"")</f>
        <v/>
      </c>
      <c r="BD162">
        <f>IF(AND($G162=TRUE,$E162="GKP"),AZ162,"")</f>
        <v/>
      </c>
      <c r="BE162">
        <f>IF(AND($G162=TRUE,$E162="DEF"),AZ162,"")</f>
        <v/>
      </c>
      <c r="BF162">
        <f>IF(AND($G162=TRUE,$E162="MID"),AZ162,"")</f>
        <v/>
      </c>
      <c r="BG162">
        <f>IF(AND($G162=TRUE,$E162="FWD"),AZ162,"")</f>
        <v/>
      </c>
      <c r="BH162" t="n">
        <v>2</v>
      </c>
      <c r="BI162" t="n">
        <v>2</v>
      </c>
      <c r="BJ162" t="n">
        <v>1</v>
      </c>
      <c r="BK162" t="n">
        <v>5</v>
      </c>
    </row>
    <row r="163">
      <c r="A163" t="inlineStr">
        <is>
          <t>Jacob Murphy</t>
        </is>
      </c>
      <c r="B163" t="inlineStr">
        <is>
          <t>NEW</t>
        </is>
      </c>
      <c r="C163" t="inlineStr">
        <is>
          <t>NEW</t>
        </is>
      </c>
      <c r="D163" t="b">
        <v>0</v>
      </c>
      <c r="E163" t="inlineStr">
        <is>
          <t>MID</t>
        </is>
      </c>
      <c r="F163" t="inlineStr">
        <is>
          <t>MID</t>
        </is>
      </c>
      <c r="G163" t="b">
        <v>1</v>
      </c>
      <c r="H163" s="2" t="n">
        <v>6</v>
      </c>
      <c r="I163" t="inlineStr">
        <is>
          <t>a</t>
        </is>
      </c>
      <c r="K163" s="2" t="n">
        <v>1606</v>
      </c>
      <c r="L163" t="n">
        <v>82</v>
      </c>
      <c r="M163" s="3" t="n">
        <v>1835</v>
      </c>
      <c r="N163" s="4" t="n">
        <v>1150</v>
      </c>
      <c r="O163" s="4" t="n">
        <v>-685</v>
      </c>
      <c r="P163" s="5" t="inlineStr">
        <is>
          <t>medium</t>
        </is>
      </c>
      <c r="Q163" t="inlineStr">
        <is>
          <t>flat</t>
        </is>
      </c>
      <c r="R163" s="6" t="n">
        <v>1150</v>
      </c>
      <c r="S163" t="inlineStr">
        <is>
          <t>research</t>
        </is>
      </c>
      <c r="T163" s="5" t="inlineStr">
        <is>
          <t>Solio's 1,835 reflects his standing as an Eddie Howe regular. Under Jaissle he was an unused substitute v Everton and was not in the matchday squad at all v Leverkusen, while Elanga started both. He is 31 with 12 months left on his contract, valued at around EUR 12m, and Everton have been interested. Not cut further because he is a genuine multi-position senior option and has said he wants to stay and fight for his place.</t>
        </is>
      </c>
      <c r="U163" s="6" t="n">
        <v>73.09999999999999</v>
      </c>
      <c r="V163" s="2" t="n">
        <v>19</v>
      </c>
      <c r="W163" s="7">
        <f>IF(N(U163)&lt;=0,0,MIN(Assumptions!$B$15,N(R163)/N(U163)))</f>
        <v/>
      </c>
      <c r="X163" s="6" t="n">
        <v>0.248</v>
      </c>
      <c r="Y163" s="3" t="n">
        <v>0.1588</v>
      </c>
      <c r="Z163" t="inlineStr">
        <is>
          <t>adjusted xGOT</t>
        </is>
      </c>
      <c r="AA163" s="3" t="n">
        <v>1</v>
      </c>
      <c r="AB163" s="3" t="n">
        <v>0.923</v>
      </c>
      <c r="AC163" s="3" t="n">
        <v>14.6</v>
      </c>
      <c r="AD163" s="3" t="n">
        <v>0.2086</v>
      </c>
      <c r="AE163" s="3" t="n">
        <v>6.137</v>
      </c>
      <c r="AF163" s="3" t="n">
        <v>0.005327393138960246</v>
      </c>
      <c r="AG163" s="3" t="n">
        <v>6.027</v>
      </c>
      <c r="AH163" s="3" t="n">
        <v>0.2504801348</v>
      </c>
      <c r="AI163" s="3" t="n">
        <v>50</v>
      </c>
      <c r="AJ163" s="3" t="n">
        <v>3.0912</v>
      </c>
      <c r="AK163" s="3" t="n">
        <v>1.4534</v>
      </c>
      <c r="AL163" s="3" t="n">
        <v>-0.1624120086980674</v>
      </c>
      <c r="AM163" s="6" t="n">
        <v>0</v>
      </c>
      <c r="AN163" s="3" t="n">
        <v>0</v>
      </c>
      <c r="AO163" s="3" t="n">
        <v>0.794</v>
      </c>
      <c r="AP163" s="3" t="n">
        <v>0.8260560000000001</v>
      </c>
      <c r="AQ163" s="3">
        <f>N(X163)*N(BJ163)</f>
        <v/>
      </c>
      <c r="AR163" s="3" t="n">
        <v>0</v>
      </c>
      <c r="AS163" s="3" t="n">
        <v>-0</v>
      </c>
      <c r="AT163" s="3" t="n">
        <v>-0.1624120086980674</v>
      </c>
      <c r="AU163" s="3">
        <f>SUM(AO163:AT163)</f>
        <v/>
      </c>
      <c r="AV163" s="7">
        <f>IF(OR(N(W163)&lt;=0,N(BH163)=0),0,N(W163)*IF(N(R163)/N(W163)&gt;=60,N(BH163),1))</f>
        <v/>
      </c>
      <c r="AW163" s="7">
        <f>N(W163)*N(AF163)*N(BI163)</f>
        <v/>
      </c>
      <c r="AX163" s="3">
        <f>IF(N(BH163)=0,0,N(W163)*N(AH163))</f>
        <v/>
      </c>
      <c r="AY163" s="7">
        <f>N(AM163)*(Assumptions!$B$13*N(BK163)-(1-Assumptions!$B$13)*Assumptions!$B$14)+N(AN163)</f>
        <v/>
      </c>
      <c r="AZ163" s="7">
        <f>N(AU163)*N(R163)/90+N(AV163)+N(AW163)+N(AX163)+N(AY163)</f>
        <v/>
      </c>
      <c r="BA163" s="3">
        <f>IF(N(R163)&lt;=0,0,(N(AZ163)-N(AY163))*90/N(R163))</f>
        <v/>
      </c>
      <c r="BB163" s="7">
        <f>IFERROR(AZ163-VLOOKUP($E163,Assumptions!$A$40:$C$43,3,FALSE),"")</f>
        <v/>
      </c>
      <c r="BC163" s="3">
        <f>IFERROR(BB163/H163,"")</f>
        <v/>
      </c>
      <c r="BD163">
        <f>IF(AND($G163=TRUE,$E163="GKP"),AZ163,"")</f>
        <v/>
      </c>
      <c r="BE163">
        <f>IF(AND($G163=TRUE,$E163="DEF"),AZ163,"")</f>
        <v/>
      </c>
      <c r="BF163">
        <f>IF(AND($G163=TRUE,$E163="MID"),AZ163,"")</f>
        <v/>
      </c>
      <c r="BG163">
        <f>IF(AND($G163=TRUE,$E163="FWD"),AZ163,"")</f>
        <v/>
      </c>
      <c r="BH163" t="n">
        <v>2</v>
      </c>
      <c r="BI163" t="n">
        <v>2</v>
      </c>
      <c r="BJ163" t="n">
        <v>1</v>
      </c>
      <c r="BK163" t="n">
        <v>5</v>
      </c>
    </row>
    <row r="164">
      <c r="A164" t="inlineStr">
        <is>
          <t>Kenny Tete</t>
        </is>
      </c>
      <c r="B164" t="inlineStr">
        <is>
          <t>FUL</t>
        </is>
      </c>
      <c r="C164" t="inlineStr">
        <is>
          <t>FUL</t>
        </is>
      </c>
      <c r="D164" t="b">
        <v>0</v>
      </c>
      <c r="E164" t="inlineStr">
        <is>
          <t>DEF</t>
        </is>
      </c>
      <c r="F164" t="inlineStr">
        <is>
          <t>DEF</t>
        </is>
      </c>
      <c r="G164" t="b">
        <v>1</v>
      </c>
      <c r="H164" s="2" t="n">
        <v>4.5</v>
      </c>
      <c r="I164" t="inlineStr">
        <is>
          <t>a</t>
        </is>
      </c>
      <c r="K164" s="2" t="n">
        <v>1791</v>
      </c>
      <c r="L164" t="n">
        <v>81</v>
      </c>
      <c r="M164" s="3" t="n">
        <v>1528</v>
      </c>
      <c r="N164" s="8" t="n">
        <v>1528</v>
      </c>
      <c r="O164" s="8" t="n">
        <v>0</v>
      </c>
      <c r="Q164" t="inlineStr">
        <is>
          <t>flat</t>
        </is>
      </c>
      <c r="R164" s="6" t="n">
        <v>1528</v>
      </c>
      <c r="S164" t="inlineStr">
        <is>
          <t>Solio</t>
        </is>
      </c>
      <c r="U164" s="6" t="n">
        <v>85.09999999999999</v>
      </c>
      <c r="V164" s="2" t="n">
        <v>21</v>
      </c>
      <c r="W164" s="7">
        <f>IF(N(U164)&lt;=0,0,MIN(Assumptions!$B$15,N(R164)/N(U164)))</f>
        <v/>
      </c>
      <c r="X164" s="6" t="n">
        <v>0.214</v>
      </c>
      <c r="Y164" s="3" t="n">
        <v>0.0396</v>
      </c>
      <c r="Z164" t="inlineStr">
        <is>
          <t>adjusted xGOT</t>
        </is>
      </c>
      <c r="AA164" s="3" t="n">
        <v>1</v>
      </c>
      <c r="AB164" s="3" t="n">
        <v>0.858</v>
      </c>
      <c r="AC164" s="3" t="n">
        <v>3.9</v>
      </c>
      <c r="AD164" s="3" t="n">
        <v>0.0605</v>
      </c>
      <c r="AE164" s="3" t="n">
        <v>8.118</v>
      </c>
      <c r="AF164" s="3" t="n">
        <v>0.244078093531879</v>
      </c>
      <c r="AG164" s="3" t="n">
        <v>9.217000000000001</v>
      </c>
      <c r="AH164" s="3" t="n">
        <v>0.1801426763</v>
      </c>
      <c r="AI164" s="3" t="n">
        <v>41</v>
      </c>
      <c r="AJ164" s="3" t="n">
        <v>3.22</v>
      </c>
      <c r="AK164" s="3" t="n">
        <v>1.6019</v>
      </c>
      <c r="AL164" s="3" t="n">
        <v>-0.1905925778562175</v>
      </c>
      <c r="AM164" s="6" t="n">
        <v>0</v>
      </c>
      <c r="AN164" s="3" t="n">
        <v>0</v>
      </c>
      <c r="AO164" s="3" t="n">
        <v>0.2376</v>
      </c>
      <c r="AP164" s="3" t="n">
        <v>0.23958</v>
      </c>
      <c r="AQ164" s="3">
        <f>N(X164)*N(BJ164)</f>
        <v/>
      </c>
      <c r="AR164" s="3" t="n">
        <v>0</v>
      </c>
      <c r="AS164" s="3" t="n">
        <v>-0.5611019003833156</v>
      </c>
      <c r="AT164" s="3" t="n">
        <v>-0.1905925778562175</v>
      </c>
      <c r="AU164" s="3">
        <f>SUM(AO164:AT164)</f>
        <v/>
      </c>
      <c r="AV164" s="7">
        <f>IF(OR(N(W164)&lt;=0,N(BH164)=0),0,N(W164)*IF(N(R164)/N(W164)&gt;=60,N(BH164),1))</f>
        <v/>
      </c>
      <c r="AW164" s="7">
        <f>N(W164)*N(AF164)*N(BI164)</f>
        <v/>
      </c>
      <c r="AX164" s="3">
        <f>IF(N(BH164)=0,0,N(W164)*N(AH164))</f>
        <v/>
      </c>
      <c r="AY164" s="7">
        <f>N(AM164)*(Assumptions!$B$13*N(BK164)-(1-Assumptions!$B$13)*Assumptions!$B$14)+N(AN164)</f>
        <v/>
      </c>
      <c r="AZ164" s="7">
        <f>N(AU164)*N(R164)/90+N(AV164)+N(AW164)+N(AX164)+N(AY164)</f>
        <v/>
      </c>
      <c r="BA164" s="3">
        <f>IF(N(R164)&lt;=0,0,(N(AZ164)-N(AY164))*90/N(R164))</f>
        <v/>
      </c>
      <c r="BB164" s="7">
        <f>IFERROR(AZ164-VLOOKUP($E164,Assumptions!$A$40:$C$43,3,FALSE),"")</f>
        <v/>
      </c>
      <c r="BC164" s="3">
        <f>IFERROR(BB164/H164,"")</f>
        <v/>
      </c>
      <c r="BD164">
        <f>IF(AND($G164=TRUE,$E164="GKP"),AZ164,"")</f>
        <v/>
      </c>
      <c r="BE164">
        <f>IF(AND($G164=TRUE,$E164="DEF"),AZ164,"")</f>
        <v/>
      </c>
      <c r="BF164">
        <f>IF(AND($G164=TRUE,$E164="MID"),AZ164,"")</f>
        <v/>
      </c>
      <c r="BG164">
        <f>IF(AND($G164=TRUE,$E164="FWD"),AZ164,"")</f>
        <v/>
      </c>
      <c r="BH164" t="n">
        <v>2</v>
      </c>
      <c r="BI164" t="n">
        <v>2</v>
      </c>
      <c r="BJ164" t="n">
        <v>4</v>
      </c>
      <c r="BK164" t="n">
        <v>6</v>
      </c>
    </row>
    <row r="165">
      <c r="A165" s="9" t="inlineStr">
        <is>
          <t>Sandro Tonali</t>
        </is>
      </c>
      <c r="B165" t="inlineStr">
        <is>
          <t>TOT</t>
        </is>
      </c>
      <c r="C165" s="9" t="inlineStr">
        <is>
          <t>NEW</t>
        </is>
      </c>
      <c r="D165" t="b">
        <v>1</v>
      </c>
      <c r="E165" t="inlineStr">
        <is>
          <t>MID</t>
        </is>
      </c>
      <c r="F165" t="inlineStr">
        <is>
          <t>MID</t>
        </is>
      </c>
      <c r="G165" t="b">
        <v>1</v>
      </c>
      <c r="H165" s="2" t="n">
        <v>5.5</v>
      </c>
      <c r="I165" t="inlineStr">
        <is>
          <t>a</t>
        </is>
      </c>
      <c r="K165" s="2" t="n">
        <v>2534</v>
      </c>
      <c r="L165" t="n">
        <v>81</v>
      </c>
      <c r="M165" s="3" t="n">
        <v>2918</v>
      </c>
      <c r="N165" s="8" t="n">
        <v>2918</v>
      </c>
      <c r="O165" s="8" t="n">
        <v>0</v>
      </c>
      <c r="Q165" t="inlineStr">
        <is>
          <t>flat</t>
        </is>
      </c>
      <c r="R165" s="6" t="n">
        <v>2918</v>
      </c>
      <c r="S165" t="inlineStr">
        <is>
          <t>Solio</t>
        </is>
      </c>
      <c r="U165" s="6" t="n">
        <v>80.2</v>
      </c>
      <c r="V165" s="2" t="n">
        <v>31</v>
      </c>
      <c r="W165" s="7">
        <f>IF(N(U165)&lt;=0,0,MIN(Assumptions!$B$15,N(R165)/N(U165)))</f>
        <v/>
      </c>
      <c r="X165" s="6" t="n">
        <v>0.286</v>
      </c>
      <c r="Y165" s="10" t="n">
        <v>0.0645</v>
      </c>
      <c r="Z165" t="inlineStr">
        <is>
          <t>adjusted xGOT</t>
        </is>
      </c>
      <c r="AA165" s="3" t="n">
        <v>1</v>
      </c>
      <c r="AB165" s="3" t="n">
        <v>1.038</v>
      </c>
      <c r="AC165" s="3" t="n">
        <v>6.8</v>
      </c>
      <c r="AD165" s="10" t="n">
        <v>0.1177</v>
      </c>
      <c r="AE165" s="3" t="n">
        <v>9.006</v>
      </c>
      <c r="AF165" s="3" t="n">
        <v>0.1137624719081718</v>
      </c>
      <c r="AG165" s="3" t="n">
        <v>9.188000000000001</v>
      </c>
      <c r="AH165" s="3" t="n">
        <v>0.18218092</v>
      </c>
      <c r="AI165" s="3" t="n">
        <v>62</v>
      </c>
      <c r="AJ165" s="3" t="n">
        <v>2.5739</v>
      </c>
      <c r="AK165" s="3" t="n">
        <v>1.3096</v>
      </c>
      <c r="AL165" s="3" t="n">
        <v>-0.1894479769331817</v>
      </c>
      <c r="AM165" s="6" t="n">
        <v>0</v>
      </c>
      <c r="AN165" s="3" t="n">
        <v>0</v>
      </c>
      <c r="AO165" s="10" t="n">
        <v>0.3225</v>
      </c>
      <c r="AP165" s="10" t="n">
        <v>0.466092</v>
      </c>
      <c r="AQ165" s="3">
        <f>N(X165)*N(BJ165)</f>
        <v/>
      </c>
      <c r="AR165" s="3" t="n">
        <v>0</v>
      </c>
      <c r="AS165" s="3" t="n">
        <v>-0</v>
      </c>
      <c r="AT165" s="3" t="n">
        <v>-0.1894479769331817</v>
      </c>
      <c r="AU165" s="3">
        <f>SUM(AO165:AT165)</f>
        <v/>
      </c>
      <c r="AV165" s="7">
        <f>IF(OR(N(W165)&lt;=0,N(BH165)=0),0,N(W165)*IF(N(R165)/N(W165)&gt;=60,N(BH165),1))</f>
        <v/>
      </c>
      <c r="AW165" s="7">
        <f>N(W165)*N(AF165)*N(BI165)</f>
        <v/>
      </c>
      <c r="AX165" s="3">
        <f>IF(N(BH165)=0,0,N(W165)*N(AH165))</f>
        <v/>
      </c>
      <c r="AY165" s="7">
        <f>N(AM165)*(Assumptions!$B$13*N(BK165)-(1-Assumptions!$B$13)*Assumptions!$B$14)+N(AN165)</f>
        <v/>
      </c>
      <c r="AZ165" s="7">
        <f>N(AU165)*N(R165)/90+N(AV165)+N(AW165)+N(AX165)+N(AY165)</f>
        <v/>
      </c>
      <c r="BA165" s="3">
        <f>IF(N(R165)&lt;=0,0,(N(AZ165)-N(AY165))*90/N(R165))</f>
        <v/>
      </c>
      <c r="BB165" s="7">
        <f>IFERROR(AZ165-VLOOKUP($E165,Assumptions!$A$40:$C$43,3,FALSE),"")</f>
        <v/>
      </c>
      <c r="BC165" s="3">
        <f>IFERROR(BB165/H165,"")</f>
        <v/>
      </c>
      <c r="BD165">
        <f>IF(AND($G165=TRUE,$E165="GKP"),AZ165,"")</f>
        <v/>
      </c>
      <c r="BE165">
        <f>IF(AND($G165=TRUE,$E165="DEF"),AZ165,"")</f>
        <v/>
      </c>
      <c r="BF165">
        <f>IF(AND($G165=TRUE,$E165="MID"),AZ165,"")</f>
        <v/>
      </c>
      <c r="BG165">
        <f>IF(AND($G165=TRUE,$E165="FWD"),AZ165,"")</f>
        <v/>
      </c>
      <c r="BH165" t="n">
        <v>2</v>
      </c>
      <c r="BI165" t="n">
        <v>2</v>
      </c>
      <c r="BJ165" t="n">
        <v>1</v>
      </c>
      <c r="BK165" t="n">
        <v>5</v>
      </c>
    </row>
    <row r="166">
      <c r="A166" t="inlineStr">
        <is>
          <t>Curtis Jones</t>
        </is>
      </c>
      <c r="B166" t="inlineStr">
        <is>
          <t>LIV</t>
        </is>
      </c>
      <c r="C166" t="inlineStr">
        <is>
          <t>LIV</t>
        </is>
      </c>
      <c r="D166" t="b">
        <v>0</v>
      </c>
      <c r="E166" t="inlineStr">
        <is>
          <t>MID</t>
        </is>
      </c>
      <c r="F166" t="inlineStr">
        <is>
          <t>MID</t>
        </is>
      </c>
      <c r="G166" t="b">
        <v>1</v>
      </c>
      <c r="H166" s="2" t="n">
        <v>5.5</v>
      </c>
      <c r="I166" t="inlineStr">
        <is>
          <t>a</t>
        </is>
      </c>
      <c r="K166" s="2" t="n">
        <v>1923</v>
      </c>
      <c r="L166" t="n">
        <v>81</v>
      </c>
      <c r="M166" s="3" t="n">
        <v>697</v>
      </c>
      <c r="N166" s="4" t="n">
        <v>500</v>
      </c>
      <c r="O166" s="4" t="n">
        <v>-197</v>
      </c>
      <c r="P166" s="5" t="inlineStr">
        <is>
          <t>low</t>
        </is>
      </c>
      <c r="Q166" t="inlineStr">
        <is>
          <t>fade (losing his place)</t>
        </is>
      </c>
      <c r="R166" s="6" t="n">
        <v>500</v>
      </c>
      <c r="S166" t="inlineStr">
        <is>
          <t>research</t>
        </is>
      </c>
      <c r="T166" s="5" t="inlineStr">
        <is>
          <t>Jones is described by This Is Anfield as having a future 'far from certain', Opta's squad audit lists him as a potential departure with Inter linked, and he picked up a hip issue in the Monaco week. He is behind Gravenberch, Szoboszlai, Mac Allister and now Nyoni in the pivot. Small trim on Solio's 697.</t>
        </is>
      </c>
      <c r="U166" s="6" t="n">
        <v>82</v>
      </c>
      <c r="V166" s="2" t="n">
        <v>18</v>
      </c>
      <c r="W166" s="7">
        <f>IF(N(U166)&lt;=0,0,MIN(Assumptions!$B$15,N(R166)/N(U166)))</f>
        <v/>
      </c>
      <c r="X166" s="6" t="n">
        <v>0.342</v>
      </c>
      <c r="Y166" s="3" t="n">
        <v>0.1026</v>
      </c>
      <c r="Z166" t="inlineStr">
        <is>
          <t>adjusted xGOT</t>
        </is>
      </c>
      <c r="AA166" s="3" t="n">
        <v>1</v>
      </c>
      <c r="AB166" s="3" t="n">
        <v>0.992</v>
      </c>
      <c r="AC166" s="3" t="n">
        <v>10.4</v>
      </c>
      <c r="AD166" s="3" t="n">
        <v>0.1311</v>
      </c>
      <c r="AE166" s="3" t="n">
        <v>10.407</v>
      </c>
      <c r="AF166" s="3" t="n">
        <v>0.2460861372337647</v>
      </c>
      <c r="AG166" s="3" t="n">
        <v>10.194</v>
      </c>
      <c r="AH166" s="3" t="n">
        <v>0.2940260566</v>
      </c>
      <c r="AI166" s="3" t="n">
        <v>52</v>
      </c>
      <c r="AJ166" s="3" t="n">
        <v>2.409</v>
      </c>
      <c r="AK166" s="3" t="n">
        <v>1.1228</v>
      </c>
      <c r="AL166" s="3" t="n">
        <v>-0.1464470669376201</v>
      </c>
      <c r="AM166" s="6" t="n">
        <v>0</v>
      </c>
      <c r="AN166" s="3" t="n">
        <v>0</v>
      </c>
      <c r="AO166" s="3" t="n">
        <v>0.513</v>
      </c>
      <c r="AP166" s="3" t="n">
        <v>0.519156</v>
      </c>
      <c r="AQ166" s="3">
        <f>N(X166)*N(BJ166)</f>
        <v/>
      </c>
      <c r="AR166" s="3" t="n">
        <v>0</v>
      </c>
      <c r="AS166" s="3" t="n">
        <v>-0</v>
      </c>
      <c r="AT166" s="3" t="n">
        <v>-0.1464470669376201</v>
      </c>
      <c r="AU166" s="3">
        <f>SUM(AO166:AT166)</f>
        <v/>
      </c>
      <c r="AV166" s="7">
        <f>IF(OR(N(W166)&lt;=0,N(BH166)=0),0,N(W166)*IF(N(R166)/N(W166)&gt;=60,N(BH166),1))</f>
        <v/>
      </c>
      <c r="AW166" s="7">
        <f>N(W166)*N(AF166)*N(BI166)</f>
        <v/>
      </c>
      <c r="AX166" s="3">
        <f>IF(N(BH166)=0,0,N(W166)*N(AH166))</f>
        <v/>
      </c>
      <c r="AY166" s="7">
        <f>N(AM166)*(Assumptions!$B$13*N(BK166)-(1-Assumptions!$B$13)*Assumptions!$B$14)+N(AN166)</f>
        <v/>
      </c>
      <c r="AZ166" s="7">
        <f>N(AU166)*N(R166)/90+N(AV166)+N(AW166)+N(AX166)+N(AY166)</f>
        <v/>
      </c>
      <c r="BA166" s="3">
        <f>IF(N(R166)&lt;=0,0,(N(AZ166)-N(AY166))*90/N(R166))</f>
        <v/>
      </c>
      <c r="BB166" s="7">
        <f>IFERROR(AZ166-VLOOKUP($E166,Assumptions!$A$40:$C$43,3,FALSE),"")</f>
        <v/>
      </c>
      <c r="BC166" s="3">
        <f>IFERROR(BB166/H166,"")</f>
        <v/>
      </c>
      <c r="BD166">
        <f>IF(AND($G166=TRUE,$E166="GKP"),AZ166,"")</f>
        <v/>
      </c>
      <c r="BE166">
        <f>IF(AND($G166=TRUE,$E166="DEF"),AZ166,"")</f>
        <v/>
      </c>
      <c r="BF166">
        <f>IF(AND($G166=TRUE,$E166="MID"),AZ166,"")</f>
        <v/>
      </c>
      <c r="BG166">
        <f>IF(AND($G166=TRUE,$E166="FWD"),AZ166,"")</f>
        <v/>
      </c>
      <c r="BH166" t="n">
        <v>2</v>
      </c>
      <c r="BI166" t="n">
        <v>2</v>
      </c>
      <c r="BJ166" t="n">
        <v>1</v>
      </c>
      <c r="BK166" t="n">
        <v>5</v>
      </c>
    </row>
    <row r="167">
      <c r="A167" t="inlineStr">
        <is>
          <t>Noah Sadiki</t>
        </is>
      </c>
      <c r="B167" t="inlineStr">
        <is>
          <t>SUN</t>
        </is>
      </c>
      <c r="C167" t="inlineStr">
        <is>
          <t>SUN</t>
        </is>
      </c>
      <c r="D167" t="b">
        <v>0</v>
      </c>
      <c r="E167" t="inlineStr">
        <is>
          <t>MID</t>
        </is>
      </c>
      <c r="F167" t="inlineStr">
        <is>
          <t>MID</t>
        </is>
      </c>
      <c r="G167" t="b">
        <v>1</v>
      </c>
      <c r="H167" s="2" t="n">
        <v>5</v>
      </c>
      <c r="I167" t="inlineStr">
        <is>
          <t>a</t>
        </is>
      </c>
      <c r="K167" s="2" t="n">
        <v>2891</v>
      </c>
      <c r="L167" t="n">
        <v>80</v>
      </c>
      <c r="M167" s="3" t="n">
        <v>2842</v>
      </c>
      <c r="N167" s="8" t="n">
        <v>2842</v>
      </c>
      <c r="O167" s="8" t="n">
        <v>0</v>
      </c>
      <c r="Q167" t="inlineStr">
        <is>
          <t>flat</t>
        </is>
      </c>
      <c r="R167" s="6" t="n">
        <v>2842</v>
      </c>
      <c r="S167" t="inlineStr">
        <is>
          <t>Solio</t>
        </is>
      </c>
      <c r="U167" s="6" t="n">
        <v>85.90000000000001</v>
      </c>
      <c r="V167" s="2" t="n">
        <v>33</v>
      </c>
      <c r="W167" s="7">
        <f>IF(N(U167)&lt;=0,0,MIN(Assumptions!$B$15,N(R167)/N(U167)))</f>
        <v/>
      </c>
      <c r="X167" s="6" t="n">
        <v>0.204</v>
      </c>
      <c r="Y167" s="3" t="n">
        <v>0.0411</v>
      </c>
      <c r="Z167" t="inlineStr">
        <is>
          <t>adjusted xGOT</t>
        </is>
      </c>
      <c r="AA167" s="3" t="n">
        <v>1</v>
      </c>
      <c r="AB167" s="3" t="n">
        <v>0.923</v>
      </c>
      <c r="AC167" s="3" t="n">
        <v>1.4</v>
      </c>
      <c r="AD167" s="3" t="n">
        <v>0.0372</v>
      </c>
      <c r="AE167" s="3" t="n">
        <v>7.891</v>
      </c>
      <c r="AF167" s="3" t="n">
        <v>0.08109952085823458</v>
      </c>
      <c r="AG167" s="3" t="n">
        <v>6.687</v>
      </c>
      <c r="AH167" s="3" t="n">
        <v>0.08872374199999999</v>
      </c>
      <c r="AI167" s="3" t="n">
        <v>66</v>
      </c>
      <c r="AJ167" s="3" t="n">
        <v>3.3348</v>
      </c>
      <c r="AK167" s="3" t="n">
        <v>1.6498</v>
      </c>
      <c r="AL167" s="3" t="n">
        <v>-0.2699592457539504</v>
      </c>
      <c r="AM167" s="6" t="n">
        <v>0</v>
      </c>
      <c r="AN167" s="3" t="n">
        <v>0</v>
      </c>
      <c r="AO167" s="3" t="n">
        <v>0.2055</v>
      </c>
      <c r="AP167" s="3" t="n">
        <v>0.147312</v>
      </c>
      <c r="AQ167" s="3">
        <f>N(X167)*N(BJ167)</f>
        <v/>
      </c>
      <c r="AR167" s="3" t="n">
        <v>0</v>
      </c>
      <c r="AS167" s="3" t="n">
        <v>-0</v>
      </c>
      <c r="AT167" s="3" t="n">
        <v>-0.2699592457539504</v>
      </c>
      <c r="AU167" s="3">
        <f>SUM(AO167:AT167)</f>
        <v/>
      </c>
      <c r="AV167" s="7">
        <f>IF(OR(N(W167)&lt;=0,N(BH167)=0),0,N(W167)*IF(N(R167)/N(W167)&gt;=60,N(BH167),1))</f>
        <v/>
      </c>
      <c r="AW167" s="7">
        <f>N(W167)*N(AF167)*N(BI167)</f>
        <v/>
      </c>
      <c r="AX167" s="3">
        <f>IF(N(BH167)=0,0,N(W167)*N(AH167))</f>
        <v/>
      </c>
      <c r="AY167" s="7">
        <f>N(AM167)*(Assumptions!$B$13*N(BK167)-(1-Assumptions!$B$13)*Assumptions!$B$14)+N(AN167)</f>
        <v/>
      </c>
      <c r="AZ167" s="7">
        <f>N(AU167)*N(R167)/90+N(AV167)+N(AW167)+N(AX167)+N(AY167)</f>
        <v/>
      </c>
      <c r="BA167" s="3">
        <f>IF(N(R167)&lt;=0,0,(N(AZ167)-N(AY167))*90/N(R167))</f>
        <v/>
      </c>
      <c r="BB167" s="7">
        <f>IFERROR(AZ167-VLOOKUP($E167,Assumptions!$A$40:$C$43,3,FALSE),"")</f>
        <v/>
      </c>
      <c r="BC167" s="3">
        <f>IFERROR(BB167/H167,"")</f>
        <v/>
      </c>
      <c r="BD167">
        <f>IF(AND($G167=TRUE,$E167="GKP"),AZ167,"")</f>
        <v/>
      </c>
      <c r="BE167">
        <f>IF(AND($G167=TRUE,$E167="DEF"),AZ167,"")</f>
        <v/>
      </c>
      <c r="BF167">
        <f>IF(AND($G167=TRUE,$E167="MID"),AZ167,"")</f>
        <v/>
      </c>
      <c r="BG167">
        <f>IF(AND($G167=TRUE,$E167="FWD"),AZ167,"")</f>
        <v/>
      </c>
      <c r="BH167" t="n">
        <v>2</v>
      </c>
      <c r="BI167" t="n">
        <v>2</v>
      </c>
      <c r="BJ167" t="n">
        <v>1</v>
      </c>
      <c r="BK167" t="n">
        <v>5</v>
      </c>
    </row>
    <row r="168">
      <c r="A168" t="inlineStr">
        <is>
          <t>Xavi Simons</t>
        </is>
      </c>
      <c r="B168" t="inlineStr">
        <is>
          <t>TOT</t>
        </is>
      </c>
      <c r="C168" t="inlineStr">
        <is>
          <t>TOT</t>
        </is>
      </c>
      <c r="D168" t="b">
        <v>0</v>
      </c>
      <c r="E168" t="inlineStr">
        <is>
          <t>MID</t>
        </is>
      </c>
      <c r="F168" t="inlineStr">
        <is>
          <t>MID</t>
        </is>
      </c>
      <c r="G168" t="b">
        <v>1</v>
      </c>
      <c r="H168" s="2" t="n">
        <v>6</v>
      </c>
      <c r="I168" t="inlineStr">
        <is>
          <t>i</t>
        </is>
      </c>
      <c r="J168" t="inlineStr">
        <is>
          <t>Knee injury - Unknown return date</t>
        </is>
      </c>
      <c r="K168" s="2" t="n">
        <v>1747</v>
      </c>
      <c r="L168" t="n">
        <v>80</v>
      </c>
      <c r="M168" s="3" t="n">
        <v>2160</v>
      </c>
      <c r="N168" s="4" t="n">
        <v>750</v>
      </c>
      <c r="O168" s="4" t="n">
        <v>-1410</v>
      </c>
      <c r="P168" s="5" t="inlineStr">
        <is>
          <t>high</t>
        </is>
      </c>
      <c r="Q168" t="inlineStr">
        <is>
          <t>ramp-up (injury / late WC return)</t>
        </is>
      </c>
      <c r="R168" s="6" t="n">
        <v>750</v>
      </c>
      <c r="S168" t="inlineStr">
        <is>
          <t>research</t>
        </is>
      </c>
      <c r="T168" s="5" t="inlineStr">
        <is>
          <t>Solio's 'ramp-up' pattern treats this as a short absence. It is not: Simons ruptured his ACL against Wolves on 25 April 2026, had surgery on 5 May, and Gold puts the return at 'early 2027 with the same nine month timeline'. Nine months from surgery is February 2027, leaving roughly a dozen fixtures, and clubs do not throw ACL returnees straight back into 90-minute games. 750 minutes assumes a February return easing in off the bench and a handful of late-season starts.</t>
        </is>
      </c>
      <c r="U168" s="6" t="n">
        <v>80.59999999999999</v>
      </c>
      <c r="V168" s="2" t="n">
        <v>18</v>
      </c>
      <c r="W168" s="7">
        <f>IF(N(U168)&lt;=0,0,MIN(Assumptions!$B$15,N(R168)/N(U168)))</f>
        <v/>
      </c>
      <c r="X168" s="6" t="n">
        <v>0.286</v>
      </c>
      <c r="Y168" s="3" t="n">
        <v>0.1625</v>
      </c>
      <c r="Z168" t="inlineStr">
        <is>
          <t>adjusted xGOT</t>
        </is>
      </c>
      <c r="AA168" s="3" t="n">
        <v>1</v>
      </c>
      <c r="AB168" s="3" t="n">
        <v>1.031</v>
      </c>
      <c r="AC168" s="3" t="n">
        <v>3.1</v>
      </c>
      <c r="AD168" s="3" t="n">
        <v>0.219</v>
      </c>
      <c r="AE168" s="3" t="n">
        <v>7.939</v>
      </c>
      <c r="AF168" s="3" t="n">
        <v>0.05846674060078405</v>
      </c>
      <c r="AG168" s="3" t="n">
        <v>7.355</v>
      </c>
      <c r="AH168" s="3" t="n">
        <v>0.336064576</v>
      </c>
      <c r="AI168" s="3" t="n">
        <v>46</v>
      </c>
      <c r="AJ168" s="3" t="n">
        <v>2.5739</v>
      </c>
      <c r="AK168" s="3" t="n">
        <v>1.3096</v>
      </c>
      <c r="AL168" s="3" t="n">
        <v>-0.2479332834975935</v>
      </c>
      <c r="AM168" s="6" t="n">
        <v>0.3044840511740968</v>
      </c>
      <c r="AN168" s="3" t="n">
        <v>0</v>
      </c>
      <c r="AO168" s="3" t="n">
        <v>0.8125</v>
      </c>
      <c r="AP168" s="3" t="n">
        <v>0.8672400000000001</v>
      </c>
      <c r="AQ168" s="3">
        <f>N(X168)*N(BJ168)</f>
        <v/>
      </c>
      <c r="AR168" s="3" t="n">
        <v>0</v>
      </c>
      <c r="AS168" s="3" t="n">
        <v>-0</v>
      </c>
      <c r="AT168" s="3" t="n">
        <v>-0.2479332834975935</v>
      </c>
      <c r="AU168" s="3">
        <f>SUM(AO168:AT168)</f>
        <v/>
      </c>
      <c r="AV168" s="7">
        <f>IF(OR(N(W168)&lt;=0,N(BH168)=0),0,N(W168)*IF(N(R168)/N(W168)&gt;=60,N(BH168),1))</f>
        <v/>
      </c>
      <c r="AW168" s="7">
        <f>N(W168)*N(AF168)*N(BI168)</f>
        <v/>
      </c>
      <c r="AX168" s="3">
        <f>IF(N(BH168)=0,0,N(W168)*N(AH168))</f>
        <v/>
      </c>
      <c r="AY168" s="7">
        <f>N(AM168)*(Assumptions!$B$13*N(BK168)-(1-Assumptions!$B$13)*Assumptions!$B$14)+N(AN168)</f>
        <v/>
      </c>
      <c r="AZ168" s="7">
        <f>N(AU168)*N(R168)/90+N(AV168)+N(AW168)+N(AX168)+N(AY168)</f>
        <v/>
      </c>
      <c r="BA168" s="3">
        <f>IF(N(R168)&lt;=0,0,(N(AZ168)-N(AY168))*90/N(R168))</f>
        <v/>
      </c>
      <c r="BB168" s="7">
        <f>IFERROR(AZ168-VLOOKUP($E168,Assumptions!$A$40:$C$43,3,FALSE),"")</f>
        <v/>
      </c>
      <c r="BC168" s="3">
        <f>IFERROR(BB168/H168,"")</f>
        <v/>
      </c>
      <c r="BD168">
        <f>IF(AND($G168=TRUE,$E168="GKP"),AZ168,"")</f>
        <v/>
      </c>
      <c r="BE168">
        <f>IF(AND($G168=TRUE,$E168="DEF"),AZ168,"")</f>
        <v/>
      </c>
      <c r="BF168">
        <f>IF(AND($G168=TRUE,$E168="MID"),AZ168,"")</f>
        <v/>
      </c>
      <c r="BG168">
        <f>IF(AND($G168=TRUE,$E168="FWD"),AZ168,"")</f>
        <v/>
      </c>
      <c r="BH168" t="n">
        <v>2</v>
      </c>
      <c r="BI168" t="n">
        <v>2</v>
      </c>
      <c r="BJ168" t="n">
        <v>1</v>
      </c>
      <c r="BK168" t="n">
        <v>5</v>
      </c>
    </row>
    <row r="169">
      <c r="A169" t="inlineStr">
        <is>
          <t>Emile Smith Rowe</t>
        </is>
      </c>
      <c r="B169" t="inlineStr">
        <is>
          <t>FUL</t>
        </is>
      </c>
      <c r="C169" t="inlineStr">
        <is>
          <t>FUL</t>
        </is>
      </c>
      <c r="D169" t="b">
        <v>0</v>
      </c>
      <c r="E169" t="inlineStr">
        <is>
          <t>MID</t>
        </is>
      </c>
      <c r="F169" t="inlineStr">
        <is>
          <t>MID</t>
        </is>
      </c>
      <c r="G169" t="b">
        <v>1</v>
      </c>
      <c r="H169" s="2" t="n">
        <v>5.5</v>
      </c>
      <c r="I169" t="inlineStr">
        <is>
          <t>a</t>
        </is>
      </c>
      <c r="K169" s="2" t="n">
        <v>1909</v>
      </c>
      <c r="L169" t="n">
        <v>80</v>
      </c>
      <c r="M169" s="3" t="n">
        <v>1744</v>
      </c>
      <c r="N169" s="4" t="n">
        <v>1450</v>
      </c>
      <c r="O169" s="4" t="n">
        <v>-294</v>
      </c>
      <c r="P169" s="5" t="inlineStr">
        <is>
          <t>low</t>
        </is>
      </c>
      <c r="Q169" t="inlineStr">
        <is>
          <t>flat</t>
        </is>
      </c>
      <c r="R169" s="6" t="n">
        <v>1450</v>
      </c>
      <c r="S169" t="inlineStr">
        <is>
          <t>research</t>
        </is>
      </c>
      <c r="T169" s="5" t="inlineStr">
        <is>
          <t>Started one of the last three friendlies (12 Aug v Malaga) and was absent from the 15 Aug squad. The attacking-midfield pool is now Iwobi, Bobb, Kevin, King and Palacios for three slots after Palacios' 3 Aug arrival, so Solio's 1744 sits above what a five-into-three contest supports.</t>
        </is>
      </c>
      <c r="U169" s="6" t="n">
        <v>75.3</v>
      </c>
      <c r="V169" s="2" t="n">
        <v>22</v>
      </c>
      <c r="W169" s="7">
        <f>IF(N(U169)&lt;=0,0,MIN(Assumptions!$B$15,N(R169)/N(U169)))</f>
        <v/>
      </c>
      <c r="X169" s="6" t="n">
        <v>0.214</v>
      </c>
      <c r="Y169" s="3" t="n">
        <v>0.2074</v>
      </c>
      <c r="Z169" t="inlineStr">
        <is>
          <t>adjusted xGOT</t>
        </is>
      </c>
      <c r="AA169" s="3" t="n">
        <v>1</v>
      </c>
      <c r="AB169" s="3" t="n">
        <v>0.9340000000000001</v>
      </c>
      <c r="AC169" s="3" t="n">
        <v>11.3</v>
      </c>
      <c r="AD169" s="3" t="n">
        <v>0.0598</v>
      </c>
      <c r="AE169" s="3" t="n">
        <v>7.416</v>
      </c>
      <c r="AF169" s="3" t="n">
        <v>0.02510988288805482</v>
      </c>
      <c r="AG169" s="3" t="n">
        <v>6.246</v>
      </c>
      <c r="AH169" s="3" t="n">
        <v>0.2769169702</v>
      </c>
      <c r="AI169" s="3" t="n">
        <v>56</v>
      </c>
      <c r="AJ169" s="3" t="n">
        <v>3.22</v>
      </c>
      <c r="AK169" s="3" t="n">
        <v>1.6019</v>
      </c>
      <c r="AL169" s="3" t="n">
        <v>-0.1311571127881695</v>
      </c>
      <c r="AM169" s="6" t="n">
        <v>0</v>
      </c>
      <c r="AN169" s="3" t="n">
        <v>0</v>
      </c>
      <c r="AO169" s="3" t="n">
        <v>1.037</v>
      </c>
      <c r="AP169" s="3" t="n">
        <v>0.236808</v>
      </c>
      <c r="AQ169" s="3">
        <f>N(X169)*N(BJ169)</f>
        <v/>
      </c>
      <c r="AR169" s="3" t="n">
        <v>0</v>
      </c>
      <c r="AS169" s="3" t="n">
        <v>-0</v>
      </c>
      <c r="AT169" s="3" t="n">
        <v>-0.1311571127881695</v>
      </c>
      <c r="AU169" s="3">
        <f>SUM(AO169:AT169)</f>
        <v/>
      </c>
      <c r="AV169" s="7">
        <f>IF(OR(N(W169)&lt;=0,N(BH169)=0),0,N(W169)*IF(N(R169)/N(W169)&gt;=60,N(BH169),1))</f>
        <v/>
      </c>
      <c r="AW169" s="7">
        <f>N(W169)*N(AF169)*N(BI169)</f>
        <v/>
      </c>
      <c r="AX169" s="3">
        <f>IF(N(BH169)=0,0,N(W169)*N(AH169))</f>
        <v/>
      </c>
      <c r="AY169" s="7">
        <f>N(AM169)*(Assumptions!$B$13*N(BK169)-(1-Assumptions!$B$13)*Assumptions!$B$14)+N(AN169)</f>
        <v/>
      </c>
      <c r="AZ169" s="7">
        <f>N(AU169)*N(R169)/90+N(AV169)+N(AW169)+N(AX169)+N(AY169)</f>
        <v/>
      </c>
      <c r="BA169" s="3">
        <f>IF(N(R169)&lt;=0,0,(N(AZ169)-N(AY169))*90/N(R169))</f>
        <v/>
      </c>
      <c r="BB169" s="7">
        <f>IFERROR(AZ169-VLOOKUP($E169,Assumptions!$A$40:$C$43,3,FALSE),"")</f>
        <v/>
      </c>
      <c r="BC169" s="3">
        <f>IFERROR(BB169/H169,"")</f>
        <v/>
      </c>
      <c r="BD169">
        <f>IF(AND($G169=TRUE,$E169="GKP"),AZ169,"")</f>
        <v/>
      </c>
      <c r="BE169">
        <f>IF(AND($G169=TRUE,$E169="DEF"),AZ169,"")</f>
        <v/>
      </c>
      <c r="BF169">
        <f>IF(AND($G169=TRUE,$E169="MID"),AZ169,"")</f>
        <v/>
      </c>
      <c r="BG169">
        <f>IF(AND($G169=TRUE,$E169="FWD"),AZ169,"")</f>
        <v/>
      </c>
      <c r="BH169" t="n">
        <v>2</v>
      </c>
      <c r="BI169" t="n">
        <v>2</v>
      </c>
      <c r="BJ169" t="n">
        <v>1</v>
      </c>
      <c r="BK169" t="n">
        <v>5</v>
      </c>
    </row>
    <row r="170">
      <c r="A170" s="9" t="inlineStr">
        <is>
          <t>Callum Wilson</t>
        </is>
      </c>
      <c r="B170" t="inlineStr">
        <is>
          <t>BRE</t>
        </is>
      </c>
      <c r="C170" s="9" t="inlineStr">
        <is>
          <t>WHU</t>
        </is>
      </c>
      <c r="D170" t="b">
        <v>1</v>
      </c>
      <c r="E170" t="inlineStr">
        <is>
          <t>FWD</t>
        </is>
      </c>
      <c r="F170" t="inlineStr">
        <is>
          <t>FWD</t>
        </is>
      </c>
      <c r="G170" t="b">
        <v>1</v>
      </c>
      <c r="H170" s="2" t="n">
        <v>5.5</v>
      </c>
      <c r="I170" t="inlineStr">
        <is>
          <t>a</t>
        </is>
      </c>
      <c r="K170" s="2" t="n">
        <v>1234</v>
      </c>
      <c r="L170" t="n">
        <v>80</v>
      </c>
      <c r="M170" s="3" t="n">
        <v>258</v>
      </c>
      <c r="N170" s="4" t="n">
        <v>450</v>
      </c>
      <c r="O170" s="4" t="n">
        <v>192</v>
      </c>
      <c r="P170" s="5" t="inlineStr">
        <is>
          <t>low</t>
        </is>
      </c>
      <c r="Q170" t="inlineStr">
        <is>
          <t>flat</t>
        </is>
      </c>
      <c r="R170" s="6" t="n">
        <v>450</v>
      </c>
      <c r="S170" t="inlineStr">
        <is>
          <t>research</t>
        </is>
      </c>
      <c r="T170" s="5" t="inlineStr">
        <is>
          <t>Signed on a free from West Ham on 9 July as the specialist deputy to Thiago. Replaced Thiago at half-time against Rennes and provided two assists, and scored against Wycombe. 258 minutes is below what a fit backup centre-forward at 5.5m typically returns across 38 matches. Kept modest because Thiago is close to ever-present and Wilson is 34 with a long injury record.</t>
        </is>
      </c>
      <c r="U170" s="6" t="n">
        <v>73.5</v>
      </c>
      <c r="V170" s="2" t="n">
        <v>11</v>
      </c>
      <c r="W170" s="7">
        <f>IF(N(U170)&lt;=0,0,MIN(Assumptions!$B$15,N(R170)/N(U170)))</f>
        <v/>
      </c>
      <c r="X170" s="6" t="n">
        <v>0.228</v>
      </c>
      <c r="Y170" s="10" t="n">
        <v>0.5348000000000001</v>
      </c>
      <c r="Z170" t="inlineStr">
        <is>
          <t>adjusted xGOT</t>
        </is>
      </c>
      <c r="AA170" s="3" t="n">
        <v>1</v>
      </c>
      <c r="AB170" s="3" t="n">
        <v>0.965</v>
      </c>
      <c r="AC170" s="3" t="n">
        <v>33.4</v>
      </c>
      <c r="AD170" s="10" t="n">
        <v>0.0571</v>
      </c>
      <c r="AE170" s="3" t="n">
        <v>3.655</v>
      </c>
      <c r="AF170" s="3" t="n">
        <v>6.812024585123311e-05</v>
      </c>
      <c r="AG170" s="3" t="n">
        <v>1.052</v>
      </c>
      <c r="AH170" s="3" t="n">
        <v>0.6311550709</v>
      </c>
      <c r="AI170" s="3" t="n">
        <v>40</v>
      </c>
      <c r="AJ170" s="3" t="n">
        <v>3.2371</v>
      </c>
      <c r="AK170" s="3" t="n">
        <v>1.5396</v>
      </c>
      <c r="AL170" s="3" t="n">
        <v>-0.1600721827938566</v>
      </c>
      <c r="AM170" s="6" t="n">
        <v>0</v>
      </c>
      <c r="AN170" s="3" t="n">
        <v>0</v>
      </c>
      <c r="AO170" s="10" t="n">
        <v>2.1392</v>
      </c>
      <c r="AP170" s="10" t="n">
        <v>0.226116</v>
      </c>
      <c r="AQ170" s="3">
        <f>N(X170)*N(BJ170)</f>
        <v/>
      </c>
      <c r="AR170" s="3" t="n">
        <v>0</v>
      </c>
      <c r="AS170" s="3" t="n">
        <v>-0</v>
      </c>
      <c r="AT170" s="3" t="n">
        <v>-0.1600721827938566</v>
      </c>
      <c r="AU170" s="3">
        <f>SUM(AO170:AT170)</f>
        <v/>
      </c>
      <c r="AV170" s="7">
        <f>IF(OR(N(W170)&lt;=0,N(BH170)=0),0,N(W170)*IF(N(R170)/N(W170)&gt;=60,N(BH170),1))</f>
        <v/>
      </c>
      <c r="AW170" s="7">
        <f>N(W170)*N(AF170)*N(BI170)</f>
        <v/>
      </c>
      <c r="AX170" s="3">
        <f>IF(N(BH170)=0,0,N(W170)*N(AH170))</f>
        <v/>
      </c>
      <c r="AY170" s="7">
        <f>N(AM170)*(Assumptions!$B$13*N(BK170)-(1-Assumptions!$B$13)*Assumptions!$B$14)+N(AN170)</f>
        <v/>
      </c>
      <c r="AZ170" s="7">
        <f>N(AU170)*N(R170)/90+N(AV170)+N(AW170)+N(AX170)+N(AY170)</f>
        <v/>
      </c>
      <c r="BA170" s="3">
        <f>IF(N(R170)&lt;=0,0,(N(AZ170)-N(AY170))*90/N(R170))</f>
        <v/>
      </c>
      <c r="BB170" s="7">
        <f>IFERROR(AZ170-VLOOKUP($E170,Assumptions!$A$40:$C$43,3,FALSE),"")</f>
        <v/>
      </c>
      <c r="BC170" s="3">
        <f>IFERROR(BB170/H170,"")</f>
        <v/>
      </c>
      <c r="BD170">
        <f>IF(AND($G170=TRUE,$E170="GKP"),AZ170,"")</f>
        <v/>
      </c>
      <c r="BE170">
        <f>IF(AND($G170=TRUE,$E170="DEF"),AZ170,"")</f>
        <v/>
      </c>
      <c r="BF170">
        <f>IF(AND($G170=TRUE,$E170="MID"),AZ170,"")</f>
        <v/>
      </c>
      <c r="BG170">
        <f>IF(AND($G170=TRUE,$E170="FWD"),AZ170,"")</f>
        <v/>
      </c>
      <c r="BH170" t="n">
        <v>2</v>
      </c>
      <c r="BI170" t="n">
        <v>2</v>
      </c>
      <c r="BJ170" t="n">
        <v>0</v>
      </c>
      <c r="BK170" t="n">
        <v>4</v>
      </c>
    </row>
    <row r="171">
      <c r="A171" t="inlineStr">
        <is>
          <t>Lewis Hall</t>
        </is>
      </c>
      <c r="B171" t="inlineStr">
        <is>
          <t>NEW</t>
        </is>
      </c>
      <c r="C171" t="inlineStr">
        <is>
          <t>NEW</t>
        </is>
      </c>
      <c r="D171" t="b">
        <v>0</v>
      </c>
      <c r="E171" t="inlineStr">
        <is>
          <t>DEF</t>
        </is>
      </c>
      <c r="F171" t="inlineStr">
        <is>
          <t>DEF</t>
        </is>
      </c>
      <c r="G171" t="b">
        <v>1</v>
      </c>
      <c r="H171" s="2" t="n">
        <v>5</v>
      </c>
      <c r="I171" t="inlineStr">
        <is>
          <t>a</t>
        </is>
      </c>
      <c r="K171" s="2" t="n">
        <v>2176</v>
      </c>
      <c r="L171" t="n">
        <v>79</v>
      </c>
      <c r="M171" s="3" t="n">
        <v>2702</v>
      </c>
      <c r="N171" s="8" t="n">
        <v>2702</v>
      </c>
      <c r="O171" s="8" t="n">
        <v>0</v>
      </c>
      <c r="Q171" t="inlineStr">
        <is>
          <t>flat</t>
        </is>
      </c>
      <c r="R171" s="6" t="n">
        <v>2702</v>
      </c>
      <c r="S171" t="inlineStr">
        <is>
          <t>Solio</t>
        </is>
      </c>
      <c r="U171" s="6" t="n">
        <v>86</v>
      </c>
      <c r="V171" s="2" t="n">
        <v>24</v>
      </c>
      <c r="W171" s="7">
        <f>IF(N(U171)&lt;=0,0,MIN(Assumptions!$B$15,N(R171)/N(U171)))</f>
        <v/>
      </c>
      <c r="X171" s="6" t="n">
        <v>0.248</v>
      </c>
      <c r="Y171" s="3" t="n">
        <v>0.0413</v>
      </c>
      <c r="Z171" t="inlineStr">
        <is>
          <t>adjusted xGOT</t>
        </is>
      </c>
      <c r="AA171" s="3" t="n">
        <v>1</v>
      </c>
      <c r="AB171" s="3" t="n">
        <v>0.989</v>
      </c>
      <c r="AC171" s="3" t="n">
        <v>2.6</v>
      </c>
      <c r="AD171" s="3" t="n">
        <v>0.1099</v>
      </c>
      <c r="AE171" s="3" t="n">
        <v>7.287</v>
      </c>
      <c r="AF171" s="3" t="n">
        <v>0.1657853855670179</v>
      </c>
      <c r="AG171" s="3" t="n">
        <v>9.877000000000001</v>
      </c>
      <c r="AH171" s="3" t="n">
        <v>0.2847103396</v>
      </c>
      <c r="AI171" s="3" t="n">
        <v>53</v>
      </c>
      <c r="AJ171" s="3" t="n">
        <v>3.0912</v>
      </c>
      <c r="AK171" s="3" t="n">
        <v>1.4534</v>
      </c>
      <c r="AL171" s="3" t="n">
        <v>-0.1849993494642588</v>
      </c>
      <c r="AM171" s="6" t="n">
        <v>0</v>
      </c>
      <c r="AN171" s="3" t="n">
        <v>0</v>
      </c>
      <c r="AO171" s="3" t="n">
        <v>0.2478</v>
      </c>
      <c r="AP171" s="3" t="n">
        <v>0.435204</v>
      </c>
      <c r="AQ171" s="3">
        <f>N(X171)*N(BJ171)</f>
        <v/>
      </c>
      <c r="AR171" s="3" t="n">
        <v>0</v>
      </c>
      <c r="AS171" s="3" t="n">
        <v>-0.4903625828545308</v>
      </c>
      <c r="AT171" s="3" t="n">
        <v>-0.1849993494642588</v>
      </c>
      <c r="AU171" s="3">
        <f>SUM(AO171:AT171)</f>
        <v/>
      </c>
      <c r="AV171" s="7">
        <f>IF(OR(N(W171)&lt;=0,N(BH171)=0),0,N(W171)*IF(N(R171)/N(W171)&gt;=60,N(BH171),1))</f>
        <v/>
      </c>
      <c r="AW171" s="7">
        <f>N(W171)*N(AF171)*N(BI171)</f>
        <v/>
      </c>
      <c r="AX171" s="3">
        <f>IF(N(BH171)=0,0,N(W171)*N(AH171))</f>
        <v/>
      </c>
      <c r="AY171" s="7">
        <f>N(AM171)*(Assumptions!$B$13*N(BK171)-(1-Assumptions!$B$13)*Assumptions!$B$14)+N(AN171)</f>
        <v/>
      </c>
      <c r="AZ171" s="7">
        <f>N(AU171)*N(R171)/90+N(AV171)+N(AW171)+N(AX171)+N(AY171)</f>
        <v/>
      </c>
      <c r="BA171" s="3">
        <f>IF(N(R171)&lt;=0,0,(N(AZ171)-N(AY171))*90/N(R171))</f>
        <v/>
      </c>
      <c r="BB171" s="7">
        <f>IFERROR(AZ171-VLOOKUP($E171,Assumptions!$A$40:$C$43,3,FALSE),"")</f>
        <v/>
      </c>
      <c r="BC171" s="3">
        <f>IFERROR(BB171/H171,"")</f>
        <v/>
      </c>
      <c r="BD171">
        <f>IF(AND($G171=TRUE,$E171="GKP"),AZ171,"")</f>
        <v/>
      </c>
      <c r="BE171">
        <f>IF(AND($G171=TRUE,$E171="DEF"),AZ171,"")</f>
        <v/>
      </c>
      <c r="BF171">
        <f>IF(AND($G171=TRUE,$E171="MID"),AZ171,"")</f>
        <v/>
      </c>
      <c r="BG171">
        <f>IF(AND($G171=TRUE,$E171="FWD"),AZ171,"")</f>
        <v/>
      </c>
      <c r="BH171" t="n">
        <v>2</v>
      </c>
      <c r="BI171" t="n">
        <v>2</v>
      </c>
      <c r="BJ171" t="n">
        <v>4</v>
      </c>
      <c r="BK171" t="n">
        <v>6</v>
      </c>
    </row>
    <row r="172">
      <c r="A172" s="9" t="inlineStr">
        <is>
          <t>Jack Grealish</t>
        </is>
      </c>
      <c r="B172" t="inlineStr">
        <is>
          <t>MCI</t>
        </is>
      </c>
      <c r="C172" s="9" t="inlineStr">
        <is>
          <t>EVE</t>
        </is>
      </c>
      <c r="D172" t="b">
        <v>1</v>
      </c>
      <c r="E172" t="inlineStr">
        <is>
          <t>MID</t>
        </is>
      </c>
      <c r="F172" t="inlineStr">
        <is>
          <t>MID</t>
        </is>
      </c>
      <c r="G172" t="b">
        <v>1</v>
      </c>
      <c r="H172" s="2" t="n">
        <v>6.5</v>
      </c>
      <c r="I172" t="inlineStr">
        <is>
          <t>d</t>
        </is>
      </c>
      <c r="J172" t="inlineStr">
        <is>
          <t>Foot injury - 75% chance of playing</t>
        </is>
      </c>
      <c r="K172" s="2" t="n">
        <v>1627</v>
      </c>
      <c r="L172" t="n">
        <v>79</v>
      </c>
      <c r="M172" s="3" t="n">
        <v>27</v>
      </c>
      <c r="N172" s="8" t="n">
        <v>27</v>
      </c>
      <c r="O172" s="8" t="n">
        <v>0</v>
      </c>
      <c r="Q172" t="inlineStr">
        <is>
          <t>flat</t>
        </is>
      </c>
      <c r="R172" s="6" t="n">
        <v>27</v>
      </c>
      <c r="S172" t="inlineStr">
        <is>
          <t>Solio</t>
        </is>
      </c>
      <c r="U172" s="6" t="n">
        <v>85.3</v>
      </c>
      <c r="V172" s="2" t="n">
        <v>17</v>
      </c>
      <c r="W172" s="7">
        <f>IF(N(U172)&lt;=0,0,MIN(Assumptions!$B$15,N(R172)/N(U172)))</f>
        <v/>
      </c>
      <c r="X172" s="6" t="n">
        <v>0.371</v>
      </c>
      <c r="Y172" s="10" t="n">
        <v>0.1214</v>
      </c>
      <c r="Z172" t="inlineStr">
        <is>
          <t>adjusted xGOT</t>
        </is>
      </c>
      <c r="AA172" s="3" t="n">
        <v>1</v>
      </c>
      <c r="AB172" s="3" t="n">
        <v>1.07</v>
      </c>
      <c r="AC172" s="3" t="n">
        <v>9.800000000000001</v>
      </c>
      <c r="AD172" s="10" t="n">
        <v>0.2193</v>
      </c>
      <c r="AE172" s="3" t="n">
        <v>7.808</v>
      </c>
      <c r="AF172" s="3" t="n">
        <v>0.07353942936150326</v>
      </c>
      <c r="AG172" s="3" t="n">
        <v>7.955</v>
      </c>
      <c r="AH172" s="3" t="n">
        <v>0.3184593568</v>
      </c>
      <c r="AI172" s="3" t="n">
        <v>38</v>
      </c>
      <c r="AJ172" s="3" t="n">
        <v>1.9737</v>
      </c>
      <c r="AK172" s="3" t="n">
        <v>1.0365</v>
      </c>
      <c r="AL172" s="3" t="n">
        <v>-0.2568969165359863</v>
      </c>
      <c r="AM172" s="6" t="n">
        <v>0</v>
      </c>
      <c r="AN172" s="3" t="n">
        <v>0</v>
      </c>
      <c r="AO172" s="10" t="n">
        <v>0.607</v>
      </c>
      <c r="AP172" s="10" t="n">
        <v>0.868428</v>
      </c>
      <c r="AQ172" s="3">
        <f>N(X172)*N(BJ172)</f>
        <v/>
      </c>
      <c r="AR172" s="3" t="n">
        <v>0</v>
      </c>
      <c r="AS172" s="3" t="n">
        <v>-0</v>
      </c>
      <c r="AT172" s="3" t="n">
        <v>-0.2568969165359863</v>
      </c>
      <c r="AU172" s="3">
        <f>SUM(AO172:AT172)</f>
        <v/>
      </c>
      <c r="AV172" s="7">
        <f>IF(OR(N(W172)&lt;=0,N(BH172)=0),0,N(W172)*IF(N(R172)/N(W172)&gt;=60,N(BH172),1))</f>
        <v/>
      </c>
      <c r="AW172" s="7">
        <f>N(W172)*N(AF172)*N(BI172)</f>
        <v/>
      </c>
      <c r="AX172" s="3">
        <f>IF(N(BH172)=0,0,N(W172)*N(AH172))</f>
        <v/>
      </c>
      <c r="AY172" s="7">
        <f>N(AM172)*(Assumptions!$B$13*N(BK172)-(1-Assumptions!$B$13)*Assumptions!$B$14)+N(AN172)</f>
        <v/>
      </c>
      <c r="AZ172" s="7">
        <f>N(AU172)*N(R172)/90+N(AV172)+N(AW172)+N(AX172)+N(AY172)</f>
        <v/>
      </c>
      <c r="BA172" s="3">
        <f>IF(N(R172)&lt;=0,0,(N(AZ172)-N(AY172))*90/N(R172))</f>
        <v/>
      </c>
      <c r="BB172" s="7">
        <f>IFERROR(AZ172-VLOOKUP($E172,Assumptions!$A$40:$C$43,3,FALSE),"")</f>
        <v/>
      </c>
      <c r="BC172" s="3">
        <f>IFERROR(BB172/H172,"")</f>
        <v/>
      </c>
      <c r="BD172">
        <f>IF(AND($G172=TRUE,$E172="GKP"),AZ172,"")</f>
        <v/>
      </c>
      <c r="BE172">
        <f>IF(AND($G172=TRUE,$E172="DEF"),AZ172,"")</f>
        <v/>
      </c>
      <c r="BF172">
        <f>IF(AND($G172=TRUE,$E172="MID"),AZ172,"")</f>
        <v/>
      </c>
      <c r="BG172">
        <f>IF(AND($G172=TRUE,$E172="FWD"),AZ172,"")</f>
        <v/>
      </c>
      <c r="BH172" t="n">
        <v>2</v>
      </c>
      <c r="BI172" t="n">
        <v>2</v>
      </c>
      <c r="BJ172" t="n">
        <v>1</v>
      </c>
      <c r="BK172" t="n">
        <v>5</v>
      </c>
    </row>
    <row r="173">
      <c r="A173" t="inlineStr">
        <is>
          <t>Josko Gvardiol</t>
        </is>
      </c>
      <c r="B173" t="inlineStr">
        <is>
          <t>MCI</t>
        </is>
      </c>
      <c r="C173" t="inlineStr">
        <is>
          <t>MCI</t>
        </is>
      </c>
      <c r="D173" t="b">
        <v>0</v>
      </c>
      <c r="E173" t="inlineStr">
        <is>
          <t>DEF</t>
        </is>
      </c>
      <c r="F173" t="inlineStr">
        <is>
          <t>DEF</t>
        </is>
      </c>
      <c r="G173" t="b">
        <v>1</v>
      </c>
      <c r="H173" s="2" t="n">
        <v>5.5</v>
      </c>
      <c r="I173" t="inlineStr">
        <is>
          <t>a</t>
        </is>
      </c>
      <c r="K173" s="2" t="n">
        <v>1370</v>
      </c>
      <c r="L173" t="n">
        <v>79</v>
      </c>
      <c r="M173" s="3" t="n">
        <v>3038</v>
      </c>
      <c r="N173" s="4" t="n">
        <v>2350</v>
      </c>
      <c r="O173" s="4" t="n">
        <v>-688</v>
      </c>
      <c r="P173" s="5" t="inlineStr">
        <is>
          <t>medium</t>
        </is>
      </c>
      <c r="Q173" t="inlineStr">
        <is>
          <t>flat</t>
        </is>
      </c>
      <c r="R173" s="6" t="n">
        <v>2350</v>
      </c>
      <c r="S173" t="inlineStr">
        <is>
          <t>research</t>
        </is>
      </c>
      <c r="T173" s="5" t="inlineStr">
        <is>
          <t>Solio makes him City's highest-minute defender, which implies he is nailed somewhere. The reporting does not support that at either position. Opta has O'Reilly as the first-choice left-back — 'arguably the best left-back in the Premier League' — with Gvardiol and Ait-Nouri as the cover; at centre-back he is one of four or five for two shirts that Maresca is expected to pick game-by-game. Versatile and certain to play a lot, but not guaranteed a weekly shirt. He started the two pre-season games at left-back with O'Reilly still away at the World Cup, which is not evidence he is ahead of him.</t>
        </is>
      </c>
      <c r="U173" s="6" t="n">
        <v>83.8</v>
      </c>
      <c r="V173" s="2" t="n">
        <v>16</v>
      </c>
      <c r="W173" s="7">
        <f>IF(N(U173)&lt;=0,0,MIN(Assumptions!$B$15,N(R173)/N(U173)))</f>
        <v/>
      </c>
      <c r="X173" s="6" t="n">
        <v>0.371</v>
      </c>
      <c r="Y173" s="3" t="n">
        <v>0.1364</v>
      </c>
      <c r="Z173" t="inlineStr">
        <is>
          <t>adjusted xGOT</t>
        </is>
      </c>
      <c r="AA173" s="3" t="n">
        <v>1</v>
      </c>
      <c r="AB173" s="3" t="n">
        <v>0.923</v>
      </c>
      <c r="AC173" s="3" t="n">
        <v>10</v>
      </c>
      <c r="AD173" s="3" t="n">
        <v>0.0374</v>
      </c>
      <c r="AE173" s="3" t="n">
        <v>7.083</v>
      </c>
      <c r="AF173" s="3" t="n">
        <v>0.1309214302814644</v>
      </c>
      <c r="AG173" s="3" t="n">
        <v>8.224</v>
      </c>
      <c r="AH173" s="3" t="n">
        <v>0.3393401088</v>
      </c>
      <c r="AI173" s="3" t="n">
        <v>32</v>
      </c>
      <c r="AJ173" s="3" t="n">
        <v>1.9737</v>
      </c>
      <c r="AK173" s="3" t="n">
        <v>1.0365</v>
      </c>
      <c r="AL173" s="3" t="n">
        <v>-0.1368318848300927</v>
      </c>
      <c r="AM173" s="6" t="n">
        <v>0</v>
      </c>
      <c r="AN173" s="3" t="n">
        <v>0</v>
      </c>
      <c r="AO173" s="3" t="n">
        <v>0.8184</v>
      </c>
      <c r="AP173" s="3" t="n">
        <v>0.148104</v>
      </c>
      <c r="AQ173" s="3">
        <f>N(X173)*N(BJ173)</f>
        <v/>
      </c>
      <c r="AR173" s="3" t="n">
        <v>0</v>
      </c>
      <c r="AS173" s="3" t="n">
        <v>-0.2997019479071323</v>
      </c>
      <c r="AT173" s="3" t="n">
        <v>-0.1368318848300927</v>
      </c>
      <c r="AU173" s="3">
        <f>SUM(AO173:AT173)</f>
        <v/>
      </c>
      <c r="AV173" s="7">
        <f>IF(OR(N(W173)&lt;=0,N(BH173)=0),0,N(W173)*IF(N(R173)/N(W173)&gt;=60,N(BH173),1))</f>
        <v/>
      </c>
      <c r="AW173" s="7">
        <f>N(W173)*N(AF173)*N(BI173)</f>
        <v/>
      </c>
      <c r="AX173" s="3">
        <f>IF(N(BH173)=0,0,N(W173)*N(AH173))</f>
        <v/>
      </c>
      <c r="AY173" s="7">
        <f>N(AM173)*(Assumptions!$B$13*N(BK173)-(1-Assumptions!$B$13)*Assumptions!$B$14)+N(AN173)</f>
        <v/>
      </c>
      <c r="AZ173" s="7">
        <f>N(AU173)*N(R173)/90+N(AV173)+N(AW173)+N(AX173)+N(AY173)</f>
        <v/>
      </c>
      <c r="BA173" s="3">
        <f>IF(N(R173)&lt;=0,0,(N(AZ173)-N(AY173))*90/N(R173))</f>
        <v/>
      </c>
      <c r="BB173" s="7">
        <f>IFERROR(AZ173-VLOOKUP($E173,Assumptions!$A$40:$C$43,3,FALSE),"")</f>
        <v/>
      </c>
      <c r="BC173" s="3">
        <f>IFERROR(BB173/H173,"")</f>
        <v/>
      </c>
      <c r="BD173">
        <f>IF(AND($G173=TRUE,$E173="GKP"),AZ173,"")</f>
        <v/>
      </c>
      <c r="BE173">
        <f>IF(AND($G173=TRUE,$E173="DEF"),AZ173,"")</f>
        <v/>
      </c>
      <c r="BF173">
        <f>IF(AND($G173=TRUE,$E173="MID"),AZ173,"")</f>
        <v/>
      </c>
      <c r="BG173">
        <f>IF(AND($G173=TRUE,$E173="FWD"),AZ173,"")</f>
        <v/>
      </c>
      <c r="BH173" t="n">
        <v>2</v>
      </c>
      <c r="BI173" t="n">
        <v>2</v>
      </c>
      <c r="BJ173" t="n">
        <v>4</v>
      </c>
      <c r="BK173" t="n">
        <v>6</v>
      </c>
    </row>
    <row r="174">
      <c r="A174" t="inlineStr">
        <is>
          <t>Pascal Groß</t>
        </is>
      </c>
      <c r="B174" t="inlineStr">
        <is>
          <t>BHA</t>
        </is>
      </c>
      <c r="C174" t="inlineStr">
        <is>
          <t>BHA</t>
        </is>
      </c>
      <c r="D174" t="b">
        <v>0</v>
      </c>
      <c r="E174" t="inlineStr">
        <is>
          <t>MID</t>
        </is>
      </c>
      <c r="F174" t="inlineStr">
        <is>
          <t>MID</t>
        </is>
      </c>
      <c r="G174" t="b">
        <v>1</v>
      </c>
      <c r="H174" s="2" t="n">
        <v>5.5</v>
      </c>
      <c r="I174" t="inlineStr">
        <is>
          <t>a</t>
        </is>
      </c>
      <c r="K174" s="2" t="n">
        <v>1636</v>
      </c>
      <c r="L174" t="n">
        <v>78</v>
      </c>
      <c r="M174" s="3" t="n">
        <v>3164</v>
      </c>
      <c r="N174" s="4" t="n">
        <v>2650</v>
      </c>
      <c r="O174" s="4" t="n">
        <v>-514</v>
      </c>
      <c r="P174" s="5" t="inlineStr">
        <is>
          <t>low</t>
        </is>
      </c>
      <c r="Q174" t="inlineStr">
        <is>
          <t>flat</t>
        </is>
      </c>
      <c r="R174" s="6" t="n">
        <v>2650</v>
      </c>
      <c r="S174" t="inlineStr">
        <is>
          <t>research</t>
        </is>
      </c>
      <c r="T174" s="5" t="inlineStr">
        <is>
          <t>Role is not in doubt - he captained both August friendlies from midfield - but Solio's 3164 is 92% of every available Premier League minute for a player who turned 35 in June 2026, in a season that adds Conference League group football to two domestic cups. The Guardian preview notes European demands create scheduling strain and that Gross is now one of only three veterans in the squad. Baleba, Ayari, Hinshelwood, Gomez and O'Riley all compete for central minutes. Direction is well founded; the size of the cut is a judgement call, hence low confidence.</t>
        </is>
      </c>
      <c r="U174" s="6" t="n">
        <v>86.40000000000001</v>
      </c>
      <c r="V174" s="2" t="n">
        <v>18</v>
      </c>
      <c r="W174" s="7">
        <f>IF(N(U174)&lt;=0,0,MIN(Assumptions!$B$15,N(R174)/N(U174)))</f>
        <v/>
      </c>
      <c r="X174" s="6" t="n">
        <v>0.252</v>
      </c>
      <c r="Y174" s="3" t="n">
        <v>0.0791</v>
      </c>
      <c r="Z174" t="inlineStr">
        <is>
          <t>adjusted xGOT</t>
        </is>
      </c>
      <c r="AA174" s="3" t="n">
        <v>1</v>
      </c>
      <c r="AB174" s="3" t="n">
        <v>1.034</v>
      </c>
      <c r="AC174" s="3" t="n">
        <v>13</v>
      </c>
      <c r="AD174" s="3" t="n">
        <v>0.1993</v>
      </c>
      <c r="AE174" s="3" t="n">
        <v>8.16</v>
      </c>
      <c r="AF174" s="3" t="n">
        <v>0.1002878454722812</v>
      </c>
      <c r="AG174" s="3" t="n">
        <v>9.23</v>
      </c>
      <c r="AH174" s="3" t="n">
        <v>0.334860323</v>
      </c>
      <c r="AI174" s="3" t="n">
        <v>37</v>
      </c>
      <c r="AJ174" s="3" t="n">
        <v>2.8404</v>
      </c>
      <c r="AK174" s="3" t="n">
        <v>1.439</v>
      </c>
      <c r="AL174" s="3" t="n">
        <v>-0.174741672658704</v>
      </c>
      <c r="AM174" s="6" t="n">
        <v>4.494438105382158</v>
      </c>
      <c r="AN174" s="3" t="n">
        <v>0</v>
      </c>
      <c r="AO174" s="3" t="n">
        <v>0.3955</v>
      </c>
      <c r="AP174" s="3" t="n">
        <v>0.789228</v>
      </c>
      <c r="AQ174" s="3">
        <f>N(X174)*N(BJ174)</f>
        <v/>
      </c>
      <c r="AR174" s="3" t="n">
        <v>0</v>
      </c>
      <c r="AS174" s="3" t="n">
        <v>-0</v>
      </c>
      <c r="AT174" s="3" t="n">
        <v>-0.174741672658704</v>
      </c>
      <c r="AU174" s="3">
        <f>SUM(AO174:AT174)</f>
        <v/>
      </c>
      <c r="AV174" s="7">
        <f>IF(OR(N(W174)&lt;=0,N(BH174)=0),0,N(W174)*IF(N(R174)/N(W174)&gt;=60,N(BH174),1))</f>
        <v/>
      </c>
      <c r="AW174" s="7">
        <f>N(W174)*N(AF174)*N(BI174)</f>
        <v/>
      </c>
      <c r="AX174" s="3">
        <f>IF(N(BH174)=0,0,N(W174)*N(AH174))</f>
        <v/>
      </c>
      <c r="AY174" s="7">
        <f>N(AM174)*(Assumptions!$B$13*N(BK174)-(1-Assumptions!$B$13)*Assumptions!$B$14)+N(AN174)</f>
        <v/>
      </c>
      <c r="AZ174" s="7">
        <f>N(AU174)*N(R174)/90+N(AV174)+N(AW174)+N(AX174)+N(AY174)</f>
        <v/>
      </c>
      <c r="BA174" s="3">
        <f>IF(N(R174)&lt;=0,0,(N(AZ174)-N(AY174))*90/N(R174))</f>
        <v/>
      </c>
      <c r="BB174" s="7">
        <f>IFERROR(AZ174-VLOOKUP($E174,Assumptions!$A$40:$C$43,3,FALSE),"")</f>
        <v/>
      </c>
      <c r="BC174" s="3">
        <f>IFERROR(BB174/H174,"")</f>
        <v/>
      </c>
      <c r="BD174">
        <f>IF(AND($G174=TRUE,$E174="GKP"),AZ174,"")</f>
        <v/>
      </c>
      <c r="BE174">
        <f>IF(AND($G174=TRUE,$E174="DEF"),AZ174,"")</f>
        <v/>
      </c>
      <c r="BF174">
        <f>IF(AND($G174=TRUE,$E174="MID"),AZ174,"")</f>
        <v/>
      </c>
      <c r="BG174">
        <f>IF(AND($G174=TRUE,$E174="FWD"),AZ174,"")</f>
        <v/>
      </c>
      <c r="BH174" t="n">
        <v>2</v>
      </c>
      <c r="BI174" t="n">
        <v>2</v>
      </c>
      <c r="BJ174" t="n">
        <v>1</v>
      </c>
      <c r="BK174" t="n">
        <v>5</v>
      </c>
    </row>
    <row r="175">
      <c r="A175" t="inlineStr">
        <is>
          <t>Mathys Tel</t>
        </is>
      </c>
      <c r="B175" t="inlineStr">
        <is>
          <t>TOT</t>
        </is>
      </c>
      <c r="C175" t="inlineStr">
        <is>
          <t>TOT</t>
        </is>
      </c>
      <c r="D175" t="b">
        <v>0</v>
      </c>
      <c r="E175" t="inlineStr">
        <is>
          <t>MID</t>
        </is>
      </c>
      <c r="F175" t="inlineStr">
        <is>
          <t>MID</t>
        </is>
      </c>
      <c r="G175" t="b">
        <v>1</v>
      </c>
      <c r="H175" s="2" t="n">
        <v>6</v>
      </c>
      <c r="I175" t="inlineStr">
        <is>
          <t>a</t>
        </is>
      </c>
      <c r="K175" s="2" t="n">
        <v>1334</v>
      </c>
      <c r="L175" t="n">
        <v>78</v>
      </c>
      <c r="M175" s="3" t="n">
        <v>1097</v>
      </c>
      <c r="N175" s="4" t="n">
        <v>1400</v>
      </c>
      <c r="O175" s="4" t="n">
        <v>303</v>
      </c>
      <c r="P175" s="5" t="inlineStr">
        <is>
          <t>low</t>
        </is>
      </c>
      <c r="Q175" t="inlineStr">
        <is>
          <t>fade (losing his place)</t>
        </is>
      </c>
      <c r="R175" s="6" t="n">
        <v>1400</v>
      </c>
      <c r="S175" t="inlineStr">
        <is>
          <t>research</t>
        </is>
      </c>
      <c r="T175" s="5" t="inlineStr">
        <is>
          <t>Solio flags Tel as losing his place; he has instead started on the left wing in both August friendlies and produced a goal and an assist in pre-season. Raised only modestly because Tottenham have an agreement in principle with Cody Gakpo, who would play in this position.</t>
        </is>
      </c>
      <c r="U175" s="6" t="n">
        <v>78.90000000000001</v>
      </c>
      <c r="V175" s="2" t="n">
        <v>13</v>
      </c>
      <c r="W175" s="7">
        <f>IF(N(U175)&lt;=0,0,MIN(Assumptions!$B$15,N(R175)/N(U175)))</f>
        <v/>
      </c>
      <c r="X175" s="6" t="n">
        <v>0.286</v>
      </c>
      <c r="Y175" s="3" t="n">
        <v>0.1737</v>
      </c>
      <c r="Z175" t="inlineStr">
        <is>
          <t>adjusted xGOT</t>
        </is>
      </c>
      <c r="AA175" s="3" t="n">
        <v>1</v>
      </c>
      <c r="AB175" s="3" t="n">
        <v>1.042</v>
      </c>
      <c r="AC175" s="3" t="n">
        <v>5.4</v>
      </c>
      <c r="AD175" s="3" t="n">
        <v>0.1971</v>
      </c>
      <c r="AE175" s="3" t="n">
        <v>7.87</v>
      </c>
      <c r="AF175" s="3" t="n">
        <v>0.04893378953511118</v>
      </c>
      <c r="AG175" s="3" t="n">
        <v>4.773</v>
      </c>
      <c r="AH175" s="3" t="n">
        <v>0.2622617704</v>
      </c>
      <c r="AI175" s="3" t="n">
        <v>43</v>
      </c>
      <c r="AJ175" s="3" t="n">
        <v>2.5739</v>
      </c>
      <c r="AK175" s="3" t="n">
        <v>1.3096</v>
      </c>
      <c r="AL175" s="3" t="n">
        <v>-0.162816629657591</v>
      </c>
      <c r="AM175" s="6" t="n">
        <v>0</v>
      </c>
      <c r="AN175" s="3" t="n">
        <v>0</v>
      </c>
      <c r="AO175" s="3" t="n">
        <v>0.8684999999999999</v>
      </c>
      <c r="AP175" s="3" t="n">
        <v>0.780516</v>
      </c>
      <c r="AQ175" s="3">
        <f>N(X175)*N(BJ175)</f>
        <v/>
      </c>
      <c r="AR175" s="3" t="n">
        <v>0</v>
      </c>
      <c r="AS175" s="3" t="n">
        <v>-0</v>
      </c>
      <c r="AT175" s="3" t="n">
        <v>-0.162816629657591</v>
      </c>
      <c r="AU175" s="3">
        <f>SUM(AO175:AT175)</f>
        <v/>
      </c>
      <c r="AV175" s="7">
        <f>IF(OR(N(W175)&lt;=0,N(BH175)=0),0,N(W175)*IF(N(R175)/N(W175)&gt;=60,N(BH175),1))</f>
        <v/>
      </c>
      <c r="AW175" s="7">
        <f>N(W175)*N(AF175)*N(BI175)</f>
        <v/>
      </c>
      <c r="AX175" s="3">
        <f>IF(N(BH175)=0,0,N(W175)*N(AH175))</f>
        <v/>
      </c>
      <c r="AY175" s="7">
        <f>N(AM175)*(Assumptions!$B$13*N(BK175)-(1-Assumptions!$B$13)*Assumptions!$B$14)+N(AN175)</f>
        <v/>
      </c>
      <c r="AZ175" s="7">
        <f>N(AU175)*N(R175)/90+N(AV175)+N(AW175)+N(AX175)+N(AY175)</f>
        <v/>
      </c>
      <c r="BA175" s="3">
        <f>IF(N(R175)&lt;=0,0,(N(AZ175)-N(AY175))*90/N(R175))</f>
        <v/>
      </c>
      <c r="BB175" s="7">
        <f>IFERROR(AZ175-VLOOKUP($E175,Assumptions!$A$40:$C$43,3,FALSE),"")</f>
        <v/>
      </c>
      <c r="BC175" s="3">
        <f>IFERROR(BB175/H175,"")</f>
        <v/>
      </c>
      <c r="BD175">
        <f>IF(AND($G175=TRUE,$E175="GKP"),AZ175,"")</f>
        <v/>
      </c>
      <c r="BE175">
        <f>IF(AND($G175=TRUE,$E175="DEF"),AZ175,"")</f>
        <v/>
      </c>
      <c r="BF175">
        <f>IF(AND($G175=TRUE,$E175="MID"),AZ175,"")</f>
        <v/>
      </c>
      <c r="BG175">
        <f>IF(AND($G175=TRUE,$E175="FWD"),AZ175,"")</f>
        <v/>
      </c>
      <c r="BH175" t="n">
        <v>2</v>
      </c>
      <c r="BI175" t="n">
        <v>2</v>
      </c>
      <c r="BJ175" t="n">
        <v>1</v>
      </c>
      <c r="BK175" t="n">
        <v>5</v>
      </c>
    </row>
    <row r="176">
      <c r="A176" t="inlineStr">
        <is>
          <t>Djed Spence</t>
        </is>
      </c>
      <c r="B176" t="inlineStr">
        <is>
          <t>TOT</t>
        </is>
      </c>
      <c r="C176" t="inlineStr">
        <is>
          <t>TOT</t>
        </is>
      </c>
      <c r="D176" t="b">
        <v>0</v>
      </c>
      <c r="E176" t="inlineStr">
        <is>
          <t>DEF</t>
        </is>
      </c>
      <c r="F176" t="inlineStr">
        <is>
          <t>DEF</t>
        </is>
      </c>
      <c r="G176" t="b">
        <v>1</v>
      </c>
      <c r="H176" s="2" t="n">
        <v>4.5</v>
      </c>
      <c r="I176" t="inlineStr">
        <is>
          <t>a</t>
        </is>
      </c>
      <c r="K176" s="2" t="n">
        <v>2049</v>
      </c>
      <c r="L176" t="n">
        <v>78</v>
      </c>
      <c r="M176" s="3" t="n">
        <v>1955</v>
      </c>
      <c r="N176" s="4" t="n">
        <v>0</v>
      </c>
      <c r="O176" s="4" t="n">
        <v>-1955</v>
      </c>
      <c r="P176" s="5" t="inlineStr">
        <is>
          <t>high</t>
        </is>
      </c>
      <c r="Q176" t="inlineStr">
        <is>
          <t>flat</t>
        </is>
      </c>
      <c r="R176" s="6" t="n">
        <v>0</v>
      </c>
      <c r="S176" t="inlineStr">
        <is>
          <t>research</t>
        </is>
      </c>
      <c r="T176" s="5" t="inlineStr">
        <is>
          <t>Sold. Spence completed a GBP 30m move to Inter Milan on 15 August 2026, signing a five-year deal. Solio's file predates the sale. He is no longer a Tottenham player and can record zero Premier League minutes for the club.</t>
        </is>
      </c>
      <c r="U176" s="6" t="n">
        <v>83.8</v>
      </c>
      <c r="V176" s="2" t="n">
        <v>23</v>
      </c>
      <c r="W176" s="7">
        <f>IF(N(U176)&lt;=0,0,MIN(Assumptions!$B$15,N(R176)/N(U176)))</f>
        <v/>
      </c>
      <c r="X176" s="6" t="n">
        <v>0.286</v>
      </c>
      <c r="Y176" s="3" t="n">
        <v>0.041</v>
      </c>
      <c r="Z176" t="inlineStr">
        <is>
          <t>adjusted xGOT</t>
        </is>
      </c>
      <c r="AA176" s="3" t="n">
        <v>1</v>
      </c>
      <c r="AB176" s="3" t="n">
        <v>1.038</v>
      </c>
      <c r="AC176" s="3" t="n">
        <v>1.5</v>
      </c>
      <c r="AD176" s="3" t="n">
        <v>0.07969999999999999</v>
      </c>
      <c r="AE176" s="3" t="n">
        <v>5.769</v>
      </c>
      <c r="AF176" s="3" t="n">
        <v>0.04738693091475255</v>
      </c>
      <c r="AG176" s="3" t="n">
        <v>6.489</v>
      </c>
      <c r="AH176" s="3" t="n">
        <v>0.1424421504</v>
      </c>
      <c r="AI176" s="3" t="n">
        <v>52</v>
      </c>
      <c r="AJ176" s="3" t="n">
        <v>2.5739</v>
      </c>
      <c r="AK176" s="3" t="n">
        <v>1.3096</v>
      </c>
      <c r="AL176" s="3" t="n">
        <v>-0.1816167509287117</v>
      </c>
      <c r="AM176" s="6" t="n">
        <v>0</v>
      </c>
      <c r="AN176" s="3" t="n">
        <v>0</v>
      </c>
      <c r="AO176" s="3" t="n">
        <v>0.246</v>
      </c>
      <c r="AP176" s="3" t="n">
        <v>0.315612</v>
      </c>
      <c r="AQ176" s="3">
        <f>N(X176)*N(BJ176)</f>
        <v/>
      </c>
      <c r="AR176" s="3" t="n">
        <v>0</v>
      </c>
      <c r="AS176" s="3" t="n">
        <v>-0.4230152821052008</v>
      </c>
      <c r="AT176" s="3" t="n">
        <v>-0.1816167509287117</v>
      </c>
      <c r="AU176" s="3">
        <f>SUM(AO176:AT176)</f>
        <v/>
      </c>
      <c r="AV176" s="7">
        <f>IF(OR(N(W176)&lt;=0,N(BH176)=0),0,N(W176)*IF(N(R176)/N(W176)&gt;=60,N(BH176),1))</f>
        <v/>
      </c>
      <c r="AW176" s="7">
        <f>N(W176)*N(AF176)*N(BI176)</f>
        <v/>
      </c>
      <c r="AX176" s="3">
        <f>IF(N(BH176)=0,0,N(W176)*N(AH176))</f>
        <v/>
      </c>
      <c r="AY176" s="7">
        <f>N(AM176)*(Assumptions!$B$13*N(BK176)-(1-Assumptions!$B$13)*Assumptions!$B$14)+N(AN176)</f>
        <v/>
      </c>
      <c r="AZ176" s="7">
        <f>N(AU176)*N(R176)/90+N(AV176)+N(AW176)+N(AX176)+N(AY176)</f>
        <v/>
      </c>
      <c r="BA176" s="3">
        <f>IF(N(R176)&lt;=0,0,(N(AZ176)-N(AY176))*90/N(R176))</f>
        <v/>
      </c>
      <c r="BB176" s="7">
        <f>IFERROR(AZ176-VLOOKUP($E176,Assumptions!$A$40:$C$43,3,FALSE),"")</f>
        <v/>
      </c>
      <c r="BC176" s="3">
        <f>IFERROR(BB176/H176,"")</f>
        <v/>
      </c>
      <c r="BD176">
        <f>IF(AND($G176=TRUE,$E176="GKP"),AZ176,"")</f>
        <v/>
      </c>
      <c r="BE176">
        <f>IF(AND($G176=TRUE,$E176="DEF"),AZ176,"")</f>
        <v/>
      </c>
      <c r="BF176">
        <f>IF(AND($G176=TRUE,$E176="MID"),AZ176,"")</f>
        <v/>
      </c>
      <c r="BG176">
        <f>IF(AND($G176=TRUE,$E176="FWD"),AZ176,"")</f>
        <v/>
      </c>
      <c r="BH176" t="n">
        <v>2</v>
      </c>
      <c r="BI176" t="n">
        <v>2</v>
      </c>
      <c r="BJ176" t="n">
        <v>4</v>
      </c>
      <c r="BK176" t="n">
        <v>6</v>
      </c>
    </row>
    <row r="177">
      <c r="A177" t="inlineStr">
        <is>
          <t>Tyler Adams</t>
        </is>
      </c>
      <c r="B177" t="inlineStr">
        <is>
          <t>BOU</t>
        </is>
      </c>
      <c r="C177" t="inlineStr">
        <is>
          <t>BOU</t>
        </is>
      </c>
      <c r="D177" t="b">
        <v>0</v>
      </c>
      <c r="E177" t="inlineStr">
        <is>
          <t>MID</t>
        </is>
      </c>
      <c r="F177" t="inlineStr">
        <is>
          <t>MID</t>
        </is>
      </c>
      <c r="G177" t="b">
        <v>1</v>
      </c>
      <c r="H177" s="2" t="n">
        <v>5</v>
      </c>
      <c r="I177" t="inlineStr">
        <is>
          <t>a</t>
        </is>
      </c>
      <c r="K177" s="2" t="n">
        <v>1769</v>
      </c>
      <c r="L177" t="n">
        <v>77</v>
      </c>
      <c r="M177" s="3" t="n">
        <v>2633</v>
      </c>
      <c r="N177" s="4" t="n">
        <v>1800</v>
      </c>
      <c r="O177" s="4" t="n">
        <v>-833</v>
      </c>
      <c r="P177" s="5" t="inlineStr">
        <is>
          <t>medium</t>
        </is>
      </c>
      <c r="Q177" t="inlineStr">
        <is>
          <t>flat</t>
        </is>
      </c>
      <c r="R177" s="6" t="n">
        <v>1800</v>
      </c>
      <c r="S177" t="inlineStr">
        <is>
          <t>research</t>
        </is>
      </c>
      <c r="T177" s="5" t="inlineStr">
        <is>
          <t>Currently flagged as a 75% doubt with an unspecified injury and absent from both the 8 Aug and 15 Aug friendly squads; Rose said on 10 Aug that Adams was 'to be assessed over the coming days'. He also managed only 1769 Premier League minutes last season and is the subject of reported Manchester United interest at around GBP 35m before the 1 Sept deadline. Solio's 2633 assumes a near-nailed, near-fit season that neither his availability record nor his current flag supports.</t>
        </is>
      </c>
      <c r="U177" s="6" t="n">
        <v>79.40000000000001</v>
      </c>
      <c r="V177" s="2" t="n">
        <v>21</v>
      </c>
      <c r="W177" s="7">
        <f>IF(N(U177)&lt;=0,0,MIN(Assumptions!$B$15,N(R177)/N(U177)))</f>
        <v/>
      </c>
      <c r="X177" s="6" t="n">
        <v>0.23</v>
      </c>
      <c r="Y177" s="3" t="n">
        <v>0.034</v>
      </c>
      <c r="Z177" t="inlineStr">
        <is>
          <t>adjusted xGOT</t>
        </is>
      </c>
      <c r="AA177" s="3" t="n">
        <v>1</v>
      </c>
      <c r="AB177" s="3" t="n">
        <v>1.063</v>
      </c>
      <c r="AC177" s="3" t="n">
        <v>2.1</v>
      </c>
      <c r="AD177" s="3" t="n">
        <v>0.0473</v>
      </c>
      <c r="AE177" s="3" t="n">
        <v>10.87</v>
      </c>
      <c r="AF177" s="3" t="n">
        <v>0.2576504062683485</v>
      </c>
      <c r="AG177" s="3" t="n">
        <v>7.966</v>
      </c>
      <c r="AH177" s="3" t="n">
        <v>0.09560121520000001</v>
      </c>
      <c r="AI177" s="3" t="n">
        <v>45</v>
      </c>
      <c r="AJ177" s="3" t="n">
        <v>3.0957</v>
      </c>
      <c r="AK177" s="3" t="n">
        <v>1.53</v>
      </c>
      <c r="AL177" s="3" t="n">
        <v>-0.3291964405902342</v>
      </c>
      <c r="AM177" s="6" t="n">
        <v>0</v>
      </c>
      <c r="AN177" s="3" t="n">
        <v>0</v>
      </c>
      <c r="AO177" s="3" t="n">
        <v>0.17</v>
      </c>
      <c r="AP177" s="3" t="n">
        <v>0.187308</v>
      </c>
      <c r="AQ177" s="3">
        <f>N(X177)*N(BJ177)</f>
        <v/>
      </c>
      <c r="AR177" s="3" t="n">
        <v>0</v>
      </c>
      <c r="AS177" s="3" t="n">
        <v>-0</v>
      </c>
      <c r="AT177" s="3" t="n">
        <v>-0.3291964405902342</v>
      </c>
      <c r="AU177" s="3">
        <f>SUM(AO177:AT177)</f>
        <v/>
      </c>
      <c r="AV177" s="7">
        <f>IF(OR(N(W177)&lt;=0,N(BH177)=0),0,N(W177)*IF(N(R177)/N(W177)&gt;=60,N(BH177),1))</f>
        <v/>
      </c>
      <c r="AW177" s="7">
        <f>N(W177)*N(AF177)*N(BI177)</f>
        <v/>
      </c>
      <c r="AX177" s="3">
        <f>IF(N(BH177)=0,0,N(W177)*N(AH177))</f>
        <v/>
      </c>
      <c r="AY177" s="7">
        <f>N(AM177)*(Assumptions!$B$13*N(BK177)-(1-Assumptions!$B$13)*Assumptions!$B$14)+N(AN177)</f>
        <v/>
      </c>
      <c r="AZ177" s="7">
        <f>N(AU177)*N(R177)/90+N(AV177)+N(AW177)+N(AX177)+N(AY177)</f>
        <v/>
      </c>
      <c r="BA177" s="3">
        <f>IF(N(R177)&lt;=0,0,(N(AZ177)-N(AY177))*90/N(R177))</f>
        <v/>
      </c>
      <c r="BB177" s="7">
        <f>IFERROR(AZ177-VLOOKUP($E177,Assumptions!$A$40:$C$43,3,FALSE),"")</f>
        <v/>
      </c>
      <c r="BC177" s="3">
        <f>IFERROR(BB177/H177,"")</f>
        <v/>
      </c>
      <c r="BD177">
        <f>IF(AND($G177=TRUE,$E177="GKP"),AZ177,"")</f>
        <v/>
      </c>
      <c r="BE177">
        <f>IF(AND($G177=TRUE,$E177="DEF"),AZ177,"")</f>
        <v/>
      </c>
      <c r="BF177">
        <f>IF(AND($G177=TRUE,$E177="MID"),AZ177,"")</f>
        <v/>
      </c>
      <c r="BG177">
        <f>IF(AND($G177=TRUE,$E177="FWD"),AZ177,"")</f>
        <v/>
      </c>
      <c r="BH177" t="n">
        <v>2</v>
      </c>
      <c r="BI177" t="n">
        <v>2</v>
      </c>
      <c r="BJ177" t="n">
        <v>1</v>
      </c>
      <c r="BK177" t="n">
        <v>5</v>
      </c>
    </row>
    <row r="178">
      <c r="A178" t="inlineStr">
        <is>
          <t>Yéremy Pino</t>
        </is>
      </c>
      <c r="B178" t="inlineStr">
        <is>
          <t>CRY</t>
        </is>
      </c>
      <c r="C178" t="inlineStr">
        <is>
          <t>CRY</t>
        </is>
      </c>
      <c r="D178" t="b">
        <v>0</v>
      </c>
      <c r="E178" t="inlineStr">
        <is>
          <t>MID</t>
        </is>
      </c>
      <c r="F178" t="inlineStr">
        <is>
          <t>MID</t>
        </is>
      </c>
      <c r="G178" t="b">
        <v>1</v>
      </c>
      <c r="H178" s="2" t="n">
        <v>5.5</v>
      </c>
      <c r="I178" t="inlineStr">
        <is>
          <t>a</t>
        </is>
      </c>
      <c r="K178" s="2" t="n">
        <v>2074</v>
      </c>
      <c r="L178" t="n">
        <v>77</v>
      </c>
      <c r="M178" s="3" t="n">
        <v>2371</v>
      </c>
      <c r="N178" s="4" t="n">
        <v>1600</v>
      </c>
      <c r="O178" s="4" t="n">
        <v>-771</v>
      </c>
      <c r="P178" s="5" t="inlineStr">
        <is>
          <t>medium</t>
        </is>
      </c>
      <c r="Q178" t="inlineStr">
        <is>
          <t>flat</t>
        </is>
      </c>
      <c r="R178" s="6" t="n">
        <v>1600</v>
      </c>
      <c r="S178" t="inlineStr">
        <is>
          <t>research</t>
        </is>
      </c>
      <c r="T178" s="5" t="inlineStr">
        <is>
          <t>Same cause as Sarr. Three wide or attacking players arrived after Solio's data cut-off and Pino did not appear in the XI or the substitutions listed for the final friendly at Freiburg. He is the most directly displaced by McNeil arriving on the left.</t>
        </is>
      </c>
      <c r="U178" s="6" t="n">
        <v>74.90000000000001</v>
      </c>
      <c r="V178" s="2" t="n">
        <v>26</v>
      </c>
      <c r="W178" s="7">
        <f>IF(N(U178)&lt;=0,0,MIN(Assumptions!$B$15,N(R178)/N(U178)))</f>
        <v/>
      </c>
      <c r="X178" s="6" t="n">
        <v>0.216</v>
      </c>
      <c r="Y178" s="3" t="n">
        <v>0.1914</v>
      </c>
      <c r="Z178" t="inlineStr">
        <is>
          <t>adjusted xGOT</t>
        </is>
      </c>
      <c r="AA178" s="3" t="n">
        <v>1</v>
      </c>
      <c r="AB178" s="3" t="n">
        <v>0.974</v>
      </c>
      <c r="AC178" s="3" t="n">
        <v>4.5</v>
      </c>
      <c r="AD178" s="3" t="n">
        <v>0.3173</v>
      </c>
      <c r="AE178" s="3" t="n">
        <v>7.59</v>
      </c>
      <c r="AF178" s="3" t="n">
        <v>0.02821000820564934</v>
      </c>
      <c r="AG178" s="3" t="n">
        <v>6.098</v>
      </c>
      <c r="AH178" s="3" t="n">
        <v>0.3967941325</v>
      </c>
      <c r="AI178" s="3" t="n">
        <v>53</v>
      </c>
      <c r="AJ178" s="3" t="n">
        <v>3.2035</v>
      </c>
      <c r="AK178" s="3" t="n">
        <v>1.5923</v>
      </c>
      <c r="AL178" s="3" t="n">
        <v>-0.2007976459051203</v>
      </c>
      <c r="AM178" s="6" t="n">
        <v>0</v>
      </c>
      <c r="AN178" s="3" t="n">
        <v>0</v>
      </c>
      <c r="AO178" s="3" t="n">
        <v>0.957</v>
      </c>
      <c r="AP178" s="3" t="n">
        <v>1.256508</v>
      </c>
      <c r="AQ178" s="3">
        <f>N(X178)*N(BJ178)</f>
        <v/>
      </c>
      <c r="AR178" s="3" t="n">
        <v>0</v>
      </c>
      <c r="AS178" s="3" t="n">
        <v>-0</v>
      </c>
      <c r="AT178" s="3" t="n">
        <v>-0.2007976459051203</v>
      </c>
      <c r="AU178" s="3">
        <f>SUM(AO178:AT178)</f>
        <v/>
      </c>
      <c r="AV178" s="7">
        <f>IF(OR(N(W178)&lt;=0,N(BH178)=0),0,N(W178)*IF(N(R178)/N(W178)&gt;=60,N(BH178),1))</f>
        <v/>
      </c>
      <c r="AW178" s="7">
        <f>N(W178)*N(AF178)*N(BI178)</f>
        <v/>
      </c>
      <c r="AX178" s="3">
        <f>IF(N(BH178)=0,0,N(W178)*N(AH178))</f>
        <v/>
      </c>
      <c r="AY178" s="7">
        <f>N(AM178)*(Assumptions!$B$13*N(BK178)-(1-Assumptions!$B$13)*Assumptions!$B$14)+N(AN178)</f>
        <v/>
      </c>
      <c r="AZ178" s="7">
        <f>N(AU178)*N(R178)/90+N(AV178)+N(AW178)+N(AX178)+N(AY178)</f>
        <v/>
      </c>
      <c r="BA178" s="3">
        <f>IF(N(R178)&lt;=0,0,(N(AZ178)-N(AY178))*90/N(R178))</f>
        <v/>
      </c>
      <c r="BB178" s="7">
        <f>IFERROR(AZ178-VLOOKUP($E178,Assumptions!$A$40:$C$43,3,FALSE),"")</f>
        <v/>
      </c>
      <c r="BC178" s="3">
        <f>IFERROR(BB178/H178,"")</f>
        <v/>
      </c>
      <c r="BD178">
        <f>IF(AND($G178=TRUE,$E178="GKP"),AZ178,"")</f>
        <v/>
      </c>
      <c r="BE178">
        <f>IF(AND($G178=TRUE,$E178="DEF"),AZ178,"")</f>
        <v/>
      </c>
      <c r="BF178">
        <f>IF(AND($G178=TRUE,$E178="MID"),AZ178,"")</f>
        <v/>
      </c>
      <c r="BG178">
        <f>IF(AND($G178=TRUE,$E178="FWD"),AZ178,"")</f>
        <v/>
      </c>
      <c r="BH178" t="n">
        <v>2</v>
      </c>
      <c r="BI178" t="n">
        <v>2</v>
      </c>
      <c r="BJ178" t="n">
        <v>1</v>
      </c>
      <c r="BK178" t="n">
        <v>5</v>
      </c>
    </row>
    <row r="179">
      <c r="A179" s="9" t="inlineStr">
        <is>
          <t>Jordan Henderson</t>
        </is>
      </c>
      <c r="B179" t="inlineStr">
        <is>
          <t>CHE</t>
        </is>
      </c>
      <c r="C179" s="9" t="inlineStr">
        <is>
          <t>BRE</t>
        </is>
      </c>
      <c r="D179" t="b">
        <v>1</v>
      </c>
      <c r="E179" t="inlineStr">
        <is>
          <t>MID</t>
        </is>
      </c>
      <c r="F179" t="inlineStr">
        <is>
          <t>MID</t>
        </is>
      </c>
      <c r="G179" t="b">
        <v>1</v>
      </c>
      <c r="H179" s="2" t="n">
        <v>5</v>
      </c>
      <c r="I179" t="inlineStr">
        <is>
          <t>d</t>
        </is>
      </c>
      <c r="J179" t="inlineStr">
        <is>
          <t>Wrist injury - 75% chance of playing</t>
        </is>
      </c>
      <c r="K179" s="2" t="n">
        <v>1911</v>
      </c>
      <c r="L179" t="n">
        <v>76</v>
      </c>
      <c r="M179" s="3" t="n">
        <v>137</v>
      </c>
      <c r="N179" s="8" t="n">
        <v>137</v>
      </c>
      <c r="O179" s="8" t="n">
        <v>0</v>
      </c>
      <c r="Q179" t="inlineStr">
        <is>
          <t>flat</t>
        </is>
      </c>
      <c r="R179" s="6" t="n">
        <v>137</v>
      </c>
      <c r="S179" t="inlineStr">
        <is>
          <t>Solio</t>
        </is>
      </c>
      <c r="U179" s="6" t="n">
        <v>79.3</v>
      </c>
      <c r="V179" s="2" t="n">
        <v>22</v>
      </c>
      <c r="W179" s="7">
        <f>IF(N(U179)&lt;=0,0,MIN(Assumptions!$B$15,N(R179)/N(U179)))</f>
        <v/>
      </c>
      <c r="X179" s="6" t="n">
        <v>0.322</v>
      </c>
      <c r="Y179" s="10" t="n">
        <v>0.0143</v>
      </c>
      <c r="Z179" t="inlineStr">
        <is>
          <t>adjusted xGOT</t>
        </is>
      </c>
      <c r="AA179" s="3" t="n">
        <v>1</v>
      </c>
      <c r="AB179" s="3" t="n">
        <v>0.919</v>
      </c>
      <c r="AC179" s="3" t="n">
        <v>1.7</v>
      </c>
      <c r="AD179" s="10" t="n">
        <v>0.1326</v>
      </c>
      <c r="AE179" s="3" t="n">
        <v>8.606999999999999</v>
      </c>
      <c r="AF179" s="3" t="n">
        <v>0.08423668579325738</v>
      </c>
      <c r="AG179" s="3" t="n">
        <v>7.446</v>
      </c>
      <c r="AH179" s="3" t="n">
        <v>0.0767825035</v>
      </c>
      <c r="AI179" s="3" t="n">
        <v>51</v>
      </c>
      <c r="AJ179" s="3" t="n">
        <v>2.4232</v>
      </c>
      <c r="AK179" s="3" t="n">
        <v>1.1851</v>
      </c>
      <c r="AL179" s="3" t="n">
        <v>-0.2634710440072666</v>
      </c>
      <c r="AM179" s="6" t="n">
        <v>0</v>
      </c>
      <c r="AN179" s="3" t="n">
        <v>0</v>
      </c>
      <c r="AO179" s="10" t="n">
        <v>0.07150000000000001</v>
      </c>
      <c r="AP179" s="10" t="n">
        <v>0.525096</v>
      </c>
      <c r="AQ179" s="3">
        <f>N(X179)*N(BJ179)</f>
        <v/>
      </c>
      <c r="AR179" s="3" t="n">
        <v>0</v>
      </c>
      <c r="AS179" s="3" t="n">
        <v>-0</v>
      </c>
      <c r="AT179" s="3" t="n">
        <v>-0.2634710440072666</v>
      </c>
      <c r="AU179" s="3">
        <f>SUM(AO179:AT179)</f>
        <v/>
      </c>
      <c r="AV179" s="7">
        <f>IF(OR(N(W179)&lt;=0,N(BH179)=0),0,N(W179)*IF(N(R179)/N(W179)&gt;=60,N(BH179),1))</f>
        <v/>
      </c>
      <c r="AW179" s="7">
        <f>N(W179)*N(AF179)*N(BI179)</f>
        <v/>
      </c>
      <c r="AX179" s="3">
        <f>IF(N(BH179)=0,0,N(W179)*N(AH179))</f>
        <v/>
      </c>
      <c r="AY179" s="7">
        <f>N(AM179)*(Assumptions!$B$13*N(BK179)-(1-Assumptions!$B$13)*Assumptions!$B$14)+N(AN179)</f>
        <v/>
      </c>
      <c r="AZ179" s="7">
        <f>N(AU179)*N(R179)/90+N(AV179)+N(AW179)+N(AX179)+N(AY179)</f>
        <v/>
      </c>
      <c r="BA179" s="3">
        <f>IF(N(R179)&lt;=0,0,(N(AZ179)-N(AY179))*90/N(R179))</f>
        <v/>
      </c>
      <c r="BB179" s="7">
        <f>IFERROR(AZ179-VLOOKUP($E179,Assumptions!$A$40:$C$43,3,FALSE),"")</f>
        <v/>
      </c>
      <c r="BC179" s="3">
        <f>IFERROR(BB179/H179,"")</f>
        <v/>
      </c>
      <c r="BD179">
        <f>IF(AND($G179=TRUE,$E179="GKP"),AZ179,"")</f>
        <v/>
      </c>
      <c r="BE179">
        <f>IF(AND($G179=TRUE,$E179="DEF"),AZ179,"")</f>
        <v/>
      </c>
      <c r="BF179">
        <f>IF(AND($G179=TRUE,$E179="MID"),AZ179,"")</f>
        <v/>
      </c>
      <c r="BG179">
        <f>IF(AND($G179=TRUE,$E179="FWD"),AZ179,"")</f>
        <v/>
      </c>
      <c r="BH179" t="n">
        <v>2</v>
      </c>
      <c r="BI179" t="n">
        <v>2</v>
      </c>
      <c r="BJ179" t="n">
        <v>1</v>
      </c>
      <c r="BK179" t="n">
        <v>5</v>
      </c>
    </row>
    <row r="180">
      <c r="A180" t="inlineStr">
        <is>
          <t>Amadou Onana</t>
        </is>
      </c>
      <c r="B180" t="inlineStr">
        <is>
          <t>AVL</t>
        </is>
      </c>
      <c r="C180" t="inlineStr">
        <is>
          <t>AVL</t>
        </is>
      </c>
      <c r="D180" t="b">
        <v>0</v>
      </c>
      <c r="E180" t="inlineStr">
        <is>
          <t>MID</t>
        </is>
      </c>
      <c r="F180" t="inlineStr">
        <is>
          <t>MID</t>
        </is>
      </c>
      <c r="G180" t="b">
        <v>1</v>
      </c>
      <c r="H180" s="2" t="n">
        <v>5</v>
      </c>
      <c r="I180" t="inlineStr">
        <is>
          <t>i</t>
        </is>
      </c>
      <c r="J180" t="inlineStr">
        <is>
          <t>Knee injury - Unknown return date</t>
        </is>
      </c>
      <c r="K180" s="2" t="n">
        <v>1755</v>
      </c>
      <c r="L180" t="n">
        <v>76</v>
      </c>
      <c r="M180" s="3" t="n">
        <v>1285</v>
      </c>
      <c r="N180" s="4" t="n">
        <v>150</v>
      </c>
      <c r="O180" s="4" t="n">
        <v>-1135</v>
      </c>
      <c r="P180" s="5" t="inlineStr">
        <is>
          <t>high</t>
        </is>
      </c>
      <c r="Q180" t="inlineStr">
        <is>
          <t>ramp-up (injury / late WC return)</t>
        </is>
      </c>
      <c r="R180" s="6" t="n">
        <v>150</v>
      </c>
      <c r="S180" t="inlineStr">
        <is>
          <t>research</t>
        </is>
      </c>
      <c r="T180" s="5" t="inlineStr">
        <is>
          <t>Tore his cruciate ligament during the 2026 World Cup and is out for nine months, which puts a best-case return in late March 2027 with no match fitness behind it. Realistically a handful of late-season cameos, not 1,285 minutes.</t>
        </is>
      </c>
      <c r="U180" s="6" t="n">
        <v>80.40000000000001</v>
      </c>
      <c r="V180" s="2" t="n">
        <v>21</v>
      </c>
      <c r="W180" s="7">
        <f>IF(N(U180)&lt;=0,0,MIN(Assumptions!$B$15,N(R180)/N(U180)))</f>
        <v/>
      </c>
      <c r="X180" s="6" t="n">
        <v>0.273</v>
      </c>
      <c r="Y180" s="3" t="n">
        <v>0.0853</v>
      </c>
      <c r="Z180" t="inlineStr">
        <is>
          <t>adjusted xGOT</t>
        </is>
      </c>
      <c r="AA180" s="3" t="n">
        <v>1</v>
      </c>
      <c r="AB180" s="3" t="n">
        <v>0.99</v>
      </c>
      <c r="AC180" s="3" t="n">
        <v>9</v>
      </c>
      <c r="AD180" s="3" t="n">
        <v>0.0306</v>
      </c>
      <c r="AE180" s="3" t="n">
        <v>10.459</v>
      </c>
      <c r="AF180" s="3" t="n">
        <v>0.2315175242686877</v>
      </c>
      <c r="AG180" s="3" t="n">
        <v>8.398</v>
      </c>
      <c r="AH180" s="3" t="n">
        <v>0.183129253</v>
      </c>
      <c r="AI180" s="3" t="n">
        <v>45</v>
      </c>
      <c r="AJ180" s="3" t="n">
        <v>2.7451</v>
      </c>
      <c r="AK180" s="3" t="n">
        <v>1.3575</v>
      </c>
      <c r="AL180" s="3" t="n">
        <v>-0.2073865052544347</v>
      </c>
      <c r="AM180" s="6" t="n">
        <v>0</v>
      </c>
      <c r="AN180" s="3" t="n">
        <v>0</v>
      </c>
      <c r="AO180" s="3" t="n">
        <v>0.4265</v>
      </c>
      <c r="AP180" s="3" t="n">
        <v>0.121176</v>
      </c>
      <c r="AQ180" s="3">
        <f>N(X180)*N(BJ180)</f>
        <v/>
      </c>
      <c r="AR180" s="3" t="n">
        <v>0</v>
      </c>
      <c r="AS180" s="3" t="n">
        <v>-0</v>
      </c>
      <c r="AT180" s="3" t="n">
        <v>-0.2073865052544347</v>
      </c>
      <c r="AU180" s="3">
        <f>SUM(AO180:AT180)</f>
        <v/>
      </c>
      <c r="AV180" s="7">
        <f>IF(OR(N(W180)&lt;=0,N(BH180)=0),0,N(W180)*IF(N(R180)/N(W180)&gt;=60,N(BH180),1))</f>
        <v/>
      </c>
      <c r="AW180" s="7">
        <f>N(W180)*N(AF180)*N(BI180)</f>
        <v/>
      </c>
      <c r="AX180" s="3">
        <f>IF(N(BH180)=0,0,N(W180)*N(AH180))</f>
        <v/>
      </c>
      <c r="AY180" s="7">
        <f>N(AM180)*(Assumptions!$B$13*N(BK180)-(1-Assumptions!$B$13)*Assumptions!$B$14)+N(AN180)</f>
        <v/>
      </c>
      <c r="AZ180" s="7">
        <f>N(AU180)*N(R180)/90+N(AV180)+N(AW180)+N(AX180)+N(AY180)</f>
        <v/>
      </c>
      <c r="BA180" s="3">
        <f>IF(N(R180)&lt;=0,0,(N(AZ180)-N(AY180))*90/N(R180))</f>
        <v/>
      </c>
      <c r="BB180" s="7">
        <f>IFERROR(AZ180-VLOOKUP($E180,Assumptions!$A$40:$C$43,3,FALSE),"")</f>
        <v/>
      </c>
      <c r="BC180" s="3">
        <f>IFERROR(BB180/H180,"")</f>
        <v/>
      </c>
      <c r="BD180">
        <f>IF(AND($G180=TRUE,$E180="GKP"),AZ180,"")</f>
        <v/>
      </c>
      <c r="BE180">
        <f>IF(AND($G180=TRUE,$E180="DEF"),AZ180,"")</f>
        <v/>
      </c>
      <c r="BF180">
        <f>IF(AND($G180=TRUE,$E180="MID"),AZ180,"")</f>
        <v/>
      </c>
      <c r="BG180">
        <f>IF(AND($G180=TRUE,$E180="FWD"),AZ180,"")</f>
        <v/>
      </c>
      <c r="BH180" t="n">
        <v>2</v>
      </c>
      <c r="BI180" t="n">
        <v>2</v>
      </c>
      <c r="BJ180" t="n">
        <v>1</v>
      </c>
      <c r="BK180" t="n">
        <v>5</v>
      </c>
    </row>
    <row r="181">
      <c r="A181" t="inlineStr">
        <is>
          <t>William Osula</t>
        </is>
      </c>
      <c r="B181" t="inlineStr">
        <is>
          <t>NEW</t>
        </is>
      </c>
      <c r="C181" t="inlineStr">
        <is>
          <t>NEW</t>
        </is>
      </c>
      <c r="D181" t="b">
        <v>0</v>
      </c>
      <c r="E181" t="inlineStr">
        <is>
          <t>FWD</t>
        </is>
      </c>
      <c r="F181" t="inlineStr">
        <is>
          <t>FWD</t>
        </is>
      </c>
      <c r="G181" t="b">
        <v>1</v>
      </c>
      <c r="H181" s="2" t="n">
        <v>6</v>
      </c>
      <c r="I181" t="inlineStr">
        <is>
          <t>a</t>
        </is>
      </c>
      <c r="K181" s="2" t="n">
        <v>805</v>
      </c>
      <c r="L181" t="n">
        <v>76</v>
      </c>
      <c r="M181" s="3" t="n">
        <v>2069</v>
      </c>
      <c r="N181" s="8" t="n">
        <v>2069</v>
      </c>
      <c r="O181" s="8" t="n">
        <v>0</v>
      </c>
      <c r="Q181" t="inlineStr">
        <is>
          <t>flat</t>
        </is>
      </c>
      <c r="R181" s="6" t="n">
        <v>2069</v>
      </c>
      <c r="S181" t="inlineStr">
        <is>
          <t>Solio</t>
        </is>
      </c>
      <c r="U181" s="6" t="n">
        <v>77.7</v>
      </c>
      <c r="V181" s="2" t="n">
        <v>8</v>
      </c>
      <c r="W181" s="7">
        <f>IF(N(U181)&lt;=0,0,MIN(Assumptions!$B$15,N(R181)/N(U181)))</f>
        <v/>
      </c>
      <c r="X181" s="6" t="n">
        <v>0.248</v>
      </c>
      <c r="Y181" s="3" t="n">
        <v>0.5302</v>
      </c>
      <c r="Z181" t="inlineStr">
        <is>
          <t>adjusted xGOT</t>
        </is>
      </c>
      <c r="AA181" s="3" t="n">
        <v>1</v>
      </c>
      <c r="AB181" s="3" t="n">
        <v>1.108</v>
      </c>
      <c r="AC181" s="3" t="n">
        <v>6.1</v>
      </c>
      <c r="AD181" s="3" t="n">
        <v>0.0596</v>
      </c>
      <c r="AE181" s="3" t="n">
        <v>4.092</v>
      </c>
      <c r="AF181" s="3" t="n">
        <v>0.000313776039483793</v>
      </c>
      <c r="AG181" s="3" t="n">
        <v>2.035</v>
      </c>
      <c r="AH181" s="3" t="n">
        <v>0.7247273978</v>
      </c>
      <c r="AI181" s="3" t="n">
        <v>32</v>
      </c>
      <c r="AJ181" s="3" t="n">
        <v>3.0912</v>
      </c>
      <c r="AK181" s="3" t="n">
        <v>1.4534</v>
      </c>
      <c r="AL181" s="3" t="n">
        <v>-0.1556289932753388</v>
      </c>
      <c r="AM181" s="6" t="n">
        <v>0.8910399935823637</v>
      </c>
      <c r="AN181" s="3" t="n">
        <v>0</v>
      </c>
      <c r="AO181" s="3" t="n">
        <v>2.1208</v>
      </c>
      <c r="AP181" s="3" t="n">
        <v>0.236016</v>
      </c>
      <c r="AQ181" s="3">
        <f>N(X181)*N(BJ181)</f>
        <v/>
      </c>
      <c r="AR181" s="3" t="n">
        <v>0</v>
      </c>
      <c r="AS181" s="3" t="n">
        <v>-0</v>
      </c>
      <c r="AT181" s="3" t="n">
        <v>-0.1556289932753388</v>
      </c>
      <c r="AU181" s="3">
        <f>SUM(AO181:AT181)</f>
        <v/>
      </c>
      <c r="AV181" s="7">
        <f>IF(OR(N(W181)&lt;=0,N(BH181)=0),0,N(W181)*IF(N(R181)/N(W181)&gt;=60,N(BH181),1))</f>
        <v/>
      </c>
      <c r="AW181" s="7">
        <f>N(W181)*N(AF181)*N(BI181)</f>
        <v/>
      </c>
      <c r="AX181" s="3">
        <f>IF(N(BH181)=0,0,N(W181)*N(AH181))</f>
        <v/>
      </c>
      <c r="AY181" s="7">
        <f>N(AM181)*(Assumptions!$B$13*N(BK181)-(1-Assumptions!$B$13)*Assumptions!$B$14)+N(AN181)</f>
        <v/>
      </c>
      <c r="AZ181" s="7">
        <f>N(AU181)*N(R181)/90+N(AV181)+N(AW181)+N(AX181)+N(AY181)</f>
        <v/>
      </c>
      <c r="BA181" s="3">
        <f>IF(N(R181)&lt;=0,0,(N(AZ181)-N(AY181))*90/N(R181))</f>
        <v/>
      </c>
      <c r="BB181" s="7">
        <f>IFERROR(AZ181-VLOOKUP($E181,Assumptions!$A$40:$C$43,3,FALSE),"")</f>
        <v/>
      </c>
      <c r="BC181" s="3">
        <f>IFERROR(BB181/H181,"")</f>
        <v/>
      </c>
      <c r="BD181">
        <f>IF(AND($G181=TRUE,$E181="GKP"),AZ181,"")</f>
        <v/>
      </c>
      <c r="BE181">
        <f>IF(AND($G181=TRUE,$E181="DEF"),AZ181,"")</f>
        <v/>
      </c>
      <c r="BF181">
        <f>IF(AND($G181=TRUE,$E181="MID"),AZ181,"")</f>
        <v/>
      </c>
      <c r="BG181">
        <f>IF(AND($G181=TRUE,$E181="FWD"),AZ181,"")</f>
        <v/>
      </c>
      <c r="BH181" t="n">
        <v>2</v>
      </c>
      <c r="BI181" t="n">
        <v>2</v>
      </c>
      <c r="BJ181" t="n">
        <v>0</v>
      </c>
      <c r="BK181" t="n">
        <v>4</v>
      </c>
    </row>
    <row r="182">
      <c r="A182" t="inlineStr">
        <is>
          <t>Kristoffer Ajer</t>
        </is>
      </c>
      <c r="B182" t="inlineStr">
        <is>
          <t>BRE</t>
        </is>
      </c>
      <c r="C182" t="inlineStr">
        <is>
          <t>BRE</t>
        </is>
      </c>
      <c r="D182" t="b">
        <v>0</v>
      </c>
      <c r="E182" t="inlineStr">
        <is>
          <t>DEF</t>
        </is>
      </c>
      <c r="F182" t="inlineStr">
        <is>
          <t>DEF</t>
        </is>
      </c>
      <c r="G182" t="b">
        <v>1</v>
      </c>
      <c r="H182" s="2" t="n">
        <v>4.5</v>
      </c>
      <c r="I182" t="inlineStr">
        <is>
          <t>a</t>
        </is>
      </c>
      <c r="K182" s="2" t="n">
        <v>1805</v>
      </c>
      <c r="L182" t="n">
        <v>76</v>
      </c>
      <c r="M182" s="3" t="n">
        <v>1619</v>
      </c>
      <c r="N182" s="4" t="n">
        <v>2150</v>
      </c>
      <c r="O182" s="4" t="n">
        <v>531</v>
      </c>
      <c r="P182" s="5" t="inlineStr">
        <is>
          <t>medium</t>
        </is>
      </c>
      <c r="Q182" t="inlineStr">
        <is>
          <t>fade (losing his place)</t>
        </is>
      </c>
      <c r="R182" s="6" t="n">
        <v>2150</v>
      </c>
      <c r="S182" t="inlineStr">
        <is>
          <t>research</t>
        </is>
      </c>
      <c r="T182" s="5" t="inlineStr">
        <is>
          <t>Solio labels him 'fade (losing his place)', but with van den Berg out until roughly mid-October Ajer is the man who takes that place. He started the 15 Aug friendly at centre-back next to Collins, which is the pairing multiple previews name as the fallback when van den Berg is unavailable. He should be close to nailed for the opening two months and a rotation option thereafter.</t>
        </is>
      </c>
      <c r="U182" s="6" t="n">
        <v>84.2</v>
      </c>
      <c r="V182" s="2" t="n">
        <v>20</v>
      </c>
      <c r="W182" s="7">
        <f>IF(N(U182)&lt;=0,0,MIN(Assumptions!$B$15,N(R182)/N(U182)))</f>
        <v/>
      </c>
      <c r="X182" s="6" t="n">
        <v>0.228</v>
      </c>
      <c r="Y182" s="3" t="n">
        <v>0.0362</v>
      </c>
      <c r="Z182" t="inlineStr">
        <is>
          <t>adjusted xGOT</t>
        </is>
      </c>
      <c r="AA182" s="3" t="n">
        <v>1</v>
      </c>
      <c r="AB182" s="3" t="n">
        <v>1.053</v>
      </c>
      <c r="AC182" s="3" t="n">
        <v>2.9</v>
      </c>
      <c r="AD182" s="3" t="n">
        <v>0.0407</v>
      </c>
      <c r="AE182" s="3" t="n">
        <v>9.035</v>
      </c>
      <c r="AF182" s="3" t="n">
        <v>0.3408981349397984</v>
      </c>
      <c r="AG182" s="3" t="n">
        <v>6.281</v>
      </c>
      <c r="AH182" s="3" t="n">
        <v>0.0935936492</v>
      </c>
      <c r="AI182" s="3" t="n">
        <v>46</v>
      </c>
      <c r="AJ182" s="3" t="n">
        <v>3.2371</v>
      </c>
      <c r="AK182" s="3" t="n">
        <v>1.5396</v>
      </c>
      <c r="AL182" s="3" t="n">
        <v>-0.2433172600094551</v>
      </c>
      <c r="AM182" s="6" t="n">
        <v>0</v>
      </c>
      <c r="AN182" s="3" t="n">
        <v>0</v>
      </c>
      <c r="AO182" s="3" t="n">
        <v>0.2172</v>
      </c>
      <c r="AP182" s="3" t="n">
        <v>0.161172</v>
      </c>
      <c r="AQ182" s="3">
        <f>N(X182)*N(BJ182)</f>
        <v/>
      </c>
      <c r="AR182" s="3" t="n">
        <v>0</v>
      </c>
      <c r="AS182" s="3" t="n">
        <v>-0.5312990096912251</v>
      </c>
      <c r="AT182" s="3" t="n">
        <v>-0.2433172600094551</v>
      </c>
      <c r="AU182" s="3">
        <f>SUM(AO182:AT182)</f>
        <v/>
      </c>
      <c r="AV182" s="7">
        <f>IF(OR(N(W182)&lt;=0,N(BH182)=0),0,N(W182)*IF(N(R182)/N(W182)&gt;=60,N(BH182),1))</f>
        <v/>
      </c>
      <c r="AW182" s="7">
        <f>N(W182)*N(AF182)*N(BI182)</f>
        <v/>
      </c>
      <c r="AX182" s="3">
        <f>IF(N(BH182)=0,0,N(W182)*N(AH182))</f>
        <v/>
      </c>
      <c r="AY182" s="7">
        <f>N(AM182)*(Assumptions!$B$13*N(BK182)-(1-Assumptions!$B$13)*Assumptions!$B$14)+N(AN182)</f>
        <v/>
      </c>
      <c r="AZ182" s="7">
        <f>N(AU182)*N(R182)/90+N(AV182)+N(AW182)+N(AX182)+N(AY182)</f>
        <v/>
      </c>
      <c r="BA182" s="3">
        <f>IF(N(R182)&lt;=0,0,(N(AZ182)-N(AY182))*90/N(R182))</f>
        <v/>
      </c>
      <c r="BB182" s="7">
        <f>IFERROR(AZ182-VLOOKUP($E182,Assumptions!$A$40:$C$43,3,FALSE),"")</f>
        <v/>
      </c>
      <c r="BC182" s="3">
        <f>IFERROR(BB182/H182,"")</f>
        <v/>
      </c>
      <c r="BD182">
        <f>IF(AND($G182=TRUE,$E182="GKP"),AZ182,"")</f>
        <v/>
      </c>
      <c r="BE182">
        <f>IF(AND($G182=TRUE,$E182="DEF"),AZ182,"")</f>
        <v/>
      </c>
      <c r="BF182">
        <f>IF(AND($G182=TRUE,$E182="MID"),AZ182,"")</f>
        <v/>
      </c>
      <c r="BG182">
        <f>IF(AND($G182=TRUE,$E182="FWD"),AZ182,"")</f>
        <v/>
      </c>
      <c r="BH182" t="n">
        <v>2</v>
      </c>
      <c r="BI182" t="n">
        <v>2</v>
      </c>
      <c r="BJ182" t="n">
        <v>4</v>
      </c>
      <c r="BK182" t="n">
        <v>6</v>
      </c>
    </row>
    <row r="183">
      <c r="A183" t="inlineStr">
        <is>
          <t>Jørgen Strand Larsen</t>
        </is>
      </c>
      <c r="B183" t="inlineStr">
        <is>
          <t>CRY</t>
        </is>
      </c>
      <c r="C183" t="inlineStr">
        <is>
          <t>CRY</t>
        </is>
      </c>
      <c r="D183" t="b">
        <v>0</v>
      </c>
      <c r="E183" t="inlineStr">
        <is>
          <t>FWD</t>
        </is>
      </c>
      <c r="F183" t="inlineStr">
        <is>
          <t>FWD</t>
        </is>
      </c>
      <c r="G183" t="b">
        <v>1</v>
      </c>
      <c r="H183" s="2" t="n">
        <v>6</v>
      </c>
      <c r="I183" t="inlineStr">
        <is>
          <t>a</t>
        </is>
      </c>
      <c r="K183" s="2" t="n">
        <v>2301</v>
      </c>
      <c r="L183" t="n">
        <v>75</v>
      </c>
      <c r="M183" s="3" t="n">
        <v>953</v>
      </c>
      <c r="N183" s="4" t="n">
        <v>1950</v>
      </c>
      <c r="O183" s="4" t="n">
        <v>997</v>
      </c>
      <c r="P183" s="5" t="inlineStr">
        <is>
          <t>medium</t>
        </is>
      </c>
      <c r="Q183" t="inlineStr">
        <is>
          <t>flat</t>
        </is>
      </c>
      <c r="R183" s="6" t="n">
        <v>1950</v>
      </c>
      <c r="S183" t="inlineStr">
        <is>
          <t>research</t>
        </is>
      </c>
      <c r="T183" s="5" t="inlineStr">
        <is>
          <t>Solio has the club-record signing at roughly a quarter of a season. He cost a fixed GBP 43m plus GBP 5m in add-ons in January on a four-and-a-half-year deal, and he started the final pre-season friendly at centre-forward while Mateta, back from the World Cup, did not. Palace-focused analysis in July described him as the long-term number nine whose vertical, box-presence profile fits Sage's system. Set at 1950 rather than a full starter's load because the striker slot is genuinely shared three ways.</t>
        </is>
      </c>
      <c r="U183" s="6" t="n">
        <v>77.59999999999999</v>
      </c>
      <c r="V183" s="2" t="n">
        <v>26</v>
      </c>
      <c r="W183" s="7">
        <f>IF(N(U183)&lt;=0,0,MIN(Assumptions!$B$15,N(R183)/N(U183)))</f>
        <v/>
      </c>
      <c r="X183" s="6" t="n">
        <v>0.216</v>
      </c>
      <c r="Y183" s="3" t="n">
        <v>0.1776</v>
      </c>
      <c r="Z183" t="inlineStr">
        <is>
          <t>adjusted xGOT</t>
        </is>
      </c>
      <c r="AA183" s="3" t="n">
        <v>0.766</v>
      </c>
      <c r="AB183" s="3" t="n">
        <v>1.118</v>
      </c>
      <c r="AC183" s="3" t="n">
        <v>15.4</v>
      </c>
      <c r="AD183" s="3" t="n">
        <v>0.0353</v>
      </c>
      <c r="AE183" s="3" t="n">
        <v>3.973</v>
      </c>
      <c r="AF183" s="3" t="n">
        <v>0.0002388066895152585</v>
      </c>
      <c r="AG183" s="3" t="n">
        <v>-0.488</v>
      </c>
      <c r="AH183" s="3" t="n">
        <v>0.2027581185</v>
      </c>
      <c r="AI183" s="3" t="n">
        <v>59</v>
      </c>
      <c r="AJ183" s="3" t="n">
        <v>3.2035</v>
      </c>
      <c r="AK183" s="3" t="n">
        <v>1.5923</v>
      </c>
      <c r="AL183" s="3" t="n">
        <v>-0.1648064653887614</v>
      </c>
      <c r="AM183" s="6" t="n">
        <v>0</v>
      </c>
      <c r="AN183" s="3" t="n">
        <v>0</v>
      </c>
      <c r="AO183" s="3" t="n">
        <v>0.7104</v>
      </c>
      <c r="AP183" s="3" t="n">
        <v>0.139788</v>
      </c>
      <c r="AQ183" s="3">
        <f>N(X183)*N(BJ183)</f>
        <v/>
      </c>
      <c r="AR183" s="3" t="n">
        <v>0</v>
      </c>
      <c r="AS183" s="3" t="n">
        <v>-0</v>
      </c>
      <c r="AT183" s="3" t="n">
        <v>-0.1648064653887614</v>
      </c>
      <c r="AU183" s="3">
        <f>SUM(AO183:AT183)</f>
        <v/>
      </c>
      <c r="AV183" s="7">
        <f>IF(OR(N(W183)&lt;=0,N(BH183)=0),0,N(W183)*IF(N(R183)/N(W183)&gt;=60,N(BH183),1))</f>
        <v/>
      </c>
      <c r="AW183" s="7">
        <f>N(W183)*N(AF183)*N(BI183)</f>
        <v/>
      </c>
      <c r="AX183" s="3">
        <f>IF(N(BH183)=0,0,N(W183)*N(AH183))</f>
        <v/>
      </c>
      <c r="AY183" s="7">
        <f>N(AM183)*(Assumptions!$B$13*N(BK183)-(1-Assumptions!$B$13)*Assumptions!$B$14)+N(AN183)</f>
        <v/>
      </c>
      <c r="AZ183" s="7">
        <f>N(AU183)*N(R183)/90+N(AV183)+N(AW183)+N(AX183)+N(AY183)</f>
        <v/>
      </c>
      <c r="BA183" s="3">
        <f>IF(N(R183)&lt;=0,0,(N(AZ183)-N(AY183))*90/N(R183))</f>
        <v/>
      </c>
      <c r="BB183" s="7">
        <f>IFERROR(AZ183-VLOOKUP($E183,Assumptions!$A$40:$C$43,3,FALSE),"")</f>
        <v/>
      </c>
      <c r="BC183" s="3">
        <f>IFERROR(BB183/H183,"")</f>
        <v/>
      </c>
      <c r="BD183">
        <f>IF(AND($G183=TRUE,$E183="GKP"),AZ183,"")</f>
        <v/>
      </c>
      <c r="BE183">
        <f>IF(AND($G183=TRUE,$E183="DEF"),AZ183,"")</f>
        <v/>
      </c>
      <c r="BF183">
        <f>IF(AND($G183=TRUE,$E183="MID"),AZ183,"")</f>
        <v/>
      </c>
      <c r="BG183">
        <f>IF(AND($G183=TRUE,$E183="FWD"),AZ183,"")</f>
        <v/>
      </c>
      <c r="BH183" t="n">
        <v>2</v>
      </c>
      <c r="BI183" t="n">
        <v>2</v>
      </c>
      <c r="BJ183" t="n">
        <v>0</v>
      </c>
      <c r="BK183" t="n">
        <v>4</v>
      </c>
    </row>
    <row r="184">
      <c r="A184" t="inlineStr">
        <is>
          <t>Mohammed Kudus</t>
        </is>
      </c>
      <c r="B184" t="inlineStr">
        <is>
          <t>TOT</t>
        </is>
      </c>
      <c r="C184" t="inlineStr">
        <is>
          <t>TOT</t>
        </is>
      </c>
      <c r="D184" t="b">
        <v>0</v>
      </c>
      <c r="E184" t="inlineStr">
        <is>
          <t>MID</t>
        </is>
      </c>
      <c r="F184" t="inlineStr">
        <is>
          <t>MID</t>
        </is>
      </c>
      <c r="G184" t="b">
        <v>1</v>
      </c>
      <c r="H184" s="2" t="n">
        <v>6.5</v>
      </c>
      <c r="I184" t="inlineStr">
        <is>
          <t>d</t>
        </is>
      </c>
      <c r="J184" t="inlineStr">
        <is>
          <t>Thigh injury - 75% chance of playing</t>
        </is>
      </c>
      <c r="K184" s="2" t="n">
        <v>1535</v>
      </c>
      <c r="L184" t="n">
        <v>75</v>
      </c>
      <c r="M184" s="3" t="n">
        <v>1858</v>
      </c>
      <c r="N184" s="8" t="n">
        <v>1858</v>
      </c>
      <c r="O184" s="8" t="n">
        <v>0</v>
      </c>
      <c r="Q184" t="inlineStr">
        <is>
          <t>flat</t>
        </is>
      </c>
      <c r="R184" s="6" t="n">
        <v>1858</v>
      </c>
      <c r="S184" t="inlineStr">
        <is>
          <t>Solio</t>
        </is>
      </c>
      <c r="U184" s="6" t="n">
        <v>80.59999999999999</v>
      </c>
      <c r="V184" s="2" t="n">
        <v>19</v>
      </c>
      <c r="W184" s="7">
        <f>IF(N(U184)&lt;=0,0,MIN(Assumptions!$B$15,N(R184)/N(U184)))</f>
        <v/>
      </c>
      <c r="X184" s="6" t="n">
        <v>0.286</v>
      </c>
      <c r="Y184" s="3" t="n">
        <v>0.1118</v>
      </c>
      <c r="Z184" t="inlineStr">
        <is>
          <t>adjusted xGOT</t>
        </is>
      </c>
      <c r="AA184" s="3" t="n">
        <v>1</v>
      </c>
      <c r="AB184" s="3" t="n">
        <v>0.993</v>
      </c>
      <c r="AC184" s="3" t="n">
        <v>14</v>
      </c>
      <c r="AD184" s="3" t="n">
        <v>0.1461</v>
      </c>
      <c r="AE184" s="3" t="n">
        <v>8.047000000000001</v>
      </c>
      <c r="AF184" s="3" t="n">
        <v>0.06323590884806507</v>
      </c>
      <c r="AG184" s="3" t="n">
        <v>4.534</v>
      </c>
      <c r="AH184" s="3" t="n">
        <v>0.1679753328</v>
      </c>
      <c r="AI184" s="3" t="n">
        <v>36</v>
      </c>
      <c r="AJ184" s="3" t="n">
        <v>2.5739</v>
      </c>
      <c r="AK184" s="3" t="n">
        <v>1.3096</v>
      </c>
      <c r="AL184" s="3" t="n">
        <v>-0.1761937016347322</v>
      </c>
      <c r="AM184" s="6" t="n">
        <v>0.5734579585226187</v>
      </c>
      <c r="AN184" s="3" t="n">
        <v>0</v>
      </c>
      <c r="AO184" s="3" t="n">
        <v>0.5589999999999999</v>
      </c>
      <c r="AP184" s="3" t="n">
        <v>0.5785560000000001</v>
      </c>
      <c r="AQ184" s="3">
        <f>N(X184)*N(BJ184)</f>
        <v/>
      </c>
      <c r="AR184" s="3" t="n">
        <v>0</v>
      </c>
      <c r="AS184" s="3" t="n">
        <v>-0</v>
      </c>
      <c r="AT184" s="3" t="n">
        <v>-0.1761937016347322</v>
      </c>
      <c r="AU184" s="3">
        <f>SUM(AO184:AT184)</f>
        <v/>
      </c>
      <c r="AV184" s="7">
        <f>IF(OR(N(W184)&lt;=0,N(BH184)=0),0,N(W184)*IF(N(R184)/N(W184)&gt;=60,N(BH184),1))</f>
        <v/>
      </c>
      <c r="AW184" s="7">
        <f>N(W184)*N(AF184)*N(BI184)</f>
        <v/>
      </c>
      <c r="AX184" s="3">
        <f>IF(N(BH184)=0,0,N(W184)*N(AH184))</f>
        <v/>
      </c>
      <c r="AY184" s="7">
        <f>N(AM184)*(Assumptions!$B$13*N(BK184)-(1-Assumptions!$B$13)*Assumptions!$B$14)+N(AN184)</f>
        <v/>
      </c>
      <c r="AZ184" s="7">
        <f>N(AU184)*N(R184)/90+N(AV184)+N(AW184)+N(AX184)+N(AY184)</f>
        <v/>
      </c>
      <c r="BA184" s="3">
        <f>IF(N(R184)&lt;=0,0,(N(AZ184)-N(AY184))*90/N(R184))</f>
        <v/>
      </c>
      <c r="BB184" s="7">
        <f>IFERROR(AZ184-VLOOKUP($E184,Assumptions!$A$40:$C$43,3,FALSE),"")</f>
        <v/>
      </c>
      <c r="BC184" s="3">
        <f>IFERROR(BB184/H184,"")</f>
        <v/>
      </c>
      <c r="BD184">
        <f>IF(AND($G184=TRUE,$E184="GKP"),AZ184,"")</f>
        <v/>
      </c>
      <c r="BE184">
        <f>IF(AND($G184=TRUE,$E184="DEF"),AZ184,"")</f>
        <v/>
      </c>
      <c r="BF184">
        <f>IF(AND($G184=TRUE,$E184="MID"),AZ184,"")</f>
        <v/>
      </c>
      <c r="BG184">
        <f>IF(AND($G184=TRUE,$E184="FWD"),AZ184,"")</f>
        <v/>
      </c>
      <c r="BH184" t="n">
        <v>2</v>
      </c>
      <c r="BI184" t="n">
        <v>2</v>
      </c>
      <c r="BJ184" t="n">
        <v>1</v>
      </c>
      <c r="BK184" t="n">
        <v>5</v>
      </c>
    </row>
    <row r="185">
      <c r="A185" t="inlineStr">
        <is>
          <t>Martin Ødegaard</t>
        </is>
      </c>
      <c r="B185" t="inlineStr">
        <is>
          <t>ARS</t>
        </is>
      </c>
      <c r="C185" t="inlineStr">
        <is>
          <t>ARS</t>
        </is>
      </c>
      <c r="D185" t="b">
        <v>0</v>
      </c>
      <c r="E185" t="inlineStr">
        <is>
          <t>MID</t>
        </is>
      </c>
      <c r="F185" t="inlineStr">
        <is>
          <t>MID</t>
        </is>
      </c>
      <c r="G185" t="b">
        <v>1</v>
      </c>
      <c r="H185" s="2" t="n">
        <v>6.5</v>
      </c>
      <c r="I185" t="inlineStr">
        <is>
          <t>a</t>
        </is>
      </c>
      <c r="K185" s="2" t="n">
        <v>1363</v>
      </c>
      <c r="L185" t="n">
        <v>74</v>
      </c>
      <c r="M185" s="3" t="n">
        <v>1864</v>
      </c>
      <c r="N185" s="8" t="n">
        <v>1864</v>
      </c>
      <c r="O185" s="8" t="n">
        <v>0</v>
      </c>
      <c r="Q185" t="inlineStr">
        <is>
          <t>flat</t>
        </is>
      </c>
      <c r="R185" s="6" t="n">
        <v>1864</v>
      </c>
      <c r="S185" t="inlineStr">
        <is>
          <t>Solio</t>
        </is>
      </c>
      <c r="U185" s="6" t="n">
        <v>75.40000000000001</v>
      </c>
      <c r="V185" s="2" t="n">
        <v>16</v>
      </c>
      <c r="W185" s="7">
        <f>IF(N(U185)&lt;=0,0,MIN(Assumptions!$B$15,N(R185)/N(U185)))</f>
        <v/>
      </c>
      <c r="X185" s="6" t="n">
        <v>0.391</v>
      </c>
      <c r="Y185" s="3" t="n">
        <v>0.0789</v>
      </c>
      <c r="Z185" t="inlineStr">
        <is>
          <t>adjusted xGOT</t>
        </is>
      </c>
      <c r="AA185" s="3" t="n">
        <v>1</v>
      </c>
      <c r="AB185" s="3" t="n">
        <v>0.956</v>
      </c>
      <c r="AC185" s="3" t="n">
        <v>23.4</v>
      </c>
      <c r="AD185" s="3" t="n">
        <v>0.2849</v>
      </c>
      <c r="AE185" s="3" t="n">
        <v>7.372</v>
      </c>
      <c r="AF185" s="3" t="n">
        <v>0.02435825203434494</v>
      </c>
      <c r="AG185" s="3" t="n">
        <v>7.008</v>
      </c>
      <c r="AH185" s="3" t="n">
        <v>0.201247648</v>
      </c>
      <c r="AI185" s="3" t="n">
        <v>35</v>
      </c>
      <c r="AJ185" s="3" t="n">
        <v>2.067</v>
      </c>
      <c r="AK185" s="3" t="n">
        <v>0.9838</v>
      </c>
      <c r="AL185" s="3" t="n">
        <v>-0.1224617090783342</v>
      </c>
      <c r="AM185" s="6" t="n">
        <v>0.3597186046144329</v>
      </c>
      <c r="AN185" s="3" t="n">
        <v>0</v>
      </c>
      <c r="AO185" s="3" t="n">
        <v>0.3945</v>
      </c>
      <c r="AP185" s="3" t="n">
        <v>1.128204</v>
      </c>
      <c r="AQ185" s="3">
        <f>N(X185)*N(BJ185)</f>
        <v/>
      </c>
      <c r="AR185" s="3" t="n">
        <v>0</v>
      </c>
      <c r="AS185" s="3" t="n">
        <v>-0</v>
      </c>
      <c r="AT185" s="3" t="n">
        <v>-0.1224617090783342</v>
      </c>
      <c r="AU185" s="3">
        <f>SUM(AO185:AT185)</f>
        <v/>
      </c>
      <c r="AV185" s="7">
        <f>IF(OR(N(W185)&lt;=0,N(BH185)=0),0,N(W185)*IF(N(R185)/N(W185)&gt;=60,N(BH185),1))</f>
        <v/>
      </c>
      <c r="AW185" s="7">
        <f>N(W185)*N(AF185)*N(BI185)</f>
        <v/>
      </c>
      <c r="AX185" s="3">
        <f>IF(N(BH185)=0,0,N(W185)*N(AH185))</f>
        <v/>
      </c>
      <c r="AY185" s="7">
        <f>N(AM185)*(Assumptions!$B$13*N(BK185)-(1-Assumptions!$B$13)*Assumptions!$B$14)+N(AN185)</f>
        <v/>
      </c>
      <c r="AZ185" s="7">
        <f>N(AU185)*N(R185)/90+N(AV185)+N(AW185)+N(AX185)+N(AY185)</f>
        <v/>
      </c>
      <c r="BA185" s="3">
        <f>IF(N(R185)&lt;=0,0,(N(AZ185)-N(AY185))*90/N(R185))</f>
        <v/>
      </c>
      <c r="BB185" s="7">
        <f>IFERROR(AZ185-VLOOKUP($E185,Assumptions!$A$40:$C$43,3,FALSE),"")</f>
        <v/>
      </c>
      <c r="BC185" s="3">
        <f>IFERROR(BB185/H185,"")</f>
        <v/>
      </c>
      <c r="BD185">
        <f>IF(AND($G185=TRUE,$E185="GKP"),AZ185,"")</f>
        <v/>
      </c>
      <c r="BE185">
        <f>IF(AND($G185=TRUE,$E185="DEF"),AZ185,"")</f>
        <v/>
      </c>
      <c r="BF185">
        <f>IF(AND($G185=TRUE,$E185="MID"),AZ185,"")</f>
        <v/>
      </c>
      <c r="BG185">
        <f>IF(AND($G185=TRUE,$E185="FWD"),AZ185,"")</f>
        <v/>
      </c>
      <c r="BH185" t="n">
        <v>2</v>
      </c>
      <c r="BI185" t="n">
        <v>2</v>
      </c>
      <c r="BJ185" t="n">
        <v>1</v>
      </c>
      <c r="BK185" t="n">
        <v>5</v>
      </c>
    </row>
    <row r="186">
      <c r="A186" t="inlineStr">
        <is>
          <t>Wilson Isidor</t>
        </is>
      </c>
      <c r="B186" t="inlineStr">
        <is>
          <t>SUN</t>
        </is>
      </c>
      <c r="C186" t="inlineStr">
        <is>
          <t>SUN</t>
        </is>
      </c>
      <c r="D186" t="b">
        <v>0</v>
      </c>
      <c r="E186" t="inlineStr">
        <is>
          <t>FWD</t>
        </is>
      </c>
      <c r="F186" t="inlineStr">
        <is>
          <t>FWD</t>
        </is>
      </c>
      <c r="G186" t="b">
        <v>1</v>
      </c>
      <c r="H186" s="2" t="n">
        <v>5.5</v>
      </c>
      <c r="I186" t="inlineStr">
        <is>
          <t>a</t>
        </is>
      </c>
      <c r="K186" s="2" t="n">
        <v>1148</v>
      </c>
      <c r="L186" t="n">
        <v>74</v>
      </c>
      <c r="M186" s="3" t="n">
        <v>481</v>
      </c>
      <c r="N186" s="4" t="n">
        <v>1000</v>
      </c>
      <c r="O186" s="4" t="n">
        <v>519</v>
      </c>
      <c r="P186" s="5" t="inlineStr">
        <is>
          <t>high</t>
        </is>
      </c>
      <c r="Q186" t="inlineStr">
        <is>
          <t>flat</t>
        </is>
      </c>
      <c r="R186" s="6" t="n">
        <v>1000</v>
      </c>
      <c r="S186" t="inlineStr">
        <is>
          <t>research</t>
        </is>
      </c>
      <c r="T186" s="5" t="inlineStr">
        <is>
          <t>Solio's 481 minutes is a departure assumption that the club has explicitly contradicted. Sky Sports reported on 4 Aug that Sunderland made clear Isidor is not for sale; a Hull City bid around GBP10m was rejected and West Ham were rebuffed; Le Bris shut the speculation down after the Lens win, in which Isidor scored. He came on for Brobbey on 72' against Rennes. The structural point is that Eliezer Mayenda was sold to Rennes for GBP22m on 5 Jul and Nazariy Rusyn and Ahmed Abdullahi also left, leaving Brobbey and Isidor as the only two senior strikers for one starting slot plus a Europa League league phase. Isidor played 1,148 Premier League minutes last season behind Mayenda; with Mayenda gone he should not be modelled below that by more than half.</t>
        </is>
      </c>
      <c r="U186" s="6" t="n">
        <v>74.7</v>
      </c>
      <c r="V186" s="2" t="n">
        <v>11</v>
      </c>
      <c r="W186" s="7">
        <f>IF(N(U186)&lt;=0,0,MIN(Assumptions!$B$15,N(R186)/N(U186)))</f>
        <v/>
      </c>
      <c r="X186" s="6" t="n">
        <v>0.204</v>
      </c>
      <c r="Y186" s="3" t="n">
        <v>0.383</v>
      </c>
      <c r="Z186" t="inlineStr">
        <is>
          <t>adjusted xGOT</t>
        </is>
      </c>
      <c r="AA186" s="3" t="n">
        <v>1</v>
      </c>
      <c r="AB186" s="3" t="n">
        <v>1.039</v>
      </c>
      <c r="AC186" s="3" t="n">
        <v>4.7</v>
      </c>
      <c r="AD186" s="3" t="n">
        <v>0.0149</v>
      </c>
      <c r="AE186" s="3" t="n">
        <v>4.305</v>
      </c>
      <c r="AF186" s="3" t="n">
        <v>0.0003467886689056954</v>
      </c>
      <c r="AG186" s="3" t="n">
        <v>1.085</v>
      </c>
      <c r="AH186" s="3" t="n">
        <v>0.4708163777</v>
      </c>
      <c r="AI186" s="3" t="n">
        <v>41</v>
      </c>
      <c r="AJ186" s="3" t="n">
        <v>3.3348</v>
      </c>
      <c r="AK186" s="3" t="n">
        <v>1.6498</v>
      </c>
      <c r="AL186" s="3" t="n">
        <v>-0.1371338303963969</v>
      </c>
      <c r="AM186" s="6" t="n">
        <v>0</v>
      </c>
      <c r="AN186" s="3" t="n">
        <v>0</v>
      </c>
      <c r="AO186" s="3" t="n">
        <v>1.532</v>
      </c>
      <c r="AP186" s="3" t="n">
        <v>0.05900400000000001</v>
      </c>
      <c r="AQ186" s="3">
        <f>N(X186)*N(BJ186)</f>
        <v/>
      </c>
      <c r="AR186" s="3" t="n">
        <v>0</v>
      </c>
      <c r="AS186" s="3" t="n">
        <v>-0</v>
      </c>
      <c r="AT186" s="3" t="n">
        <v>-0.1371338303963969</v>
      </c>
      <c r="AU186" s="3">
        <f>SUM(AO186:AT186)</f>
        <v/>
      </c>
      <c r="AV186" s="7">
        <f>IF(OR(N(W186)&lt;=0,N(BH186)=0),0,N(W186)*IF(N(R186)/N(W186)&gt;=60,N(BH186),1))</f>
        <v/>
      </c>
      <c r="AW186" s="7">
        <f>N(W186)*N(AF186)*N(BI186)</f>
        <v/>
      </c>
      <c r="AX186" s="3">
        <f>IF(N(BH186)=0,0,N(W186)*N(AH186))</f>
        <v/>
      </c>
      <c r="AY186" s="7">
        <f>N(AM186)*(Assumptions!$B$13*N(BK186)-(1-Assumptions!$B$13)*Assumptions!$B$14)+N(AN186)</f>
        <v/>
      </c>
      <c r="AZ186" s="7">
        <f>N(AU186)*N(R186)/90+N(AV186)+N(AW186)+N(AX186)+N(AY186)</f>
        <v/>
      </c>
      <c r="BA186" s="3">
        <f>IF(N(R186)&lt;=0,0,(N(AZ186)-N(AY186))*90/N(R186))</f>
        <v/>
      </c>
      <c r="BB186" s="7">
        <f>IFERROR(AZ186-VLOOKUP($E186,Assumptions!$A$40:$C$43,3,FALSE),"")</f>
        <v/>
      </c>
      <c r="BC186" s="3">
        <f>IFERROR(BB186/H186,"")</f>
        <v/>
      </c>
      <c r="BD186">
        <f>IF(AND($G186=TRUE,$E186="GKP"),AZ186,"")</f>
        <v/>
      </c>
      <c r="BE186">
        <f>IF(AND($G186=TRUE,$E186="DEF"),AZ186,"")</f>
        <v/>
      </c>
      <c r="BF186">
        <f>IF(AND($G186=TRUE,$E186="MID"),AZ186,"")</f>
        <v/>
      </c>
      <c r="BG186">
        <f>IF(AND($G186=TRUE,$E186="FWD"),AZ186,"")</f>
        <v/>
      </c>
      <c r="BH186" t="n">
        <v>2</v>
      </c>
      <c r="BI186" t="n">
        <v>2</v>
      </c>
      <c r="BJ186" t="n">
        <v>0</v>
      </c>
      <c r="BK186" t="n">
        <v>4</v>
      </c>
    </row>
    <row r="187">
      <c r="A187" t="inlineStr">
        <is>
          <t>Reinildo Mandava</t>
        </is>
      </c>
      <c r="B187" t="inlineStr">
        <is>
          <t>SUN</t>
        </is>
      </c>
      <c r="C187" t="inlineStr">
        <is>
          <t>SUN</t>
        </is>
      </c>
      <c r="D187" t="b">
        <v>0</v>
      </c>
      <c r="E187" t="inlineStr">
        <is>
          <t>DEF</t>
        </is>
      </c>
      <c r="F187" t="inlineStr">
        <is>
          <t>DEF</t>
        </is>
      </c>
      <c r="G187" t="b">
        <v>1</v>
      </c>
      <c r="H187" s="2" t="n">
        <v>4.5</v>
      </c>
      <c r="I187" t="inlineStr">
        <is>
          <t>a</t>
        </is>
      </c>
      <c r="K187" s="2" t="n">
        <v>1966</v>
      </c>
      <c r="L187" t="n">
        <v>74</v>
      </c>
      <c r="M187" s="3" t="n">
        <v>3067</v>
      </c>
      <c r="N187" s="4" t="n">
        <v>2100</v>
      </c>
      <c r="O187" s="4" t="n">
        <v>-967</v>
      </c>
      <c r="P187" s="5" t="inlineStr">
        <is>
          <t>medium</t>
        </is>
      </c>
      <c r="Q187" t="inlineStr">
        <is>
          <t>flat</t>
        </is>
      </c>
      <c r="R187" s="6" t="n">
        <v>2100</v>
      </c>
      <c r="S187" t="inlineStr">
        <is>
          <t>research</t>
        </is>
      </c>
      <c r="T187" s="5" t="inlineStr">
        <is>
          <t>Solio projects Reinildo for 3,067 minutes, well above the 1,966 he actually played in 2025/26, on the assumption that left-back is his uncontested. It is not: Sunderland have a full agreement with Toulouse worth GBP25.6m (GBP23.9m plus GBP1.7m add-ons) for 20-year-old left-back Dayann Methalie, with the medical imminent, and the Echo separately reports the club is pursuing both a left-back and a left-sided centre-half. A fee of that size, at a club whose only other window business was a free transfer, is a starter being bought. Reinildo starts the opener but should not be modelled as owning the position for 38 games. Note that Methalie is not yet in the FPL bootstrap and therefore has no code, so his minutes are not represented anywhere in this allocation.</t>
        </is>
      </c>
      <c r="U187" s="6" t="n">
        <v>85.7</v>
      </c>
      <c r="V187" s="2" t="n">
        <v>22</v>
      </c>
      <c r="W187" s="7">
        <f>IF(N(U187)&lt;=0,0,MIN(Assumptions!$B$15,N(R187)/N(U187)))</f>
        <v/>
      </c>
      <c r="X187" s="6" t="n">
        <v>0.204</v>
      </c>
      <c r="Y187" s="3" t="n">
        <v>0.0059</v>
      </c>
      <c r="Z187" t="inlineStr">
        <is>
          <t>adjusted xGOT</t>
        </is>
      </c>
      <c r="AA187" s="3" t="n">
        <v>1</v>
      </c>
      <c r="AB187" s="3" t="n">
        <v>0.984</v>
      </c>
      <c r="AC187" s="3" t="n">
        <v>0.1</v>
      </c>
      <c r="AD187" s="3" t="n">
        <v>0.021</v>
      </c>
      <c r="AE187" s="3" t="n">
        <v>7.555</v>
      </c>
      <c r="AF187" s="3" t="n">
        <v>0.1897128650427657</v>
      </c>
      <c r="AG187" s="3" t="n">
        <v>7.871</v>
      </c>
      <c r="AH187" s="3" t="n">
        <v>0.1061183166</v>
      </c>
      <c r="AI187" s="3" t="n">
        <v>46</v>
      </c>
      <c r="AJ187" s="3" t="n">
        <v>3.3348</v>
      </c>
      <c r="AK187" s="3" t="n">
        <v>1.6498</v>
      </c>
      <c r="AL187" s="3" t="n">
        <v>-0.2836729110137559</v>
      </c>
      <c r="AM187" s="6" t="n">
        <v>0</v>
      </c>
      <c r="AN187" s="3" t="n">
        <v>0</v>
      </c>
      <c r="AO187" s="3" t="n">
        <v>0.0354</v>
      </c>
      <c r="AP187" s="3" t="n">
        <v>0.08316</v>
      </c>
      <c r="AQ187" s="3">
        <f>N(X187)*N(BJ187)</f>
        <v/>
      </c>
      <c r="AR187" s="3" t="n">
        <v>0</v>
      </c>
      <c r="AS187" s="3" t="n">
        <v>-0.5841244809045405</v>
      </c>
      <c r="AT187" s="3" t="n">
        <v>-0.2836729110137559</v>
      </c>
      <c r="AU187" s="3">
        <f>SUM(AO187:AT187)</f>
        <v/>
      </c>
      <c r="AV187" s="7">
        <f>IF(OR(N(W187)&lt;=0,N(BH187)=0),0,N(W187)*IF(N(R187)/N(W187)&gt;=60,N(BH187),1))</f>
        <v/>
      </c>
      <c r="AW187" s="7">
        <f>N(W187)*N(AF187)*N(BI187)</f>
        <v/>
      </c>
      <c r="AX187" s="3">
        <f>IF(N(BH187)=0,0,N(W187)*N(AH187))</f>
        <v/>
      </c>
      <c r="AY187" s="7">
        <f>N(AM187)*(Assumptions!$B$13*N(BK187)-(1-Assumptions!$B$13)*Assumptions!$B$14)+N(AN187)</f>
        <v/>
      </c>
      <c r="AZ187" s="7">
        <f>N(AU187)*N(R187)/90+N(AV187)+N(AW187)+N(AX187)+N(AY187)</f>
        <v/>
      </c>
      <c r="BA187" s="3">
        <f>IF(N(R187)&lt;=0,0,(N(AZ187)-N(AY187))*90/N(R187))</f>
        <v/>
      </c>
      <c r="BB187" s="7">
        <f>IFERROR(AZ187-VLOOKUP($E187,Assumptions!$A$40:$C$43,3,FALSE),"")</f>
        <v/>
      </c>
      <c r="BC187" s="3">
        <f>IFERROR(BB187/H187,"")</f>
        <v/>
      </c>
      <c r="BD187">
        <f>IF(AND($G187=TRUE,$E187="GKP"),AZ187,"")</f>
        <v/>
      </c>
      <c r="BE187">
        <f>IF(AND($G187=TRUE,$E187="DEF"),AZ187,"")</f>
        <v/>
      </c>
      <c r="BF187">
        <f>IF(AND($G187=TRUE,$E187="MID"),AZ187,"")</f>
        <v/>
      </c>
      <c r="BG187">
        <f>IF(AND($G187=TRUE,$E187="FWD"),AZ187,"")</f>
        <v/>
      </c>
      <c r="BH187" t="n">
        <v>2</v>
      </c>
      <c r="BI187" t="n">
        <v>2</v>
      </c>
      <c r="BJ187" t="n">
        <v>4</v>
      </c>
      <c r="BK187" t="n">
        <v>6</v>
      </c>
    </row>
    <row r="188">
      <c r="A188" t="inlineStr">
        <is>
          <t>Vitaly Janelt</t>
        </is>
      </c>
      <c r="B188" t="inlineStr">
        <is>
          <t>BRE</t>
        </is>
      </c>
      <c r="C188" t="inlineStr">
        <is>
          <t>BRE</t>
        </is>
      </c>
      <c r="D188" t="b">
        <v>0</v>
      </c>
      <c r="E188" t="inlineStr">
        <is>
          <t>MID</t>
        </is>
      </c>
      <c r="F188" t="inlineStr">
        <is>
          <t>MID</t>
        </is>
      </c>
      <c r="G188" t="b">
        <v>1</v>
      </c>
      <c r="H188" s="2" t="n">
        <v>5</v>
      </c>
      <c r="I188" t="inlineStr">
        <is>
          <t>a</t>
        </is>
      </c>
      <c r="K188" s="2" t="n">
        <v>1434</v>
      </c>
      <c r="L188" t="n">
        <v>74</v>
      </c>
      <c r="M188" s="3" t="n">
        <v>780</v>
      </c>
      <c r="N188" s="4" t="n">
        <v>1050</v>
      </c>
      <c r="O188" s="4" t="n">
        <v>270</v>
      </c>
      <c r="P188" s="5" t="inlineStr">
        <is>
          <t>medium</t>
        </is>
      </c>
      <c r="Q188" t="inlineStr">
        <is>
          <t>fade (losing his place)</t>
        </is>
      </c>
      <c r="R188" s="6" t="n">
        <v>1050</v>
      </c>
      <c r="S188" t="inlineStr">
        <is>
          <t>research</t>
        </is>
      </c>
      <c r="T188" s="5" t="inlineStr">
        <is>
          <t>Solio flags him 'fade (losing his place)' at 780 minutes, but he started the final pre-season friendly in a midfield three with Sangare and Jensen. Modest upgrade only - a single friendly start is thin evidence and he did drop from 1434 minutes last season - but 780 looks too low for a starter in the last rehearsal before the opener.</t>
        </is>
      </c>
      <c r="U188" s="6" t="n">
        <v>81.5</v>
      </c>
      <c r="V188" s="2" t="n">
        <v>15</v>
      </c>
      <c r="W188" s="7">
        <f>IF(N(U188)&lt;=0,0,MIN(Assumptions!$B$15,N(R188)/N(U188)))</f>
        <v/>
      </c>
      <c r="X188" s="6" t="n">
        <v>0.228</v>
      </c>
      <c r="Y188" s="3" t="n">
        <v>0.0522</v>
      </c>
      <c r="Z188" t="inlineStr">
        <is>
          <t>adjusted xGOT</t>
        </is>
      </c>
      <c r="AA188" s="3" t="n">
        <v>1</v>
      </c>
      <c r="AB188" s="3" t="n">
        <v>1.014</v>
      </c>
      <c r="AC188" s="3" t="n">
        <v>5.8</v>
      </c>
      <c r="AD188" s="3" t="n">
        <v>0.1908</v>
      </c>
      <c r="AE188" s="3" t="n">
        <v>10.513</v>
      </c>
      <c r="AF188" s="3" t="n">
        <v>0.2501582624829672</v>
      </c>
      <c r="AG188" s="3" t="n">
        <v>9.382999999999999</v>
      </c>
      <c r="AH188" s="3" t="n">
        <v>0.2315113786</v>
      </c>
      <c r="AI188" s="3" t="n">
        <v>40</v>
      </c>
      <c r="AJ188" s="3" t="n">
        <v>3.2371</v>
      </c>
      <c r="AK188" s="3" t="n">
        <v>1.5396</v>
      </c>
      <c r="AL188" s="3" t="n">
        <v>-0.2841879718516938</v>
      </c>
      <c r="AM188" s="6" t="n">
        <v>0</v>
      </c>
      <c r="AN188" s="3" t="n">
        <v>0</v>
      </c>
      <c r="AO188" s="3" t="n">
        <v>0.261</v>
      </c>
      <c r="AP188" s="3" t="n">
        <v>0.755568</v>
      </c>
      <c r="AQ188" s="3">
        <f>N(X188)*N(BJ188)</f>
        <v/>
      </c>
      <c r="AR188" s="3" t="n">
        <v>0</v>
      </c>
      <c r="AS188" s="3" t="n">
        <v>-0</v>
      </c>
      <c r="AT188" s="3" t="n">
        <v>-0.2841879718516938</v>
      </c>
      <c r="AU188" s="3">
        <f>SUM(AO188:AT188)</f>
        <v/>
      </c>
      <c r="AV188" s="7">
        <f>IF(OR(N(W188)&lt;=0,N(BH188)=0),0,N(W188)*IF(N(R188)/N(W188)&gt;=60,N(BH188),1))</f>
        <v/>
      </c>
      <c r="AW188" s="7">
        <f>N(W188)*N(AF188)*N(BI188)</f>
        <v/>
      </c>
      <c r="AX188" s="3">
        <f>IF(N(BH188)=0,0,N(W188)*N(AH188))</f>
        <v/>
      </c>
      <c r="AY188" s="7">
        <f>N(AM188)*(Assumptions!$B$13*N(BK188)-(1-Assumptions!$B$13)*Assumptions!$B$14)+N(AN188)</f>
        <v/>
      </c>
      <c r="AZ188" s="7">
        <f>N(AU188)*N(R188)/90+N(AV188)+N(AW188)+N(AX188)+N(AY188)</f>
        <v/>
      </c>
      <c r="BA188" s="3">
        <f>IF(N(R188)&lt;=0,0,(N(AZ188)-N(AY188))*90/N(R188))</f>
        <v/>
      </c>
      <c r="BB188" s="7">
        <f>IFERROR(AZ188-VLOOKUP($E188,Assumptions!$A$40:$C$43,3,FALSE),"")</f>
        <v/>
      </c>
      <c r="BC188" s="3">
        <f>IFERROR(BB188/H188,"")</f>
        <v/>
      </c>
      <c r="BD188">
        <f>IF(AND($G188=TRUE,$E188="GKP"),AZ188,"")</f>
        <v/>
      </c>
      <c r="BE188">
        <f>IF(AND($G188=TRUE,$E188="DEF"),AZ188,"")</f>
        <v/>
      </c>
      <c r="BF188">
        <f>IF(AND($G188=TRUE,$E188="MID"),AZ188,"")</f>
        <v/>
      </c>
      <c r="BG188">
        <f>IF(AND($G188=TRUE,$E188="FWD"),AZ188,"")</f>
        <v/>
      </c>
      <c r="BH188" t="n">
        <v>2</v>
      </c>
      <c r="BI188" t="n">
        <v>2</v>
      </c>
      <c r="BJ188" t="n">
        <v>1</v>
      </c>
      <c r="BK188" t="n">
        <v>5</v>
      </c>
    </row>
    <row r="189">
      <c r="A189" t="inlineStr">
        <is>
          <t>Joelinton</t>
        </is>
      </c>
      <c r="B189" t="inlineStr">
        <is>
          <t>NEW</t>
        </is>
      </c>
      <c r="C189" t="inlineStr">
        <is>
          <t>NEW</t>
        </is>
      </c>
      <c r="D189" t="b">
        <v>0</v>
      </c>
      <c r="E189" t="inlineStr">
        <is>
          <t>MID</t>
        </is>
      </c>
      <c r="F189" t="inlineStr">
        <is>
          <t>MID</t>
        </is>
      </c>
      <c r="G189" t="b">
        <v>1</v>
      </c>
      <c r="H189" s="2" t="n">
        <v>5.5</v>
      </c>
      <c r="I189" t="inlineStr">
        <is>
          <t>a</t>
        </is>
      </c>
      <c r="K189" s="2" t="n">
        <v>1950</v>
      </c>
      <c r="L189" t="n">
        <v>73</v>
      </c>
      <c r="M189" s="3" t="n">
        <v>1448</v>
      </c>
      <c r="N189" s="4" t="n">
        <v>1900</v>
      </c>
      <c r="O189" s="4" t="n">
        <v>452</v>
      </c>
      <c r="P189" s="5" t="inlineStr">
        <is>
          <t>medium</t>
        </is>
      </c>
      <c r="Q189" t="inlineStr">
        <is>
          <t>flat</t>
        </is>
      </c>
      <c r="R189" s="6" t="n">
        <v>1900</v>
      </c>
      <c r="S189" t="inlineStr">
        <is>
          <t>research</t>
        </is>
      </c>
      <c r="T189" s="5" t="inlineStr">
        <is>
          <t>Solio has him at 1,448, below his 1,950 minutes in 2025/26, at a moment when the midfield has been stripped out rather than reinforced. He captained the side v Everton on 12 Aug, and the VAVEL season preview XI names him as one of the two experienced central midfielders after Bruno Guimaraes and Sandro Tonali were both sold. Raised only moderately because his injury record is the genuine constraint.</t>
        </is>
      </c>
      <c r="U189" s="6" t="n">
        <v>80.59999999999999</v>
      </c>
      <c r="V189" s="2" t="n">
        <v>23</v>
      </c>
      <c r="W189" s="7">
        <f>IF(N(U189)&lt;=0,0,MIN(Assumptions!$B$15,N(R189)/N(U189)))</f>
        <v/>
      </c>
      <c r="X189" s="6" t="n">
        <v>0.248</v>
      </c>
      <c r="Y189" s="3" t="n">
        <v>0.1074</v>
      </c>
      <c r="Z189" t="inlineStr">
        <is>
          <t>adjusted xGOT</t>
        </is>
      </c>
      <c r="AA189" s="3" t="n">
        <v>1</v>
      </c>
      <c r="AB189" s="3" t="n">
        <v>0.986</v>
      </c>
      <c r="AC189" s="3" t="n">
        <v>16</v>
      </c>
      <c r="AD189" s="3" t="n">
        <v>0.0741</v>
      </c>
      <c r="AE189" s="3" t="n">
        <v>10.335</v>
      </c>
      <c r="AF189" s="3" t="n">
        <v>0.2224666535502605</v>
      </c>
      <c r="AG189" s="3" t="n">
        <v>6.909</v>
      </c>
      <c r="AH189" s="3" t="n">
        <v>0.2008928682</v>
      </c>
      <c r="AI189" s="3" t="n">
        <v>47</v>
      </c>
      <c r="AJ189" s="3" t="n">
        <v>3.0912</v>
      </c>
      <c r="AK189" s="3" t="n">
        <v>1.4534</v>
      </c>
      <c r="AL189" s="3" t="n">
        <v>-0.380738400166716</v>
      </c>
      <c r="AM189" s="6" t="n">
        <v>0</v>
      </c>
      <c r="AN189" s="3" t="n">
        <v>0</v>
      </c>
      <c r="AO189" s="3" t="n">
        <v>0.5369999999999999</v>
      </c>
      <c r="AP189" s="3" t="n">
        <v>0.293436</v>
      </c>
      <c r="AQ189" s="3">
        <f>N(X189)*N(BJ189)</f>
        <v/>
      </c>
      <c r="AR189" s="3" t="n">
        <v>0</v>
      </c>
      <c r="AS189" s="3" t="n">
        <v>-0</v>
      </c>
      <c r="AT189" s="3" t="n">
        <v>-0.380738400166716</v>
      </c>
      <c r="AU189" s="3">
        <f>SUM(AO189:AT189)</f>
        <v/>
      </c>
      <c r="AV189" s="7">
        <f>IF(OR(N(W189)&lt;=0,N(BH189)=0),0,N(W189)*IF(N(R189)/N(W189)&gt;=60,N(BH189),1))</f>
        <v/>
      </c>
      <c r="AW189" s="7">
        <f>N(W189)*N(AF189)*N(BI189)</f>
        <v/>
      </c>
      <c r="AX189" s="3">
        <f>IF(N(BH189)=0,0,N(W189)*N(AH189))</f>
        <v/>
      </c>
      <c r="AY189" s="7">
        <f>N(AM189)*(Assumptions!$B$13*N(BK189)-(1-Assumptions!$B$13)*Assumptions!$B$14)+N(AN189)</f>
        <v/>
      </c>
      <c r="AZ189" s="7">
        <f>N(AU189)*N(R189)/90+N(AV189)+N(AW189)+N(AX189)+N(AY189)</f>
        <v/>
      </c>
      <c r="BA189" s="3">
        <f>IF(N(R189)&lt;=0,0,(N(AZ189)-N(AY189))*90/N(R189))</f>
        <v/>
      </c>
      <c r="BB189" s="7">
        <f>IFERROR(AZ189-VLOOKUP($E189,Assumptions!$A$40:$C$43,3,FALSE),"")</f>
        <v/>
      </c>
      <c r="BC189" s="3">
        <f>IFERROR(BB189/H189,"")</f>
        <v/>
      </c>
      <c r="BD189">
        <f>IF(AND($G189=TRUE,$E189="GKP"),AZ189,"")</f>
        <v/>
      </c>
      <c r="BE189">
        <f>IF(AND($G189=TRUE,$E189="DEF"),AZ189,"")</f>
        <v/>
      </c>
      <c r="BF189">
        <f>IF(AND($G189=TRUE,$E189="MID"),AZ189,"")</f>
        <v/>
      </c>
      <c r="BG189">
        <f>IF(AND($G189=TRUE,$E189="FWD"),AZ189,"")</f>
        <v/>
      </c>
      <c r="BH189" t="n">
        <v>2</v>
      </c>
      <c r="BI189" t="n">
        <v>2</v>
      </c>
      <c r="BJ189" t="n">
        <v>1</v>
      </c>
      <c r="BK189" t="n">
        <v>5</v>
      </c>
    </row>
    <row r="190">
      <c r="A190" t="inlineStr">
        <is>
          <t>Kobbie Mainoo</t>
        </is>
      </c>
      <c r="B190" t="inlineStr">
        <is>
          <t>MUN</t>
        </is>
      </c>
      <c r="C190" t="inlineStr">
        <is>
          <t>MUN</t>
        </is>
      </c>
      <c r="D190" t="b">
        <v>0</v>
      </c>
      <c r="E190" t="inlineStr">
        <is>
          <t>MID</t>
        </is>
      </c>
      <c r="F190" t="inlineStr">
        <is>
          <t>MID</t>
        </is>
      </c>
      <c r="G190" t="b">
        <v>1</v>
      </c>
      <c r="H190" s="2" t="n">
        <v>5.5</v>
      </c>
      <c r="I190" t="inlineStr">
        <is>
          <t>a</t>
        </is>
      </c>
      <c r="K190" s="2" t="n">
        <v>1653</v>
      </c>
      <c r="L190" t="n">
        <v>73</v>
      </c>
      <c r="M190" s="3" t="n">
        <v>691</v>
      </c>
      <c r="N190" s="4" t="n">
        <v>1200</v>
      </c>
      <c r="O190" s="4" t="n">
        <v>509</v>
      </c>
      <c r="P190" s="5" t="inlineStr">
        <is>
          <t>low</t>
        </is>
      </c>
      <c r="Q190" t="inlineStr">
        <is>
          <t>flat</t>
        </is>
      </c>
      <c r="R190" s="6" t="n">
        <v>1200</v>
      </c>
      <c r="S190" t="inlineStr">
        <is>
          <t>research</t>
        </is>
      </c>
      <c r="T190" s="5" t="inlineStr">
        <is>
          <t>Solio's 691 minutes is 18% of a season for a player who managed 1,653 last term and whom Carrick restored to the side on arrival after Amorim had frozen him out. He is named as a live contender for the second pivot slot, and one report states United have decided he is their central midfield figure and undroppable when fit. He is on 1,200 rather than higher because he was late back from the World Cup, made no pre-season start, and Tielemans is ahead of him today.</t>
        </is>
      </c>
      <c r="U190" s="6" t="n">
        <v>85.59999999999999</v>
      </c>
      <c r="V190" s="2" t="n">
        <v>16</v>
      </c>
      <c r="W190" s="7">
        <f>IF(N(U190)&lt;=0,0,MIN(Assumptions!$B$15,N(R190)/N(U190)))</f>
        <v/>
      </c>
      <c r="X190" s="6" t="n">
        <v>0.334</v>
      </c>
      <c r="Y190" s="3" t="n">
        <v>0.0256</v>
      </c>
      <c r="Z190" t="inlineStr">
        <is>
          <t>adjusted xGOT</t>
        </is>
      </c>
      <c r="AA190" s="3" t="n">
        <v>1</v>
      </c>
      <c r="AB190" s="3" t="n">
        <v>0.981</v>
      </c>
      <c r="AC190" s="3" t="n">
        <v>2.2</v>
      </c>
      <c r="AD190" s="3" t="n">
        <v>0.067</v>
      </c>
      <c r="AE190" s="3" t="n">
        <v>9.695</v>
      </c>
      <c r="AF190" s="3" t="n">
        <v>0.2189462698811546</v>
      </c>
      <c r="AG190" s="3" t="n">
        <v>8.52</v>
      </c>
      <c r="AH190" s="3" t="n">
        <v>0.0974018176</v>
      </c>
      <c r="AI190" s="3" t="n">
        <v>44</v>
      </c>
      <c r="AJ190" s="3" t="n">
        <v>2.2165</v>
      </c>
      <c r="AK190" s="3" t="n">
        <v>1.1467</v>
      </c>
      <c r="AL190" s="3" t="n">
        <v>-0.1908418603439011</v>
      </c>
      <c r="AM190" s="6" t="n">
        <v>0</v>
      </c>
      <c r="AN190" s="3" t="n">
        <v>0</v>
      </c>
      <c r="AO190" s="3" t="n">
        <v>0.128</v>
      </c>
      <c r="AP190" s="3" t="n">
        <v>0.2653200000000001</v>
      </c>
      <c r="AQ190" s="3">
        <f>N(X190)*N(BJ190)</f>
        <v/>
      </c>
      <c r="AR190" s="3" t="n">
        <v>0</v>
      </c>
      <c r="AS190" s="3" t="n">
        <v>-0</v>
      </c>
      <c r="AT190" s="3" t="n">
        <v>-0.1908418603439011</v>
      </c>
      <c r="AU190" s="3">
        <f>SUM(AO190:AT190)</f>
        <v/>
      </c>
      <c r="AV190" s="7">
        <f>IF(OR(N(W190)&lt;=0,N(BH190)=0),0,N(W190)*IF(N(R190)/N(W190)&gt;=60,N(BH190),1))</f>
        <v/>
      </c>
      <c r="AW190" s="7">
        <f>N(W190)*N(AF190)*N(BI190)</f>
        <v/>
      </c>
      <c r="AX190" s="3">
        <f>IF(N(BH190)=0,0,N(W190)*N(AH190))</f>
        <v/>
      </c>
      <c r="AY190" s="7">
        <f>N(AM190)*(Assumptions!$B$13*N(BK190)-(1-Assumptions!$B$13)*Assumptions!$B$14)+N(AN190)</f>
        <v/>
      </c>
      <c r="AZ190" s="7">
        <f>N(AU190)*N(R190)/90+N(AV190)+N(AW190)+N(AX190)+N(AY190)</f>
        <v/>
      </c>
      <c r="BA190" s="3">
        <f>IF(N(R190)&lt;=0,0,(N(AZ190)-N(AY190))*90/N(R190))</f>
        <v/>
      </c>
      <c r="BB190" s="7">
        <f>IFERROR(AZ190-VLOOKUP($E190,Assumptions!$A$40:$C$43,3,FALSE),"")</f>
        <v/>
      </c>
      <c r="BC190" s="3">
        <f>IFERROR(BB190/H190,"")</f>
        <v/>
      </c>
      <c r="BD190">
        <f>IF(AND($G190=TRUE,$E190="GKP"),AZ190,"")</f>
        <v/>
      </c>
      <c r="BE190">
        <f>IF(AND($G190=TRUE,$E190="DEF"),AZ190,"")</f>
        <v/>
      </c>
      <c r="BF190">
        <f>IF(AND($G190=TRUE,$E190="MID"),AZ190,"")</f>
        <v/>
      </c>
      <c r="BG190">
        <f>IF(AND($G190=TRUE,$E190="FWD"),AZ190,"")</f>
        <v/>
      </c>
      <c r="BH190" t="n">
        <v>2</v>
      </c>
      <c r="BI190" t="n">
        <v>2</v>
      </c>
      <c r="BJ190" t="n">
        <v>1</v>
      </c>
      <c r="BK190" t="n">
        <v>5</v>
      </c>
    </row>
    <row r="191">
      <c r="A191" t="inlineStr">
        <is>
          <t>Lukas Nmecha</t>
        </is>
      </c>
      <c r="B191" t="inlineStr">
        <is>
          <t>LEE</t>
        </is>
      </c>
      <c r="C191" t="inlineStr">
        <is>
          <t>LEE</t>
        </is>
      </c>
      <c r="D191" t="b">
        <v>0</v>
      </c>
      <c r="E191" t="inlineStr">
        <is>
          <t>FWD</t>
        </is>
      </c>
      <c r="F191" t="inlineStr">
        <is>
          <t>FWD</t>
        </is>
      </c>
      <c r="G191" t="b">
        <v>1</v>
      </c>
      <c r="H191" s="2" t="n">
        <v>5.5</v>
      </c>
      <c r="I191" t="inlineStr">
        <is>
          <t>a</t>
        </is>
      </c>
      <c r="K191" s="2" t="n">
        <v>1065</v>
      </c>
      <c r="L191" t="n">
        <v>73</v>
      </c>
      <c r="M191" s="3" t="n">
        <v>268</v>
      </c>
      <c r="N191" s="8" t="n">
        <v>268</v>
      </c>
      <c r="O191" s="8" t="n">
        <v>0</v>
      </c>
      <c r="Q191" t="inlineStr">
        <is>
          <t>flat</t>
        </is>
      </c>
      <c r="R191" s="6" t="n">
        <v>268</v>
      </c>
      <c r="S191" t="inlineStr">
        <is>
          <t>Solio</t>
        </is>
      </c>
      <c r="U191" s="6" t="n">
        <v>74.8</v>
      </c>
      <c r="V191" s="2" t="n">
        <v>10</v>
      </c>
      <c r="W191" s="7">
        <f>IF(N(U191)&lt;=0,0,MIN(Assumptions!$B$15,N(R191)/N(U191)))</f>
        <v/>
      </c>
      <c r="X191" s="6" t="n">
        <v>0.218</v>
      </c>
      <c r="Y191" s="3" t="n">
        <v>0.4625</v>
      </c>
      <c r="Z191" t="inlineStr">
        <is>
          <t>adjusted xGOT</t>
        </is>
      </c>
      <c r="AA191" s="3" t="n">
        <v>0.719</v>
      </c>
      <c r="AB191" s="3" t="n">
        <v>1.049</v>
      </c>
      <c r="AC191" s="3" t="n">
        <v>7.2</v>
      </c>
      <c r="AD191" s="3" t="n">
        <v>0.1379</v>
      </c>
      <c r="AE191" s="3" t="n">
        <v>4.807</v>
      </c>
      <c r="AF191" s="3" t="n">
        <v>0.0009059367876014246</v>
      </c>
      <c r="AG191" s="3" t="n">
        <v>1.6</v>
      </c>
      <c r="AH191" s="3" t="n">
        <v>0.5973314235</v>
      </c>
      <c r="AI191" s="3" t="n">
        <v>40</v>
      </c>
      <c r="AJ191" s="3" t="n">
        <v>3.0611</v>
      </c>
      <c r="AK191" s="3" t="n">
        <v>1.5875</v>
      </c>
      <c r="AL191" s="3" t="n">
        <v>-0.1053642225327288</v>
      </c>
      <c r="AM191" s="6" t="n">
        <v>0.0329284026885676</v>
      </c>
      <c r="AN191" s="3" t="n">
        <v>0</v>
      </c>
      <c r="AO191" s="3" t="n">
        <v>1.85</v>
      </c>
      <c r="AP191" s="3" t="n">
        <v>0.546084</v>
      </c>
      <c r="AQ191" s="3">
        <f>N(X191)*N(BJ191)</f>
        <v/>
      </c>
      <c r="AR191" s="3" t="n">
        <v>0</v>
      </c>
      <c r="AS191" s="3" t="n">
        <v>-0</v>
      </c>
      <c r="AT191" s="3" t="n">
        <v>-0.1053642225327288</v>
      </c>
      <c r="AU191" s="3">
        <f>SUM(AO191:AT191)</f>
        <v/>
      </c>
      <c r="AV191" s="7">
        <f>IF(OR(N(W191)&lt;=0,N(BH191)=0),0,N(W191)*IF(N(R191)/N(W191)&gt;=60,N(BH191),1))</f>
        <v/>
      </c>
      <c r="AW191" s="7">
        <f>N(W191)*N(AF191)*N(BI191)</f>
        <v/>
      </c>
      <c r="AX191" s="3">
        <f>IF(N(BH191)=0,0,N(W191)*N(AH191))</f>
        <v/>
      </c>
      <c r="AY191" s="7">
        <f>N(AM191)*(Assumptions!$B$13*N(BK191)-(1-Assumptions!$B$13)*Assumptions!$B$14)+N(AN191)</f>
        <v/>
      </c>
      <c r="AZ191" s="7">
        <f>N(AU191)*N(R191)/90+N(AV191)+N(AW191)+N(AX191)+N(AY191)</f>
        <v/>
      </c>
      <c r="BA191" s="3">
        <f>IF(N(R191)&lt;=0,0,(N(AZ191)-N(AY191))*90/N(R191))</f>
        <v/>
      </c>
      <c r="BB191" s="7">
        <f>IFERROR(AZ191-VLOOKUP($E191,Assumptions!$A$40:$C$43,3,FALSE),"")</f>
        <v/>
      </c>
      <c r="BC191" s="3">
        <f>IFERROR(BB191/H191,"")</f>
        <v/>
      </c>
      <c r="BD191">
        <f>IF(AND($G191=TRUE,$E191="GKP"),AZ191,"")</f>
        <v/>
      </c>
      <c r="BE191">
        <f>IF(AND($G191=TRUE,$E191="DEF"),AZ191,"")</f>
        <v/>
      </c>
      <c r="BF191">
        <f>IF(AND($G191=TRUE,$E191="MID"),AZ191,"")</f>
        <v/>
      </c>
      <c r="BG191">
        <f>IF(AND($G191=TRUE,$E191="FWD"),AZ191,"")</f>
        <v/>
      </c>
      <c r="BH191" t="n">
        <v>2</v>
      </c>
      <c r="BI191" t="n">
        <v>2</v>
      </c>
      <c r="BJ191" t="n">
        <v>0</v>
      </c>
      <c r="BK191" t="n">
        <v>4</v>
      </c>
    </row>
    <row r="192">
      <c r="A192" t="inlineStr">
        <is>
          <t>Noni Madueke</t>
        </is>
      </c>
      <c r="B192" t="inlineStr">
        <is>
          <t>ARS</t>
        </is>
      </c>
      <c r="C192" t="inlineStr">
        <is>
          <t>ARS</t>
        </is>
      </c>
      <c r="D192" t="b">
        <v>0</v>
      </c>
      <c r="E192" t="inlineStr">
        <is>
          <t>MID</t>
        </is>
      </c>
      <c r="F192" t="inlineStr">
        <is>
          <t>MID</t>
        </is>
      </c>
      <c r="G192" t="b">
        <v>1</v>
      </c>
      <c r="H192" s="2" t="n">
        <v>6.5</v>
      </c>
      <c r="I192" t="inlineStr">
        <is>
          <t>a</t>
        </is>
      </c>
      <c r="K192" s="2" t="n">
        <v>1205</v>
      </c>
      <c r="L192" t="n">
        <v>72</v>
      </c>
      <c r="M192" s="3" t="n">
        <v>600</v>
      </c>
      <c r="N192" s="8" t="n">
        <v>600</v>
      </c>
      <c r="O192" s="8" t="n">
        <v>0</v>
      </c>
      <c r="Q192" t="inlineStr">
        <is>
          <t>fade (losing his place)</t>
        </is>
      </c>
      <c r="R192" s="6" t="n">
        <v>600</v>
      </c>
      <c r="S192" t="inlineStr">
        <is>
          <t>Solio</t>
        </is>
      </c>
      <c r="U192" s="6" t="n">
        <v>70.40000000000001</v>
      </c>
      <c r="V192" s="2" t="n">
        <v>16</v>
      </c>
      <c r="W192" s="7">
        <f>IF(N(U192)&lt;=0,0,MIN(Assumptions!$B$15,N(R192)/N(U192)))</f>
        <v/>
      </c>
      <c r="X192" s="6" t="n">
        <v>0.391</v>
      </c>
      <c r="Y192" s="3" t="n">
        <v>0.0982</v>
      </c>
      <c r="Z192" t="inlineStr">
        <is>
          <t>adjusted xGOT</t>
        </is>
      </c>
      <c r="AA192" s="3" t="n">
        <v>1</v>
      </c>
      <c r="AB192" s="3" t="n">
        <v>1.069</v>
      </c>
      <c r="AC192" s="3" t="n">
        <v>14.3</v>
      </c>
      <c r="AD192" s="3" t="n">
        <v>0.2566</v>
      </c>
      <c r="AE192" s="3" t="n">
        <v>6.481</v>
      </c>
      <c r="AF192" s="3" t="n">
        <v>0.006051009821478992</v>
      </c>
      <c r="AG192" s="3" t="n">
        <v>6.251</v>
      </c>
      <c r="AH192" s="3" t="n">
        <v>0.1859475456</v>
      </c>
      <c r="AI192" s="3" t="n">
        <v>37</v>
      </c>
      <c r="AJ192" s="3" t="n">
        <v>2.067</v>
      </c>
      <c r="AK192" s="3" t="n">
        <v>0.9838</v>
      </c>
      <c r="AL192" s="3" t="n">
        <v>-0.138415465216067</v>
      </c>
      <c r="AM192" s="6" t="n">
        <v>0</v>
      </c>
      <c r="AN192" s="3" t="n">
        <v>0</v>
      </c>
      <c r="AO192" s="3" t="n">
        <v>0.491</v>
      </c>
      <c r="AP192" s="3" t="n">
        <v>1.016136</v>
      </c>
      <c r="AQ192" s="3">
        <f>N(X192)*N(BJ192)</f>
        <v/>
      </c>
      <c r="AR192" s="3" t="n">
        <v>0</v>
      </c>
      <c r="AS192" s="3" t="n">
        <v>-0</v>
      </c>
      <c r="AT192" s="3" t="n">
        <v>-0.138415465216067</v>
      </c>
      <c r="AU192" s="3">
        <f>SUM(AO192:AT192)</f>
        <v/>
      </c>
      <c r="AV192" s="7">
        <f>IF(OR(N(W192)&lt;=0,N(BH192)=0),0,N(W192)*IF(N(R192)/N(W192)&gt;=60,N(BH192),1))</f>
        <v/>
      </c>
      <c r="AW192" s="7">
        <f>N(W192)*N(AF192)*N(BI192)</f>
        <v/>
      </c>
      <c r="AX192" s="3">
        <f>IF(N(BH192)=0,0,N(W192)*N(AH192))</f>
        <v/>
      </c>
      <c r="AY192" s="7">
        <f>N(AM192)*(Assumptions!$B$13*N(BK192)-(1-Assumptions!$B$13)*Assumptions!$B$14)+N(AN192)</f>
        <v/>
      </c>
      <c r="AZ192" s="7">
        <f>N(AU192)*N(R192)/90+N(AV192)+N(AW192)+N(AX192)+N(AY192)</f>
        <v/>
      </c>
      <c r="BA192" s="3">
        <f>IF(N(R192)&lt;=0,0,(N(AZ192)-N(AY192))*90/N(R192))</f>
        <v/>
      </c>
      <c r="BB192" s="7">
        <f>IFERROR(AZ192-VLOOKUP($E192,Assumptions!$A$40:$C$43,3,FALSE),"")</f>
        <v/>
      </c>
      <c r="BC192" s="3">
        <f>IFERROR(BB192/H192,"")</f>
        <v/>
      </c>
      <c r="BD192">
        <f>IF(AND($G192=TRUE,$E192="GKP"),AZ192,"")</f>
        <v/>
      </c>
      <c r="BE192">
        <f>IF(AND($G192=TRUE,$E192="DEF"),AZ192,"")</f>
        <v/>
      </c>
      <c r="BF192">
        <f>IF(AND($G192=TRUE,$E192="MID"),AZ192,"")</f>
        <v/>
      </c>
      <c r="BG192">
        <f>IF(AND($G192=TRUE,$E192="FWD"),AZ192,"")</f>
        <v/>
      </c>
      <c r="BH192" t="n">
        <v>2</v>
      </c>
      <c r="BI192" t="n">
        <v>2</v>
      </c>
      <c r="BJ192" t="n">
        <v>1</v>
      </c>
      <c r="BK192" t="n">
        <v>5</v>
      </c>
    </row>
    <row r="193">
      <c r="A193" t="inlineStr">
        <is>
          <t>Jaydee Canvot</t>
        </is>
      </c>
      <c r="B193" t="inlineStr">
        <is>
          <t>CRY</t>
        </is>
      </c>
      <c r="C193" t="inlineStr">
        <is>
          <t>CRY</t>
        </is>
      </c>
      <c r="D193" t="b">
        <v>0</v>
      </c>
      <c r="E193" t="inlineStr">
        <is>
          <t>DEF</t>
        </is>
      </c>
      <c r="F193" t="inlineStr">
        <is>
          <t>DEF</t>
        </is>
      </c>
      <c r="G193" t="b">
        <v>1</v>
      </c>
      <c r="H193" s="2" t="n">
        <v>5</v>
      </c>
      <c r="I193" t="inlineStr">
        <is>
          <t>a</t>
        </is>
      </c>
      <c r="K193" s="2" t="n">
        <v>1331</v>
      </c>
      <c r="L193" t="n">
        <v>72</v>
      </c>
      <c r="M193" s="3" t="n">
        <v>3249</v>
      </c>
      <c r="N193" s="4" t="n">
        <v>3050</v>
      </c>
      <c r="O193" s="4" t="n">
        <v>-199</v>
      </c>
      <c r="P193" s="5" t="inlineStr">
        <is>
          <t>low</t>
        </is>
      </c>
      <c r="Q193" t="inlineStr">
        <is>
          <t>flat</t>
        </is>
      </c>
      <c r="R193" s="6" t="n">
        <v>3050</v>
      </c>
      <c r="S193" t="inlineStr">
        <is>
          <t>research</t>
        </is>
      </c>
      <c r="T193" s="5" t="inlineStr">
        <is>
          <t>Same rotation haircut. The direction of Solio's promotion from 1331 minutes is right given Lacroix's sale, but 3249 asks a 2025/26 part-starter to play 36 full Premier League matches in a Europa League season with Riad, Tomiyasu and Mingueza all available behind him.</t>
        </is>
      </c>
      <c r="U193" s="6" t="n">
        <v>86.59999999999999</v>
      </c>
      <c r="V193" s="2" t="n">
        <v>14</v>
      </c>
      <c r="W193" s="7">
        <f>IF(N(U193)&lt;=0,0,MIN(Assumptions!$B$15,N(R193)/N(U193)))</f>
        <v/>
      </c>
      <c r="X193" s="6" t="n">
        <v>0.216</v>
      </c>
      <c r="Y193" s="3" t="n">
        <v>0.0876</v>
      </c>
      <c r="Z193" t="inlineStr">
        <is>
          <t>adjusted xGOT</t>
        </is>
      </c>
      <c r="AA193" s="3" t="n">
        <v>1</v>
      </c>
      <c r="AB193" s="3" t="n">
        <v>0.876</v>
      </c>
      <c r="AC193" s="3" t="n">
        <v>1.5</v>
      </c>
      <c r="AD193" s="3" t="n">
        <v>0.0139</v>
      </c>
      <c r="AE193" s="3" t="n">
        <v>10.114</v>
      </c>
      <c r="AF193" s="3" t="n">
        <v>0.5081139668822136</v>
      </c>
      <c r="AG193" s="3" t="n">
        <v>8.662000000000001</v>
      </c>
      <c r="AH193" s="3" t="n">
        <v>0.199471881</v>
      </c>
      <c r="AI193" s="3" t="n">
        <v>34</v>
      </c>
      <c r="AJ193" s="3" t="n">
        <v>3.2035</v>
      </c>
      <c r="AK193" s="3" t="n">
        <v>1.5923</v>
      </c>
      <c r="AL193" s="3" t="n">
        <v>-0.2139042002391527</v>
      </c>
      <c r="AM193" s="6" t="n">
        <v>0</v>
      </c>
      <c r="AN193" s="3" t="n">
        <v>0</v>
      </c>
      <c r="AO193" s="3" t="n">
        <v>0.5256</v>
      </c>
      <c r="AP193" s="3" t="n">
        <v>0.055044</v>
      </c>
      <c r="AQ193" s="3">
        <f>N(X193)*N(BJ193)</f>
        <v/>
      </c>
      <c r="AR193" s="3" t="n">
        <v>0</v>
      </c>
      <c r="AS193" s="3" t="n">
        <v>-0.5564987001023466</v>
      </c>
      <c r="AT193" s="3" t="n">
        <v>-0.2139042002391527</v>
      </c>
      <c r="AU193" s="3">
        <f>SUM(AO193:AT193)</f>
        <v/>
      </c>
      <c r="AV193" s="7">
        <f>IF(OR(N(W193)&lt;=0,N(BH193)=0),0,N(W193)*IF(N(R193)/N(W193)&gt;=60,N(BH193),1))</f>
        <v/>
      </c>
      <c r="AW193" s="7">
        <f>N(W193)*N(AF193)*N(BI193)</f>
        <v/>
      </c>
      <c r="AX193" s="3">
        <f>IF(N(BH193)=0,0,N(W193)*N(AH193))</f>
        <v/>
      </c>
      <c r="AY193" s="7">
        <f>N(AM193)*(Assumptions!$B$13*N(BK193)-(1-Assumptions!$B$13)*Assumptions!$B$14)+N(AN193)</f>
        <v/>
      </c>
      <c r="AZ193" s="7">
        <f>N(AU193)*N(R193)/90+N(AV193)+N(AW193)+N(AX193)+N(AY193)</f>
        <v/>
      </c>
      <c r="BA193" s="3">
        <f>IF(N(R193)&lt;=0,0,(N(AZ193)-N(AY193))*90/N(R193))</f>
        <v/>
      </c>
      <c r="BB193" s="7">
        <f>IFERROR(AZ193-VLOOKUP($E193,Assumptions!$A$40:$C$43,3,FALSE),"")</f>
        <v/>
      </c>
      <c r="BC193" s="3">
        <f>IFERROR(BB193/H193,"")</f>
        <v/>
      </c>
      <c r="BD193">
        <f>IF(AND($G193=TRUE,$E193="GKP"),AZ193,"")</f>
        <v/>
      </c>
      <c r="BE193">
        <f>IF(AND($G193=TRUE,$E193="DEF"),AZ193,"")</f>
        <v/>
      </c>
      <c r="BF193">
        <f>IF(AND($G193=TRUE,$E193="MID"),AZ193,"")</f>
        <v/>
      </c>
      <c r="BG193">
        <f>IF(AND($G193=TRUE,$E193="FWD"),AZ193,"")</f>
        <v/>
      </c>
      <c r="BH193" t="n">
        <v>2</v>
      </c>
      <c r="BI193" t="n">
        <v>2</v>
      </c>
      <c r="BJ193" t="n">
        <v>4</v>
      </c>
      <c r="BK193" t="n">
        <v>6</v>
      </c>
    </row>
    <row r="194">
      <c r="A194" t="inlineStr">
        <is>
          <t>Lewis Miley</t>
        </is>
      </c>
      <c r="B194" t="inlineStr">
        <is>
          <t>NEW</t>
        </is>
      </c>
      <c r="C194" t="inlineStr">
        <is>
          <t>NEW</t>
        </is>
      </c>
      <c r="D194" t="b">
        <v>0</v>
      </c>
      <c r="E194" t="inlineStr">
        <is>
          <t>MID</t>
        </is>
      </c>
      <c r="F194" t="inlineStr">
        <is>
          <t>MID</t>
        </is>
      </c>
      <c r="G194" t="b">
        <v>1</v>
      </c>
      <c r="H194" s="2" t="n">
        <v>5.5</v>
      </c>
      <c r="I194" t="inlineStr">
        <is>
          <t>i</t>
        </is>
      </c>
      <c r="J194" t="inlineStr">
        <is>
          <t>Leg injury - Expected back 30 Aug</t>
        </is>
      </c>
      <c r="K194" s="2" t="n">
        <v>1493</v>
      </c>
      <c r="L194" t="n">
        <v>72</v>
      </c>
      <c r="M194" s="3" t="n">
        <v>1790</v>
      </c>
      <c r="N194" s="4" t="n">
        <v>2090</v>
      </c>
      <c r="O194" s="4" t="n">
        <v>300</v>
      </c>
      <c r="P194" s="5" t="inlineStr">
        <is>
          <t>medium</t>
        </is>
      </c>
      <c r="Q194" t="inlineStr">
        <is>
          <t>flat</t>
        </is>
      </c>
      <c r="R194" s="6" t="n">
        <v>2090</v>
      </c>
      <c r="S194" t="inlineStr">
        <is>
          <t>research</t>
        </is>
      </c>
      <c r="T194" s="5" t="inlineStr">
        <is>
          <t>FPL still lists him as injured with a 30 Aug return, but that flag is stale: he started v Leverkusen on 15 Aug, played 45 minutes on his comeback from the fractured fibula that ended his 2025/26, and beat reporting on 13 Aug expected him fit for the Liverpool opener. The VAVEL preview XI starts him in the double pivot. Small raise only - his injury record is real and Bamba and Steur are direct competition.</t>
        </is>
      </c>
      <c r="U194" s="6" t="n">
        <v>84.8</v>
      </c>
      <c r="V194" s="2" t="n">
        <v>15</v>
      </c>
      <c r="W194" s="7">
        <f>IF(N(U194)&lt;=0,0,MIN(Assumptions!$B$15,N(R194)/N(U194)))</f>
        <v/>
      </c>
      <c r="X194" s="6" t="n">
        <v>0.248</v>
      </c>
      <c r="Y194" s="3" t="n">
        <v>0.0788</v>
      </c>
      <c r="Z194" t="inlineStr">
        <is>
          <t>adjusted xGOT</t>
        </is>
      </c>
      <c r="AA194" s="3" t="n">
        <v>1</v>
      </c>
      <c r="AB194" s="3" t="n">
        <v>0.962</v>
      </c>
      <c r="AC194" s="3" t="n">
        <v>3.2</v>
      </c>
      <c r="AD194" s="3" t="n">
        <v>0.1333</v>
      </c>
      <c r="AE194" s="3" t="n">
        <v>9.093999999999999</v>
      </c>
      <c r="AF194" s="3" t="n">
        <v>0.1572455569430231</v>
      </c>
      <c r="AG194" s="3" t="n">
        <v>8.345000000000001</v>
      </c>
      <c r="AH194" s="3" t="n">
        <v>0.2505448202</v>
      </c>
      <c r="AI194" s="3" t="n">
        <v>38</v>
      </c>
      <c r="AJ194" s="3" t="n">
        <v>3.0912</v>
      </c>
      <c r="AK194" s="3" t="n">
        <v>1.4534</v>
      </c>
      <c r="AL194" s="3" t="n">
        <v>-0.1064830549749539</v>
      </c>
      <c r="AM194" s="6" t="n">
        <v>0</v>
      </c>
      <c r="AN194" s="3" t="n">
        <v>0</v>
      </c>
      <c r="AO194" s="3" t="n">
        <v>0.394</v>
      </c>
      <c r="AP194" s="3" t="n">
        <v>0.5278680000000001</v>
      </c>
      <c r="AQ194" s="3">
        <f>N(X194)*N(BJ194)</f>
        <v/>
      </c>
      <c r="AR194" s="3" t="n">
        <v>0</v>
      </c>
      <c r="AS194" s="3" t="n">
        <v>-0</v>
      </c>
      <c r="AT194" s="3" t="n">
        <v>-0.1064830549749539</v>
      </c>
      <c r="AU194" s="3">
        <f>SUM(AO194:AT194)</f>
        <v/>
      </c>
      <c r="AV194" s="7">
        <f>IF(OR(N(W194)&lt;=0,N(BH194)=0),0,N(W194)*IF(N(R194)/N(W194)&gt;=60,N(BH194),1))</f>
        <v/>
      </c>
      <c r="AW194" s="7">
        <f>N(W194)*N(AF194)*N(BI194)</f>
        <v/>
      </c>
      <c r="AX194" s="3">
        <f>IF(N(BH194)=0,0,N(W194)*N(AH194))</f>
        <v/>
      </c>
      <c r="AY194" s="7">
        <f>N(AM194)*(Assumptions!$B$13*N(BK194)-(1-Assumptions!$B$13)*Assumptions!$B$14)+N(AN194)</f>
        <v/>
      </c>
      <c r="AZ194" s="7">
        <f>N(AU194)*N(R194)/90+N(AV194)+N(AW194)+N(AX194)+N(AY194)</f>
        <v/>
      </c>
      <c r="BA194" s="3">
        <f>IF(N(R194)&lt;=0,0,(N(AZ194)-N(AY194))*90/N(R194))</f>
        <v/>
      </c>
      <c r="BB194" s="7">
        <f>IFERROR(AZ194-VLOOKUP($E194,Assumptions!$A$40:$C$43,3,FALSE),"")</f>
        <v/>
      </c>
      <c r="BC194" s="3">
        <f>IFERROR(BB194/H194,"")</f>
        <v/>
      </c>
      <c r="BD194">
        <f>IF(AND($G194=TRUE,$E194="GKP"),AZ194,"")</f>
        <v/>
      </c>
      <c r="BE194">
        <f>IF(AND($G194=TRUE,$E194="DEF"),AZ194,"")</f>
        <v/>
      </c>
      <c r="BF194">
        <f>IF(AND($G194=TRUE,$E194="MID"),AZ194,"")</f>
        <v/>
      </c>
      <c r="BG194">
        <f>IF(AND($G194=TRUE,$E194="FWD"),AZ194,"")</f>
        <v/>
      </c>
      <c r="BH194" t="n">
        <v>2</v>
      </c>
      <c r="BI194" t="n">
        <v>2</v>
      </c>
      <c r="BJ194" t="n">
        <v>1</v>
      </c>
      <c r="BK194" t="n">
        <v>5</v>
      </c>
    </row>
    <row r="195">
      <c r="A195" s="9" t="inlineStr">
        <is>
          <t>Karl Darlow</t>
        </is>
      </c>
      <c r="B195" t="inlineStr">
        <is>
          <t>MUN</t>
        </is>
      </c>
      <c r="C195" s="9" t="inlineStr">
        <is>
          <t>LEE</t>
        </is>
      </c>
      <c r="D195" t="b">
        <v>1</v>
      </c>
      <c r="E195" t="inlineStr">
        <is>
          <t>GKP</t>
        </is>
      </c>
      <c r="F195" t="inlineStr">
        <is>
          <t>GKP</t>
        </is>
      </c>
      <c r="G195" t="b">
        <v>1</v>
      </c>
      <c r="H195" s="2" t="n">
        <v>4.5</v>
      </c>
      <c r="I195" t="inlineStr">
        <is>
          <t>d</t>
        </is>
      </c>
      <c r="J195" t="inlineStr">
        <is>
          <t>Unspecified injury - 75% chance of playing</t>
        </is>
      </c>
      <c r="K195" s="2" t="n">
        <v>1980</v>
      </c>
      <c r="L195" t="n">
        <v>71</v>
      </c>
      <c r="M195" s="3" t="n">
        <v>35</v>
      </c>
      <c r="N195" s="8" t="n">
        <v>35</v>
      </c>
      <c r="O195" s="8" t="n">
        <v>0</v>
      </c>
      <c r="Q195" t="inlineStr">
        <is>
          <t>flat</t>
        </is>
      </c>
      <c r="R195" s="6" t="n">
        <v>35</v>
      </c>
      <c r="S195" t="inlineStr">
        <is>
          <t>Solio</t>
        </is>
      </c>
      <c r="U195" s="6" t="n">
        <v>89.90000000000001</v>
      </c>
      <c r="V195" s="2" t="n">
        <v>22</v>
      </c>
      <c r="W195" s="7">
        <f>IF(N(U195)&lt;=0,0,MIN(Assumptions!$B$15,N(R195)/N(U195)))</f>
        <v/>
      </c>
      <c r="X195" s="6" t="n">
        <v>0.334</v>
      </c>
      <c r="Y195" s="10" t="n">
        <v>0</v>
      </c>
      <c r="Z195" t="inlineStr">
        <is>
          <t>blended xG</t>
        </is>
      </c>
      <c r="AA195" s="3" t="n">
        <v>1</v>
      </c>
      <c r="AB195" s="3" t="n">
        <v>1</v>
      </c>
      <c r="AC195" s="3" t="n">
        <v>0</v>
      </c>
      <c r="AD195" s="10" t="n">
        <v>0.0011</v>
      </c>
      <c r="AE195" s="3" t="n">
        <v>0</v>
      </c>
      <c r="AF195" s="3" t="n">
        <v>0</v>
      </c>
      <c r="AG195" s="3" t="n">
        <v>6.029</v>
      </c>
      <c r="AH195" s="3" t="n">
        <v>0.1932438432</v>
      </c>
      <c r="AI195" s="3" t="n">
        <v>44</v>
      </c>
      <c r="AJ195" s="3" t="n">
        <v>2.2165</v>
      </c>
      <c r="AK195" s="3" t="n">
        <v>1.1467</v>
      </c>
      <c r="AL195" s="3" t="n">
        <v>-0.0601653404837744</v>
      </c>
      <c r="AM195" s="6" t="n">
        <v>0</v>
      </c>
      <c r="AN195" s="3" t="n">
        <v>0.0250532964057661</v>
      </c>
      <c r="AO195" s="10" t="n">
        <v>0</v>
      </c>
      <c r="AP195" s="10" t="n">
        <v>0.004356</v>
      </c>
      <c r="AQ195" s="3">
        <f>N(X195)*N(BJ195)</f>
        <v/>
      </c>
      <c r="AR195" s="3" t="n">
        <v>0.407909225741714</v>
      </c>
      <c r="AS195" s="3" t="n">
        <v>-0.348580685135232</v>
      </c>
      <c r="AT195" s="3" t="n">
        <v>-0.0601653404837744</v>
      </c>
      <c r="AU195" s="3">
        <f>SUM(AO195:AT195)</f>
        <v/>
      </c>
      <c r="AV195" s="7">
        <f>IF(OR(N(W195)&lt;=0,N(BH195)=0),0,N(W195)*IF(N(R195)/N(W195)&gt;=60,N(BH195),1))</f>
        <v/>
      </c>
      <c r="AW195" s="7">
        <f>N(W195)*N(AF195)*N(BI195)</f>
        <v/>
      </c>
      <c r="AX195" s="3">
        <f>IF(N(BH195)=0,0,N(W195)*N(AH195))</f>
        <v/>
      </c>
      <c r="AY195" s="7">
        <f>N(AM195)*(Assumptions!$B$13*N(BK195)-(1-Assumptions!$B$13)*Assumptions!$B$14)+N(AN195)</f>
        <v/>
      </c>
      <c r="AZ195" s="7">
        <f>N(AU195)*N(R195)/90+N(AV195)+N(AW195)+N(AX195)+N(AY195)</f>
        <v/>
      </c>
      <c r="BA195" s="3">
        <f>IF(N(R195)&lt;=0,0,(N(AZ195)-N(AY195))*90/N(R195))</f>
        <v/>
      </c>
      <c r="BB195" s="7">
        <f>IFERROR(AZ195-VLOOKUP($E195,Assumptions!$A$40:$C$43,3,FALSE),"")</f>
        <v/>
      </c>
      <c r="BC195" s="3">
        <f>IFERROR(BB195/H195,"")</f>
        <v/>
      </c>
      <c r="BD195">
        <f>IF(AND($G195=TRUE,$E195="GKP"),AZ195,"")</f>
        <v/>
      </c>
      <c r="BE195">
        <f>IF(AND($G195=TRUE,$E195="DEF"),AZ195,"")</f>
        <v/>
      </c>
      <c r="BF195">
        <f>IF(AND($G195=TRUE,$E195="MID"),AZ195,"")</f>
        <v/>
      </c>
      <c r="BG195">
        <f>IF(AND($G195=TRUE,$E195="FWD"),AZ195,"")</f>
        <v/>
      </c>
      <c r="BH195" t="n">
        <v>2</v>
      </c>
      <c r="BI195" t="n">
        <v>0</v>
      </c>
      <c r="BJ195" t="n">
        <v>4</v>
      </c>
      <c r="BK195" t="n">
        <v>10</v>
      </c>
    </row>
    <row r="196">
      <c r="A196" t="inlineStr">
        <is>
          <t>Pape Matar Sarr</t>
        </is>
      </c>
      <c r="B196" t="inlineStr">
        <is>
          <t>TOT</t>
        </is>
      </c>
      <c r="C196" t="inlineStr">
        <is>
          <t>TOT</t>
        </is>
      </c>
      <c r="D196" t="b">
        <v>0</v>
      </c>
      <c r="E196" t="inlineStr">
        <is>
          <t>MID</t>
        </is>
      </c>
      <c r="F196" t="inlineStr">
        <is>
          <t>MID</t>
        </is>
      </c>
      <c r="G196" t="b">
        <v>1</v>
      </c>
      <c r="H196" s="2" t="n">
        <v>5</v>
      </c>
      <c r="I196" t="inlineStr">
        <is>
          <t>a</t>
        </is>
      </c>
      <c r="K196" s="2" t="n">
        <v>1388</v>
      </c>
      <c r="L196" t="n">
        <v>71</v>
      </c>
      <c r="M196" s="3" t="n">
        <v>174</v>
      </c>
      <c r="N196" s="8" t="n">
        <v>174</v>
      </c>
      <c r="O196" s="8" t="n">
        <v>0</v>
      </c>
      <c r="Q196" t="inlineStr">
        <is>
          <t>flat</t>
        </is>
      </c>
      <c r="R196" s="6" t="n">
        <v>174</v>
      </c>
      <c r="S196" t="inlineStr">
        <is>
          <t>Solio</t>
        </is>
      </c>
      <c r="U196" s="6" t="n">
        <v>84.90000000000001</v>
      </c>
      <c r="V196" s="2" t="n">
        <v>13</v>
      </c>
      <c r="W196" s="7">
        <f>IF(N(U196)&lt;=0,0,MIN(Assumptions!$B$15,N(R196)/N(U196)))</f>
        <v/>
      </c>
      <c r="X196" s="6" t="n">
        <v>0.286</v>
      </c>
      <c r="Y196" s="3" t="n">
        <v>0.1013</v>
      </c>
      <c r="Z196" t="inlineStr">
        <is>
          <t>adjusted xGOT</t>
        </is>
      </c>
      <c r="AA196" s="3" t="n">
        <v>1</v>
      </c>
      <c r="AB196" s="3" t="n">
        <v>0.959</v>
      </c>
      <c r="AC196" s="3" t="n">
        <v>8.6</v>
      </c>
      <c r="AD196" s="3" t="n">
        <v>0.1149</v>
      </c>
      <c r="AE196" s="3" t="n">
        <v>10.743</v>
      </c>
      <c r="AF196" s="3" t="n">
        <v>0.3185885548983641</v>
      </c>
      <c r="AG196" s="3" t="n">
        <v>7.451</v>
      </c>
      <c r="AH196" s="3" t="n">
        <v>0.2277090344</v>
      </c>
      <c r="AI196" s="3" t="n">
        <v>39</v>
      </c>
      <c r="AJ196" s="3" t="n">
        <v>2.5739</v>
      </c>
      <c r="AK196" s="3" t="n">
        <v>1.3096</v>
      </c>
      <c r="AL196" s="3" t="n">
        <v>-0.2680320500317106</v>
      </c>
      <c r="AM196" s="6" t="n">
        <v>0</v>
      </c>
      <c r="AN196" s="3" t="n">
        <v>0</v>
      </c>
      <c r="AO196" s="3" t="n">
        <v>0.5065</v>
      </c>
      <c r="AP196" s="3" t="n">
        <v>0.455004</v>
      </c>
      <c r="AQ196" s="3">
        <f>N(X196)*N(BJ196)</f>
        <v/>
      </c>
      <c r="AR196" s="3" t="n">
        <v>0</v>
      </c>
      <c r="AS196" s="3" t="n">
        <v>-0</v>
      </c>
      <c r="AT196" s="3" t="n">
        <v>-0.2680320500317106</v>
      </c>
      <c r="AU196" s="3">
        <f>SUM(AO196:AT196)</f>
        <v/>
      </c>
      <c r="AV196" s="7">
        <f>IF(OR(N(W196)&lt;=0,N(BH196)=0),0,N(W196)*IF(N(R196)/N(W196)&gt;=60,N(BH196),1))</f>
        <v/>
      </c>
      <c r="AW196" s="7">
        <f>N(W196)*N(AF196)*N(BI196)</f>
        <v/>
      </c>
      <c r="AX196" s="3">
        <f>IF(N(BH196)=0,0,N(W196)*N(AH196))</f>
        <v/>
      </c>
      <c r="AY196" s="7">
        <f>N(AM196)*(Assumptions!$B$13*N(BK196)-(1-Assumptions!$B$13)*Assumptions!$B$14)+N(AN196)</f>
        <v/>
      </c>
      <c r="AZ196" s="7">
        <f>N(AU196)*N(R196)/90+N(AV196)+N(AW196)+N(AX196)+N(AY196)</f>
        <v/>
      </c>
      <c r="BA196" s="3">
        <f>IF(N(R196)&lt;=0,0,(N(AZ196)-N(AY196))*90/N(R196))</f>
        <v/>
      </c>
      <c r="BB196" s="7">
        <f>IFERROR(AZ196-VLOOKUP($E196,Assumptions!$A$40:$C$43,3,FALSE),"")</f>
        <v/>
      </c>
      <c r="BC196" s="3">
        <f>IFERROR(BB196/H196,"")</f>
        <v/>
      </c>
      <c r="BD196">
        <f>IF(AND($G196=TRUE,$E196="GKP"),AZ196,"")</f>
        <v/>
      </c>
      <c r="BE196">
        <f>IF(AND($G196=TRUE,$E196="DEF"),AZ196,"")</f>
        <v/>
      </c>
      <c r="BF196">
        <f>IF(AND($G196=TRUE,$E196="MID"),AZ196,"")</f>
        <v/>
      </c>
      <c r="BG196">
        <f>IF(AND($G196=TRUE,$E196="FWD"),AZ196,"")</f>
        <v/>
      </c>
      <c r="BH196" t="n">
        <v>2</v>
      </c>
      <c r="BI196" t="n">
        <v>2</v>
      </c>
      <c r="BJ196" t="n">
        <v>1</v>
      </c>
      <c r="BK196" t="n">
        <v>5</v>
      </c>
    </row>
    <row r="197">
      <c r="A197" t="inlineStr">
        <is>
          <t>Jefferson Lerma</t>
        </is>
      </c>
      <c r="B197" t="inlineStr">
        <is>
          <t>CRY</t>
        </is>
      </c>
      <c r="C197" t="inlineStr">
        <is>
          <t>CRY</t>
        </is>
      </c>
      <c r="D197" t="b">
        <v>0</v>
      </c>
      <c r="E197" t="inlineStr">
        <is>
          <t>MID</t>
        </is>
      </c>
      <c r="F197" t="inlineStr">
        <is>
          <t>MID</t>
        </is>
      </c>
      <c r="G197" t="b">
        <v>1</v>
      </c>
      <c r="H197" s="2" t="n">
        <v>5</v>
      </c>
      <c r="I197" t="inlineStr">
        <is>
          <t>a</t>
        </is>
      </c>
      <c r="K197" s="2" t="n">
        <v>1722</v>
      </c>
      <c r="L197" t="n">
        <v>69</v>
      </c>
      <c r="M197" s="3" t="n">
        <v>528</v>
      </c>
      <c r="N197" s="8" t="n">
        <v>528</v>
      </c>
      <c r="O197" s="8" t="n">
        <v>0</v>
      </c>
      <c r="Q197" t="inlineStr">
        <is>
          <t>flat</t>
        </is>
      </c>
      <c r="R197" s="6" t="n">
        <v>528</v>
      </c>
      <c r="S197" t="inlineStr">
        <is>
          <t>Solio</t>
        </is>
      </c>
      <c r="U197" s="6" t="n">
        <v>82.2</v>
      </c>
      <c r="V197" s="2" t="n">
        <v>18</v>
      </c>
      <c r="W197" s="7">
        <f>IF(N(U197)&lt;=0,0,MIN(Assumptions!$B$15,N(R197)/N(U197)))</f>
        <v/>
      </c>
      <c r="X197" s="6" t="n">
        <v>0.216</v>
      </c>
      <c r="Y197" s="3" t="n">
        <v>0.083</v>
      </c>
      <c r="Z197" t="inlineStr">
        <is>
          <t>adjusted xGOT</t>
        </is>
      </c>
      <c r="AA197" s="3" t="n">
        <v>1</v>
      </c>
      <c r="AB197" s="3" t="n">
        <v>0.863</v>
      </c>
      <c r="AC197" s="3" t="n">
        <v>8.1</v>
      </c>
      <c r="AD197" s="3" t="n">
        <v>0.0853</v>
      </c>
      <c r="AE197" s="3" t="n">
        <v>10.637</v>
      </c>
      <c r="AF197" s="3" t="n">
        <v>0.2713283425811619</v>
      </c>
      <c r="AG197" s="3" t="n">
        <v>6.891</v>
      </c>
      <c r="AH197" s="3" t="n">
        <v>0.16146154</v>
      </c>
      <c r="AI197" s="3" t="n">
        <v>47</v>
      </c>
      <c r="AJ197" s="3" t="n">
        <v>3.2035</v>
      </c>
      <c r="AK197" s="3" t="n">
        <v>1.5923</v>
      </c>
      <c r="AL197" s="3" t="n">
        <v>-0.3250358652709306</v>
      </c>
      <c r="AM197" s="6" t="n">
        <v>0</v>
      </c>
      <c r="AN197" s="3" t="n">
        <v>0</v>
      </c>
      <c r="AO197" s="3" t="n">
        <v>0.415</v>
      </c>
      <c r="AP197" s="3" t="n">
        <v>0.337788</v>
      </c>
      <c r="AQ197" s="3">
        <f>N(X197)*N(BJ197)</f>
        <v/>
      </c>
      <c r="AR197" s="3" t="n">
        <v>0</v>
      </c>
      <c r="AS197" s="3" t="n">
        <v>-0</v>
      </c>
      <c r="AT197" s="3" t="n">
        <v>-0.3250358652709306</v>
      </c>
      <c r="AU197" s="3">
        <f>SUM(AO197:AT197)</f>
        <v/>
      </c>
      <c r="AV197" s="7">
        <f>IF(OR(N(W197)&lt;=0,N(BH197)=0),0,N(W197)*IF(N(R197)/N(W197)&gt;=60,N(BH197),1))</f>
        <v/>
      </c>
      <c r="AW197" s="7">
        <f>N(W197)*N(AF197)*N(BI197)</f>
        <v/>
      </c>
      <c r="AX197" s="3">
        <f>IF(N(BH197)=0,0,N(W197)*N(AH197))</f>
        <v/>
      </c>
      <c r="AY197" s="7">
        <f>N(AM197)*(Assumptions!$B$13*N(BK197)-(1-Assumptions!$B$13)*Assumptions!$B$14)+N(AN197)</f>
        <v/>
      </c>
      <c r="AZ197" s="7">
        <f>N(AU197)*N(R197)/90+N(AV197)+N(AW197)+N(AX197)+N(AY197)</f>
        <v/>
      </c>
      <c r="BA197" s="3">
        <f>IF(N(R197)&lt;=0,0,(N(AZ197)-N(AY197))*90/N(R197))</f>
        <v/>
      </c>
      <c r="BB197" s="7">
        <f>IFERROR(AZ197-VLOOKUP($E197,Assumptions!$A$40:$C$43,3,FALSE),"")</f>
        <v/>
      </c>
      <c r="BC197" s="3">
        <f>IFERROR(BB197/H197,"")</f>
        <v/>
      </c>
      <c r="BD197">
        <f>IF(AND($G197=TRUE,$E197="GKP"),AZ197,"")</f>
        <v/>
      </c>
      <c r="BE197">
        <f>IF(AND($G197=TRUE,$E197="DEF"),AZ197,"")</f>
        <v/>
      </c>
      <c r="BF197">
        <f>IF(AND($G197=TRUE,$E197="MID"),AZ197,"")</f>
        <v/>
      </c>
      <c r="BG197">
        <f>IF(AND($G197=TRUE,$E197="FWD"),AZ197,"")</f>
        <v/>
      </c>
      <c r="BH197" t="n">
        <v>2</v>
      </c>
      <c r="BI197" t="n">
        <v>2</v>
      </c>
      <c r="BJ197" t="n">
        <v>1</v>
      </c>
      <c r="BK197" t="n">
        <v>5</v>
      </c>
    </row>
    <row r="198">
      <c r="A198" t="inlineStr">
        <is>
          <t>Rodri</t>
        </is>
      </c>
      <c r="B198" t="inlineStr">
        <is>
          <t>MCI</t>
        </is>
      </c>
      <c r="C198" t="inlineStr">
        <is>
          <t>MCI</t>
        </is>
      </c>
      <c r="D198" t="b">
        <v>0</v>
      </c>
      <c r="E198" t="inlineStr">
        <is>
          <t>MID</t>
        </is>
      </c>
      <c r="F198" t="inlineStr">
        <is>
          <t>MID</t>
        </is>
      </c>
      <c r="G198" t="b">
        <v>1</v>
      </c>
      <c r="H198" s="2" t="n">
        <v>6.5</v>
      </c>
      <c r="I198" t="inlineStr">
        <is>
          <t>i</t>
        </is>
      </c>
      <c r="J198" t="inlineStr">
        <is>
          <t>Back injury - Unknown return date</t>
        </is>
      </c>
      <c r="K198" s="2" t="n">
        <v>1510</v>
      </c>
      <c r="L198" t="n">
        <v>69</v>
      </c>
      <c r="M198" s="3" t="n">
        <v>2804</v>
      </c>
      <c r="N198" s="4" t="n">
        <v>1600</v>
      </c>
      <c r="O198" s="4" t="n">
        <v>-1204</v>
      </c>
      <c r="P198" s="5" t="inlineStr">
        <is>
          <t>medium</t>
        </is>
      </c>
      <c r="Q198" t="inlineStr">
        <is>
          <t>ramp-up (injury / late WC return)</t>
        </is>
      </c>
      <c r="R198" s="6" t="n">
        <v>1600</v>
      </c>
      <c r="S198" t="inlineStr">
        <is>
          <t>research</t>
        </is>
      </c>
      <c r="T198" s="5" t="inlineStr">
        <is>
          <t>Two independent hits on the same number. Fitness: he had back surgery after the World Cup and Sky report he misses both the Community Shield and the opening league fixture. Transfer: one year left on his deal, Barcelona have bid three times (rising to around €70m) and Real Madrid have offered more, with City resisting rather than refusing; ESPN's Manchester correspondent and two other panellists all predicted he would not be a City player when the window shuts. 2,804 minutes prices in neither. This is a probability-weighted number across stays-and-ramps-up and leaves-in-August, not a prediction that he plays 1,600.</t>
        </is>
      </c>
      <c r="U198" s="6" t="n">
        <v>82.40000000000001</v>
      </c>
      <c r="V198" s="2" t="n">
        <v>17</v>
      </c>
      <c r="W198" s="7">
        <f>IF(N(U198)&lt;=0,0,MIN(Assumptions!$B$15,N(R198)/N(U198)))</f>
        <v/>
      </c>
      <c r="X198" s="6" t="n">
        <v>0.371</v>
      </c>
      <c r="Y198" s="3" t="n">
        <v>0.0659</v>
      </c>
      <c r="Z198" t="inlineStr">
        <is>
          <t>adjusted xGOT</t>
        </is>
      </c>
      <c r="AA198" s="3" t="n">
        <v>1</v>
      </c>
      <c r="AB198" s="3" t="n">
        <v>0.962</v>
      </c>
      <c r="AC198" s="3" t="n">
        <v>9.699999999999999</v>
      </c>
      <c r="AD198" s="3" t="n">
        <v>0.1408</v>
      </c>
      <c r="AE198" s="3" t="n">
        <v>11.083</v>
      </c>
      <c r="AF198" s="3" t="n">
        <v>0.320071733649598</v>
      </c>
      <c r="AG198" s="3" t="n">
        <v>10.623</v>
      </c>
      <c r="AH198" s="3" t="n">
        <v>0.244622848</v>
      </c>
      <c r="AI198" s="3" t="n">
        <v>37</v>
      </c>
      <c r="AJ198" s="3" t="n">
        <v>1.9737</v>
      </c>
      <c r="AK198" s="3" t="n">
        <v>1.0365</v>
      </c>
      <c r="AL198" s="3" t="n">
        <v>-0.219522304299945</v>
      </c>
      <c r="AM198" s="6" t="n">
        <v>0</v>
      </c>
      <c r="AN198" s="3" t="n">
        <v>0</v>
      </c>
      <c r="AO198" s="3" t="n">
        <v>0.3295</v>
      </c>
      <c r="AP198" s="3" t="n">
        <v>0.5575680000000001</v>
      </c>
      <c r="AQ198" s="3">
        <f>N(X198)*N(BJ198)</f>
        <v/>
      </c>
      <c r="AR198" s="3" t="n">
        <v>0</v>
      </c>
      <c r="AS198" s="3" t="n">
        <v>-0</v>
      </c>
      <c r="AT198" s="3" t="n">
        <v>-0.219522304299945</v>
      </c>
      <c r="AU198" s="3">
        <f>SUM(AO198:AT198)</f>
        <v/>
      </c>
      <c r="AV198" s="7">
        <f>IF(OR(N(W198)&lt;=0,N(BH198)=0),0,N(W198)*IF(N(R198)/N(W198)&gt;=60,N(BH198),1))</f>
        <v/>
      </c>
      <c r="AW198" s="7">
        <f>N(W198)*N(AF198)*N(BI198)</f>
        <v/>
      </c>
      <c r="AX198" s="3">
        <f>IF(N(BH198)=0,0,N(W198)*N(AH198))</f>
        <v/>
      </c>
      <c r="AY198" s="7">
        <f>N(AM198)*(Assumptions!$B$13*N(BK198)-(1-Assumptions!$B$13)*Assumptions!$B$14)+N(AN198)</f>
        <v/>
      </c>
      <c r="AZ198" s="7">
        <f>N(AU198)*N(R198)/90+N(AV198)+N(AW198)+N(AX198)+N(AY198)</f>
        <v/>
      </c>
      <c r="BA198" s="3">
        <f>IF(N(R198)&lt;=0,0,(N(AZ198)-N(AY198))*90/N(R198))</f>
        <v/>
      </c>
      <c r="BB198" s="7">
        <f>IFERROR(AZ198-VLOOKUP($E198,Assumptions!$A$40:$C$43,3,FALSE),"")</f>
        <v/>
      </c>
      <c r="BC198" s="3">
        <f>IFERROR(BB198/H198,"")</f>
        <v/>
      </c>
      <c r="BD198">
        <f>IF(AND($G198=TRUE,$E198="GKP"),AZ198,"")</f>
        <v/>
      </c>
      <c r="BE198">
        <f>IF(AND($G198=TRUE,$E198="DEF"),AZ198,"")</f>
        <v/>
      </c>
      <c r="BF198">
        <f>IF(AND($G198=TRUE,$E198="MID"),AZ198,"")</f>
        <v/>
      </c>
      <c r="BG198">
        <f>IF(AND($G198=TRUE,$E198="FWD"),AZ198,"")</f>
        <v/>
      </c>
      <c r="BH198" t="n">
        <v>2</v>
      </c>
      <c r="BI198" t="n">
        <v>2</v>
      </c>
      <c r="BJ198" t="n">
        <v>1</v>
      </c>
      <c r="BK198" t="n">
        <v>5</v>
      </c>
    </row>
    <row r="199">
      <c r="A199" t="inlineStr">
        <is>
          <t>Gabriel Gudmundsson</t>
        </is>
      </c>
      <c r="B199" t="inlineStr">
        <is>
          <t>LEE</t>
        </is>
      </c>
      <c r="C199" t="inlineStr">
        <is>
          <t>LEE</t>
        </is>
      </c>
      <c r="D199" t="b">
        <v>0</v>
      </c>
      <c r="E199" t="inlineStr">
        <is>
          <t>DEF</t>
        </is>
      </c>
      <c r="F199" t="inlineStr">
        <is>
          <t>DEF</t>
        </is>
      </c>
      <c r="G199" t="b">
        <v>1</v>
      </c>
      <c r="H199" s="2" t="n">
        <v>4.5</v>
      </c>
      <c r="I199" t="inlineStr">
        <is>
          <t>i</t>
        </is>
      </c>
      <c r="J199" t="inlineStr">
        <is>
          <t>Hamstring injury - Expected back 30 Aug</t>
        </is>
      </c>
      <c r="K199" s="2" t="n">
        <v>2637</v>
      </c>
      <c r="L199" t="n">
        <v>68</v>
      </c>
      <c r="M199" s="3" t="n">
        <v>2770</v>
      </c>
      <c r="N199" s="4" t="n">
        <v>2500</v>
      </c>
      <c r="O199" s="4" t="n">
        <v>-270</v>
      </c>
      <c r="P199" s="5" t="inlineStr">
        <is>
          <t>medium</t>
        </is>
      </c>
      <c r="Q199" t="inlineStr">
        <is>
          <t>flat</t>
        </is>
      </c>
      <c r="R199" s="6" t="n">
        <v>2500</v>
      </c>
      <c r="S199" t="inlineStr">
        <is>
          <t>research</t>
        </is>
      </c>
      <c r="T199" s="5" t="inlineStr">
        <is>
          <t>Hamstring injury sustained in the 4-2 friendly win over Liverpool on 2 Aug. FPL says back 30 Aug (so GW1 out, GW2 borderline) and local press on 15 Aug said he is 'out for an extended period and likely to miss the season opener'. James Justin has covered at left wing-back in both August friendlies. Solio's 2770 is 81% of a full season, which leaves too little room for a hamstring that has already cost him the start of the campaign plus the reported acceleration of Leeds' left-back search.</t>
        </is>
      </c>
      <c r="U199" s="6" t="n">
        <v>85.59999999999999</v>
      </c>
      <c r="V199" s="2" t="n">
        <v>30</v>
      </c>
      <c r="W199" s="7">
        <f>IF(N(U199)&lt;=0,0,MIN(Assumptions!$B$15,N(R199)/N(U199)))</f>
        <v/>
      </c>
      <c r="X199" s="6" t="n">
        <v>0.218</v>
      </c>
      <c r="Y199" s="3" t="n">
        <v>0.0334</v>
      </c>
      <c r="Z199" t="inlineStr">
        <is>
          <t>adjusted xGOT</t>
        </is>
      </c>
      <c r="AA199" s="3" t="n">
        <v>1</v>
      </c>
      <c r="AB199" s="3" t="n">
        <v>0.89</v>
      </c>
      <c r="AC199" s="3" t="n">
        <v>1.1</v>
      </c>
      <c r="AD199" s="3" t="n">
        <v>0.1022</v>
      </c>
      <c r="AE199" s="3" t="n">
        <v>6.581</v>
      </c>
      <c r="AF199" s="3" t="n">
        <v>0.102925857411015</v>
      </c>
      <c r="AG199" s="3" t="n">
        <v>8.051</v>
      </c>
      <c r="AH199" s="3" t="n">
        <v>0.1835650241</v>
      </c>
      <c r="AI199" s="3" t="n">
        <v>60</v>
      </c>
      <c r="AJ199" s="3" t="n">
        <v>3.0611</v>
      </c>
      <c r="AK199" s="3" t="n">
        <v>1.5875</v>
      </c>
      <c r="AL199" s="3" t="n">
        <v>-0.1742493246807302</v>
      </c>
      <c r="AM199" s="6" t="n">
        <v>0</v>
      </c>
      <c r="AN199" s="3" t="n">
        <v>0</v>
      </c>
      <c r="AO199" s="3" t="n">
        <v>0.2004</v>
      </c>
      <c r="AP199" s="3" t="n">
        <v>0.404712</v>
      </c>
      <c r="AQ199" s="3">
        <f>N(X199)*N(BJ199)</f>
        <v/>
      </c>
      <c r="AR199" s="3" t="n">
        <v>0</v>
      </c>
      <c r="AS199" s="3" t="n">
        <v>-0.5541985260210861</v>
      </c>
      <c r="AT199" s="3" t="n">
        <v>-0.1742493246807302</v>
      </c>
      <c r="AU199" s="3">
        <f>SUM(AO199:AT199)</f>
        <v/>
      </c>
      <c r="AV199" s="7">
        <f>IF(OR(N(W199)&lt;=0,N(BH199)=0),0,N(W199)*IF(N(R199)/N(W199)&gt;=60,N(BH199),1))</f>
        <v/>
      </c>
      <c r="AW199" s="7">
        <f>N(W199)*N(AF199)*N(BI199)</f>
        <v/>
      </c>
      <c r="AX199" s="3">
        <f>IF(N(BH199)=0,0,N(W199)*N(AH199))</f>
        <v/>
      </c>
      <c r="AY199" s="7">
        <f>N(AM199)*(Assumptions!$B$13*N(BK199)-(1-Assumptions!$B$13)*Assumptions!$B$14)+N(AN199)</f>
        <v/>
      </c>
      <c r="AZ199" s="7">
        <f>N(AU199)*N(R199)/90+N(AV199)+N(AW199)+N(AX199)+N(AY199)</f>
        <v/>
      </c>
      <c r="BA199" s="3">
        <f>IF(N(R199)&lt;=0,0,(N(AZ199)-N(AY199))*90/N(R199))</f>
        <v/>
      </c>
      <c r="BB199" s="7">
        <f>IFERROR(AZ199-VLOOKUP($E199,Assumptions!$A$40:$C$43,3,FALSE),"")</f>
        <v/>
      </c>
      <c r="BC199" s="3">
        <f>IFERROR(BB199/H199,"")</f>
        <v/>
      </c>
      <c r="BD199">
        <f>IF(AND($G199=TRUE,$E199="GKP"),AZ199,"")</f>
        <v/>
      </c>
      <c r="BE199">
        <f>IF(AND($G199=TRUE,$E199="DEF"),AZ199,"")</f>
        <v/>
      </c>
      <c r="BF199">
        <f>IF(AND($G199=TRUE,$E199="MID"),AZ199,"")</f>
        <v/>
      </c>
      <c r="BG199">
        <f>IF(AND($G199=TRUE,$E199="FWD"),AZ199,"")</f>
        <v/>
      </c>
      <c r="BH199" t="n">
        <v>2</v>
      </c>
      <c r="BI199" t="n">
        <v>2</v>
      </c>
      <c r="BJ199" t="n">
        <v>4</v>
      </c>
      <c r="BK199" t="n">
        <v>6</v>
      </c>
    </row>
    <row r="200">
      <c r="A200" t="inlineStr">
        <is>
          <t>Tim Iroegbunam</t>
        </is>
      </c>
      <c r="B200" t="inlineStr">
        <is>
          <t>EVE</t>
        </is>
      </c>
      <c r="C200" t="inlineStr">
        <is>
          <t>EVE</t>
        </is>
      </c>
      <c r="D200" t="b">
        <v>0</v>
      </c>
      <c r="E200" t="inlineStr">
        <is>
          <t>MID</t>
        </is>
      </c>
      <c r="F200" t="inlineStr">
        <is>
          <t>MID</t>
        </is>
      </c>
      <c r="G200" t="b">
        <v>1</v>
      </c>
      <c r="H200" s="2" t="n">
        <v>5</v>
      </c>
      <c r="I200" t="inlineStr">
        <is>
          <t>a</t>
        </is>
      </c>
      <c r="K200" s="2" t="n">
        <v>1477</v>
      </c>
      <c r="L200" t="n">
        <v>68</v>
      </c>
      <c r="M200" s="3" t="n">
        <v>328</v>
      </c>
      <c r="N200" s="4" t="n">
        <v>150</v>
      </c>
      <c r="O200" s="4" t="n">
        <v>-178</v>
      </c>
      <c r="P200" s="5" t="inlineStr">
        <is>
          <t>medium</t>
        </is>
      </c>
      <c r="Q200" t="inlineStr">
        <is>
          <t>fade (losing his place)</t>
        </is>
      </c>
      <c r="R200" s="6" t="n">
        <v>150</v>
      </c>
      <c r="S200" t="inlineStr">
        <is>
          <t>research</t>
        </is>
      </c>
      <c r="T200" s="5" t="inlineStr">
        <is>
          <t>Already low, but still too high. The official FPL game lists him status 'i' with a groin injury and no return date. Read Everton's injury tracker on 14 August flags him as newly sidelined after coming off early against Stuttgart, and separately reports Hull City opened formal talks with an offer worth more than GBP 15m, with the move now in doubt only because of the injury. Either outcome - a long lay-off or a Championship move before 1 September - leaves him with fewer Everton minutes than 328.</t>
        </is>
      </c>
      <c r="U200" s="6" t="n">
        <v>79.3</v>
      </c>
      <c r="V200" s="2" t="n">
        <v>17</v>
      </c>
      <c r="W200" s="7">
        <f>IF(N(U200)&lt;=0,0,MIN(Assumptions!$B$15,N(R200)/N(U200)))</f>
        <v/>
      </c>
      <c r="X200" s="6" t="n">
        <v>0.231</v>
      </c>
      <c r="Y200" s="3" t="n">
        <v>0.0304</v>
      </c>
      <c r="Z200" t="inlineStr">
        <is>
          <t>adjusted xGOT</t>
        </is>
      </c>
      <c r="AA200" s="3" t="n">
        <v>1</v>
      </c>
      <c r="AB200" s="3" t="n">
        <v>0.924</v>
      </c>
      <c r="AC200" s="3" t="n">
        <v>0.8</v>
      </c>
      <c r="AD200" s="3" t="n">
        <v>0.0779</v>
      </c>
      <c r="AE200" s="3" t="n">
        <v>10.553</v>
      </c>
      <c r="AF200" s="3" t="n">
        <v>0.2268600881263317</v>
      </c>
      <c r="AG200" s="3" t="n">
        <v>6.101</v>
      </c>
      <c r="AH200" s="3" t="n">
        <v>0.07662250890000001</v>
      </c>
      <c r="AI200" s="3" t="n">
        <v>45</v>
      </c>
      <c r="AJ200" s="3" t="n">
        <v>3.0311</v>
      </c>
      <c r="AK200" s="3" t="n">
        <v>1.5252</v>
      </c>
      <c r="AL200" s="3" t="n">
        <v>-0.4125191100430851</v>
      </c>
      <c r="AM200" s="6" t="n">
        <v>0</v>
      </c>
      <c r="AN200" s="3" t="n">
        <v>0</v>
      </c>
      <c r="AO200" s="3" t="n">
        <v>0.152</v>
      </c>
      <c r="AP200" s="3" t="n">
        <v>0.308484</v>
      </c>
      <c r="AQ200" s="3">
        <f>N(X200)*N(BJ200)</f>
        <v/>
      </c>
      <c r="AR200" s="3" t="n">
        <v>0</v>
      </c>
      <c r="AS200" s="3" t="n">
        <v>-0</v>
      </c>
      <c r="AT200" s="3" t="n">
        <v>-0.4125191100430851</v>
      </c>
      <c r="AU200" s="3">
        <f>SUM(AO200:AT200)</f>
        <v/>
      </c>
      <c r="AV200" s="7">
        <f>IF(OR(N(W200)&lt;=0,N(BH200)=0),0,N(W200)*IF(N(R200)/N(W200)&gt;=60,N(BH200),1))</f>
        <v/>
      </c>
      <c r="AW200" s="7">
        <f>N(W200)*N(AF200)*N(BI200)</f>
        <v/>
      </c>
      <c r="AX200" s="3">
        <f>IF(N(BH200)=0,0,N(W200)*N(AH200))</f>
        <v/>
      </c>
      <c r="AY200" s="7">
        <f>N(AM200)*(Assumptions!$B$13*N(BK200)-(1-Assumptions!$B$13)*Assumptions!$B$14)+N(AN200)</f>
        <v/>
      </c>
      <c r="AZ200" s="7">
        <f>N(AU200)*N(R200)/90+N(AV200)+N(AW200)+N(AX200)+N(AY200)</f>
        <v/>
      </c>
      <c r="BA200" s="3">
        <f>IF(N(R200)&lt;=0,0,(N(AZ200)-N(AY200))*90/N(R200))</f>
        <v/>
      </c>
      <c r="BB200" s="7">
        <f>IFERROR(AZ200-VLOOKUP($E200,Assumptions!$A$40:$C$43,3,FALSE),"")</f>
        <v/>
      </c>
      <c r="BC200" s="3">
        <f>IFERROR(BB200/H200,"")</f>
        <v/>
      </c>
      <c r="BD200">
        <f>IF(AND($G200=TRUE,$E200="GKP"),AZ200,"")</f>
        <v/>
      </c>
      <c r="BE200">
        <f>IF(AND($G200=TRUE,$E200="DEF"),AZ200,"")</f>
        <v/>
      </c>
      <c r="BF200">
        <f>IF(AND($G200=TRUE,$E200="MID"),AZ200,"")</f>
        <v/>
      </c>
      <c r="BG200">
        <f>IF(AND($G200=TRUE,$E200="FWD"),AZ200,"")</f>
        <v/>
      </c>
      <c r="BH200" t="n">
        <v>2</v>
      </c>
      <c r="BI200" t="n">
        <v>2</v>
      </c>
      <c r="BJ200" t="n">
        <v>1</v>
      </c>
      <c r="BK200" t="n">
        <v>5</v>
      </c>
    </row>
    <row r="201">
      <c r="A201" s="9" t="inlineStr">
        <is>
          <t>Youri Tielemans</t>
        </is>
      </c>
      <c r="B201" t="inlineStr">
        <is>
          <t>MUN</t>
        </is>
      </c>
      <c r="C201" s="9" t="inlineStr">
        <is>
          <t>AVL</t>
        </is>
      </c>
      <c r="D201" t="b">
        <v>1</v>
      </c>
      <c r="E201" t="inlineStr">
        <is>
          <t>MID</t>
        </is>
      </c>
      <c r="F201" t="inlineStr">
        <is>
          <t>MID</t>
        </is>
      </c>
      <c r="G201" t="b">
        <v>1</v>
      </c>
      <c r="H201" s="2" t="n">
        <v>6</v>
      </c>
      <c r="I201" t="inlineStr">
        <is>
          <t>a</t>
        </is>
      </c>
      <c r="K201" s="2" t="n">
        <v>1857</v>
      </c>
      <c r="L201" t="n">
        <v>68</v>
      </c>
      <c r="M201" s="3" t="n">
        <v>2764</v>
      </c>
      <c r="N201" s="4" t="n">
        <v>2350</v>
      </c>
      <c r="O201" s="4" t="n">
        <v>-414</v>
      </c>
      <c r="P201" s="5" t="inlineStr">
        <is>
          <t>medium</t>
        </is>
      </c>
      <c r="Q201" t="inlineStr">
        <is>
          <t>flat</t>
        </is>
      </c>
      <c r="R201" s="6" t="n">
        <v>2350</v>
      </c>
      <c r="S201" t="inlineStr">
        <is>
          <t>research</t>
        </is>
      </c>
      <c r="T201" s="5" t="inlineStr">
        <is>
          <t>Solio gives Santos 2,861 and Tielemans 2,764, which consumes 5,625 of the 6,840 minutes available in a two-man pivot and leaves almost nothing for Mainoo and Mount. That allocation would be right if Carrick played a midfield three, but the dress rehearsal was a 4-2-3-1 with Fernandes at No. 10 and only two holding players. Tielemans started that game and is not being demoted below Mainoo here — the pivot is simply narrower than Solio assumes, and Carrick has said he wants a third central midfielder as well.</t>
        </is>
      </c>
      <c r="U201" s="6" t="n">
        <v>83.2</v>
      </c>
      <c r="V201" s="2" t="n">
        <v>21</v>
      </c>
      <c r="W201" s="7">
        <f>IF(N(U201)&lt;=0,0,MIN(Assumptions!$B$15,N(R201)/N(U201)))</f>
        <v/>
      </c>
      <c r="X201" s="6" t="n">
        <v>0.334</v>
      </c>
      <c r="Y201" s="10" t="n">
        <v>0.0594</v>
      </c>
      <c r="Z201" t="inlineStr">
        <is>
          <t>adjusted xGOT</t>
        </is>
      </c>
      <c r="AA201" s="3" t="n">
        <v>1</v>
      </c>
      <c r="AB201" s="3" t="n">
        <v>1.075</v>
      </c>
      <c r="AC201" s="3" t="n">
        <v>8.199999999999999</v>
      </c>
      <c r="AD201" s="10" t="n">
        <v>0.1513</v>
      </c>
      <c r="AE201" s="3" t="n">
        <v>9.486000000000001</v>
      </c>
      <c r="AF201" s="3" t="n">
        <v>0.1751975659617065</v>
      </c>
      <c r="AG201" s="3" t="n">
        <v>10.083</v>
      </c>
      <c r="AH201" s="3" t="n">
        <v>0.247864816</v>
      </c>
      <c r="AI201" s="3" t="n">
        <v>45</v>
      </c>
      <c r="AJ201" s="3" t="n">
        <v>2.2165</v>
      </c>
      <c r="AK201" s="3" t="n">
        <v>1.1467</v>
      </c>
      <c r="AL201" s="3" t="n">
        <v>-0.1227884961429194</v>
      </c>
      <c r="AM201" s="6" t="n">
        <v>0.0193417288476089</v>
      </c>
      <c r="AN201" s="3" t="n">
        <v>0</v>
      </c>
      <c r="AO201" s="10" t="n">
        <v>0.297</v>
      </c>
      <c r="AP201" s="10" t="n">
        <v>0.599148</v>
      </c>
      <c r="AQ201" s="3">
        <f>N(X201)*N(BJ201)</f>
        <v/>
      </c>
      <c r="AR201" s="3" t="n">
        <v>0</v>
      </c>
      <c r="AS201" s="3" t="n">
        <v>-0</v>
      </c>
      <c r="AT201" s="3" t="n">
        <v>-0.1227884961429194</v>
      </c>
      <c r="AU201" s="3">
        <f>SUM(AO201:AT201)</f>
        <v/>
      </c>
      <c r="AV201" s="7">
        <f>IF(OR(N(W201)&lt;=0,N(BH201)=0),0,N(W201)*IF(N(R201)/N(W201)&gt;=60,N(BH201),1))</f>
        <v/>
      </c>
      <c r="AW201" s="7">
        <f>N(W201)*N(AF201)*N(BI201)</f>
        <v/>
      </c>
      <c r="AX201" s="3">
        <f>IF(N(BH201)=0,0,N(W201)*N(AH201))</f>
        <v/>
      </c>
      <c r="AY201" s="7">
        <f>N(AM201)*(Assumptions!$B$13*N(BK201)-(1-Assumptions!$B$13)*Assumptions!$B$14)+N(AN201)</f>
        <v/>
      </c>
      <c r="AZ201" s="7">
        <f>N(AU201)*N(R201)/90+N(AV201)+N(AW201)+N(AX201)+N(AY201)</f>
        <v/>
      </c>
      <c r="BA201" s="3">
        <f>IF(N(R201)&lt;=0,0,(N(AZ201)-N(AY201))*90/N(R201))</f>
        <v/>
      </c>
      <c r="BB201" s="7">
        <f>IFERROR(AZ201-VLOOKUP($E201,Assumptions!$A$40:$C$43,3,FALSE),"")</f>
        <v/>
      </c>
      <c r="BC201" s="3">
        <f>IFERROR(BB201/H201,"")</f>
        <v/>
      </c>
      <c r="BD201">
        <f>IF(AND($G201=TRUE,$E201="GKP"),AZ201,"")</f>
        <v/>
      </c>
      <c r="BE201">
        <f>IF(AND($G201=TRUE,$E201="DEF"),AZ201,"")</f>
        <v/>
      </c>
      <c r="BF201">
        <f>IF(AND($G201=TRUE,$E201="MID"),AZ201,"")</f>
        <v/>
      </c>
      <c r="BG201">
        <f>IF(AND($G201=TRUE,$E201="FWD"),AZ201,"")</f>
        <v/>
      </c>
      <c r="BH201" t="n">
        <v>2</v>
      </c>
      <c r="BI201" t="n">
        <v>2</v>
      </c>
      <c r="BJ201" t="n">
        <v>1</v>
      </c>
      <c r="BK201" t="n">
        <v>5</v>
      </c>
    </row>
    <row r="202">
      <c r="A202" t="inlineStr">
        <is>
          <t>Amine Adli</t>
        </is>
      </c>
      <c r="B202" t="inlineStr">
        <is>
          <t>BOU</t>
        </is>
      </c>
      <c r="C202" t="inlineStr">
        <is>
          <t>BOU</t>
        </is>
      </c>
      <c r="D202" t="b">
        <v>0</v>
      </c>
      <c r="E202" t="inlineStr">
        <is>
          <t>MID</t>
        </is>
      </c>
      <c r="F202" t="inlineStr">
        <is>
          <t>MID</t>
        </is>
      </c>
      <c r="G202" t="b">
        <v>1</v>
      </c>
      <c r="H202" s="2" t="n">
        <v>5</v>
      </c>
      <c r="I202" t="inlineStr">
        <is>
          <t>a</t>
        </is>
      </c>
      <c r="K202" s="2" t="n">
        <v>1074</v>
      </c>
      <c r="L202" t="n">
        <v>67</v>
      </c>
      <c r="M202" s="3" t="n">
        <v>390</v>
      </c>
      <c r="N202" s="4" t="n">
        <v>250</v>
      </c>
      <c r="O202" s="4" t="n">
        <v>-140</v>
      </c>
      <c r="P202" s="5" t="inlineStr">
        <is>
          <t>medium</t>
        </is>
      </c>
      <c r="Q202" t="inlineStr">
        <is>
          <t>flat</t>
        </is>
      </c>
      <c r="R202" s="6" t="n">
        <v>250</v>
      </c>
      <c r="S202" t="inlineStr">
        <is>
          <t>research</t>
        </is>
      </c>
      <c r="T202" s="5" t="inlineStr">
        <is>
          <t>The brief's snapshot has Adli as status 'a' with no news, but he picked up an injury after coming on in the 8 Aug Betis friendly and the FPL bootstrap now carries him as status 'i', 'Unspecified injury - Unknown return date', 0% chance of playing. Small downward correction to reflect a state change that post-dates the input data.</t>
        </is>
      </c>
      <c r="U202" s="6" t="n">
        <v>76.5</v>
      </c>
      <c r="V202" s="2" t="n">
        <v>10</v>
      </c>
      <c r="W202" s="7">
        <f>IF(N(U202)&lt;=0,0,MIN(Assumptions!$B$15,N(R202)/N(U202)))</f>
        <v/>
      </c>
      <c r="X202" s="6" t="n">
        <v>0.23</v>
      </c>
      <c r="Y202" s="3" t="n">
        <v>0.2302</v>
      </c>
      <c r="Z202" t="inlineStr">
        <is>
          <t>adjusted xGOT</t>
        </is>
      </c>
      <c r="AA202" s="3" t="n">
        <v>1</v>
      </c>
      <c r="AB202" s="3" t="n">
        <v>1.057</v>
      </c>
      <c r="AC202" s="3" t="n">
        <v>2.6</v>
      </c>
      <c r="AD202" s="3" t="n">
        <v>0.1214</v>
      </c>
      <c r="AE202" s="3" t="n">
        <v>9.613</v>
      </c>
      <c r="AF202" s="3" t="n">
        <v>0.1246660316764728</v>
      </c>
      <c r="AG202" s="3" t="n">
        <v>5.801</v>
      </c>
      <c r="AH202" s="3" t="n">
        <v>0.3342795341</v>
      </c>
      <c r="AI202" s="3" t="n">
        <v>39</v>
      </c>
      <c r="AJ202" s="3" t="n">
        <v>3.0957</v>
      </c>
      <c r="AK202" s="3" t="n">
        <v>1.53</v>
      </c>
      <c r="AL202" s="3" t="n">
        <v>-0.202453543529448</v>
      </c>
      <c r="AM202" s="6" t="n">
        <v>0</v>
      </c>
      <c r="AN202" s="3" t="n">
        <v>0</v>
      </c>
      <c r="AO202" s="3" t="n">
        <v>1.151</v>
      </c>
      <c r="AP202" s="3" t="n">
        <v>0.480744</v>
      </c>
      <c r="AQ202" s="3">
        <f>N(X202)*N(BJ202)</f>
        <v/>
      </c>
      <c r="AR202" s="3" t="n">
        <v>0</v>
      </c>
      <c r="AS202" s="3" t="n">
        <v>-0</v>
      </c>
      <c r="AT202" s="3" t="n">
        <v>-0.202453543529448</v>
      </c>
      <c r="AU202" s="3">
        <f>SUM(AO202:AT202)</f>
        <v/>
      </c>
      <c r="AV202" s="7">
        <f>IF(OR(N(W202)&lt;=0,N(BH202)=0),0,N(W202)*IF(N(R202)/N(W202)&gt;=60,N(BH202),1))</f>
        <v/>
      </c>
      <c r="AW202" s="7">
        <f>N(W202)*N(AF202)*N(BI202)</f>
        <v/>
      </c>
      <c r="AX202" s="3">
        <f>IF(N(BH202)=0,0,N(W202)*N(AH202))</f>
        <v/>
      </c>
      <c r="AY202" s="7">
        <f>N(AM202)*(Assumptions!$B$13*N(BK202)-(1-Assumptions!$B$13)*Assumptions!$B$14)+N(AN202)</f>
        <v/>
      </c>
      <c r="AZ202" s="7">
        <f>N(AU202)*N(R202)/90+N(AV202)+N(AW202)+N(AX202)+N(AY202)</f>
        <v/>
      </c>
      <c r="BA202" s="3">
        <f>IF(N(R202)&lt;=0,0,(N(AZ202)-N(AY202))*90/N(R202))</f>
        <v/>
      </c>
      <c r="BB202" s="7">
        <f>IFERROR(AZ202-VLOOKUP($E202,Assumptions!$A$40:$C$43,3,FALSE),"")</f>
        <v/>
      </c>
      <c r="BC202" s="3">
        <f>IFERROR(BB202/H202,"")</f>
        <v/>
      </c>
      <c r="BD202">
        <f>IF(AND($G202=TRUE,$E202="GKP"),AZ202,"")</f>
        <v/>
      </c>
      <c r="BE202">
        <f>IF(AND($G202=TRUE,$E202="DEF"),AZ202,"")</f>
        <v/>
      </c>
      <c r="BF202">
        <f>IF(AND($G202=TRUE,$E202="MID"),AZ202,"")</f>
        <v/>
      </c>
      <c r="BG202">
        <f>IF(AND($G202=TRUE,$E202="FWD"),AZ202,"")</f>
        <v/>
      </c>
      <c r="BH202" t="n">
        <v>2</v>
      </c>
      <c r="BI202" t="n">
        <v>2</v>
      </c>
      <c r="BJ202" t="n">
        <v>1</v>
      </c>
      <c r="BK202" t="n">
        <v>5</v>
      </c>
    </row>
    <row r="203">
      <c r="A203" t="inlineStr">
        <is>
          <t>Abdukodir Khusanov</t>
        </is>
      </c>
      <c r="B203" t="inlineStr">
        <is>
          <t>MCI</t>
        </is>
      </c>
      <c r="C203" t="inlineStr">
        <is>
          <t>MCI</t>
        </is>
      </c>
      <c r="D203" t="b">
        <v>0</v>
      </c>
      <c r="E203" t="inlineStr">
        <is>
          <t>DEF</t>
        </is>
      </c>
      <c r="F203" t="inlineStr">
        <is>
          <t>DEF</t>
        </is>
      </c>
      <c r="G203" t="b">
        <v>1</v>
      </c>
      <c r="H203" s="2" t="n">
        <v>5.5</v>
      </c>
      <c r="I203" t="inlineStr">
        <is>
          <t>a</t>
        </is>
      </c>
      <c r="K203" s="2" t="n">
        <v>1427</v>
      </c>
      <c r="L203" t="n">
        <v>67</v>
      </c>
      <c r="M203" s="3" t="n">
        <v>690</v>
      </c>
      <c r="N203" s="4" t="n">
        <v>1700</v>
      </c>
      <c r="O203" s="4" t="n">
        <v>1010</v>
      </c>
      <c r="P203" s="5" t="inlineStr">
        <is>
          <t>high</t>
        </is>
      </c>
      <c r="Q203" t="inlineStr">
        <is>
          <t>flat</t>
        </is>
      </c>
      <c r="R203" s="6" t="n">
        <v>1700</v>
      </c>
      <c r="S203" t="inlineStr">
        <is>
          <t>research</t>
        </is>
      </c>
      <c r="T203" s="5" t="inlineStr">
        <is>
          <t>Clearest error found. Khusanov and Guehi are described as City's preferred centre-back pairing after being 'exceptional together during the back end of last season' — Guehi the calm, Khusanov the muscle. He then started the final pre-season match v Atletico and appears in the Community Shield predicted XIs. Meanwhile Akanji, Ake and Stones have all left, leaving four senior centre-backs for two slots. 690 minutes is 7.7 full matches, which is a fourth-choice number for a player the City-specific coverage has as joint-first-choice.</t>
        </is>
      </c>
      <c r="U203" s="6" t="n">
        <v>85</v>
      </c>
      <c r="V203" s="2" t="n">
        <v>15</v>
      </c>
      <c r="W203" s="7">
        <f>IF(N(U203)&lt;=0,0,MIN(Assumptions!$B$15,N(R203)/N(U203)))</f>
        <v/>
      </c>
      <c r="X203" s="6" t="n">
        <v>0.371</v>
      </c>
      <c r="Y203" s="3" t="n">
        <v>0.0378</v>
      </c>
      <c r="Z203" t="inlineStr">
        <is>
          <t>adjusted xGOT</t>
        </is>
      </c>
      <c r="AA203" s="3" t="n">
        <v>1</v>
      </c>
      <c r="AB203" s="3" t="n">
        <v>0.923</v>
      </c>
      <c r="AC203" s="3" t="n">
        <v>0.7</v>
      </c>
      <c r="AD203" s="3" t="n">
        <v>0.0562</v>
      </c>
      <c r="AE203" s="3" t="n">
        <v>7.733</v>
      </c>
      <c r="AF203" s="3" t="n">
        <v>0.201551551119491</v>
      </c>
      <c r="AG203" s="3" t="n">
        <v>9.305999999999999</v>
      </c>
      <c r="AH203" s="3" t="n">
        <v>0.2828568544</v>
      </c>
      <c r="AI203" s="3" t="n">
        <v>35</v>
      </c>
      <c r="AJ203" s="3" t="n">
        <v>1.9737</v>
      </c>
      <c r="AK203" s="3" t="n">
        <v>1.0365</v>
      </c>
      <c r="AL203" s="3" t="n">
        <v>-0.1783519062466148</v>
      </c>
      <c r="AM203" s="6" t="n">
        <v>0</v>
      </c>
      <c r="AN203" s="3" t="n">
        <v>0</v>
      </c>
      <c r="AO203" s="3" t="n">
        <v>0.2268</v>
      </c>
      <c r="AP203" s="3" t="n">
        <v>0.222552</v>
      </c>
      <c r="AQ203" s="3">
        <f>N(X203)*N(BJ203)</f>
        <v/>
      </c>
      <c r="AR203" s="3" t="n">
        <v>0</v>
      </c>
      <c r="AS203" s="3" t="n">
        <v>-0.2997019479071323</v>
      </c>
      <c r="AT203" s="3" t="n">
        <v>-0.1783519062466148</v>
      </c>
      <c r="AU203" s="3">
        <f>SUM(AO203:AT203)</f>
        <v/>
      </c>
      <c r="AV203" s="7">
        <f>IF(OR(N(W203)&lt;=0,N(BH203)=0),0,N(W203)*IF(N(R203)/N(W203)&gt;=60,N(BH203),1))</f>
        <v/>
      </c>
      <c r="AW203" s="7">
        <f>N(W203)*N(AF203)*N(BI203)</f>
        <v/>
      </c>
      <c r="AX203" s="3">
        <f>IF(N(BH203)=0,0,N(W203)*N(AH203))</f>
        <v/>
      </c>
      <c r="AY203" s="7">
        <f>N(AM203)*(Assumptions!$B$13*N(BK203)-(1-Assumptions!$B$13)*Assumptions!$B$14)+N(AN203)</f>
        <v/>
      </c>
      <c r="AZ203" s="7">
        <f>N(AU203)*N(R203)/90+N(AV203)+N(AW203)+N(AX203)+N(AY203)</f>
        <v/>
      </c>
      <c r="BA203" s="3">
        <f>IF(N(R203)&lt;=0,0,(N(AZ203)-N(AY203))*90/N(R203))</f>
        <v/>
      </c>
      <c r="BB203" s="7">
        <f>IFERROR(AZ203-VLOOKUP($E203,Assumptions!$A$40:$C$43,3,FALSE),"")</f>
        <v/>
      </c>
      <c r="BC203" s="3">
        <f>IFERROR(BB203/H203,"")</f>
        <v/>
      </c>
      <c r="BD203">
        <f>IF(AND($G203=TRUE,$E203="GKP"),AZ203,"")</f>
        <v/>
      </c>
      <c r="BE203">
        <f>IF(AND($G203=TRUE,$E203="DEF"),AZ203,"")</f>
        <v/>
      </c>
      <c r="BF203">
        <f>IF(AND($G203=TRUE,$E203="MID"),AZ203,"")</f>
        <v/>
      </c>
      <c r="BG203">
        <f>IF(AND($G203=TRUE,$E203="FWD"),AZ203,"")</f>
        <v/>
      </c>
      <c r="BH203" t="n">
        <v>2</v>
      </c>
      <c r="BI203" t="n">
        <v>2</v>
      </c>
      <c r="BJ203" t="n">
        <v>4</v>
      </c>
      <c r="BK203" t="n">
        <v>6</v>
      </c>
    </row>
    <row r="204">
      <c r="A204" t="inlineStr">
        <is>
          <t>Ao Tanaka</t>
        </is>
      </c>
      <c r="B204" t="inlineStr">
        <is>
          <t>LEE</t>
        </is>
      </c>
      <c r="C204" t="inlineStr">
        <is>
          <t>LEE</t>
        </is>
      </c>
      <c r="D204" t="b">
        <v>0</v>
      </c>
      <c r="E204" t="inlineStr">
        <is>
          <t>MID</t>
        </is>
      </c>
      <c r="F204" t="inlineStr">
        <is>
          <t>MID</t>
        </is>
      </c>
      <c r="G204" t="b">
        <v>1</v>
      </c>
      <c r="H204" s="2" t="n">
        <v>5</v>
      </c>
      <c r="I204" t="inlineStr">
        <is>
          <t>a</t>
        </is>
      </c>
      <c r="K204" s="2" t="n">
        <v>1307</v>
      </c>
      <c r="L204" t="n">
        <v>67</v>
      </c>
      <c r="M204" s="3" t="n">
        <v>662</v>
      </c>
      <c r="N204" s="8" t="n">
        <v>662</v>
      </c>
      <c r="O204" s="8" t="n">
        <v>0</v>
      </c>
      <c r="Q204" t="inlineStr">
        <is>
          <t>flat</t>
        </is>
      </c>
      <c r="R204" s="6" t="n">
        <v>662</v>
      </c>
      <c r="S204" t="inlineStr">
        <is>
          <t>Solio</t>
        </is>
      </c>
      <c r="U204" s="6" t="n">
        <v>77.3</v>
      </c>
      <c r="V204" s="2" t="n">
        <v>14</v>
      </c>
      <c r="W204" s="7">
        <f>IF(N(U204)&lt;=0,0,MIN(Assumptions!$B$15,N(R204)/N(U204)))</f>
        <v/>
      </c>
      <c r="X204" s="6" t="n">
        <v>0.218</v>
      </c>
      <c r="Y204" s="3" t="n">
        <v>0.0977</v>
      </c>
      <c r="Z204" t="inlineStr">
        <is>
          <t>adjusted xGOT</t>
        </is>
      </c>
      <c r="AA204" s="3" t="n">
        <v>1</v>
      </c>
      <c r="AB204" s="3" t="n">
        <v>0.985</v>
      </c>
      <c r="AC204" s="3" t="n">
        <v>1.4</v>
      </c>
      <c r="AD204" s="3" t="n">
        <v>0.0946</v>
      </c>
      <c r="AE204" s="3" t="n">
        <v>9.573</v>
      </c>
      <c r="AF204" s="3" t="n">
        <v>0.1286236947970036</v>
      </c>
      <c r="AG204" s="3" t="n">
        <v>7.946</v>
      </c>
      <c r="AH204" s="3" t="n">
        <v>0.2058553142</v>
      </c>
      <c r="AI204" s="3" t="n">
        <v>40</v>
      </c>
      <c r="AJ204" s="3" t="n">
        <v>3.0611</v>
      </c>
      <c r="AK204" s="3" t="n">
        <v>1.5875</v>
      </c>
      <c r="AL204" s="3" t="n">
        <v>-0.1539294131870054</v>
      </c>
      <c r="AM204" s="6" t="n">
        <v>0</v>
      </c>
      <c r="AN204" s="3" t="n">
        <v>0</v>
      </c>
      <c r="AO204" s="3" t="n">
        <v>0.4885</v>
      </c>
      <c r="AP204" s="3" t="n">
        <v>0.374616</v>
      </c>
      <c r="AQ204" s="3">
        <f>N(X204)*N(BJ204)</f>
        <v/>
      </c>
      <c r="AR204" s="3" t="n">
        <v>0</v>
      </c>
      <c r="AS204" s="3" t="n">
        <v>-0</v>
      </c>
      <c r="AT204" s="3" t="n">
        <v>-0.1539294131870054</v>
      </c>
      <c r="AU204" s="3">
        <f>SUM(AO204:AT204)</f>
        <v/>
      </c>
      <c r="AV204" s="7">
        <f>IF(OR(N(W204)&lt;=0,N(BH204)=0),0,N(W204)*IF(N(R204)/N(W204)&gt;=60,N(BH204),1))</f>
        <v/>
      </c>
      <c r="AW204" s="7">
        <f>N(W204)*N(AF204)*N(BI204)</f>
        <v/>
      </c>
      <c r="AX204" s="3">
        <f>IF(N(BH204)=0,0,N(W204)*N(AH204))</f>
        <v/>
      </c>
      <c r="AY204" s="7">
        <f>N(AM204)*(Assumptions!$B$13*N(BK204)-(1-Assumptions!$B$13)*Assumptions!$B$14)+N(AN204)</f>
        <v/>
      </c>
      <c r="AZ204" s="7">
        <f>N(AU204)*N(R204)/90+N(AV204)+N(AW204)+N(AX204)+N(AY204)</f>
        <v/>
      </c>
      <c r="BA204" s="3">
        <f>IF(N(R204)&lt;=0,0,(N(AZ204)-N(AY204))*90/N(R204))</f>
        <v/>
      </c>
      <c r="BB204" s="7">
        <f>IFERROR(AZ204-VLOOKUP($E204,Assumptions!$A$40:$C$43,3,FALSE),"")</f>
        <v/>
      </c>
      <c r="BC204" s="3">
        <f>IFERROR(BB204/H204,"")</f>
        <v/>
      </c>
      <c r="BD204">
        <f>IF(AND($G204=TRUE,$E204="GKP"),AZ204,"")</f>
        <v/>
      </c>
      <c r="BE204">
        <f>IF(AND($G204=TRUE,$E204="DEF"),AZ204,"")</f>
        <v/>
      </c>
      <c r="BF204">
        <f>IF(AND($G204=TRUE,$E204="MID"),AZ204,"")</f>
        <v/>
      </c>
      <c r="BG204">
        <f>IF(AND($G204=TRUE,$E204="FWD"),AZ204,"")</f>
        <v/>
      </c>
      <c r="BH204" t="n">
        <v>2</v>
      </c>
      <c r="BI204" t="n">
        <v>2</v>
      </c>
      <c r="BJ204" t="n">
        <v>1</v>
      </c>
      <c r="BK204" t="n">
        <v>5</v>
      </c>
    </row>
    <row r="205">
      <c r="A205" t="inlineStr">
        <is>
          <t>Rayan</t>
        </is>
      </c>
      <c r="B205" t="inlineStr">
        <is>
          <t>BOU</t>
        </is>
      </c>
      <c r="C205" t="inlineStr">
        <is>
          <t>BOU</t>
        </is>
      </c>
      <c r="D205" t="b">
        <v>0</v>
      </c>
      <c r="E205" t="inlineStr">
        <is>
          <t>MID</t>
        </is>
      </c>
      <c r="F205" t="inlineStr">
        <is>
          <t>MID</t>
        </is>
      </c>
      <c r="G205" t="b">
        <v>1</v>
      </c>
      <c r="H205" s="2" t="n">
        <v>6.5</v>
      </c>
      <c r="I205" t="inlineStr">
        <is>
          <t>a</t>
        </is>
      </c>
      <c r="K205" s="2" t="n">
        <v>1110</v>
      </c>
      <c r="L205" t="n">
        <v>67</v>
      </c>
      <c r="M205" s="3" t="n">
        <v>2861</v>
      </c>
      <c r="N205" s="8" t="n">
        <v>2861</v>
      </c>
      <c r="O205" s="8" t="n">
        <v>0</v>
      </c>
      <c r="Q205" t="inlineStr">
        <is>
          <t>flat</t>
        </is>
      </c>
      <c r="R205" s="6" t="n">
        <v>2861</v>
      </c>
      <c r="S205" t="inlineStr">
        <is>
          <t>Solio</t>
        </is>
      </c>
      <c r="U205" s="6" t="n">
        <v>81.09999999999999</v>
      </c>
      <c r="V205" s="2" t="n">
        <v>13</v>
      </c>
      <c r="W205" s="7">
        <f>IF(N(U205)&lt;=0,0,MIN(Assumptions!$B$15,N(R205)/N(U205)))</f>
        <v/>
      </c>
      <c r="X205" s="6" t="n">
        <v>0.23</v>
      </c>
      <c r="Y205" s="3" t="n">
        <v>0.2313</v>
      </c>
      <c r="Z205" t="inlineStr">
        <is>
          <t>adjusted xGOT</t>
        </is>
      </c>
      <c r="AA205" s="3" t="n">
        <v>1</v>
      </c>
      <c r="AB205" s="3" t="n">
        <v>1.068</v>
      </c>
      <c r="AC205" s="3" t="n">
        <v>2.7</v>
      </c>
      <c r="AD205" s="3" t="n">
        <v>0.1873</v>
      </c>
      <c r="AE205" s="3" t="n">
        <v>7.407</v>
      </c>
      <c r="AF205" s="3" t="n">
        <v>0.03998568279206338</v>
      </c>
      <c r="AG205" s="3" t="n">
        <v>4.535</v>
      </c>
      <c r="AH205" s="3" t="n">
        <v>0.3654516705</v>
      </c>
      <c r="AI205" s="3" t="n">
        <v>28</v>
      </c>
      <c r="AJ205" s="3" t="n">
        <v>3.0957</v>
      </c>
      <c r="AK205" s="3" t="n">
        <v>1.53</v>
      </c>
      <c r="AL205" s="3" t="n">
        <v>-0.1645361013047155</v>
      </c>
      <c r="AM205" s="6" t="n">
        <v>0</v>
      </c>
      <c r="AN205" s="3" t="n">
        <v>0</v>
      </c>
      <c r="AO205" s="3" t="n">
        <v>1.1565</v>
      </c>
      <c r="AP205" s="3" t="n">
        <v>0.7417079999999999</v>
      </c>
      <c r="AQ205" s="3">
        <f>N(X205)*N(BJ205)</f>
        <v/>
      </c>
      <c r="AR205" s="3" t="n">
        <v>0</v>
      </c>
      <c r="AS205" s="3" t="n">
        <v>-0</v>
      </c>
      <c r="AT205" s="3" t="n">
        <v>-0.1645361013047155</v>
      </c>
      <c r="AU205" s="3">
        <f>SUM(AO205:AT205)</f>
        <v/>
      </c>
      <c r="AV205" s="7">
        <f>IF(OR(N(W205)&lt;=0,N(BH205)=0),0,N(W205)*IF(N(R205)/N(W205)&gt;=60,N(BH205),1))</f>
        <v/>
      </c>
      <c r="AW205" s="7">
        <f>N(W205)*N(AF205)*N(BI205)</f>
        <v/>
      </c>
      <c r="AX205" s="3">
        <f>IF(N(BH205)=0,0,N(W205)*N(AH205))</f>
        <v/>
      </c>
      <c r="AY205" s="7">
        <f>N(AM205)*(Assumptions!$B$13*N(BK205)-(1-Assumptions!$B$13)*Assumptions!$B$14)+N(AN205)</f>
        <v/>
      </c>
      <c r="AZ205" s="7">
        <f>N(AU205)*N(R205)/90+N(AV205)+N(AW205)+N(AX205)+N(AY205)</f>
        <v/>
      </c>
      <c r="BA205" s="3">
        <f>IF(N(R205)&lt;=0,0,(N(AZ205)-N(AY205))*90/N(R205))</f>
        <v/>
      </c>
      <c r="BB205" s="7">
        <f>IFERROR(AZ205-VLOOKUP($E205,Assumptions!$A$40:$C$43,3,FALSE),"")</f>
        <v/>
      </c>
      <c r="BC205" s="3">
        <f>IFERROR(BB205/H205,"")</f>
        <v/>
      </c>
      <c r="BD205">
        <f>IF(AND($G205=TRUE,$E205="GKP"),AZ205,"")</f>
        <v/>
      </c>
      <c r="BE205">
        <f>IF(AND($G205=TRUE,$E205="DEF"),AZ205,"")</f>
        <v/>
      </c>
      <c r="BF205">
        <f>IF(AND($G205=TRUE,$E205="MID"),AZ205,"")</f>
        <v/>
      </c>
      <c r="BG205">
        <f>IF(AND($G205=TRUE,$E205="FWD"),AZ205,"")</f>
        <v/>
      </c>
      <c r="BH205" t="n">
        <v>2</v>
      </c>
      <c r="BI205" t="n">
        <v>2</v>
      </c>
      <c r="BJ205" t="n">
        <v>1</v>
      </c>
      <c r="BK205" t="n">
        <v>5</v>
      </c>
    </row>
    <row r="206">
      <c r="A206" t="inlineStr">
        <is>
          <t>Mikel Merino</t>
        </is>
      </c>
      <c r="B206" t="inlineStr">
        <is>
          <t>ARS</t>
        </is>
      </c>
      <c r="C206" t="inlineStr">
        <is>
          <t>ARS</t>
        </is>
      </c>
      <c r="D206" t="b">
        <v>0</v>
      </c>
      <c r="E206" t="inlineStr">
        <is>
          <t>MID</t>
        </is>
      </c>
      <c r="F206" t="inlineStr">
        <is>
          <t>MID</t>
        </is>
      </c>
      <c r="G206" t="b">
        <v>1</v>
      </c>
      <c r="H206" s="2" t="n">
        <v>6</v>
      </c>
      <c r="I206" t="inlineStr">
        <is>
          <t>a</t>
        </is>
      </c>
      <c r="K206" s="2" t="n">
        <v>1024</v>
      </c>
      <c r="L206" t="n">
        <v>67</v>
      </c>
      <c r="M206" s="3" t="n">
        <v>173</v>
      </c>
      <c r="N206" s="8" t="n">
        <v>173</v>
      </c>
      <c r="O206" s="8" t="n">
        <v>0</v>
      </c>
      <c r="Q206" t="inlineStr">
        <is>
          <t>flat</t>
        </is>
      </c>
      <c r="R206" s="6" t="n">
        <v>173</v>
      </c>
      <c r="S206" t="inlineStr">
        <is>
          <t>Solio</t>
        </is>
      </c>
      <c r="U206" s="6" t="n">
        <v>78.40000000000001</v>
      </c>
      <c r="V206" s="2" t="n">
        <v>10</v>
      </c>
      <c r="W206" s="7">
        <f>IF(N(U206)&lt;=0,0,MIN(Assumptions!$B$15,N(R206)/N(U206)))</f>
        <v/>
      </c>
      <c r="X206" s="6" t="n">
        <v>0.391</v>
      </c>
      <c r="Y206" s="3" t="n">
        <v>0.3227</v>
      </c>
      <c r="Z206" t="inlineStr">
        <is>
          <t>adjusted xGOT</t>
        </is>
      </c>
      <c r="AA206" s="3" t="n">
        <v>1</v>
      </c>
      <c r="AB206" s="3" t="n">
        <v>1.093</v>
      </c>
      <c r="AC206" s="3" t="n">
        <v>9.1</v>
      </c>
      <c r="AD206" s="3" t="n">
        <v>0.1644</v>
      </c>
      <c r="AE206" s="3" t="n">
        <v>9.372</v>
      </c>
      <c r="AF206" s="3" t="n">
        <v>0.1241294651182095</v>
      </c>
      <c r="AG206" s="3" t="n">
        <v>4.979</v>
      </c>
      <c r="AH206" s="3" t="n">
        <v>0.4375726896</v>
      </c>
      <c r="AI206" s="3" t="n">
        <v>30</v>
      </c>
      <c r="AJ206" s="3" t="n">
        <v>2.067</v>
      </c>
      <c r="AK206" s="3" t="n">
        <v>0.9838</v>
      </c>
      <c r="AL206" s="3" t="n">
        <v>-0.1589487480746403</v>
      </c>
      <c r="AM206" s="6" t="n">
        <v>0</v>
      </c>
      <c r="AN206" s="3" t="n">
        <v>0</v>
      </c>
      <c r="AO206" s="3" t="n">
        <v>1.6135</v>
      </c>
      <c r="AP206" s="3" t="n">
        <v>0.651024</v>
      </c>
      <c r="AQ206" s="3">
        <f>N(X206)*N(BJ206)</f>
        <v/>
      </c>
      <c r="AR206" s="3" t="n">
        <v>0</v>
      </c>
      <c r="AS206" s="3" t="n">
        <v>-0</v>
      </c>
      <c r="AT206" s="3" t="n">
        <v>-0.1589487480746403</v>
      </c>
      <c r="AU206" s="3">
        <f>SUM(AO206:AT206)</f>
        <v/>
      </c>
      <c r="AV206" s="7">
        <f>IF(OR(N(W206)&lt;=0,N(BH206)=0),0,N(W206)*IF(N(R206)/N(W206)&gt;=60,N(BH206),1))</f>
        <v/>
      </c>
      <c r="AW206" s="7">
        <f>N(W206)*N(AF206)*N(BI206)</f>
        <v/>
      </c>
      <c r="AX206" s="3">
        <f>IF(N(BH206)=0,0,N(W206)*N(AH206))</f>
        <v/>
      </c>
      <c r="AY206" s="7">
        <f>N(AM206)*(Assumptions!$B$13*N(BK206)-(1-Assumptions!$B$13)*Assumptions!$B$14)+N(AN206)</f>
        <v/>
      </c>
      <c r="AZ206" s="7">
        <f>N(AU206)*N(R206)/90+N(AV206)+N(AW206)+N(AX206)+N(AY206)</f>
        <v/>
      </c>
      <c r="BA206" s="3">
        <f>IF(N(R206)&lt;=0,0,(N(AZ206)-N(AY206))*90/N(R206))</f>
        <v/>
      </c>
      <c r="BB206" s="7">
        <f>IFERROR(AZ206-VLOOKUP($E206,Assumptions!$A$40:$C$43,3,FALSE),"")</f>
        <v/>
      </c>
      <c r="BC206" s="3">
        <f>IFERROR(BB206/H206,"")</f>
        <v/>
      </c>
      <c r="BD206">
        <f>IF(AND($G206=TRUE,$E206="GKP"),AZ206,"")</f>
        <v/>
      </c>
      <c r="BE206">
        <f>IF(AND($G206=TRUE,$E206="DEF"),AZ206,"")</f>
        <v/>
      </c>
      <c r="BF206">
        <f>IF(AND($G206=TRUE,$E206="MID"),AZ206,"")</f>
        <v/>
      </c>
      <c r="BG206">
        <f>IF(AND($G206=TRUE,$E206="FWD"),AZ206,"")</f>
        <v/>
      </c>
      <c r="BH206" t="n">
        <v>2</v>
      </c>
      <c r="BI206" t="n">
        <v>2</v>
      </c>
      <c r="BJ206" t="n">
        <v>1</v>
      </c>
      <c r="BK206" t="n">
        <v>5</v>
      </c>
    </row>
    <row r="207">
      <c r="A207" t="inlineStr">
        <is>
          <t>Daichi Kamada</t>
        </is>
      </c>
      <c r="B207" t="inlineStr">
        <is>
          <t>CRY</t>
        </is>
      </c>
      <c r="C207" t="inlineStr">
        <is>
          <t>CRY</t>
        </is>
      </c>
      <c r="D207" t="b">
        <v>0</v>
      </c>
      <c r="E207" t="inlineStr">
        <is>
          <t>MID</t>
        </is>
      </c>
      <c r="F207" t="inlineStr">
        <is>
          <t>MID</t>
        </is>
      </c>
      <c r="G207" t="b">
        <v>1</v>
      </c>
      <c r="H207" s="2" t="n">
        <v>5</v>
      </c>
      <c r="I207" t="inlineStr">
        <is>
          <t>a</t>
        </is>
      </c>
      <c r="K207" s="2" t="n">
        <v>1899</v>
      </c>
      <c r="L207" t="n">
        <v>67</v>
      </c>
      <c r="M207" s="3" t="n">
        <v>1932</v>
      </c>
      <c r="N207" s="8" t="n">
        <v>1932</v>
      </c>
      <c r="O207" s="8" t="n">
        <v>0</v>
      </c>
      <c r="Q207" t="inlineStr">
        <is>
          <t>flat</t>
        </is>
      </c>
      <c r="R207" s="6" t="n">
        <v>1932</v>
      </c>
      <c r="S207" t="inlineStr">
        <is>
          <t>Solio</t>
        </is>
      </c>
      <c r="U207" s="6" t="n">
        <v>80.40000000000001</v>
      </c>
      <c r="V207" s="2" t="n">
        <v>22</v>
      </c>
      <c r="W207" s="7">
        <f>IF(N(U207)&lt;=0,0,MIN(Assumptions!$B$15,N(R207)/N(U207)))</f>
        <v/>
      </c>
      <c r="X207" s="6" t="n">
        <v>0.216</v>
      </c>
      <c r="Y207" s="3" t="n">
        <v>0.0708</v>
      </c>
      <c r="Z207" t="inlineStr">
        <is>
          <t>adjusted xGOT</t>
        </is>
      </c>
      <c r="AA207" s="3" t="n">
        <v>1</v>
      </c>
      <c r="AB207" s="3" t="n">
        <v>0.911</v>
      </c>
      <c r="AC207" s="3" t="n">
        <v>2.8</v>
      </c>
      <c r="AD207" s="3" t="n">
        <v>0.1381</v>
      </c>
      <c r="AE207" s="3" t="n">
        <v>9.506</v>
      </c>
      <c r="AF207" s="3" t="n">
        <v>0.1506586266737209</v>
      </c>
      <c r="AG207" s="3" t="n">
        <v>7.957</v>
      </c>
      <c r="AH207" s="3" t="n">
        <v>0.182193856</v>
      </c>
      <c r="AI207" s="3" t="n">
        <v>48</v>
      </c>
      <c r="AJ207" s="3" t="n">
        <v>3.2035</v>
      </c>
      <c r="AK207" s="3" t="n">
        <v>1.5923</v>
      </c>
      <c r="AL207" s="3" t="n">
        <v>-0.1978697225989962</v>
      </c>
      <c r="AM207" s="6" t="n">
        <v>0</v>
      </c>
      <c r="AN207" s="3" t="n">
        <v>0</v>
      </c>
      <c r="AO207" s="3" t="n">
        <v>0.354</v>
      </c>
      <c r="AP207" s="3" t="n">
        <v>0.546876</v>
      </c>
      <c r="AQ207" s="3">
        <f>N(X207)*N(BJ207)</f>
        <v/>
      </c>
      <c r="AR207" s="3" t="n">
        <v>0</v>
      </c>
      <c r="AS207" s="3" t="n">
        <v>-0</v>
      </c>
      <c r="AT207" s="3" t="n">
        <v>-0.1978697225989962</v>
      </c>
      <c r="AU207" s="3">
        <f>SUM(AO207:AT207)</f>
        <v/>
      </c>
      <c r="AV207" s="7">
        <f>IF(OR(N(W207)&lt;=0,N(BH207)=0),0,N(W207)*IF(N(R207)/N(W207)&gt;=60,N(BH207),1))</f>
        <v/>
      </c>
      <c r="AW207" s="7">
        <f>N(W207)*N(AF207)*N(BI207)</f>
        <v/>
      </c>
      <c r="AX207" s="3">
        <f>IF(N(BH207)=0,0,N(W207)*N(AH207))</f>
        <v/>
      </c>
      <c r="AY207" s="7">
        <f>N(AM207)*(Assumptions!$B$13*N(BK207)-(1-Assumptions!$B$13)*Assumptions!$B$14)+N(AN207)</f>
        <v/>
      </c>
      <c r="AZ207" s="7">
        <f>N(AU207)*N(R207)/90+N(AV207)+N(AW207)+N(AX207)+N(AY207)</f>
        <v/>
      </c>
      <c r="BA207" s="3">
        <f>IF(N(R207)&lt;=0,0,(N(AZ207)-N(AY207))*90/N(R207))</f>
        <v/>
      </c>
      <c r="BB207" s="7">
        <f>IFERROR(AZ207-VLOOKUP($E207,Assumptions!$A$40:$C$43,3,FALSE),"")</f>
        <v/>
      </c>
      <c r="BC207" s="3">
        <f>IFERROR(BB207/H207,"")</f>
        <v/>
      </c>
      <c r="BD207">
        <f>IF(AND($G207=TRUE,$E207="GKP"),AZ207,"")</f>
        <v/>
      </c>
      <c r="BE207">
        <f>IF(AND($G207=TRUE,$E207="DEF"),AZ207,"")</f>
        <v/>
      </c>
      <c r="BF207">
        <f>IF(AND($G207=TRUE,$E207="MID"),AZ207,"")</f>
        <v/>
      </c>
      <c r="BG207">
        <f>IF(AND($G207=TRUE,$E207="FWD"),AZ207,"")</f>
        <v/>
      </c>
      <c r="BH207" t="n">
        <v>2</v>
      </c>
      <c r="BI207" t="n">
        <v>2</v>
      </c>
      <c r="BJ207" t="n">
        <v>1</v>
      </c>
      <c r="BK207" t="n">
        <v>5</v>
      </c>
    </row>
    <row r="208">
      <c r="A208" s="9" t="inlineStr">
        <is>
          <t>Sasa Lukic</t>
        </is>
      </c>
      <c r="B208" t="inlineStr">
        <is>
          <t>IPS</t>
        </is>
      </c>
      <c r="C208" s="9" t="inlineStr">
        <is>
          <t>FUL</t>
        </is>
      </c>
      <c r="D208" t="b">
        <v>1</v>
      </c>
      <c r="E208" t="inlineStr">
        <is>
          <t>MID</t>
        </is>
      </c>
      <c r="F208" t="inlineStr">
        <is>
          <t>MID</t>
        </is>
      </c>
      <c r="G208" t="b">
        <v>1</v>
      </c>
      <c r="H208" s="2" t="n">
        <v>5</v>
      </c>
      <c r="I208" t="inlineStr">
        <is>
          <t>a</t>
        </is>
      </c>
      <c r="K208" s="2" t="n">
        <v>1730</v>
      </c>
      <c r="L208" t="n">
        <v>67</v>
      </c>
      <c r="M208" s="3" t="n">
        <v>2217</v>
      </c>
      <c r="N208" s="8" t="n">
        <v>2217</v>
      </c>
      <c r="O208" s="8" t="n">
        <v>0</v>
      </c>
      <c r="Q208" t="inlineStr">
        <is>
          <t>flat</t>
        </is>
      </c>
      <c r="R208" s="6" t="n">
        <v>2217</v>
      </c>
      <c r="S208" t="inlineStr">
        <is>
          <t>Solio</t>
        </is>
      </c>
      <c r="U208" s="6" t="n">
        <v>79.8</v>
      </c>
      <c r="V208" s="2" t="n">
        <v>20</v>
      </c>
      <c r="W208" s="7">
        <f>IF(N(U208)&lt;=0,0,MIN(Assumptions!$B$15,N(R208)/N(U208)))</f>
        <v/>
      </c>
      <c r="X208" s="6" t="n">
        <v>0.17</v>
      </c>
      <c r="Y208" s="10" t="n">
        <v>0.1034</v>
      </c>
      <c r="Z208" t="inlineStr">
        <is>
          <t>adjusted xGOT</t>
        </is>
      </c>
      <c r="AA208" s="3" t="n">
        <v>1</v>
      </c>
      <c r="AB208" s="3" t="n">
        <v>0.892</v>
      </c>
      <c r="AC208" s="3" t="n">
        <v>5</v>
      </c>
      <c r="AD208" s="10" t="n">
        <v>0.106</v>
      </c>
      <c r="AE208" s="3" t="n">
        <v>9.243</v>
      </c>
      <c r="AF208" s="3" t="n">
        <v>0.1265481893686531</v>
      </c>
      <c r="AG208" s="3" t="n">
        <v>7.487</v>
      </c>
      <c r="AH208" s="3" t="n">
        <v>0.217447679</v>
      </c>
      <c r="AI208" s="3" t="n">
        <v>43</v>
      </c>
      <c r="AJ208" s="3" t="n">
        <v>3.5741</v>
      </c>
      <c r="AK208" s="3" t="n">
        <v>1.8319</v>
      </c>
      <c r="AL208" s="3" t="n">
        <v>-0.3854939000437318</v>
      </c>
      <c r="AM208" s="6" t="n">
        <v>0</v>
      </c>
      <c r="AN208" s="3" t="n">
        <v>0</v>
      </c>
      <c r="AO208" s="10" t="n">
        <v>0.517</v>
      </c>
      <c r="AP208" s="10" t="n">
        <v>0.41976</v>
      </c>
      <c r="AQ208" s="3">
        <f>N(X208)*N(BJ208)</f>
        <v/>
      </c>
      <c r="AR208" s="3" t="n">
        <v>0</v>
      </c>
      <c r="AS208" s="3" t="n">
        <v>-0</v>
      </c>
      <c r="AT208" s="3" t="n">
        <v>-0.3854939000437318</v>
      </c>
      <c r="AU208" s="3">
        <f>SUM(AO208:AT208)</f>
        <v/>
      </c>
      <c r="AV208" s="7">
        <f>IF(OR(N(W208)&lt;=0,N(BH208)=0),0,N(W208)*IF(N(R208)/N(W208)&gt;=60,N(BH208),1))</f>
        <v/>
      </c>
      <c r="AW208" s="7">
        <f>N(W208)*N(AF208)*N(BI208)</f>
        <v/>
      </c>
      <c r="AX208" s="3">
        <f>IF(N(BH208)=0,0,N(W208)*N(AH208))</f>
        <v/>
      </c>
      <c r="AY208" s="7">
        <f>N(AM208)*(Assumptions!$B$13*N(BK208)-(1-Assumptions!$B$13)*Assumptions!$B$14)+N(AN208)</f>
        <v/>
      </c>
      <c r="AZ208" s="7">
        <f>N(AU208)*N(R208)/90+N(AV208)+N(AW208)+N(AX208)+N(AY208)</f>
        <v/>
      </c>
      <c r="BA208" s="3">
        <f>IF(N(R208)&lt;=0,0,(N(AZ208)-N(AY208))*90/N(R208))</f>
        <v/>
      </c>
      <c r="BB208" s="7">
        <f>IFERROR(AZ208-VLOOKUP($E208,Assumptions!$A$40:$C$43,3,FALSE),"")</f>
        <v/>
      </c>
      <c r="BC208" s="3">
        <f>IFERROR(BB208/H208,"")</f>
        <v/>
      </c>
      <c r="BD208">
        <f>IF(AND($G208=TRUE,$E208="GKP"),AZ208,"")</f>
        <v/>
      </c>
      <c r="BE208">
        <f>IF(AND($G208=TRUE,$E208="DEF"),AZ208,"")</f>
        <v/>
      </c>
      <c r="BF208">
        <f>IF(AND($G208=TRUE,$E208="MID"),AZ208,"")</f>
        <v/>
      </c>
      <c r="BG208">
        <f>IF(AND($G208=TRUE,$E208="FWD"),AZ208,"")</f>
        <v/>
      </c>
      <c r="BH208" t="n">
        <v>2</v>
      </c>
      <c r="BI208" t="n">
        <v>2</v>
      </c>
      <c r="BJ208" t="n">
        <v>1</v>
      </c>
      <c r="BK208" t="n">
        <v>5</v>
      </c>
    </row>
    <row r="209">
      <c r="A209" t="inlineStr">
        <is>
          <t>Ola Aina</t>
        </is>
      </c>
      <c r="B209" t="inlineStr">
        <is>
          <t>NFO</t>
        </is>
      </c>
      <c r="C209" t="inlineStr">
        <is>
          <t>NFO</t>
        </is>
      </c>
      <c r="D209" t="b">
        <v>0</v>
      </c>
      <c r="E209" t="inlineStr">
        <is>
          <t>DEF</t>
        </is>
      </c>
      <c r="F209" t="inlineStr">
        <is>
          <t>DEF</t>
        </is>
      </c>
      <c r="G209" t="b">
        <v>1</v>
      </c>
      <c r="H209" s="2" t="n">
        <v>4.5</v>
      </c>
      <c r="I209" t="inlineStr">
        <is>
          <t>a</t>
        </is>
      </c>
      <c r="K209" s="2" t="n">
        <v>1587</v>
      </c>
      <c r="L209" t="n">
        <v>67</v>
      </c>
      <c r="M209" s="3" t="n">
        <v>2953</v>
      </c>
      <c r="N209" s="4" t="n">
        <v>2550</v>
      </c>
      <c r="O209" s="4" t="n">
        <v>-403</v>
      </c>
      <c r="P209" s="5" t="inlineStr">
        <is>
          <t>medium</t>
        </is>
      </c>
      <c r="Q209" t="inlineStr">
        <is>
          <t>flat</t>
        </is>
      </c>
      <c r="R209" s="6" t="n">
        <v>2550</v>
      </c>
      <c r="S209" t="inlineStr">
        <is>
          <t>research</t>
        </is>
      </c>
      <c r="T209" s="5" t="inlineStr">
        <is>
          <t>Solio projects 86% of all available minutes for a 29-year-old who managed 1,587 league minutes last season after tearing a hamstring on international duty and having surgery on 13 Sept 2025. He is a starter and healthy now, but a full rebound to near-ever-present is the single most optimistic assumption in the allocation, and his only natural deputy at left wing-back is Luca Netz.</t>
        </is>
      </c>
      <c r="U209" s="6" t="n">
        <v>87.2</v>
      </c>
      <c r="V209" s="2" t="n">
        <v>18</v>
      </c>
      <c r="W209" s="7">
        <f>IF(N(U209)&lt;=0,0,MIN(Assumptions!$B$15,N(R209)/N(U209)))</f>
        <v/>
      </c>
      <c r="X209" s="6" t="n">
        <v>0.224</v>
      </c>
      <c r="Y209" s="3" t="n">
        <v>0.0226</v>
      </c>
      <c r="Z209" t="inlineStr">
        <is>
          <t>adjusted xGOT</t>
        </is>
      </c>
      <c r="AA209" s="3" t="n">
        <v>1</v>
      </c>
      <c r="AB209" s="3" t="n">
        <v>0.97</v>
      </c>
      <c r="AC209" s="3" t="n">
        <v>1.4</v>
      </c>
      <c r="AD209" s="3" t="n">
        <v>0.0335</v>
      </c>
      <c r="AE209" s="3" t="n">
        <v>7.47</v>
      </c>
      <c r="AF209" s="3" t="n">
        <v>0.1943914275034606</v>
      </c>
      <c r="AG209" s="3" t="n">
        <v>7.58</v>
      </c>
      <c r="AH209" s="3" t="n">
        <v>0.125046296</v>
      </c>
      <c r="AI209" s="3" t="n">
        <v>36</v>
      </c>
      <c r="AJ209" s="3" t="n">
        <v>3.1134</v>
      </c>
      <c r="AK209" s="3" t="n">
        <v>1.5588</v>
      </c>
      <c r="AL209" s="3" t="n">
        <v>-0.1869965935960393</v>
      </c>
      <c r="AM209" s="6" t="n">
        <v>0</v>
      </c>
      <c r="AN209" s="3" t="n">
        <v>0</v>
      </c>
      <c r="AO209" s="3" t="n">
        <v>0.1356</v>
      </c>
      <c r="AP209" s="3" t="n">
        <v>0.13266</v>
      </c>
      <c r="AQ209" s="3">
        <f>N(X209)*N(BJ209)</f>
        <v/>
      </c>
      <c r="AR209" s="3" t="n">
        <v>0</v>
      </c>
      <c r="AS209" s="3" t="n">
        <v>-0.5404658182244797</v>
      </c>
      <c r="AT209" s="3" t="n">
        <v>-0.1869965935960393</v>
      </c>
      <c r="AU209" s="3">
        <f>SUM(AO209:AT209)</f>
        <v/>
      </c>
      <c r="AV209" s="7">
        <f>IF(OR(N(W209)&lt;=0,N(BH209)=0),0,N(W209)*IF(N(R209)/N(W209)&gt;=60,N(BH209),1))</f>
        <v/>
      </c>
      <c r="AW209" s="7">
        <f>N(W209)*N(AF209)*N(BI209)</f>
        <v/>
      </c>
      <c r="AX209" s="3">
        <f>IF(N(BH209)=0,0,N(W209)*N(AH209))</f>
        <v/>
      </c>
      <c r="AY209" s="7">
        <f>N(AM209)*(Assumptions!$B$13*N(BK209)-(1-Assumptions!$B$13)*Assumptions!$B$14)+N(AN209)</f>
        <v/>
      </c>
      <c r="AZ209" s="7">
        <f>N(AU209)*N(R209)/90+N(AV209)+N(AW209)+N(AX209)+N(AY209)</f>
        <v/>
      </c>
      <c r="BA209" s="3">
        <f>IF(N(R209)&lt;=0,0,(N(AZ209)-N(AY209))*90/N(R209))</f>
        <v/>
      </c>
      <c r="BB209" s="7">
        <f>IFERROR(AZ209-VLOOKUP($E209,Assumptions!$A$40:$C$43,3,FALSE),"")</f>
        <v/>
      </c>
      <c r="BC209" s="3">
        <f>IFERROR(BB209/H209,"")</f>
        <v/>
      </c>
      <c r="BD209">
        <f>IF(AND($G209=TRUE,$E209="GKP"),AZ209,"")</f>
        <v/>
      </c>
      <c r="BE209">
        <f>IF(AND($G209=TRUE,$E209="DEF"),AZ209,"")</f>
        <v/>
      </c>
      <c r="BF209">
        <f>IF(AND($G209=TRUE,$E209="MID"),AZ209,"")</f>
        <v/>
      </c>
      <c r="BG209">
        <f>IF(AND($G209=TRUE,$E209="FWD"),AZ209,"")</f>
        <v/>
      </c>
      <c r="BH209" t="n">
        <v>2</v>
      </c>
      <c r="BI209" t="n">
        <v>2</v>
      </c>
      <c r="BJ209" t="n">
        <v>4</v>
      </c>
      <c r="BK209" t="n">
        <v>6</v>
      </c>
    </row>
    <row r="210">
      <c r="A210" t="inlineStr">
        <is>
          <t>Habib Diarra</t>
        </is>
      </c>
      <c r="B210" t="inlineStr">
        <is>
          <t>SUN</t>
        </is>
      </c>
      <c r="C210" t="inlineStr">
        <is>
          <t>SUN</t>
        </is>
      </c>
      <c r="D210" t="b">
        <v>0</v>
      </c>
      <c r="E210" t="inlineStr">
        <is>
          <t>MID</t>
        </is>
      </c>
      <c r="F210" t="inlineStr">
        <is>
          <t>MID</t>
        </is>
      </c>
      <c r="G210" t="b">
        <v>1</v>
      </c>
      <c r="H210" s="2" t="n">
        <v>5.5</v>
      </c>
      <c r="I210" t="inlineStr">
        <is>
          <t>a</t>
        </is>
      </c>
      <c r="K210" s="2" t="n">
        <v>1403</v>
      </c>
      <c r="L210" t="n">
        <v>65</v>
      </c>
      <c r="M210" s="3" t="n">
        <v>1602</v>
      </c>
      <c r="N210" s="8" t="n">
        <v>1602</v>
      </c>
      <c r="O210" s="8" t="n">
        <v>0</v>
      </c>
      <c r="Q210" t="inlineStr">
        <is>
          <t>flat</t>
        </is>
      </c>
      <c r="R210" s="6" t="n">
        <v>1602</v>
      </c>
      <c r="S210" t="inlineStr">
        <is>
          <t>Solio</t>
        </is>
      </c>
      <c r="U210" s="6" t="n">
        <v>82.90000000000001</v>
      </c>
      <c r="V210" s="2" t="n">
        <v>15</v>
      </c>
      <c r="W210" s="7">
        <f>IF(N(U210)&lt;=0,0,MIN(Assumptions!$B$15,N(R210)/N(U210)))</f>
        <v/>
      </c>
      <c r="X210" s="6" t="n">
        <v>0.204</v>
      </c>
      <c r="Y210" s="3" t="n">
        <v>0.1497</v>
      </c>
      <c r="Z210" t="inlineStr">
        <is>
          <t>adjusted xGOT</t>
        </is>
      </c>
      <c r="AA210" s="3" t="n">
        <v>0.766</v>
      </c>
      <c r="AB210" s="3" t="n">
        <v>0.9320000000000001</v>
      </c>
      <c r="AC210" s="3" t="n">
        <v>3.3</v>
      </c>
      <c r="AD210" s="3" t="n">
        <v>0.0479</v>
      </c>
      <c r="AE210" s="3" t="n">
        <v>6.258</v>
      </c>
      <c r="AF210" s="3" t="n">
        <v>0.01528429474740867</v>
      </c>
      <c r="AG210" s="3" t="n">
        <v>3.376</v>
      </c>
      <c r="AH210" s="3" t="n">
        <v>0.1735128065</v>
      </c>
      <c r="AI210" s="3" t="n">
        <v>35</v>
      </c>
      <c r="AJ210" s="3" t="n">
        <v>3.3348</v>
      </c>
      <c r="AK210" s="3" t="n">
        <v>1.6498</v>
      </c>
      <c r="AL210" s="3" t="n">
        <v>-0.3075768663648786</v>
      </c>
      <c r="AM210" s="6" t="n">
        <v>1.889390579450971</v>
      </c>
      <c r="AN210" s="3" t="n">
        <v>0</v>
      </c>
      <c r="AO210" s="3" t="n">
        <v>0.7484999999999999</v>
      </c>
      <c r="AP210" s="3" t="n">
        <v>0.189684</v>
      </c>
      <c r="AQ210" s="3">
        <f>N(X210)*N(BJ210)</f>
        <v/>
      </c>
      <c r="AR210" s="3" t="n">
        <v>0</v>
      </c>
      <c r="AS210" s="3" t="n">
        <v>-0</v>
      </c>
      <c r="AT210" s="3" t="n">
        <v>-0.3075768663648786</v>
      </c>
      <c r="AU210" s="3">
        <f>SUM(AO210:AT210)</f>
        <v/>
      </c>
      <c r="AV210" s="7">
        <f>IF(OR(N(W210)&lt;=0,N(BH210)=0),0,N(W210)*IF(N(R210)/N(W210)&gt;=60,N(BH210),1))</f>
        <v/>
      </c>
      <c r="AW210" s="7">
        <f>N(W210)*N(AF210)*N(BI210)</f>
        <v/>
      </c>
      <c r="AX210" s="3">
        <f>IF(N(BH210)=0,0,N(W210)*N(AH210))</f>
        <v/>
      </c>
      <c r="AY210" s="7">
        <f>N(AM210)*(Assumptions!$B$13*N(BK210)-(1-Assumptions!$B$13)*Assumptions!$B$14)+N(AN210)</f>
        <v/>
      </c>
      <c r="AZ210" s="7">
        <f>N(AU210)*N(R210)/90+N(AV210)+N(AW210)+N(AX210)+N(AY210)</f>
        <v/>
      </c>
      <c r="BA210" s="3">
        <f>IF(N(R210)&lt;=0,0,(N(AZ210)-N(AY210))*90/N(R210))</f>
        <v/>
      </c>
      <c r="BB210" s="7">
        <f>IFERROR(AZ210-VLOOKUP($E210,Assumptions!$A$40:$C$43,3,FALSE),"")</f>
        <v/>
      </c>
      <c r="BC210" s="3">
        <f>IFERROR(BB210/H210,"")</f>
        <v/>
      </c>
      <c r="BD210">
        <f>IF(AND($G210=TRUE,$E210="GKP"),AZ210,"")</f>
        <v/>
      </c>
      <c r="BE210">
        <f>IF(AND($G210=TRUE,$E210="DEF"),AZ210,"")</f>
        <v/>
      </c>
      <c r="BF210">
        <f>IF(AND($G210=TRUE,$E210="MID"),AZ210,"")</f>
        <v/>
      </c>
      <c r="BG210">
        <f>IF(AND($G210=TRUE,$E210="FWD"),AZ210,"")</f>
        <v/>
      </c>
      <c r="BH210" t="n">
        <v>2</v>
      </c>
      <c r="BI210" t="n">
        <v>2</v>
      </c>
      <c r="BJ210" t="n">
        <v>1</v>
      </c>
      <c r="BK210" t="n">
        <v>5</v>
      </c>
    </row>
    <row r="211">
      <c r="A211" s="9" t="inlineStr">
        <is>
          <t>Brennan Johnson</t>
        </is>
      </c>
      <c r="B211" t="inlineStr">
        <is>
          <t>EVE</t>
        </is>
      </c>
      <c r="C211" s="9" t="inlineStr">
        <is>
          <t>CRY</t>
        </is>
      </c>
      <c r="D211" t="b">
        <v>1</v>
      </c>
      <c r="E211" t="inlineStr">
        <is>
          <t>MID</t>
        </is>
      </c>
      <c r="F211" t="inlineStr">
        <is>
          <t>MID</t>
        </is>
      </c>
      <c r="G211" t="b">
        <v>1</v>
      </c>
      <c r="H211" s="2" t="n">
        <v>6</v>
      </c>
      <c r="I211" t="inlineStr">
        <is>
          <t>a</t>
        </is>
      </c>
      <c r="K211" s="2" t="n">
        <v>1710</v>
      </c>
      <c r="L211" t="n">
        <v>65</v>
      </c>
      <c r="M211" s="3" t="n">
        <v>1082</v>
      </c>
      <c r="N211" s="4" t="n">
        <v>2100</v>
      </c>
      <c r="O211" s="4" t="n">
        <v>1018</v>
      </c>
      <c r="P211" s="5" t="inlineStr">
        <is>
          <t>medium</t>
        </is>
      </c>
      <c r="Q211" t="inlineStr">
        <is>
          <t>flat</t>
        </is>
      </c>
      <c r="R211" s="6" t="n">
        <v>2100</v>
      </c>
      <c r="S211" t="inlineStr">
        <is>
          <t>research</t>
        </is>
      </c>
      <c r="T211" s="5" t="inlineStr">
        <is>
          <t>Solio has him at bench level. He arrived on 10-11 August 2026 in a straight swap with Dwight McNeil, who had made 114 appearances as Everton's first-choice wide man, and signed a four-year deal to 2030. Read Everton's transfer tracker calls him a source of 'pace, direct running and goals' who can also play centrally; the official FPL game prices him at GBP 6.0m, joint second-highest in the squad and level with Tarkowski and Ndiaye, which is not how the game prices a rotation winger. He was an unused substitute against Lille on 15 August, his first Everton matchday squad. Sized below a nailed-on 3,000-plus because he scored nothing in 26 Palace appearances, has had no pre-season with Everton, and Tyrique George (GBP 20m+ permanent), Tyler Dibling and Merlin Röhl all play wide.</t>
        </is>
      </c>
      <c r="U211" s="6" t="n">
        <v>77.90000000000001</v>
      </c>
      <c r="V211" s="2" t="n">
        <v>19</v>
      </c>
      <c r="W211" s="7">
        <f>IF(N(U211)&lt;=0,0,MIN(Assumptions!$B$15,N(R211)/N(U211)))</f>
        <v/>
      </c>
      <c r="X211" s="6" t="n">
        <v>0.231</v>
      </c>
      <c r="Y211" s="10" t="n">
        <v>0.1194</v>
      </c>
      <c r="Z211" t="inlineStr">
        <is>
          <t>adjusted xGOT</t>
        </is>
      </c>
      <c r="AA211" s="3" t="n">
        <v>1</v>
      </c>
      <c r="AB211" s="3" t="n">
        <v>0.926</v>
      </c>
      <c r="AC211" s="3" t="n">
        <v>32</v>
      </c>
      <c r="AD211" s="10" t="n">
        <v>0.0682</v>
      </c>
      <c r="AE211" s="3" t="n">
        <v>7.023</v>
      </c>
      <c r="AF211" s="3" t="n">
        <v>0.02192616524412738</v>
      </c>
      <c r="AG211" s="3" t="n">
        <v>3.969</v>
      </c>
      <c r="AH211" s="3" t="n">
        <v>0.151542983</v>
      </c>
      <c r="AI211" s="3" t="n">
        <v>50</v>
      </c>
      <c r="AJ211" s="3" t="n">
        <v>3.0311</v>
      </c>
      <c r="AK211" s="3" t="n">
        <v>1.5252</v>
      </c>
      <c r="AL211" s="3" t="n">
        <v>-0.2406650059580908</v>
      </c>
      <c r="AM211" s="6" t="n">
        <v>0</v>
      </c>
      <c r="AN211" s="3" t="n">
        <v>0</v>
      </c>
      <c r="AO211" s="10" t="n">
        <v>0.597</v>
      </c>
      <c r="AP211" s="10" t="n">
        <v>0.270072</v>
      </c>
      <c r="AQ211" s="3">
        <f>N(X211)*N(BJ211)</f>
        <v/>
      </c>
      <c r="AR211" s="3" t="n">
        <v>0</v>
      </c>
      <c r="AS211" s="3" t="n">
        <v>-0</v>
      </c>
      <c r="AT211" s="3" t="n">
        <v>-0.2406650059580908</v>
      </c>
      <c r="AU211" s="3">
        <f>SUM(AO211:AT211)</f>
        <v/>
      </c>
      <c r="AV211" s="7">
        <f>IF(OR(N(W211)&lt;=0,N(BH211)=0),0,N(W211)*IF(N(R211)/N(W211)&gt;=60,N(BH211),1))</f>
        <v/>
      </c>
      <c r="AW211" s="7">
        <f>N(W211)*N(AF211)*N(BI211)</f>
        <v/>
      </c>
      <c r="AX211" s="3">
        <f>IF(N(BH211)=0,0,N(W211)*N(AH211))</f>
        <v/>
      </c>
      <c r="AY211" s="7">
        <f>N(AM211)*(Assumptions!$B$13*N(BK211)-(1-Assumptions!$B$13)*Assumptions!$B$14)+N(AN211)</f>
        <v/>
      </c>
      <c r="AZ211" s="7">
        <f>N(AU211)*N(R211)/90+N(AV211)+N(AW211)+N(AX211)+N(AY211)</f>
        <v/>
      </c>
      <c r="BA211" s="3">
        <f>IF(N(R211)&lt;=0,0,(N(AZ211)-N(AY211))*90/N(R211))</f>
        <v/>
      </c>
      <c r="BB211" s="7">
        <f>IFERROR(AZ211-VLOOKUP($E211,Assumptions!$A$40:$C$43,3,FALSE),"")</f>
        <v/>
      </c>
      <c r="BC211" s="3">
        <f>IFERROR(BB211/H211,"")</f>
        <v/>
      </c>
      <c r="BD211">
        <f>IF(AND($G211=TRUE,$E211="GKP"),AZ211,"")</f>
        <v/>
      </c>
      <c r="BE211">
        <f>IF(AND($G211=TRUE,$E211="DEF"),AZ211,"")</f>
        <v/>
      </c>
      <c r="BF211">
        <f>IF(AND($G211=TRUE,$E211="MID"),AZ211,"")</f>
        <v/>
      </c>
      <c r="BG211">
        <f>IF(AND($G211=TRUE,$E211="FWD"),AZ211,"")</f>
        <v/>
      </c>
      <c r="BH211" t="n">
        <v>2</v>
      </c>
      <c r="BI211" t="n">
        <v>2</v>
      </c>
      <c r="BJ211" t="n">
        <v>1</v>
      </c>
      <c r="BK211" t="n">
        <v>5</v>
      </c>
    </row>
    <row r="212">
      <c r="A212" t="inlineStr">
        <is>
          <t>Wesley Fofana</t>
        </is>
      </c>
      <c r="B212" t="inlineStr">
        <is>
          <t>CHE</t>
        </is>
      </c>
      <c r="C212" t="inlineStr">
        <is>
          <t>CHE</t>
        </is>
      </c>
      <c r="D212" t="b">
        <v>0</v>
      </c>
      <c r="E212" t="inlineStr">
        <is>
          <t>DEF</t>
        </is>
      </c>
      <c r="F212" t="inlineStr">
        <is>
          <t>DEF</t>
        </is>
      </c>
      <c r="G212" t="b">
        <v>1</v>
      </c>
      <c r="H212" s="2" t="n">
        <v>5</v>
      </c>
      <c r="I212" t="inlineStr">
        <is>
          <t>s</t>
        </is>
      </c>
      <c r="J212" t="inlineStr">
        <is>
          <t>Suspended until 6 Sep</t>
        </is>
      </c>
      <c r="K212" s="2" t="n">
        <v>1718</v>
      </c>
      <c r="L212" t="n">
        <v>65</v>
      </c>
      <c r="M212" s="3" t="n">
        <v>1693</v>
      </c>
      <c r="N212" s="8" t="n">
        <v>1693</v>
      </c>
      <c r="O212" s="8" t="n">
        <v>0</v>
      </c>
      <c r="Q212" t="inlineStr">
        <is>
          <t>flat</t>
        </is>
      </c>
      <c r="R212" s="6" t="n">
        <v>1693</v>
      </c>
      <c r="S212" t="inlineStr">
        <is>
          <t>Solio</t>
        </is>
      </c>
      <c r="U212" s="6" t="n">
        <v>82.7</v>
      </c>
      <c r="V212" s="2" t="n">
        <v>18</v>
      </c>
      <c r="W212" s="7">
        <f>IF(N(U212)&lt;=0,0,MIN(Assumptions!$B$15,N(R212)/N(U212)))</f>
        <v/>
      </c>
      <c r="X212" s="6" t="n">
        <v>0.322</v>
      </c>
      <c r="Y212" s="3" t="n">
        <v>0.0335</v>
      </c>
      <c r="Z212" t="inlineStr">
        <is>
          <t>adjusted xGOT</t>
        </is>
      </c>
      <c r="AA212" s="3" t="n">
        <v>1</v>
      </c>
      <c r="AB212" s="3" t="n">
        <v>0.889</v>
      </c>
      <c r="AC212" s="3" t="n">
        <v>1.9</v>
      </c>
      <c r="AD212" s="3" t="n">
        <v>0.033</v>
      </c>
      <c r="AE212" s="3" t="n">
        <v>9.874000000000001</v>
      </c>
      <c r="AF212" s="3" t="n">
        <v>0.4222233146279868</v>
      </c>
      <c r="AG212" s="3" t="n">
        <v>9.605</v>
      </c>
      <c r="AH212" s="3" t="n">
        <v>0.243786304</v>
      </c>
      <c r="AI212" s="3" t="n">
        <v>43</v>
      </c>
      <c r="AJ212" s="3" t="n">
        <v>2.4232</v>
      </c>
      <c r="AK212" s="3" t="n">
        <v>1.1851</v>
      </c>
      <c r="AL212" s="3" t="n">
        <v>-0.3040090495108185</v>
      </c>
      <c r="AM212" s="6" t="n">
        <v>0</v>
      </c>
      <c r="AN212" s="3" t="n">
        <v>0</v>
      </c>
      <c r="AO212" s="3" t="n">
        <v>0.201</v>
      </c>
      <c r="AP212" s="3" t="n">
        <v>0.13068</v>
      </c>
      <c r="AQ212" s="3">
        <f>N(X212)*N(BJ212)</f>
        <v/>
      </c>
      <c r="AR212" s="3" t="n">
        <v>0</v>
      </c>
      <c r="AS212" s="3" t="n">
        <v>-0.365915508000572</v>
      </c>
      <c r="AT212" s="3" t="n">
        <v>-0.3040090495108185</v>
      </c>
      <c r="AU212" s="3">
        <f>SUM(AO212:AT212)</f>
        <v/>
      </c>
      <c r="AV212" s="7">
        <f>IF(OR(N(W212)&lt;=0,N(BH212)=0),0,N(W212)*IF(N(R212)/N(W212)&gt;=60,N(BH212),1))</f>
        <v/>
      </c>
      <c r="AW212" s="7">
        <f>N(W212)*N(AF212)*N(BI212)</f>
        <v/>
      </c>
      <c r="AX212" s="3">
        <f>IF(N(BH212)=0,0,N(W212)*N(AH212))</f>
        <v/>
      </c>
      <c r="AY212" s="7">
        <f>N(AM212)*(Assumptions!$B$13*N(BK212)-(1-Assumptions!$B$13)*Assumptions!$B$14)+N(AN212)</f>
        <v/>
      </c>
      <c r="AZ212" s="7">
        <f>N(AU212)*N(R212)/90+N(AV212)+N(AW212)+N(AX212)+N(AY212)</f>
        <v/>
      </c>
      <c r="BA212" s="3">
        <f>IF(N(R212)&lt;=0,0,(N(AZ212)-N(AY212))*90/N(R212))</f>
        <v/>
      </c>
      <c r="BB212" s="7">
        <f>IFERROR(AZ212-VLOOKUP($E212,Assumptions!$A$40:$C$43,3,FALSE),"")</f>
        <v/>
      </c>
      <c r="BC212" s="3">
        <f>IFERROR(BB212/H212,"")</f>
        <v/>
      </c>
      <c r="BD212">
        <f>IF(AND($G212=TRUE,$E212="GKP"),AZ212,"")</f>
        <v/>
      </c>
      <c r="BE212">
        <f>IF(AND($G212=TRUE,$E212="DEF"),AZ212,"")</f>
        <v/>
      </c>
      <c r="BF212">
        <f>IF(AND($G212=TRUE,$E212="MID"),AZ212,"")</f>
        <v/>
      </c>
      <c r="BG212">
        <f>IF(AND($G212=TRUE,$E212="FWD"),AZ212,"")</f>
        <v/>
      </c>
      <c r="BH212" t="n">
        <v>2</v>
      </c>
      <c r="BI212" t="n">
        <v>2</v>
      </c>
      <c r="BJ212" t="n">
        <v>4</v>
      </c>
      <c r="BK212" t="n">
        <v>6</v>
      </c>
    </row>
    <row r="213">
      <c r="A213" t="inlineStr">
        <is>
          <t>Antonee Robinson</t>
        </is>
      </c>
      <c r="B213" t="inlineStr">
        <is>
          <t>FUL</t>
        </is>
      </c>
      <c r="C213" t="inlineStr">
        <is>
          <t>FUL</t>
        </is>
      </c>
      <c r="D213" t="b">
        <v>0</v>
      </c>
      <c r="E213" t="inlineStr">
        <is>
          <t>DEF</t>
        </is>
      </c>
      <c r="F213" t="inlineStr">
        <is>
          <t>DEF</t>
        </is>
      </c>
      <c r="G213" t="b">
        <v>1</v>
      </c>
      <c r="H213" s="2" t="n">
        <v>4.5</v>
      </c>
      <c r="I213" t="inlineStr">
        <is>
          <t>a</t>
        </is>
      </c>
      <c r="K213" s="2" t="n">
        <v>1487</v>
      </c>
      <c r="L213" t="n">
        <v>65</v>
      </c>
      <c r="M213" s="3" t="n">
        <v>1887</v>
      </c>
      <c r="N213" s="4" t="n">
        <v>2200</v>
      </c>
      <c r="O213" s="4" t="n">
        <v>313</v>
      </c>
      <c r="P213" s="5" t="inlineStr">
        <is>
          <t>medium</t>
        </is>
      </c>
      <c r="Q213" t="inlineStr">
        <is>
          <t>flat</t>
        </is>
      </c>
      <c r="R213" s="6" t="n">
        <v>2200</v>
      </c>
      <c r="S213" t="inlineStr">
        <is>
          <t>research</t>
        </is>
      </c>
      <c r="T213" s="5" t="inlineStr">
        <is>
          <t>Started all three of Fulham's last three friendlies at left-back (7 Aug v Crystal Palace, scoring; 12 Aug v Malaga; 15 Aug v Stuttgart), with Sessegnon used off the bench in two of them. Solio's 1887 is anchored to an injury-hit 1487 minutes in 2025/26; fitness remains the caveat, so this is a partial rather than full restoration.</t>
        </is>
      </c>
      <c r="U213" s="6" t="n">
        <v>83.8</v>
      </c>
      <c r="V213" s="2" t="n">
        <v>17</v>
      </c>
      <c r="W213" s="7">
        <f>IF(N(U213)&lt;=0,0,MIN(Assumptions!$B$15,N(R213)/N(U213)))</f>
        <v/>
      </c>
      <c r="X213" s="6" t="n">
        <v>0.214</v>
      </c>
      <c r="Y213" s="3" t="n">
        <v>0.0144</v>
      </c>
      <c r="Z213" t="inlineStr">
        <is>
          <t>adjusted xGOT</t>
        </is>
      </c>
      <c r="AA213" s="3" t="n">
        <v>0.221</v>
      </c>
      <c r="AB213" s="3" t="n">
        <v>1.008</v>
      </c>
      <c r="AC213" s="3" t="n">
        <v>2.5</v>
      </c>
      <c r="AD213" s="3" t="n">
        <v>0.0808</v>
      </c>
      <c r="AE213" s="3" t="n">
        <v>8.053000000000001</v>
      </c>
      <c r="AF213" s="3" t="n">
        <v>0.2233907529500363</v>
      </c>
      <c r="AG213" s="3" t="n">
        <v>10</v>
      </c>
      <c r="AH213" s="3" t="n">
        <v>0.2136018204</v>
      </c>
      <c r="AI213" s="3" t="n">
        <v>38</v>
      </c>
      <c r="AJ213" s="3" t="n">
        <v>3.22</v>
      </c>
      <c r="AK213" s="3" t="n">
        <v>1.6019</v>
      </c>
      <c r="AL213" s="3" t="n">
        <v>-0.2432740487946192</v>
      </c>
      <c r="AM213" s="6" t="n">
        <v>0.4930201863642248</v>
      </c>
      <c r="AN213" s="3" t="n">
        <v>0</v>
      </c>
      <c r="AO213" s="3" t="n">
        <v>0.0864</v>
      </c>
      <c r="AP213" s="3" t="n">
        <v>0.319968</v>
      </c>
      <c r="AQ213" s="3">
        <f>N(X213)*N(BJ213)</f>
        <v/>
      </c>
      <c r="AR213" s="3" t="n">
        <v>0</v>
      </c>
      <c r="AS213" s="3" t="n">
        <v>-0.5611019003833156</v>
      </c>
      <c r="AT213" s="3" t="n">
        <v>-0.2432740487946192</v>
      </c>
      <c r="AU213" s="3">
        <f>SUM(AO213:AT213)</f>
        <v/>
      </c>
      <c r="AV213" s="7">
        <f>IF(OR(N(W213)&lt;=0,N(BH213)=0),0,N(W213)*IF(N(R213)/N(W213)&gt;=60,N(BH213),1))</f>
        <v/>
      </c>
      <c r="AW213" s="7">
        <f>N(W213)*N(AF213)*N(BI213)</f>
        <v/>
      </c>
      <c r="AX213" s="3">
        <f>IF(N(BH213)=0,0,N(W213)*N(AH213))</f>
        <v/>
      </c>
      <c r="AY213" s="7">
        <f>N(AM213)*(Assumptions!$B$13*N(BK213)-(1-Assumptions!$B$13)*Assumptions!$B$14)+N(AN213)</f>
        <v/>
      </c>
      <c r="AZ213" s="7">
        <f>N(AU213)*N(R213)/90+N(AV213)+N(AW213)+N(AX213)+N(AY213)</f>
        <v/>
      </c>
      <c r="BA213" s="3">
        <f>IF(N(R213)&lt;=0,0,(N(AZ213)-N(AY213))*90/N(R213))</f>
        <v/>
      </c>
      <c r="BB213" s="7">
        <f>IFERROR(AZ213-VLOOKUP($E213,Assumptions!$A$40:$C$43,3,FALSE),"")</f>
        <v/>
      </c>
      <c r="BC213" s="3">
        <f>IFERROR(BB213/H213,"")</f>
        <v/>
      </c>
      <c r="BD213">
        <f>IF(AND($G213=TRUE,$E213="GKP"),AZ213,"")</f>
        <v/>
      </c>
      <c r="BE213">
        <f>IF(AND($G213=TRUE,$E213="DEF"),AZ213,"")</f>
        <v/>
      </c>
      <c r="BF213">
        <f>IF(AND($G213=TRUE,$E213="MID"),AZ213,"")</f>
        <v/>
      </c>
      <c r="BG213">
        <f>IF(AND($G213=TRUE,$E213="FWD"),AZ213,"")</f>
        <v/>
      </c>
      <c r="BH213" t="n">
        <v>2</v>
      </c>
      <c r="BI213" t="n">
        <v>2</v>
      </c>
      <c r="BJ213" t="n">
        <v>4</v>
      </c>
      <c r="BK213" t="n">
        <v>6</v>
      </c>
    </row>
    <row r="214">
      <c r="A214" t="inlineStr">
        <is>
          <t>Pau Torres</t>
        </is>
      </c>
      <c r="B214" t="inlineStr">
        <is>
          <t>AVL</t>
        </is>
      </c>
      <c r="C214" t="inlineStr">
        <is>
          <t>AVL</t>
        </is>
      </c>
      <c r="D214" t="b">
        <v>0</v>
      </c>
      <c r="E214" t="inlineStr">
        <is>
          <t>DEF</t>
        </is>
      </c>
      <c r="F214" t="inlineStr">
        <is>
          <t>DEF</t>
        </is>
      </c>
      <c r="G214" t="b">
        <v>1</v>
      </c>
      <c r="H214" s="2" t="n">
        <v>4.5</v>
      </c>
      <c r="I214" t="inlineStr">
        <is>
          <t>a</t>
        </is>
      </c>
      <c r="K214" s="2" t="n">
        <v>1673</v>
      </c>
      <c r="L214" t="n">
        <v>64</v>
      </c>
      <c r="M214" s="3" t="n">
        <v>1955</v>
      </c>
      <c r="N214" s="4" t="n">
        <v>2200</v>
      </c>
      <c r="O214" s="4" t="n">
        <v>245</v>
      </c>
      <c r="P214" s="5" t="inlineStr">
        <is>
          <t>medium</t>
        </is>
      </c>
      <c r="Q214" t="inlineStr">
        <is>
          <t>flat</t>
        </is>
      </c>
      <c r="R214" s="6" t="n">
        <v>2200</v>
      </c>
      <c r="S214" t="inlineStr">
        <is>
          <t>research</t>
        </is>
      </c>
      <c r="T214" s="5" t="inlineStr">
        <is>
          <t>Started the Super Cup final at centre-back and featured again against Monchengladbach; he looks the settled left-sided partner for Konsa rather than a rotation option, and Digne's departure removes another left-sided body from the back line.</t>
        </is>
      </c>
      <c r="U214" s="6" t="n">
        <v>87</v>
      </c>
      <c r="V214" s="2" t="n">
        <v>18</v>
      </c>
      <c r="W214" s="7">
        <f>IF(N(U214)&lt;=0,0,MIN(Assumptions!$B$15,N(R214)/N(U214)))</f>
        <v/>
      </c>
      <c r="X214" s="6" t="n">
        <v>0.273</v>
      </c>
      <c r="Y214" s="3" t="n">
        <v>0.0669</v>
      </c>
      <c r="Z214" t="inlineStr">
        <is>
          <t>adjusted xGOT</t>
        </is>
      </c>
      <c r="AA214" s="3" t="n">
        <v>1</v>
      </c>
      <c r="AB214" s="3" t="n">
        <v>0.9350000000000001</v>
      </c>
      <c r="AC214" s="3" t="n">
        <v>2.8</v>
      </c>
      <c r="AD214" s="3" t="n">
        <v>0.0107</v>
      </c>
      <c r="AE214" s="3" t="n">
        <v>6.525</v>
      </c>
      <c r="AF214" s="3" t="n">
        <v>0.1067148644048088</v>
      </c>
      <c r="AG214" s="3" t="n">
        <v>8.166</v>
      </c>
      <c r="AH214" s="3" t="n">
        <v>0.193911138</v>
      </c>
      <c r="AI214" s="3" t="n">
        <v>39</v>
      </c>
      <c r="AJ214" s="3" t="n">
        <v>2.7451</v>
      </c>
      <c r="AK214" s="3" t="n">
        <v>1.3575</v>
      </c>
      <c r="AL214" s="3" t="n">
        <v>-0.1149958496148794</v>
      </c>
      <c r="AM214" s="6" t="n">
        <v>0</v>
      </c>
      <c r="AN214" s="3" t="n">
        <v>0</v>
      </c>
      <c r="AO214" s="3" t="n">
        <v>0.4014</v>
      </c>
      <c r="AP214" s="3" t="n">
        <v>0.042372</v>
      </c>
      <c r="AQ214" s="3">
        <f>N(X214)*N(BJ214)</f>
        <v/>
      </c>
      <c r="AR214" s="3" t="n">
        <v>0</v>
      </c>
      <c r="AS214" s="3" t="n">
        <v>-0.4453012382517575</v>
      </c>
      <c r="AT214" s="3" t="n">
        <v>-0.1149958496148794</v>
      </c>
      <c r="AU214" s="3">
        <f>SUM(AO214:AT214)</f>
        <v/>
      </c>
      <c r="AV214" s="7">
        <f>IF(OR(N(W214)&lt;=0,N(BH214)=0),0,N(W214)*IF(N(R214)/N(W214)&gt;=60,N(BH214),1))</f>
        <v/>
      </c>
      <c r="AW214" s="7">
        <f>N(W214)*N(AF214)*N(BI214)</f>
        <v/>
      </c>
      <c r="AX214" s="3">
        <f>IF(N(BH214)=0,0,N(W214)*N(AH214))</f>
        <v/>
      </c>
      <c r="AY214" s="7">
        <f>N(AM214)*(Assumptions!$B$13*N(BK214)-(1-Assumptions!$B$13)*Assumptions!$B$14)+N(AN214)</f>
        <v/>
      </c>
      <c r="AZ214" s="7">
        <f>N(AU214)*N(R214)/90+N(AV214)+N(AW214)+N(AX214)+N(AY214)</f>
        <v/>
      </c>
      <c r="BA214" s="3">
        <f>IF(N(R214)&lt;=0,0,(N(AZ214)-N(AY214))*90/N(R214))</f>
        <v/>
      </c>
      <c r="BB214" s="7">
        <f>IFERROR(AZ214-VLOOKUP($E214,Assumptions!$A$40:$C$43,3,FALSE),"")</f>
        <v/>
      </c>
      <c r="BC214" s="3">
        <f>IFERROR(BB214/H214,"")</f>
        <v/>
      </c>
      <c r="BD214">
        <f>IF(AND($G214=TRUE,$E214="GKP"),AZ214,"")</f>
        <v/>
      </c>
      <c r="BE214">
        <f>IF(AND($G214=TRUE,$E214="DEF"),AZ214,"")</f>
        <v/>
      </c>
      <c r="BF214">
        <f>IF(AND($G214=TRUE,$E214="MID"),AZ214,"")</f>
        <v/>
      </c>
      <c r="BG214">
        <f>IF(AND($G214=TRUE,$E214="FWD"),AZ214,"")</f>
        <v/>
      </c>
      <c r="BH214" t="n">
        <v>2</v>
      </c>
      <c r="BI214" t="n">
        <v>2</v>
      </c>
      <c r="BJ214" t="n">
        <v>4</v>
      </c>
      <c r="BK214" t="n">
        <v>6</v>
      </c>
    </row>
    <row r="215">
      <c r="A215" t="inlineStr">
        <is>
          <t>Nico González</t>
        </is>
      </c>
      <c r="B215" t="inlineStr">
        <is>
          <t>MCI</t>
        </is>
      </c>
      <c r="C215" t="inlineStr">
        <is>
          <t>MCI</t>
        </is>
      </c>
      <c r="D215" t="b">
        <v>0</v>
      </c>
      <c r="E215" t="inlineStr">
        <is>
          <t>MID</t>
        </is>
      </c>
      <c r="F215" t="inlineStr">
        <is>
          <t>MID</t>
        </is>
      </c>
      <c r="G215" t="b">
        <v>1</v>
      </c>
      <c r="H215" s="2" t="n">
        <v>5.5</v>
      </c>
      <c r="I215" t="inlineStr">
        <is>
          <t>a</t>
        </is>
      </c>
      <c r="K215" s="2" t="n">
        <v>1561</v>
      </c>
      <c r="L215" t="n">
        <v>63</v>
      </c>
      <c r="M215" s="3" t="n">
        <v>722</v>
      </c>
      <c r="N215" s="4" t="n">
        <v>950</v>
      </c>
      <c r="O215" s="4" t="n">
        <v>228</v>
      </c>
      <c r="P215" s="5" t="inlineStr">
        <is>
          <t>medium</t>
        </is>
      </c>
      <c r="Q215" t="inlineStr">
        <is>
          <t>fade (losing his place)</t>
        </is>
      </c>
      <c r="R215" s="6" t="n">
        <v>950</v>
      </c>
      <c r="S215" t="inlineStr">
        <is>
          <t>research</t>
        </is>
      </c>
      <c r="T215" s="5" t="inlineStr">
        <is>
          <t>Solio flags him 'fade (losing his place)', but he publicly ruled out leaving in early August, Reijnders' sale removes a direct competitor, and with Rodri out he was named the safe bet to start the Community Shield ahead of the barely-trained Anderson. Deliberately a small raise, not a big one: Bouaddi's arrival would land squarely on top of him.</t>
        </is>
      </c>
      <c r="U215" s="6" t="n">
        <v>80.40000000000001</v>
      </c>
      <c r="V215" s="2" t="n">
        <v>17</v>
      </c>
      <c r="W215" s="7">
        <f>IF(N(U215)&lt;=0,0,MIN(Assumptions!$B$15,N(R215)/N(U215)))</f>
        <v/>
      </c>
      <c r="X215" s="6" t="n">
        <v>0.371</v>
      </c>
      <c r="Y215" s="3" t="n">
        <v>0.0382</v>
      </c>
      <c r="Z215" t="inlineStr">
        <is>
          <t>adjusted xGOT</t>
        </is>
      </c>
      <c r="AA215" s="3" t="n">
        <v>1</v>
      </c>
      <c r="AB215" s="3" t="n">
        <v>0.975</v>
      </c>
      <c r="AC215" s="3" t="n">
        <v>1.1</v>
      </c>
      <c r="AD215" s="3" t="n">
        <v>0.0579</v>
      </c>
      <c r="AE215" s="3" t="n">
        <v>10.835</v>
      </c>
      <c r="AF215" s="3" t="n">
        <v>0.267391740645224</v>
      </c>
      <c r="AG215" s="3" t="n">
        <v>10.126</v>
      </c>
      <c r="AH215" s="3" t="n">
        <v>0.1109063584</v>
      </c>
      <c r="AI215" s="3" t="n">
        <v>42</v>
      </c>
      <c r="AJ215" s="3" t="n">
        <v>1.9737</v>
      </c>
      <c r="AK215" s="3" t="n">
        <v>1.0365</v>
      </c>
      <c r="AL215" s="3" t="n">
        <v>-0.3027638844986323</v>
      </c>
      <c r="AM215" s="6" t="n">
        <v>0</v>
      </c>
      <c r="AN215" s="3" t="n">
        <v>0</v>
      </c>
      <c r="AO215" s="3" t="n">
        <v>0.191</v>
      </c>
      <c r="AP215" s="3" t="n">
        <v>0.229284</v>
      </c>
      <c r="AQ215" s="3">
        <f>N(X215)*N(BJ215)</f>
        <v/>
      </c>
      <c r="AR215" s="3" t="n">
        <v>0</v>
      </c>
      <c r="AS215" s="3" t="n">
        <v>-0</v>
      </c>
      <c r="AT215" s="3" t="n">
        <v>-0.3027638844986323</v>
      </c>
      <c r="AU215" s="3">
        <f>SUM(AO215:AT215)</f>
        <v/>
      </c>
      <c r="AV215" s="7">
        <f>IF(OR(N(W215)&lt;=0,N(BH215)=0),0,N(W215)*IF(N(R215)/N(W215)&gt;=60,N(BH215),1))</f>
        <v/>
      </c>
      <c r="AW215" s="7">
        <f>N(W215)*N(AF215)*N(BI215)</f>
        <v/>
      </c>
      <c r="AX215" s="3">
        <f>IF(N(BH215)=0,0,N(W215)*N(AH215))</f>
        <v/>
      </c>
      <c r="AY215" s="7">
        <f>N(AM215)*(Assumptions!$B$13*N(BK215)-(1-Assumptions!$B$13)*Assumptions!$B$14)+N(AN215)</f>
        <v/>
      </c>
      <c r="AZ215" s="7">
        <f>N(AU215)*N(R215)/90+N(AV215)+N(AW215)+N(AX215)+N(AY215)</f>
        <v/>
      </c>
      <c r="BA215" s="3">
        <f>IF(N(R215)&lt;=0,0,(N(AZ215)-N(AY215))*90/N(R215))</f>
        <v/>
      </c>
      <c r="BB215" s="7">
        <f>IFERROR(AZ215-VLOOKUP($E215,Assumptions!$A$40:$C$43,3,FALSE),"")</f>
        <v/>
      </c>
      <c r="BC215" s="3">
        <f>IFERROR(BB215/H215,"")</f>
        <v/>
      </c>
      <c r="BD215">
        <f>IF(AND($G215=TRUE,$E215="GKP"),AZ215,"")</f>
        <v/>
      </c>
      <c r="BE215">
        <f>IF(AND($G215=TRUE,$E215="DEF"),AZ215,"")</f>
        <v/>
      </c>
      <c r="BF215">
        <f>IF(AND($G215=TRUE,$E215="MID"),AZ215,"")</f>
        <v/>
      </c>
      <c r="BG215">
        <f>IF(AND($G215=TRUE,$E215="FWD"),AZ215,"")</f>
        <v/>
      </c>
      <c r="BH215" t="n">
        <v>2</v>
      </c>
      <c r="BI215" t="n">
        <v>2</v>
      </c>
      <c r="BJ215" t="n">
        <v>1</v>
      </c>
      <c r="BK215" t="n">
        <v>5</v>
      </c>
    </row>
    <row r="216">
      <c r="A216" t="inlineStr">
        <is>
          <t>Jeremie Frimpong</t>
        </is>
      </c>
      <c r="B216" t="inlineStr">
        <is>
          <t>LIV</t>
        </is>
      </c>
      <c r="C216" t="inlineStr">
        <is>
          <t>LIV</t>
        </is>
      </c>
      <c r="D216" t="b">
        <v>0</v>
      </c>
      <c r="E216" t="inlineStr">
        <is>
          <t>DEF</t>
        </is>
      </c>
      <c r="F216" t="inlineStr">
        <is>
          <t>DEF</t>
        </is>
      </c>
      <c r="G216" t="b">
        <v>1</v>
      </c>
      <c r="H216" s="2" t="n">
        <v>5.5</v>
      </c>
      <c r="I216" t="inlineStr">
        <is>
          <t>a</t>
        </is>
      </c>
      <c r="K216" s="2" t="n">
        <v>1032</v>
      </c>
      <c r="L216" t="n">
        <v>63</v>
      </c>
      <c r="M216" s="3" t="n">
        <v>1699</v>
      </c>
      <c r="N216" s="4" t="n">
        <v>2030</v>
      </c>
      <c r="O216" s="4" t="n">
        <v>331</v>
      </c>
      <c r="P216" s="5" t="inlineStr">
        <is>
          <t>medium</t>
        </is>
      </c>
      <c r="Q216" t="inlineStr">
        <is>
          <t>flat</t>
        </is>
      </c>
      <c r="R216" s="6" t="n">
        <v>2030</v>
      </c>
      <c r="S216" t="inlineStr">
        <is>
          <t>research</t>
        </is>
      </c>
      <c r="T216" s="5" t="inlineStr">
        <is>
          <t>Liverpool have no fit senior specialist right-back: Bradley is out until roughly October and Ramsay is 'not at the level to assume the role beyond pre-season'. Frimpong trained normally after his US-tour withdrawal and starts in every pre-season first-choice XI. Solio's 1699 prices in his injury record; raised, but not to a nailed-starter level, because that record is real.</t>
        </is>
      </c>
      <c r="U216" s="6" t="n">
        <v>79.7</v>
      </c>
      <c r="V216" s="2" t="n">
        <v>12</v>
      </c>
      <c r="W216" s="7">
        <f>IF(N(U216)&lt;=0,0,MIN(Assumptions!$B$15,N(R216)/N(U216)))</f>
        <v/>
      </c>
      <c r="X216" s="6" t="n">
        <v>0.342</v>
      </c>
      <c r="Y216" s="3" t="n">
        <v>0.042</v>
      </c>
      <c r="Z216" t="inlineStr">
        <is>
          <t>adjusted xGOT</t>
        </is>
      </c>
      <c r="AA216" s="3" t="n">
        <v>1</v>
      </c>
      <c r="AB216" s="3" t="n">
        <v>0.965</v>
      </c>
      <c r="AC216" s="3" t="n">
        <v>0.5</v>
      </c>
      <c r="AD216" s="3" t="n">
        <v>0.1849</v>
      </c>
      <c r="AE216" s="3" t="n">
        <v>4.699</v>
      </c>
      <c r="AF216" s="3" t="n">
        <v>0.01048968348947754</v>
      </c>
      <c r="AG216" s="3" t="n">
        <v>7.609</v>
      </c>
      <c r="AH216" s="3" t="n">
        <v>0.261917407</v>
      </c>
      <c r="AI216" s="3" t="n">
        <v>31</v>
      </c>
      <c r="AJ216" s="3" t="n">
        <v>2.409</v>
      </c>
      <c r="AK216" s="3" t="n">
        <v>1.1228</v>
      </c>
      <c r="AL216" s="3" t="n">
        <v>-0.1643972585931323</v>
      </c>
      <c r="AM216" s="6" t="n">
        <v>0</v>
      </c>
      <c r="AN216" s="3" t="n">
        <v>0</v>
      </c>
      <c r="AO216" s="3" t="n">
        <v>0.252</v>
      </c>
      <c r="AP216" s="3" t="n">
        <v>0.732204</v>
      </c>
      <c r="AQ216" s="3">
        <f>N(X216)*N(BJ216)</f>
        <v/>
      </c>
      <c r="AR216" s="3" t="n">
        <v>0</v>
      </c>
      <c r="AS216" s="3" t="n">
        <v>-0.3378660007281162</v>
      </c>
      <c r="AT216" s="3" t="n">
        <v>-0.1643972585931323</v>
      </c>
      <c r="AU216" s="3">
        <f>SUM(AO216:AT216)</f>
        <v/>
      </c>
      <c r="AV216" s="7">
        <f>IF(OR(N(W216)&lt;=0,N(BH216)=0),0,N(W216)*IF(N(R216)/N(W216)&gt;=60,N(BH216),1))</f>
        <v/>
      </c>
      <c r="AW216" s="7">
        <f>N(W216)*N(AF216)*N(BI216)</f>
        <v/>
      </c>
      <c r="AX216" s="3">
        <f>IF(N(BH216)=0,0,N(W216)*N(AH216))</f>
        <v/>
      </c>
      <c r="AY216" s="7">
        <f>N(AM216)*(Assumptions!$B$13*N(BK216)-(1-Assumptions!$B$13)*Assumptions!$B$14)+N(AN216)</f>
        <v/>
      </c>
      <c r="AZ216" s="7">
        <f>N(AU216)*N(R216)/90+N(AV216)+N(AW216)+N(AX216)+N(AY216)</f>
        <v/>
      </c>
      <c r="BA216" s="3">
        <f>IF(N(R216)&lt;=0,0,(N(AZ216)-N(AY216))*90/N(R216))</f>
        <v/>
      </c>
      <c r="BB216" s="7">
        <f>IFERROR(AZ216-VLOOKUP($E216,Assumptions!$A$40:$C$43,3,FALSE),"")</f>
        <v/>
      </c>
      <c r="BC216" s="3">
        <f>IFERROR(BB216/H216,"")</f>
        <v/>
      </c>
      <c r="BD216">
        <f>IF(AND($G216=TRUE,$E216="GKP"),AZ216,"")</f>
        <v/>
      </c>
      <c r="BE216">
        <f>IF(AND($G216=TRUE,$E216="DEF"),AZ216,"")</f>
        <v/>
      </c>
      <c r="BF216">
        <f>IF(AND($G216=TRUE,$E216="MID"),AZ216,"")</f>
        <v/>
      </c>
      <c r="BG216">
        <f>IF(AND($G216=TRUE,$E216="FWD"),AZ216,"")</f>
        <v/>
      </c>
      <c r="BH216" t="n">
        <v>2</v>
      </c>
      <c r="BI216" t="n">
        <v>2</v>
      </c>
      <c r="BJ216" t="n">
        <v>4</v>
      </c>
      <c r="BK216" t="n">
        <v>6</v>
      </c>
    </row>
    <row r="217">
      <c r="A217" t="inlineStr">
        <is>
          <t>Kevin Danso</t>
        </is>
      </c>
      <c r="B217" t="inlineStr">
        <is>
          <t>TOT</t>
        </is>
      </c>
      <c r="C217" t="inlineStr">
        <is>
          <t>TOT</t>
        </is>
      </c>
      <c r="D217" t="b">
        <v>0</v>
      </c>
      <c r="E217" t="inlineStr">
        <is>
          <t>DEF</t>
        </is>
      </c>
      <c r="F217" t="inlineStr">
        <is>
          <t>DEF</t>
        </is>
      </c>
      <c r="G217" t="b">
        <v>1</v>
      </c>
      <c r="H217" s="2" t="n">
        <v>5</v>
      </c>
      <c r="I217" t="inlineStr">
        <is>
          <t>a</t>
        </is>
      </c>
      <c r="K217" s="2" t="n">
        <v>1489</v>
      </c>
      <c r="L217" t="n">
        <v>63</v>
      </c>
      <c r="M217" s="3" t="n">
        <v>304</v>
      </c>
      <c r="N217" s="8" t="n">
        <v>304</v>
      </c>
      <c r="O217" s="8" t="n">
        <v>0</v>
      </c>
      <c r="Q217" t="inlineStr">
        <is>
          <t>flat</t>
        </is>
      </c>
      <c r="R217" s="6" t="n">
        <v>304</v>
      </c>
      <c r="S217" t="inlineStr">
        <is>
          <t>Solio</t>
        </is>
      </c>
      <c r="U217" s="6" t="n">
        <v>85</v>
      </c>
      <c r="V217" s="2" t="n">
        <v>17</v>
      </c>
      <c r="W217" s="7">
        <f>IF(N(U217)&lt;=0,0,MIN(Assumptions!$B$15,N(R217)/N(U217)))</f>
        <v/>
      </c>
      <c r="X217" s="6" t="n">
        <v>0.286</v>
      </c>
      <c r="Y217" s="3" t="n">
        <v>0.0337</v>
      </c>
      <c r="Z217" t="inlineStr">
        <is>
          <t>adjusted xGOT</t>
        </is>
      </c>
      <c r="AA217" s="3" t="n">
        <v>1</v>
      </c>
      <c r="AB217" s="3" t="n">
        <v>0.898</v>
      </c>
      <c r="AC217" s="3" t="n">
        <v>1</v>
      </c>
      <c r="AD217" s="3" t="n">
        <v>0.0133</v>
      </c>
      <c r="AE217" s="3" t="n">
        <v>10.327</v>
      </c>
      <c r="AF217" s="3" t="n">
        <v>0.510847971231742</v>
      </c>
      <c r="AG217" s="3" t="n">
        <v>8.869999999999999</v>
      </c>
      <c r="AH217" s="3" t="n">
        <v>0.1730642152</v>
      </c>
      <c r="AI217" s="3" t="n">
        <v>39</v>
      </c>
      <c r="AJ217" s="3" t="n">
        <v>2.5739</v>
      </c>
      <c r="AK217" s="3" t="n">
        <v>1.3096</v>
      </c>
      <c r="AL217" s="3" t="n">
        <v>-0.3077245786767728</v>
      </c>
      <c r="AM217" s="6" t="n">
        <v>0</v>
      </c>
      <c r="AN217" s="3" t="n">
        <v>0</v>
      </c>
      <c r="AO217" s="3" t="n">
        <v>0.2022</v>
      </c>
      <c r="AP217" s="3" t="n">
        <v>0.052668</v>
      </c>
      <c r="AQ217" s="3">
        <f>N(X217)*N(BJ217)</f>
        <v/>
      </c>
      <c r="AR217" s="3" t="n">
        <v>0</v>
      </c>
      <c r="AS217" s="3" t="n">
        <v>-0.4230152821052008</v>
      </c>
      <c r="AT217" s="3" t="n">
        <v>-0.3077245786767728</v>
      </c>
      <c r="AU217" s="3">
        <f>SUM(AO217:AT217)</f>
        <v/>
      </c>
      <c r="AV217" s="7">
        <f>IF(OR(N(W217)&lt;=0,N(BH217)=0),0,N(W217)*IF(N(R217)/N(W217)&gt;=60,N(BH217),1))</f>
        <v/>
      </c>
      <c r="AW217" s="7">
        <f>N(W217)*N(AF217)*N(BI217)</f>
        <v/>
      </c>
      <c r="AX217" s="3">
        <f>IF(N(BH217)=0,0,N(W217)*N(AH217))</f>
        <v/>
      </c>
      <c r="AY217" s="7">
        <f>N(AM217)*(Assumptions!$B$13*N(BK217)-(1-Assumptions!$B$13)*Assumptions!$B$14)+N(AN217)</f>
        <v/>
      </c>
      <c r="AZ217" s="7">
        <f>N(AU217)*N(R217)/90+N(AV217)+N(AW217)+N(AX217)+N(AY217)</f>
        <v/>
      </c>
      <c r="BA217" s="3">
        <f>IF(N(R217)&lt;=0,0,(N(AZ217)-N(AY217))*90/N(R217))</f>
        <v/>
      </c>
      <c r="BB217" s="7">
        <f>IFERROR(AZ217-VLOOKUP($E217,Assumptions!$A$40:$C$43,3,FALSE),"")</f>
        <v/>
      </c>
      <c r="BC217" s="3">
        <f>IFERROR(BB217/H217,"")</f>
        <v/>
      </c>
      <c r="BD217">
        <f>IF(AND($G217=TRUE,$E217="GKP"),AZ217,"")</f>
        <v/>
      </c>
      <c r="BE217">
        <f>IF(AND($G217=TRUE,$E217="DEF"),AZ217,"")</f>
        <v/>
      </c>
      <c r="BF217">
        <f>IF(AND($G217=TRUE,$E217="MID"),AZ217,"")</f>
        <v/>
      </c>
      <c r="BG217">
        <f>IF(AND($G217=TRUE,$E217="FWD"),AZ217,"")</f>
        <v/>
      </c>
      <c r="BH217" t="n">
        <v>2</v>
      </c>
      <c r="BI217" t="n">
        <v>2</v>
      </c>
      <c r="BJ217" t="n">
        <v>4</v>
      </c>
      <c r="BK217" t="n">
        <v>6</v>
      </c>
    </row>
    <row r="218">
      <c r="A218" t="inlineStr">
        <is>
          <t>Josh King</t>
        </is>
      </c>
      <c r="B218" t="inlineStr">
        <is>
          <t>FUL</t>
        </is>
      </c>
      <c r="C218" t="inlineStr">
        <is>
          <t>FUL</t>
        </is>
      </c>
      <c r="D218" t="b">
        <v>0</v>
      </c>
      <c r="E218" t="inlineStr">
        <is>
          <t>MID</t>
        </is>
      </c>
      <c r="F218" t="inlineStr">
        <is>
          <t>MID</t>
        </is>
      </c>
      <c r="G218" t="b">
        <v>1</v>
      </c>
      <c r="H218" s="2" t="n">
        <v>5.5</v>
      </c>
      <c r="I218" t="inlineStr">
        <is>
          <t>a</t>
        </is>
      </c>
      <c r="K218" s="2" t="n">
        <v>1290</v>
      </c>
      <c r="L218" t="n">
        <v>63</v>
      </c>
      <c r="M218" s="3" t="n">
        <v>1693</v>
      </c>
      <c r="N218" s="4" t="n">
        <v>1250</v>
      </c>
      <c r="O218" s="4" t="n">
        <v>-443</v>
      </c>
      <c r="P218" s="5" t="inlineStr">
        <is>
          <t>medium</t>
        </is>
      </c>
      <c r="Q218" t="inlineStr">
        <is>
          <t>flat</t>
        </is>
      </c>
      <c r="R218" s="6" t="n">
        <v>1250</v>
      </c>
      <c r="S218" t="inlineStr">
        <is>
          <t>research</t>
        </is>
      </c>
      <c r="T218" s="5" t="inlineStr">
        <is>
          <t>Started the second pivot alongside Berge v Stuttgart on 15 Aug, but that role is precisely what Fulham spent £27m + £6m on Shea Charles to fill four days earlier. King is 19 and managed 1290 minutes in 2025/26 with a fuller squad; the Charles signing is the direct arithmetic offset to promoting Charles.</t>
        </is>
      </c>
      <c r="U218" s="6" t="n">
        <v>71.2</v>
      </c>
      <c r="V218" s="2" t="n">
        <v>15</v>
      </c>
      <c r="W218" s="7">
        <f>IF(N(U218)&lt;=0,0,MIN(Assumptions!$B$15,N(R218)/N(U218)))</f>
        <v/>
      </c>
      <c r="X218" s="6" t="n">
        <v>0.214</v>
      </c>
      <c r="Y218" s="3" t="n">
        <v>0.1716</v>
      </c>
      <c r="Z218" t="inlineStr">
        <is>
          <t>adjusted xGOT</t>
        </is>
      </c>
      <c r="AA218" s="3" t="n">
        <v>1</v>
      </c>
      <c r="AB218" s="3" t="n">
        <v>0.995</v>
      </c>
      <c r="AC218" s="3" t="n">
        <v>2.8</v>
      </c>
      <c r="AD218" s="3" t="n">
        <v>0.0593</v>
      </c>
      <c r="AE218" s="3" t="n">
        <v>7.863</v>
      </c>
      <c r="AF218" s="3" t="n">
        <v>0.02553162793736874</v>
      </c>
      <c r="AG218" s="3" t="n">
        <v>5.185</v>
      </c>
      <c r="AH218" s="3" t="n">
        <v>0.2174771627</v>
      </c>
      <c r="AI218" s="3" t="n">
        <v>45</v>
      </c>
      <c r="AJ218" s="3" t="n">
        <v>3.22</v>
      </c>
      <c r="AK218" s="3" t="n">
        <v>1.6019</v>
      </c>
      <c r="AL218" s="3" t="n">
        <v>-0.2472978659018994</v>
      </c>
      <c r="AM218" s="6" t="n">
        <v>0</v>
      </c>
      <c r="AN218" s="3" t="n">
        <v>0</v>
      </c>
      <c r="AO218" s="3" t="n">
        <v>0.858</v>
      </c>
      <c r="AP218" s="3" t="n">
        <v>0.234828</v>
      </c>
      <c r="AQ218" s="3">
        <f>N(X218)*N(BJ218)</f>
        <v/>
      </c>
      <c r="AR218" s="3" t="n">
        <v>0</v>
      </c>
      <c r="AS218" s="3" t="n">
        <v>-0</v>
      </c>
      <c r="AT218" s="3" t="n">
        <v>-0.2472978659018994</v>
      </c>
      <c r="AU218" s="3">
        <f>SUM(AO218:AT218)</f>
        <v/>
      </c>
      <c r="AV218" s="7">
        <f>IF(OR(N(W218)&lt;=0,N(BH218)=0),0,N(W218)*IF(N(R218)/N(W218)&gt;=60,N(BH218),1))</f>
        <v/>
      </c>
      <c r="AW218" s="7">
        <f>N(W218)*N(AF218)*N(BI218)</f>
        <v/>
      </c>
      <c r="AX218" s="3">
        <f>IF(N(BH218)=0,0,N(W218)*N(AH218))</f>
        <v/>
      </c>
      <c r="AY218" s="7">
        <f>N(AM218)*(Assumptions!$B$13*N(BK218)-(1-Assumptions!$B$13)*Assumptions!$B$14)+N(AN218)</f>
        <v/>
      </c>
      <c r="AZ218" s="7">
        <f>N(AU218)*N(R218)/90+N(AV218)+N(AW218)+N(AX218)+N(AY218)</f>
        <v/>
      </c>
      <c r="BA218" s="3">
        <f>IF(N(R218)&lt;=0,0,(N(AZ218)-N(AY218))*90/N(R218))</f>
        <v/>
      </c>
      <c r="BB218" s="7">
        <f>IFERROR(AZ218-VLOOKUP($E218,Assumptions!$A$40:$C$43,3,FALSE),"")</f>
        <v/>
      </c>
      <c r="BC218" s="3">
        <f>IFERROR(BB218/H218,"")</f>
        <v/>
      </c>
      <c r="BD218">
        <f>IF(AND($G218=TRUE,$E218="GKP"),AZ218,"")</f>
        <v/>
      </c>
      <c r="BE218">
        <f>IF(AND($G218=TRUE,$E218="DEF"),AZ218,"")</f>
        <v/>
      </c>
      <c r="BF218">
        <f>IF(AND($G218=TRUE,$E218="MID"),AZ218,"")</f>
        <v/>
      </c>
      <c r="BG218">
        <f>IF(AND($G218=TRUE,$E218="FWD"),AZ218,"")</f>
        <v/>
      </c>
      <c r="BH218" t="n">
        <v>2</v>
      </c>
      <c r="BI218" t="n">
        <v>2</v>
      </c>
      <c r="BJ218" t="n">
        <v>1</v>
      </c>
      <c r="BK218" t="n">
        <v>5</v>
      </c>
    </row>
    <row r="219">
      <c r="A219" t="inlineStr">
        <is>
          <t>Kaoru Mitoma</t>
        </is>
      </c>
      <c r="B219" t="inlineStr">
        <is>
          <t>BHA</t>
        </is>
      </c>
      <c r="C219" t="inlineStr">
        <is>
          <t>BHA</t>
        </is>
      </c>
      <c r="D219" t="b">
        <v>0</v>
      </c>
      <c r="E219" t="inlineStr">
        <is>
          <t>MID</t>
        </is>
      </c>
      <c r="F219" t="inlineStr">
        <is>
          <t>MID</t>
        </is>
      </c>
      <c r="G219" t="b">
        <v>1</v>
      </c>
      <c r="H219" s="2" t="n">
        <v>6</v>
      </c>
      <c r="I219" t="inlineStr">
        <is>
          <t>i</t>
        </is>
      </c>
      <c r="J219" t="inlineStr">
        <is>
          <t>Hamstring injury - Unknown return date</t>
        </is>
      </c>
      <c r="K219" s="2" t="n">
        <v>1714</v>
      </c>
      <c r="L219" t="n">
        <v>62</v>
      </c>
      <c r="M219" s="3" t="n">
        <v>1353</v>
      </c>
      <c r="N219" s="4" t="n">
        <v>1150</v>
      </c>
      <c r="O219" s="4" t="n">
        <v>-203</v>
      </c>
      <c r="P219" s="5" t="inlineStr">
        <is>
          <t>low</t>
        </is>
      </c>
      <c r="Q219" t="inlineStr">
        <is>
          <t>fade (losing his place)</t>
        </is>
      </c>
      <c r="R219" s="6" t="n">
        <v>1150</v>
      </c>
      <c r="S219" t="inlineStr">
        <is>
          <t>research</t>
        </is>
      </c>
      <c r="T219" s="5" t="inlineStr">
        <is>
          <t>Brighton confirmed on 25 May 2026 that he had hamstring surgery and had begun early-stage rehab, giving no return date; FPL still lists 'Hamstring injury - Unknown return date' as of 2026-07-24. Solio already fades him to 1353, so this is a trim rather than a correction - it reflects that he will miss at least the opening weeks and that De Cuyper started ahead of him on the left on 15 Aug.</t>
        </is>
      </c>
      <c r="U219" s="6" t="n">
        <v>81.09999999999999</v>
      </c>
      <c r="V219" s="2" t="n">
        <v>19</v>
      </c>
      <c r="W219" s="7">
        <f>IF(N(U219)&lt;=0,0,MIN(Assumptions!$B$15,N(R219)/N(U219)))</f>
        <v/>
      </c>
      <c r="X219" s="6" t="n">
        <v>0.252</v>
      </c>
      <c r="Y219" s="3" t="n">
        <v>0.2198</v>
      </c>
      <c r="Z219" t="inlineStr">
        <is>
          <t>adjusted xGOT</t>
        </is>
      </c>
      <c r="AA219" s="3" t="n">
        <v>1</v>
      </c>
      <c r="AB219" s="3" t="n">
        <v>1.036</v>
      </c>
      <c r="AC219" s="3" t="n">
        <v>25</v>
      </c>
      <c r="AD219" s="3" t="n">
        <v>0.165</v>
      </c>
      <c r="AE219" s="3" t="n">
        <v>6.494</v>
      </c>
      <c r="AF219" s="3" t="n">
        <v>0.01695486308015282</v>
      </c>
      <c r="AG219" s="3" t="n">
        <v>4.909</v>
      </c>
      <c r="AH219" s="3" t="n">
        <v>0.3550023665</v>
      </c>
      <c r="AI219" s="3" t="n">
        <v>42</v>
      </c>
      <c r="AJ219" s="3" t="n">
        <v>2.8404</v>
      </c>
      <c r="AK219" s="3" t="n">
        <v>1.439</v>
      </c>
      <c r="AL219" s="3" t="n">
        <v>-0.1928716730616705</v>
      </c>
      <c r="AM219" s="6" t="n">
        <v>0</v>
      </c>
      <c r="AN219" s="3" t="n">
        <v>0</v>
      </c>
      <c r="AO219" s="3" t="n">
        <v>1.099</v>
      </c>
      <c r="AP219" s="3" t="n">
        <v>0.6534</v>
      </c>
      <c r="AQ219" s="3">
        <f>N(X219)*N(BJ219)</f>
        <v/>
      </c>
      <c r="AR219" s="3" t="n">
        <v>0</v>
      </c>
      <c r="AS219" s="3" t="n">
        <v>-0</v>
      </c>
      <c r="AT219" s="3" t="n">
        <v>-0.1928716730616705</v>
      </c>
      <c r="AU219" s="3">
        <f>SUM(AO219:AT219)</f>
        <v/>
      </c>
      <c r="AV219" s="7">
        <f>IF(OR(N(W219)&lt;=0,N(BH219)=0),0,N(W219)*IF(N(R219)/N(W219)&gt;=60,N(BH219),1))</f>
        <v/>
      </c>
      <c r="AW219" s="7">
        <f>N(W219)*N(AF219)*N(BI219)</f>
        <v/>
      </c>
      <c r="AX219" s="3">
        <f>IF(N(BH219)=0,0,N(W219)*N(AH219))</f>
        <v/>
      </c>
      <c r="AY219" s="7">
        <f>N(AM219)*(Assumptions!$B$13*N(BK219)-(1-Assumptions!$B$13)*Assumptions!$B$14)+N(AN219)</f>
        <v/>
      </c>
      <c r="AZ219" s="7">
        <f>N(AU219)*N(R219)/90+N(AV219)+N(AW219)+N(AX219)+N(AY219)</f>
        <v/>
      </c>
      <c r="BA219" s="3">
        <f>IF(N(R219)&lt;=0,0,(N(AZ219)-N(AY219))*90/N(R219))</f>
        <v/>
      </c>
      <c r="BB219" s="7">
        <f>IFERROR(AZ219-VLOOKUP($E219,Assumptions!$A$40:$C$43,3,FALSE),"")</f>
        <v/>
      </c>
      <c r="BC219" s="3">
        <f>IFERROR(BB219/H219,"")</f>
        <v/>
      </c>
      <c r="BD219">
        <f>IF(AND($G219=TRUE,$E219="GKP"),AZ219,"")</f>
        <v/>
      </c>
      <c r="BE219">
        <f>IF(AND($G219=TRUE,$E219="DEF"),AZ219,"")</f>
        <v/>
      </c>
      <c r="BF219">
        <f>IF(AND($G219=TRUE,$E219="MID"),AZ219,"")</f>
        <v/>
      </c>
      <c r="BG219">
        <f>IF(AND($G219=TRUE,$E219="FWD"),AZ219,"")</f>
        <v/>
      </c>
      <c r="BH219" t="n">
        <v>2</v>
      </c>
      <c r="BI219" t="n">
        <v>2</v>
      </c>
      <c r="BJ219" t="n">
        <v>1</v>
      </c>
      <c r="BK219" t="n">
        <v>5</v>
      </c>
    </row>
    <row r="220">
      <c r="A220" t="inlineStr">
        <is>
          <t>Jacob Ramsey</t>
        </is>
      </c>
      <c r="B220" t="inlineStr">
        <is>
          <t>NEW</t>
        </is>
      </c>
      <c r="C220" t="inlineStr">
        <is>
          <t>NEW</t>
        </is>
      </c>
      <c r="D220" t="b">
        <v>0</v>
      </c>
      <c r="E220" t="inlineStr">
        <is>
          <t>MID</t>
        </is>
      </c>
      <c r="F220" t="inlineStr">
        <is>
          <t>MID</t>
        </is>
      </c>
      <c r="G220" t="b">
        <v>1</v>
      </c>
      <c r="H220" s="2" t="n">
        <v>5</v>
      </c>
      <c r="I220" t="inlineStr">
        <is>
          <t>a</t>
        </is>
      </c>
      <c r="K220" s="2" t="n">
        <v>1441</v>
      </c>
      <c r="L220" t="n">
        <v>62</v>
      </c>
      <c r="M220" s="3" t="n">
        <v>889</v>
      </c>
      <c r="N220" s="4" t="n">
        <v>1200</v>
      </c>
      <c r="O220" s="4" t="n">
        <v>311</v>
      </c>
      <c r="P220" s="5" t="inlineStr">
        <is>
          <t>medium</t>
        </is>
      </c>
      <c r="Q220" t="inlineStr">
        <is>
          <t>flat</t>
        </is>
      </c>
      <c r="R220" s="6" t="n">
        <v>1200</v>
      </c>
      <c r="S220" t="inlineStr">
        <is>
          <t>research</t>
        </is>
      </c>
      <c r="T220" s="5" t="inlineStr">
        <is>
          <t>889 minutes is a fringe allocation in a midfield that lost both Bruno Guimaraes and Sandro Tonali and has not yet replaced them. He was an available, unused substitute v Everton (so fit) and The Mag's predicted XI for the Liverpool opener starts him. Raised only modestly because he did not start either August friendly and Newcastle are actively pursuing an experienced central midfielder.</t>
        </is>
      </c>
      <c r="U220" s="6" t="n">
        <v>79.2</v>
      </c>
      <c r="V220" s="2" t="n">
        <v>14</v>
      </c>
      <c r="W220" s="7">
        <f>IF(N(U220)&lt;=0,0,MIN(Assumptions!$B$15,N(R220)/N(U220)))</f>
        <v/>
      </c>
      <c r="X220" s="6" t="n">
        <v>0.248</v>
      </c>
      <c r="Y220" s="3" t="n">
        <v>0.06510000000000001</v>
      </c>
      <c r="Z220" t="inlineStr">
        <is>
          <t>adjusted xGOT</t>
        </is>
      </c>
      <c r="AA220" s="3" t="n">
        <v>1</v>
      </c>
      <c r="AB220" s="3" t="n">
        <v>0.869</v>
      </c>
      <c r="AC220" s="3" t="n">
        <v>10</v>
      </c>
      <c r="AD220" s="3" t="n">
        <v>0.09420000000000001</v>
      </c>
      <c r="AE220" s="3" t="n">
        <v>9.063000000000001</v>
      </c>
      <c r="AF220" s="3" t="n">
        <v>0.1101591796376405</v>
      </c>
      <c r="AG220" s="3" t="n">
        <v>7.994</v>
      </c>
      <c r="AH220" s="3" t="n">
        <v>0.159906997</v>
      </c>
      <c r="AI220" s="3" t="n">
        <v>41</v>
      </c>
      <c r="AJ220" s="3" t="n">
        <v>3.0912</v>
      </c>
      <c r="AK220" s="3" t="n">
        <v>1.4534</v>
      </c>
      <c r="AL220" s="3" t="n">
        <v>-0.1925735526751558</v>
      </c>
      <c r="AM220" s="6" t="n">
        <v>0</v>
      </c>
      <c r="AN220" s="3" t="n">
        <v>0</v>
      </c>
      <c r="AO220" s="3" t="n">
        <v>0.3255</v>
      </c>
      <c r="AP220" s="3" t="n">
        <v>0.373032</v>
      </c>
      <c r="AQ220" s="3">
        <f>N(X220)*N(BJ220)</f>
        <v/>
      </c>
      <c r="AR220" s="3" t="n">
        <v>0</v>
      </c>
      <c r="AS220" s="3" t="n">
        <v>-0</v>
      </c>
      <c r="AT220" s="3" t="n">
        <v>-0.1925735526751558</v>
      </c>
      <c r="AU220" s="3">
        <f>SUM(AO220:AT220)</f>
        <v/>
      </c>
      <c r="AV220" s="7">
        <f>IF(OR(N(W220)&lt;=0,N(BH220)=0),0,N(W220)*IF(N(R220)/N(W220)&gt;=60,N(BH220),1))</f>
        <v/>
      </c>
      <c r="AW220" s="7">
        <f>N(W220)*N(AF220)*N(BI220)</f>
        <v/>
      </c>
      <c r="AX220" s="3">
        <f>IF(N(BH220)=0,0,N(W220)*N(AH220))</f>
        <v/>
      </c>
      <c r="AY220" s="7">
        <f>N(AM220)*(Assumptions!$B$13*N(BK220)-(1-Assumptions!$B$13)*Assumptions!$B$14)+N(AN220)</f>
        <v/>
      </c>
      <c r="AZ220" s="7">
        <f>N(AU220)*N(R220)/90+N(AV220)+N(AW220)+N(AX220)+N(AY220)</f>
        <v/>
      </c>
      <c r="BA220" s="3">
        <f>IF(N(R220)&lt;=0,0,(N(AZ220)-N(AY220))*90/N(R220))</f>
        <v/>
      </c>
      <c r="BB220" s="7">
        <f>IFERROR(AZ220-VLOOKUP($E220,Assumptions!$A$40:$C$43,3,FALSE),"")</f>
        <v/>
      </c>
      <c r="BC220" s="3">
        <f>IFERROR(BB220/H220,"")</f>
        <v/>
      </c>
      <c r="BD220">
        <f>IF(AND($G220=TRUE,$E220="GKP"),AZ220,"")</f>
        <v/>
      </c>
      <c r="BE220">
        <f>IF(AND($G220=TRUE,$E220="DEF"),AZ220,"")</f>
        <v/>
      </c>
      <c r="BF220">
        <f>IF(AND($G220=TRUE,$E220="MID"),AZ220,"")</f>
        <v/>
      </c>
      <c r="BG220">
        <f>IF(AND($G220=TRUE,$E220="FWD"),AZ220,"")</f>
        <v/>
      </c>
      <c r="BH220" t="n">
        <v>2</v>
      </c>
      <c r="BI220" t="n">
        <v>2</v>
      </c>
      <c r="BJ220" t="n">
        <v>1</v>
      </c>
      <c r="BK220" t="n">
        <v>5</v>
      </c>
    </row>
    <row r="221">
      <c r="A221" t="inlineStr">
        <is>
          <t>Boubacar Kamara</t>
        </is>
      </c>
      <c r="B221" t="inlineStr">
        <is>
          <t>AVL</t>
        </is>
      </c>
      <c r="C221" t="inlineStr">
        <is>
          <t>AVL</t>
        </is>
      </c>
      <c r="D221" t="b">
        <v>0</v>
      </c>
      <c r="E221" t="inlineStr">
        <is>
          <t>MID</t>
        </is>
      </c>
      <c r="F221" t="inlineStr">
        <is>
          <t>MID</t>
        </is>
      </c>
      <c r="G221" t="b">
        <v>1</v>
      </c>
      <c r="H221" s="2" t="n">
        <v>5</v>
      </c>
      <c r="I221" t="inlineStr">
        <is>
          <t>a</t>
        </is>
      </c>
      <c r="K221" s="2" t="n">
        <v>1410</v>
      </c>
      <c r="L221" t="n">
        <v>61</v>
      </c>
      <c r="M221" s="3" t="n">
        <v>1761</v>
      </c>
      <c r="N221" s="4" t="n">
        <v>2350</v>
      </c>
      <c r="O221" s="4" t="n">
        <v>589</v>
      </c>
      <c r="P221" s="5" t="inlineStr">
        <is>
          <t>medium</t>
        </is>
      </c>
      <c r="Q221" t="inlineStr">
        <is>
          <t>fade (losing his place)</t>
        </is>
      </c>
      <c r="R221" s="6" t="n">
        <v>2350</v>
      </c>
      <c r="S221" t="inlineStr">
        <is>
          <t>research</t>
        </is>
      </c>
      <c r="T221" s="5" t="inlineStr">
        <is>
          <t>Solio flags him as 'fade (losing his place)', which the evidence contradicts. He was unavailable from January with a PCL tear, is now fit, started the Super Cup final in the double pivot and played against Monchengladbach. Tielemans has been sold, Onana is out for nine months and Manzambi is injured, so the holding role is his. Held below 2,500 because of his own two-serious-knee-injury history.</t>
        </is>
      </c>
      <c r="U221" s="6" t="n">
        <v>81.2</v>
      </c>
      <c r="V221" s="2" t="n">
        <v>17</v>
      </c>
      <c r="W221" s="7">
        <f>IF(N(U221)&lt;=0,0,MIN(Assumptions!$B$15,N(R221)/N(U221)))</f>
        <v/>
      </c>
      <c r="X221" s="6" t="n">
        <v>0.273</v>
      </c>
      <c r="Y221" s="3" t="n">
        <v>0.0327</v>
      </c>
      <c r="Z221" t="inlineStr">
        <is>
          <t>adjusted xGOT</t>
        </is>
      </c>
      <c r="AA221" s="3" t="n">
        <v>1</v>
      </c>
      <c r="AB221" s="3" t="n">
        <v>0.966</v>
      </c>
      <c r="AC221" s="3" t="n">
        <v>1.6</v>
      </c>
      <c r="AD221" s="3" t="n">
        <v>0.0501</v>
      </c>
      <c r="AE221" s="3" t="n">
        <v>9.195</v>
      </c>
      <c r="AF221" s="3" t="n">
        <v>0.1344609177516175</v>
      </c>
      <c r="AG221" s="3" t="n">
        <v>7.994</v>
      </c>
      <c r="AH221" s="3" t="n">
        <v>0.080213809</v>
      </c>
      <c r="AI221" s="3" t="n">
        <v>34</v>
      </c>
      <c r="AJ221" s="3" t="n">
        <v>2.7451</v>
      </c>
      <c r="AK221" s="3" t="n">
        <v>1.3575</v>
      </c>
      <c r="AL221" s="3" t="n">
        <v>-0.2581271748527597</v>
      </c>
      <c r="AM221" s="6" t="n">
        <v>0</v>
      </c>
      <c r="AN221" s="3" t="n">
        <v>0</v>
      </c>
      <c r="AO221" s="3" t="n">
        <v>0.1635</v>
      </c>
      <c r="AP221" s="3" t="n">
        <v>0.198396</v>
      </c>
      <c r="AQ221" s="3">
        <f>N(X221)*N(BJ221)</f>
        <v/>
      </c>
      <c r="AR221" s="3" t="n">
        <v>0</v>
      </c>
      <c r="AS221" s="3" t="n">
        <v>-0</v>
      </c>
      <c r="AT221" s="3" t="n">
        <v>-0.2581271748527597</v>
      </c>
      <c r="AU221" s="3">
        <f>SUM(AO221:AT221)</f>
        <v/>
      </c>
      <c r="AV221" s="7">
        <f>IF(OR(N(W221)&lt;=0,N(BH221)=0),0,N(W221)*IF(N(R221)/N(W221)&gt;=60,N(BH221),1))</f>
        <v/>
      </c>
      <c r="AW221" s="7">
        <f>N(W221)*N(AF221)*N(BI221)</f>
        <v/>
      </c>
      <c r="AX221" s="3">
        <f>IF(N(BH221)=0,0,N(W221)*N(AH221))</f>
        <v/>
      </c>
      <c r="AY221" s="7">
        <f>N(AM221)*(Assumptions!$B$13*N(BK221)-(1-Assumptions!$B$13)*Assumptions!$B$14)+N(AN221)</f>
        <v/>
      </c>
      <c r="AZ221" s="7">
        <f>N(AU221)*N(R221)/90+N(AV221)+N(AW221)+N(AX221)+N(AY221)</f>
        <v/>
      </c>
      <c r="BA221" s="3">
        <f>IF(N(R221)&lt;=0,0,(N(AZ221)-N(AY221))*90/N(R221))</f>
        <v/>
      </c>
      <c r="BB221" s="7">
        <f>IFERROR(AZ221-VLOOKUP($E221,Assumptions!$A$40:$C$43,3,FALSE),"")</f>
        <v/>
      </c>
      <c r="BC221" s="3">
        <f>IFERROR(BB221/H221,"")</f>
        <v/>
      </c>
      <c r="BD221">
        <f>IF(AND($G221=TRUE,$E221="GKP"),AZ221,"")</f>
        <v/>
      </c>
      <c r="BE221">
        <f>IF(AND($G221=TRUE,$E221="DEF"),AZ221,"")</f>
        <v/>
      </c>
      <c r="BF221">
        <f>IF(AND($G221=TRUE,$E221="MID"),AZ221,"")</f>
        <v/>
      </c>
      <c r="BG221">
        <f>IF(AND($G221=TRUE,$E221="FWD"),AZ221,"")</f>
        <v/>
      </c>
      <c r="BH221" t="n">
        <v>2</v>
      </c>
      <c r="BI221" t="n">
        <v>2</v>
      </c>
      <c r="BJ221" t="n">
        <v>1</v>
      </c>
      <c r="BK221" t="n">
        <v>5</v>
      </c>
    </row>
    <row r="222">
      <c r="A222" t="inlineStr">
        <is>
          <t>Timothy Castagne</t>
        </is>
      </c>
      <c r="B222" t="inlineStr">
        <is>
          <t>FUL</t>
        </is>
      </c>
      <c r="C222" t="inlineStr">
        <is>
          <t>FUL</t>
        </is>
      </c>
      <c r="D222" t="b">
        <v>0</v>
      </c>
      <c r="E222" t="inlineStr">
        <is>
          <t>DEF</t>
        </is>
      </c>
      <c r="F222" t="inlineStr">
        <is>
          <t>DEF</t>
        </is>
      </c>
      <c r="G222" t="b">
        <v>1</v>
      </c>
      <c r="H222" s="2" t="n">
        <v>4.5</v>
      </c>
      <c r="I222" t="inlineStr">
        <is>
          <t>a</t>
        </is>
      </c>
      <c r="K222" s="2" t="n">
        <v>1838</v>
      </c>
      <c r="L222" t="n">
        <v>61</v>
      </c>
      <c r="M222" s="3" t="n">
        <v>2035</v>
      </c>
      <c r="N222" s="8" t="n">
        <v>2035</v>
      </c>
      <c r="O222" s="8" t="n">
        <v>0</v>
      </c>
      <c r="Q222" t="inlineStr">
        <is>
          <t>flat</t>
        </is>
      </c>
      <c r="R222" s="6" t="n">
        <v>2035</v>
      </c>
      <c r="S222" t="inlineStr">
        <is>
          <t>Solio</t>
        </is>
      </c>
      <c r="U222" s="6" t="n">
        <v>86</v>
      </c>
      <c r="V222" s="2" t="n">
        <v>20</v>
      </c>
      <c r="W222" s="7">
        <f>IF(N(U222)&lt;=0,0,MIN(Assumptions!$B$15,N(R222)/N(U222)))</f>
        <v/>
      </c>
      <c r="X222" s="6" t="n">
        <v>0.214</v>
      </c>
      <c r="Y222" s="3" t="n">
        <v>0.0595</v>
      </c>
      <c r="Z222" t="inlineStr">
        <is>
          <t>adjusted xGOT</t>
        </is>
      </c>
      <c r="AA222" s="3" t="n">
        <v>1</v>
      </c>
      <c r="AB222" s="3" t="n">
        <v>0.8100000000000001</v>
      </c>
      <c r="AC222" s="3" t="n">
        <v>5.3</v>
      </c>
      <c r="AD222" s="3" t="n">
        <v>0.07870000000000001</v>
      </c>
      <c r="AE222" s="3" t="n">
        <v>7.3</v>
      </c>
      <c r="AF222" s="3" t="n">
        <v>0.1670339630773192</v>
      </c>
      <c r="AG222" s="3" t="n">
        <v>9.537000000000001</v>
      </c>
      <c r="AH222" s="3" t="n">
        <v>0.2241101279</v>
      </c>
      <c r="AI222" s="3" t="n">
        <v>49</v>
      </c>
      <c r="AJ222" s="3" t="n">
        <v>3.22</v>
      </c>
      <c r="AK222" s="3" t="n">
        <v>1.6019</v>
      </c>
      <c r="AL222" s="3" t="n">
        <v>-0.1690741945869779</v>
      </c>
      <c r="AM222" s="6" t="n">
        <v>0</v>
      </c>
      <c r="AN222" s="3" t="n">
        <v>0</v>
      </c>
      <c r="AO222" s="3" t="n">
        <v>0.357</v>
      </c>
      <c r="AP222" s="3" t="n">
        <v>0.311652</v>
      </c>
      <c r="AQ222" s="3">
        <f>N(X222)*N(BJ222)</f>
        <v/>
      </c>
      <c r="AR222" s="3" t="n">
        <v>0</v>
      </c>
      <c r="AS222" s="3" t="n">
        <v>-0.5611019003833156</v>
      </c>
      <c r="AT222" s="3" t="n">
        <v>-0.1690741945869779</v>
      </c>
      <c r="AU222" s="3">
        <f>SUM(AO222:AT222)</f>
        <v/>
      </c>
      <c r="AV222" s="7">
        <f>IF(OR(N(W222)&lt;=0,N(BH222)=0),0,N(W222)*IF(N(R222)/N(W222)&gt;=60,N(BH222),1))</f>
        <v/>
      </c>
      <c r="AW222" s="7">
        <f>N(W222)*N(AF222)*N(BI222)</f>
        <v/>
      </c>
      <c r="AX222" s="3">
        <f>IF(N(BH222)=0,0,N(W222)*N(AH222))</f>
        <v/>
      </c>
      <c r="AY222" s="7">
        <f>N(AM222)*(Assumptions!$B$13*N(BK222)-(1-Assumptions!$B$13)*Assumptions!$B$14)+N(AN222)</f>
        <v/>
      </c>
      <c r="AZ222" s="7">
        <f>N(AU222)*N(R222)/90+N(AV222)+N(AW222)+N(AX222)+N(AY222)</f>
        <v/>
      </c>
      <c r="BA222" s="3">
        <f>IF(N(R222)&lt;=0,0,(N(AZ222)-N(AY222))*90/N(R222))</f>
        <v/>
      </c>
      <c r="BB222" s="7">
        <f>IFERROR(AZ222-VLOOKUP($E222,Assumptions!$A$40:$C$43,3,FALSE),"")</f>
        <v/>
      </c>
      <c r="BC222" s="3">
        <f>IFERROR(BB222/H222,"")</f>
        <v/>
      </c>
      <c r="BD222">
        <f>IF(AND($G222=TRUE,$E222="GKP"),AZ222,"")</f>
        <v/>
      </c>
      <c r="BE222">
        <f>IF(AND($G222=TRUE,$E222="DEF"),AZ222,"")</f>
        <v/>
      </c>
      <c r="BF222">
        <f>IF(AND($G222=TRUE,$E222="MID"),AZ222,"")</f>
        <v/>
      </c>
      <c r="BG222">
        <f>IF(AND($G222=TRUE,$E222="FWD"),AZ222,"")</f>
        <v/>
      </c>
      <c r="BH222" t="n">
        <v>2</v>
      </c>
      <c r="BI222" t="n">
        <v>2</v>
      </c>
      <c r="BJ222" t="n">
        <v>4</v>
      </c>
      <c r="BK222" t="n">
        <v>6</v>
      </c>
    </row>
    <row r="223">
      <c r="A223" t="inlineStr">
        <is>
          <t>Archie Gray</t>
        </is>
      </c>
      <c r="B223" t="inlineStr">
        <is>
          <t>TOT</t>
        </is>
      </c>
      <c r="C223" t="inlineStr">
        <is>
          <t>TOT</t>
        </is>
      </c>
      <c r="D223" t="b">
        <v>0</v>
      </c>
      <c r="E223" t="inlineStr">
        <is>
          <t>MID</t>
        </is>
      </c>
      <c r="F223" t="inlineStr">
        <is>
          <t>MID</t>
        </is>
      </c>
      <c r="G223" t="b">
        <v>1</v>
      </c>
      <c r="H223" s="2" t="n">
        <v>5</v>
      </c>
      <c r="I223" t="inlineStr">
        <is>
          <t>a</t>
        </is>
      </c>
      <c r="K223" s="2" t="n">
        <v>1471</v>
      </c>
      <c r="L223" t="n">
        <v>61</v>
      </c>
      <c r="M223" s="3" t="n">
        <v>285</v>
      </c>
      <c r="N223" s="4" t="n">
        <v>800</v>
      </c>
      <c r="O223" s="4" t="n">
        <v>515</v>
      </c>
      <c r="P223" s="5" t="inlineStr">
        <is>
          <t>medium</t>
        </is>
      </c>
      <c r="Q223" t="inlineStr">
        <is>
          <t>flat</t>
        </is>
      </c>
      <c r="R223" s="6" t="n">
        <v>800</v>
      </c>
      <c r="S223" t="inlineStr">
        <is>
          <t>research</t>
        </is>
      </c>
      <c r="T223" s="5" t="inlineStr">
        <is>
          <t>Spurs have decided not to replace Spence at right-back and will rely on Gray as Porro's cover for the whole season. He started at right-back in both August friendlies while Porro was still on World Cup leave. 285 minutes is not a plausible figure for the only backup at a position across 38 matches, and Gray is also midfield cover.</t>
        </is>
      </c>
      <c r="U223" s="6" t="n">
        <v>79</v>
      </c>
      <c r="V223" s="2" t="n">
        <v>18</v>
      </c>
      <c r="W223" s="7">
        <f>IF(N(U223)&lt;=0,0,MIN(Assumptions!$B$15,N(R223)/N(U223)))</f>
        <v/>
      </c>
      <c r="X223" s="6" t="n">
        <v>0.286</v>
      </c>
      <c r="Y223" s="3" t="n">
        <v>0.0982</v>
      </c>
      <c r="Z223" t="inlineStr">
        <is>
          <t>adjusted xGOT</t>
        </is>
      </c>
      <c r="AA223" s="3" t="n">
        <v>1</v>
      </c>
      <c r="AB223" s="3" t="n">
        <v>1.07</v>
      </c>
      <c r="AC223" s="3" t="n">
        <v>1.5</v>
      </c>
      <c r="AD223" s="3" t="n">
        <v>0.0902</v>
      </c>
      <c r="AE223" s="3" t="n">
        <v>8.241</v>
      </c>
      <c r="AF223" s="3" t="n">
        <v>0.06462345635609223</v>
      </c>
      <c r="AG223" s="3" t="n">
        <v>5.481</v>
      </c>
      <c r="AH223" s="3" t="n">
        <v>0.1456681264</v>
      </c>
      <c r="AI223" s="3" t="n">
        <v>39</v>
      </c>
      <c r="AJ223" s="3" t="n">
        <v>2.5739</v>
      </c>
      <c r="AK223" s="3" t="n">
        <v>1.3096</v>
      </c>
      <c r="AL223" s="3" t="n">
        <v>-0.2163692621125125</v>
      </c>
      <c r="AM223" s="6" t="n">
        <v>0</v>
      </c>
      <c r="AN223" s="3" t="n">
        <v>0</v>
      </c>
      <c r="AO223" s="3" t="n">
        <v>0.491</v>
      </c>
      <c r="AP223" s="3" t="n">
        <v>0.357192</v>
      </c>
      <c r="AQ223" s="3">
        <f>N(X223)*N(BJ223)</f>
        <v/>
      </c>
      <c r="AR223" s="3" t="n">
        <v>0</v>
      </c>
      <c r="AS223" s="3" t="n">
        <v>-0</v>
      </c>
      <c r="AT223" s="3" t="n">
        <v>-0.2163692621125125</v>
      </c>
      <c r="AU223" s="3">
        <f>SUM(AO223:AT223)</f>
        <v/>
      </c>
      <c r="AV223" s="7">
        <f>IF(OR(N(W223)&lt;=0,N(BH223)=0),0,N(W223)*IF(N(R223)/N(W223)&gt;=60,N(BH223),1))</f>
        <v/>
      </c>
      <c r="AW223" s="7">
        <f>N(W223)*N(AF223)*N(BI223)</f>
        <v/>
      </c>
      <c r="AX223" s="3">
        <f>IF(N(BH223)=0,0,N(W223)*N(AH223))</f>
        <v/>
      </c>
      <c r="AY223" s="7">
        <f>N(AM223)*(Assumptions!$B$13*N(BK223)-(1-Assumptions!$B$13)*Assumptions!$B$14)+N(AN223)</f>
        <v/>
      </c>
      <c r="AZ223" s="7">
        <f>N(AU223)*N(R223)/90+N(AV223)+N(AW223)+N(AX223)+N(AY223)</f>
        <v/>
      </c>
      <c r="BA223" s="3">
        <f>IF(N(R223)&lt;=0,0,(N(AZ223)-N(AY223))*90/N(R223))</f>
        <v/>
      </c>
      <c r="BB223" s="7">
        <f>IFERROR(AZ223-VLOOKUP($E223,Assumptions!$A$40:$C$43,3,FALSE),"")</f>
        <v/>
      </c>
      <c r="BC223" s="3">
        <f>IFERROR(BB223/H223,"")</f>
        <v/>
      </c>
      <c r="BD223">
        <f>IF(AND($G223=TRUE,$E223="GKP"),AZ223,"")</f>
        <v/>
      </c>
      <c r="BE223">
        <f>IF(AND($G223=TRUE,$E223="DEF"),AZ223,"")</f>
        <v/>
      </c>
      <c r="BF223">
        <f>IF(AND($G223=TRUE,$E223="MID"),AZ223,"")</f>
        <v/>
      </c>
      <c r="BG223">
        <f>IF(AND($G223=TRUE,$E223="FWD"),AZ223,"")</f>
        <v/>
      </c>
      <c r="BH223" t="n">
        <v>2</v>
      </c>
      <c r="BI223" t="n">
        <v>2</v>
      </c>
      <c r="BJ223" t="n">
        <v>1</v>
      </c>
      <c r="BK223" t="n">
        <v>5</v>
      </c>
    </row>
    <row r="224">
      <c r="A224" t="inlineStr">
        <is>
          <t>Rayan Aït-Nouri</t>
        </is>
      </c>
      <c r="B224" t="inlineStr">
        <is>
          <t>MCI</t>
        </is>
      </c>
      <c r="C224" t="inlineStr">
        <is>
          <t>MCI</t>
        </is>
      </c>
      <c r="D224" t="b">
        <v>0</v>
      </c>
      <c r="E224" t="inlineStr">
        <is>
          <t>DEF</t>
        </is>
      </c>
      <c r="F224" t="inlineStr">
        <is>
          <t>DEF</t>
        </is>
      </c>
      <c r="G224" t="b">
        <v>1</v>
      </c>
      <c r="H224" s="2" t="n">
        <v>5.5</v>
      </c>
      <c r="I224" t="inlineStr">
        <is>
          <t>a</t>
        </is>
      </c>
      <c r="K224" s="2" t="n">
        <v>971</v>
      </c>
      <c r="L224" t="n">
        <v>60</v>
      </c>
      <c r="M224" s="3" t="n">
        <v>975</v>
      </c>
      <c r="N224" s="8" t="n">
        <v>975</v>
      </c>
      <c r="O224" s="8" t="n">
        <v>0</v>
      </c>
      <c r="Q224" t="inlineStr">
        <is>
          <t>flat</t>
        </is>
      </c>
      <c r="R224" s="6" t="n">
        <v>975</v>
      </c>
      <c r="S224" t="inlineStr">
        <is>
          <t>Solio</t>
        </is>
      </c>
      <c r="U224" s="6" t="n">
        <v>80.7</v>
      </c>
      <c r="V224" s="2" t="n">
        <v>12</v>
      </c>
      <c r="W224" s="7">
        <f>IF(N(U224)&lt;=0,0,MIN(Assumptions!$B$15,N(R224)/N(U224)))</f>
        <v/>
      </c>
      <c r="X224" s="6" t="n">
        <v>0.371</v>
      </c>
      <c r="Y224" s="3" t="n">
        <v>0.0466</v>
      </c>
      <c r="Z224" t="inlineStr">
        <is>
          <t>adjusted xGOT</t>
        </is>
      </c>
      <c r="AA224" s="3" t="n">
        <v>1</v>
      </c>
      <c r="AB224" s="3" t="n">
        <v>0.949</v>
      </c>
      <c r="AC224" s="3" t="n">
        <v>7.6</v>
      </c>
      <c r="AD224" s="3" t="n">
        <v>0.1735</v>
      </c>
      <c r="AE224" s="3" t="n">
        <v>6.838</v>
      </c>
      <c r="AF224" s="3" t="n">
        <v>0.09326688169072317</v>
      </c>
      <c r="AG224" s="3" t="n">
        <v>9.121</v>
      </c>
      <c r="AH224" s="3" t="n">
        <v>0.3395863328</v>
      </c>
      <c r="AI224" s="3" t="n">
        <v>27</v>
      </c>
      <c r="AJ224" s="3" t="n">
        <v>1.9737</v>
      </c>
      <c r="AK224" s="3" t="n">
        <v>1.0365</v>
      </c>
      <c r="AL224" s="3" t="n">
        <v>-0.2066446189433191</v>
      </c>
      <c r="AM224" s="6" t="n">
        <v>0</v>
      </c>
      <c r="AN224" s="3" t="n">
        <v>0</v>
      </c>
      <c r="AO224" s="3" t="n">
        <v>0.2796</v>
      </c>
      <c r="AP224" s="3" t="n">
        <v>0.68706</v>
      </c>
      <c r="AQ224" s="3">
        <f>N(X224)*N(BJ224)</f>
        <v/>
      </c>
      <c r="AR224" s="3" t="n">
        <v>0</v>
      </c>
      <c r="AS224" s="3" t="n">
        <v>-0.2997019479071323</v>
      </c>
      <c r="AT224" s="3" t="n">
        <v>-0.2066446189433191</v>
      </c>
      <c r="AU224" s="3">
        <f>SUM(AO224:AT224)</f>
        <v/>
      </c>
      <c r="AV224" s="7">
        <f>IF(OR(N(W224)&lt;=0,N(BH224)=0),0,N(W224)*IF(N(R224)/N(W224)&gt;=60,N(BH224),1))</f>
        <v/>
      </c>
      <c r="AW224" s="7">
        <f>N(W224)*N(AF224)*N(BI224)</f>
        <v/>
      </c>
      <c r="AX224" s="3">
        <f>IF(N(BH224)=0,0,N(W224)*N(AH224))</f>
        <v/>
      </c>
      <c r="AY224" s="7">
        <f>N(AM224)*(Assumptions!$B$13*N(BK224)-(1-Assumptions!$B$13)*Assumptions!$B$14)+N(AN224)</f>
        <v/>
      </c>
      <c r="AZ224" s="7">
        <f>N(AU224)*N(R224)/90+N(AV224)+N(AW224)+N(AX224)+N(AY224)</f>
        <v/>
      </c>
      <c r="BA224" s="3">
        <f>IF(N(R224)&lt;=0,0,(N(AZ224)-N(AY224))*90/N(R224))</f>
        <v/>
      </c>
      <c r="BB224" s="7">
        <f>IFERROR(AZ224-VLOOKUP($E224,Assumptions!$A$40:$C$43,3,FALSE),"")</f>
        <v/>
      </c>
      <c r="BC224" s="3">
        <f>IFERROR(BB224/H224,"")</f>
        <v/>
      </c>
      <c r="BD224">
        <f>IF(AND($G224=TRUE,$E224="GKP"),AZ224,"")</f>
        <v/>
      </c>
      <c r="BE224">
        <f>IF(AND($G224=TRUE,$E224="DEF"),AZ224,"")</f>
        <v/>
      </c>
      <c r="BF224">
        <f>IF(AND($G224=TRUE,$E224="MID"),AZ224,"")</f>
        <v/>
      </c>
      <c r="BG224">
        <f>IF(AND($G224=TRUE,$E224="FWD"),AZ224,"")</f>
        <v/>
      </c>
      <c r="BH224" t="n">
        <v>2</v>
      </c>
      <c r="BI224" t="n">
        <v>2</v>
      </c>
      <c r="BJ224" t="n">
        <v>4</v>
      </c>
      <c r="BK224" t="n">
        <v>6</v>
      </c>
    </row>
    <row r="225">
      <c r="A225" s="9" t="inlineStr">
        <is>
          <t>Loum Tchaouna</t>
        </is>
      </c>
      <c r="B225" t="inlineStr">
        <is>
          <t>COV</t>
        </is>
      </c>
      <c r="C225" s="9" t="inlineStr">
        <is>
          <t>BUR</t>
        </is>
      </c>
      <c r="D225" t="b">
        <v>1</v>
      </c>
      <c r="E225" t="inlineStr">
        <is>
          <t>MID</t>
        </is>
      </c>
      <c r="F225" t="inlineStr">
        <is>
          <t>MID</t>
        </is>
      </c>
      <c r="G225" t="b">
        <v>1</v>
      </c>
      <c r="H225" s="2" t="n">
        <v>5.5</v>
      </c>
      <c r="I225" t="inlineStr">
        <is>
          <t>a</t>
        </is>
      </c>
      <c r="K225" s="2" t="n">
        <v>1259</v>
      </c>
      <c r="L225" t="n">
        <v>59</v>
      </c>
      <c r="M225" s="3" t="n">
        <v>2212</v>
      </c>
      <c r="N225" s="8" t="n">
        <v>2212</v>
      </c>
      <c r="O225" s="8" t="n">
        <v>0</v>
      </c>
      <c r="Q225" t="inlineStr">
        <is>
          <t>flat</t>
        </is>
      </c>
      <c r="R225" s="6" t="n">
        <v>2212</v>
      </c>
      <c r="S225" t="inlineStr">
        <is>
          <t>Solio</t>
        </is>
      </c>
      <c r="U225" s="6" t="n">
        <v>75</v>
      </c>
      <c r="V225" s="2" t="n">
        <v>14</v>
      </c>
      <c r="W225" s="7">
        <f>IF(N(U225)&lt;=0,0,MIN(Assumptions!$B$15,N(R225)/N(U225)))</f>
        <v/>
      </c>
      <c r="X225" s="6" t="n">
        <v>0.17</v>
      </c>
      <c r="Y225" s="10" t="n">
        <v>0.0891</v>
      </c>
      <c r="Z225" t="inlineStr">
        <is>
          <t>adjusted xGOT</t>
        </is>
      </c>
      <c r="AA225" s="3" t="n">
        <v>1</v>
      </c>
      <c r="AB225" s="3" t="n">
        <v>0.982</v>
      </c>
      <c r="AC225" s="3" t="n">
        <v>1.3</v>
      </c>
      <c r="AD225" s="10" t="n">
        <v>0.07539999999999999</v>
      </c>
      <c r="AE225" s="3" t="n">
        <v>6.258</v>
      </c>
      <c r="AF225" s="3" t="n">
        <v>0.007467630461278851</v>
      </c>
      <c r="AG225" s="3" t="n">
        <v>4.709</v>
      </c>
      <c r="AH225" s="3" t="n">
        <v>0.117561112</v>
      </c>
      <c r="AI225" s="3" t="n">
        <v>41</v>
      </c>
      <c r="AJ225" s="3" t="n">
        <v>3.6194</v>
      </c>
      <c r="AK225" s="3" t="n">
        <v>1.8271</v>
      </c>
      <c r="AL225" s="3" t="n">
        <v>-0.1897167956648318</v>
      </c>
      <c r="AM225" s="6" t="n">
        <v>0</v>
      </c>
      <c r="AN225" s="3" t="n">
        <v>0</v>
      </c>
      <c r="AO225" s="10" t="n">
        <v>0.4455</v>
      </c>
      <c r="AP225" s="10" t="n">
        <v>0.298584</v>
      </c>
      <c r="AQ225" s="3">
        <f>N(X225)*N(BJ225)</f>
        <v/>
      </c>
      <c r="AR225" s="3" t="n">
        <v>0</v>
      </c>
      <c r="AS225" s="3" t="n">
        <v>-0</v>
      </c>
      <c r="AT225" s="3" t="n">
        <v>-0.1897167956648318</v>
      </c>
      <c r="AU225" s="3">
        <f>SUM(AO225:AT225)</f>
        <v/>
      </c>
      <c r="AV225" s="7">
        <f>IF(OR(N(W225)&lt;=0,N(BH225)=0),0,N(W225)*IF(N(R225)/N(W225)&gt;=60,N(BH225),1))</f>
        <v/>
      </c>
      <c r="AW225" s="7">
        <f>N(W225)*N(AF225)*N(BI225)</f>
        <v/>
      </c>
      <c r="AX225" s="3">
        <f>IF(N(BH225)=0,0,N(W225)*N(AH225))</f>
        <v/>
      </c>
      <c r="AY225" s="7">
        <f>N(AM225)*(Assumptions!$B$13*N(BK225)-(1-Assumptions!$B$13)*Assumptions!$B$14)+N(AN225)</f>
        <v/>
      </c>
      <c r="AZ225" s="7">
        <f>N(AU225)*N(R225)/90+N(AV225)+N(AW225)+N(AX225)+N(AY225)</f>
        <v/>
      </c>
      <c r="BA225" s="3">
        <f>IF(N(R225)&lt;=0,0,(N(AZ225)-N(AY225))*90/N(R225))</f>
        <v/>
      </c>
      <c r="BB225" s="7">
        <f>IFERROR(AZ225-VLOOKUP($E225,Assumptions!$A$40:$C$43,3,FALSE),"")</f>
        <v/>
      </c>
      <c r="BC225" s="3">
        <f>IFERROR(BB225/H225,"")</f>
        <v/>
      </c>
      <c r="BD225">
        <f>IF(AND($G225=TRUE,$E225="GKP"),AZ225,"")</f>
        <v/>
      </c>
      <c r="BE225">
        <f>IF(AND($G225=TRUE,$E225="DEF"),AZ225,"")</f>
        <v/>
      </c>
      <c r="BF225">
        <f>IF(AND($G225=TRUE,$E225="MID"),AZ225,"")</f>
        <v/>
      </c>
      <c r="BG225">
        <f>IF(AND($G225=TRUE,$E225="FWD"),AZ225,"")</f>
        <v/>
      </c>
      <c r="BH225" t="n">
        <v>2</v>
      </c>
      <c r="BI225" t="n">
        <v>2</v>
      </c>
      <c r="BJ225" t="n">
        <v>1</v>
      </c>
      <c r="BK225" t="n">
        <v>5</v>
      </c>
    </row>
    <row r="226">
      <c r="A226" t="inlineStr">
        <is>
          <t>Tino Livramento</t>
        </is>
      </c>
      <c r="B226" t="inlineStr">
        <is>
          <t>NEW</t>
        </is>
      </c>
      <c r="C226" t="inlineStr">
        <is>
          <t>NEW</t>
        </is>
      </c>
      <c r="D226" t="b">
        <v>0</v>
      </c>
      <c r="E226" t="inlineStr">
        <is>
          <t>DEF</t>
        </is>
      </c>
      <c r="F226" t="inlineStr">
        <is>
          <t>DEF</t>
        </is>
      </c>
      <c r="G226" t="b">
        <v>1</v>
      </c>
      <c r="H226" s="2" t="n">
        <v>5</v>
      </c>
      <c r="I226" t="inlineStr">
        <is>
          <t>d</t>
        </is>
      </c>
      <c r="J226" t="inlineStr">
        <is>
          <t>Calf injury - 75% chance of playing</t>
        </is>
      </c>
      <c r="K226" s="2" t="n">
        <v>1326</v>
      </c>
      <c r="L226" t="n">
        <v>59</v>
      </c>
      <c r="M226" s="3" t="n">
        <v>3215</v>
      </c>
      <c r="N226" s="4" t="n">
        <v>1550</v>
      </c>
      <c r="O226" s="4" t="n">
        <v>-1665</v>
      </c>
      <c r="P226" s="5" t="inlineStr">
        <is>
          <t>high</t>
        </is>
      </c>
      <c r="Q226" t="inlineStr">
        <is>
          <t>flat</t>
        </is>
      </c>
      <c r="R226" s="6" t="n">
        <v>1550</v>
      </c>
      <c r="S226" t="inlineStr">
        <is>
          <t>research</t>
        </is>
      </c>
      <c r="T226" s="5" t="inlineStr">
        <is>
          <t>Solio has him as a near-nailed 3,215-minute starter. He is ruled out of the Liverpool opener, still rehabbing his calf/knee in the United States, and is only hoped to be available for MD2 at Tottenham. Meanwhile Newcastle agreed roughly GBP 30m with Benfica for right-back Amar Dedic on 15 Aug, arranged his medical, and want him registered in time to face Liverpool - and Jaissle coached Dedic at Salzburg. Livramento also managed only 1,326 league minutes in 2025/26. Late return plus a GBP 30m incumbent-displacing signing makes a full-season allocation untenable.</t>
        </is>
      </c>
      <c r="U226" s="6" t="n">
        <v>86.8</v>
      </c>
      <c r="V226" s="2" t="n">
        <v>14</v>
      </c>
      <c r="W226" s="7">
        <f>IF(N(U226)&lt;=0,0,MIN(Assumptions!$B$15,N(R226)/N(U226)))</f>
        <v/>
      </c>
      <c r="X226" s="6" t="n">
        <v>0.248</v>
      </c>
      <c r="Y226" s="3" t="n">
        <v>0.009299999999999999</v>
      </c>
      <c r="Z226" t="inlineStr">
        <is>
          <t>adjusted xGOT</t>
        </is>
      </c>
      <c r="AA226" s="3" t="n">
        <v>1</v>
      </c>
      <c r="AB226" s="3" t="n">
        <v>1.052</v>
      </c>
      <c r="AC226" s="3" t="n">
        <v>0.8</v>
      </c>
      <c r="AD226" s="3" t="n">
        <v>0.0511</v>
      </c>
      <c r="AE226" s="3" t="n">
        <v>5.696</v>
      </c>
      <c r="AF226" s="3" t="n">
        <v>0.05343977587944893</v>
      </c>
      <c r="AG226" s="3" t="n">
        <v>8.521000000000001</v>
      </c>
      <c r="AH226" s="3" t="n">
        <v>0.1551738502</v>
      </c>
      <c r="AI226" s="3" t="n">
        <v>31</v>
      </c>
      <c r="AJ226" s="3" t="n">
        <v>3.0912</v>
      </c>
      <c r="AK226" s="3" t="n">
        <v>1.4534</v>
      </c>
      <c r="AL226" s="3" t="n">
        <v>-0.1102134388827811</v>
      </c>
      <c r="AM226" s="6" t="n">
        <v>0</v>
      </c>
      <c r="AN226" s="3" t="n">
        <v>0</v>
      </c>
      <c r="AO226" s="3" t="n">
        <v>0.0558</v>
      </c>
      <c r="AP226" s="3" t="n">
        <v>0.202356</v>
      </c>
      <c r="AQ226" s="3">
        <f>N(X226)*N(BJ226)</f>
        <v/>
      </c>
      <c r="AR226" s="3" t="n">
        <v>0</v>
      </c>
      <c r="AS226" s="3" t="n">
        <v>-0.4903625828545308</v>
      </c>
      <c r="AT226" s="3" t="n">
        <v>-0.1102134388827811</v>
      </c>
      <c r="AU226" s="3">
        <f>SUM(AO226:AT226)</f>
        <v/>
      </c>
      <c r="AV226" s="7">
        <f>IF(OR(N(W226)&lt;=0,N(BH226)=0),0,N(W226)*IF(N(R226)/N(W226)&gt;=60,N(BH226),1))</f>
        <v/>
      </c>
      <c r="AW226" s="7">
        <f>N(W226)*N(AF226)*N(BI226)</f>
        <v/>
      </c>
      <c r="AX226" s="3">
        <f>IF(N(BH226)=0,0,N(W226)*N(AH226))</f>
        <v/>
      </c>
      <c r="AY226" s="7">
        <f>N(AM226)*(Assumptions!$B$13*N(BK226)-(1-Assumptions!$B$13)*Assumptions!$B$14)+N(AN226)</f>
        <v/>
      </c>
      <c r="AZ226" s="7">
        <f>N(AU226)*N(R226)/90+N(AV226)+N(AW226)+N(AX226)+N(AY226)</f>
        <v/>
      </c>
      <c r="BA226" s="3">
        <f>IF(N(R226)&lt;=0,0,(N(AZ226)-N(AY226))*90/N(R226))</f>
        <v/>
      </c>
      <c r="BB226" s="7">
        <f>IFERROR(AZ226-VLOOKUP($E226,Assumptions!$A$40:$C$43,3,FALSE),"")</f>
        <v/>
      </c>
      <c r="BC226" s="3">
        <f>IFERROR(BB226/H226,"")</f>
        <v/>
      </c>
      <c r="BD226">
        <f>IF(AND($G226=TRUE,$E226="GKP"),AZ226,"")</f>
        <v/>
      </c>
      <c r="BE226">
        <f>IF(AND($G226=TRUE,$E226="DEF"),AZ226,"")</f>
        <v/>
      </c>
      <c r="BF226">
        <f>IF(AND($G226=TRUE,$E226="MID"),AZ226,"")</f>
        <v/>
      </c>
      <c r="BG226">
        <f>IF(AND($G226=TRUE,$E226="FWD"),AZ226,"")</f>
        <v/>
      </c>
      <c r="BH226" t="n">
        <v>2</v>
      </c>
      <c r="BI226" t="n">
        <v>2</v>
      </c>
      <c r="BJ226" t="n">
        <v>4</v>
      </c>
      <c r="BK226" t="n">
        <v>6</v>
      </c>
    </row>
    <row r="227">
      <c r="A227" t="inlineStr">
        <is>
          <t>David Brooks</t>
        </is>
      </c>
      <c r="B227" t="inlineStr">
        <is>
          <t>BOU</t>
        </is>
      </c>
      <c r="C227" t="inlineStr">
        <is>
          <t>BOU</t>
        </is>
      </c>
      <c r="D227" t="b">
        <v>0</v>
      </c>
      <c r="E227" t="inlineStr">
        <is>
          <t>MID</t>
        </is>
      </c>
      <c r="F227" t="inlineStr">
        <is>
          <t>MID</t>
        </is>
      </c>
      <c r="G227" t="b">
        <v>1</v>
      </c>
      <c r="H227" s="2" t="n">
        <v>5</v>
      </c>
      <c r="I227" t="inlineStr">
        <is>
          <t>a</t>
        </is>
      </c>
      <c r="K227" s="2" t="n">
        <v>1188</v>
      </c>
      <c r="L227" t="n">
        <v>59</v>
      </c>
      <c r="M227" s="3" t="n">
        <v>484</v>
      </c>
      <c r="N227" s="8" t="n">
        <v>484</v>
      </c>
      <c r="O227" s="8" t="n">
        <v>0</v>
      </c>
      <c r="Q227" t="inlineStr">
        <is>
          <t>flat</t>
        </is>
      </c>
      <c r="R227" s="6" t="n">
        <v>484</v>
      </c>
      <c r="S227" t="inlineStr">
        <is>
          <t>Solio</t>
        </is>
      </c>
      <c r="U227" s="6" t="n">
        <v>72.7</v>
      </c>
      <c r="V227" s="2" t="n">
        <v>13</v>
      </c>
      <c r="W227" s="7">
        <f>IF(N(U227)&lt;=0,0,MIN(Assumptions!$B$15,N(R227)/N(U227)))</f>
        <v/>
      </c>
      <c r="X227" s="6" t="n">
        <v>0.23</v>
      </c>
      <c r="Y227" s="3" t="n">
        <v>0.3903</v>
      </c>
      <c r="Z227" t="inlineStr">
        <is>
          <t>adjusted xGOT</t>
        </is>
      </c>
      <c r="AA227" s="3" t="n">
        <v>1</v>
      </c>
      <c r="AB227" s="3" t="n">
        <v>0.887</v>
      </c>
      <c r="AC227" s="3" t="n">
        <v>11.2</v>
      </c>
      <c r="AD227" s="3" t="n">
        <v>0.2878</v>
      </c>
      <c r="AE227" s="3" t="n">
        <v>7.671</v>
      </c>
      <c r="AF227" s="3" t="n">
        <v>0.02489134279191973</v>
      </c>
      <c r="AG227" s="3" t="n">
        <v>5.871</v>
      </c>
      <c r="AH227" s="3" t="n">
        <v>0.5759057625999999</v>
      </c>
      <c r="AI227" s="3" t="n">
        <v>43</v>
      </c>
      <c r="AJ227" s="3" t="n">
        <v>3.0957</v>
      </c>
      <c r="AK227" s="3" t="n">
        <v>1.53</v>
      </c>
      <c r="AL227" s="3" t="n">
        <v>-0.3544561443515518</v>
      </c>
      <c r="AM227" s="6" t="n">
        <v>0</v>
      </c>
      <c r="AN227" s="3" t="n">
        <v>0</v>
      </c>
      <c r="AO227" s="3" t="n">
        <v>1.9515</v>
      </c>
      <c r="AP227" s="3" t="n">
        <v>1.139688</v>
      </c>
      <c r="AQ227" s="3">
        <f>N(X227)*N(BJ227)</f>
        <v/>
      </c>
      <c r="AR227" s="3" t="n">
        <v>0</v>
      </c>
      <c r="AS227" s="3" t="n">
        <v>-0</v>
      </c>
      <c r="AT227" s="3" t="n">
        <v>-0.3544561443515518</v>
      </c>
      <c r="AU227" s="3">
        <f>SUM(AO227:AT227)</f>
        <v/>
      </c>
      <c r="AV227" s="7">
        <f>IF(OR(N(W227)&lt;=0,N(BH227)=0),0,N(W227)*IF(N(R227)/N(W227)&gt;=60,N(BH227),1))</f>
        <v/>
      </c>
      <c r="AW227" s="7">
        <f>N(W227)*N(AF227)*N(BI227)</f>
        <v/>
      </c>
      <c r="AX227" s="3">
        <f>IF(N(BH227)=0,0,N(W227)*N(AH227))</f>
        <v/>
      </c>
      <c r="AY227" s="7">
        <f>N(AM227)*(Assumptions!$B$13*N(BK227)-(1-Assumptions!$B$13)*Assumptions!$B$14)+N(AN227)</f>
        <v/>
      </c>
      <c r="AZ227" s="7">
        <f>N(AU227)*N(R227)/90+N(AV227)+N(AW227)+N(AX227)+N(AY227)</f>
        <v/>
      </c>
      <c r="BA227" s="3">
        <f>IF(N(R227)&lt;=0,0,(N(AZ227)-N(AY227))*90/N(R227))</f>
        <v/>
      </c>
      <c r="BB227" s="7">
        <f>IFERROR(AZ227-VLOOKUP($E227,Assumptions!$A$40:$C$43,3,FALSE),"")</f>
        <v/>
      </c>
      <c r="BC227" s="3">
        <f>IFERROR(BB227/H227,"")</f>
        <v/>
      </c>
      <c r="BD227">
        <f>IF(AND($G227=TRUE,$E227="GKP"),AZ227,"")</f>
        <v/>
      </c>
      <c r="BE227">
        <f>IF(AND($G227=TRUE,$E227="DEF"),AZ227,"")</f>
        <v/>
      </c>
      <c r="BF227">
        <f>IF(AND($G227=TRUE,$E227="MID"),AZ227,"")</f>
        <v/>
      </c>
      <c r="BG227">
        <f>IF(AND($G227=TRUE,$E227="FWD"),AZ227,"")</f>
        <v/>
      </c>
      <c r="BH227" t="n">
        <v>2</v>
      </c>
      <c r="BI227" t="n">
        <v>2</v>
      </c>
      <c r="BJ227" t="n">
        <v>1</v>
      </c>
      <c r="BK227" t="n">
        <v>5</v>
      </c>
    </row>
    <row r="228">
      <c r="A228" t="inlineStr">
        <is>
          <t>Adam Smith</t>
        </is>
      </c>
      <c r="B228" t="inlineStr">
        <is>
          <t>BOU</t>
        </is>
      </c>
      <c r="C228" t="inlineStr">
        <is>
          <t>BOU</t>
        </is>
      </c>
      <c r="D228" t="b">
        <v>0</v>
      </c>
      <c r="E228" t="inlineStr">
        <is>
          <t>DEF</t>
        </is>
      </c>
      <c r="F228" t="inlineStr">
        <is>
          <t>DEF</t>
        </is>
      </c>
      <c r="G228" t="b">
        <v>1</v>
      </c>
      <c r="H228" s="2" t="n">
        <v>4.5</v>
      </c>
      <c r="I228" t="inlineStr">
        <is>
          <t>a</t>
        </is>
      </c>
      <c r="K228" s="2" t="n">
        <v>1073</v>
      </c>
      <c r="L228" t="n">
        <v>58</v>
      </c>
      <c r="M228" s="3" t="n">
        <v>379</v>
      </c>
      <c r="N228" s="4" t="n">
        <v>900</v>
      </c>
      <c r="O228" s="4" t="n">
        <v>521</v>
      </c>
      <c r="P228" s="5" t="inlineStr">
        <is>
          <t>medium</t>
        </is>
      </c>
      <c r="Q228" t="inlineStr">
        <is>
          <t>flat</t>
        </is>
      </c>
      <c r="R228" s="6" t="n">
        <v>900</v>
      </c>
      <c r="S228" t="inlineStr">
        <is>
          <t>research</t>
        </is>
      </c>
      <c r="T228" s="5" t="inlineStr">
        <is>
          <t>The mirror of the Juanlu delta. Smith started at right-back in both friendlies including the 15 Aug dress rehearsal, i.e. after Juanlu had already signed, and the Guardian's season preview describes him as 'evergreen' in his 14th season at the club. He is very likely to start the opener and to keep meaningful minutes as Europa League cover, well above Solio's 379.</t>
        </is>
      </c>
      <c r="U228" s="6" t="n">
        <v>78.3</v>
      </c>
      <c r="V228" s="2" t="n">
        <v>14</v>
      </c>
      <c r="W228" s="7">
        <f>IF(N(U228)&lt;=0,0,MIN(Assumptions!$B$15,N(R228)/N(U228)))</f>
        <v/>
      </c>
      <c r="X228" s="6" t="n">
        <v>0.23</v>
      </c>
      <c r="Y228" s="3" t="n">
        <v>0</v>
      </c>
      <c r="Z228" t="inlineStr">
        <is>
          <t>adjusted xGOT</t>
        </is>
      </c>
      <c r="AA228" s="3" t="n">
        <v>1</v>
      </c>
      <c r="AB228" s="3" t="n">
        <v>0.9350000000000001</v>
      </c>
      <c r="AC228" s="3" t="n">
        <v>1.2</v>
      </c>
      <c r="AD228" s="3" t="n">
        <v>0.0306</v>
      </c>
      <c r="AE228" s="3" t="n">
        <v>6.6</v>
      </c>
      <c r="AF228" s="3" t="n">
        <v>0.06730711318589733</v>
      </c>
      <c r="AG228" s="3" t="n">
        <v>6.147</v>
      </c>
      <c r="AH228" s="3" t="n">
        <v>0.062001922</v>
      </c>
      <c r="AI228" s="3" t="n">
        <v>33</v>
      </c>
      <c r="AJ228" s="3" t="n">
        <v>3.0957</v>
      </c>
      <c r="AK228" s="3" t="n">
        <v>1.53</v>
      </c>
      <c r="AL228" s="3" t="n">
        <v>-0.2820774369747298</v>
      </c>
      <c r="AM228" s="6" t="n">
        <v>0</v>
      </c>
      <c r="AN228" s="3" t="n">
        <v>0</v>
      </c>
      <c r="AO228" s="3" t="n">
        <v>0</v>
      </c>
      <c r="AP228" s="3" t="n">
        <v>0.121176</v>
      </c>
      <c r="AQ228" s="3">
        <f>N(X228)*N(BJ228)</f>
        <v/>
      </c>
      <c r="AR228" s="3" t="n">
        <v>0</v>
      </c>
      <c r="AS228" s="3" t="n">
        <v>-0.5267219238049191</v>
      </c>
      <c r="AT228" s="3" t="n">
        <v>-0.2820774369747298</v>
      </c>
      <c r="AU228" s="3">
        <f>SUM(AO228:AT228)</f>
        <v/>
      </c>
      <c r="AV228" s="7">
        <f>IF(OR(N(W228)&lt;=0,N(BH228)=0),0,N(W228)*IF(N(R228)/N(W228)&gt;=60,N(BH228),1))</f>
        <v/>
      </c>
      <c r="AW228" s="7">
        <f>N(W228)*N(AF228)*N(BI228)</f>
        <v/>
      </c>
      <c r="AX228" s="3">
        <f>IF(N(BH228)=0,0,N(W228)*N(AH228))</f>
        <v/>
      </c>
      <c r="AY228" s="7">
        <f>N(AM228)*(Assumptions!$B$13*N(BK228)-(1-Assumptions!$B$13)*Assumptions!$B$14)+N(AN228)</f>
        <v/>
      </c>
      <c r="AZ228" s="7">
        <f>N(AU228)*N(R228)/90+N(AV228)+N(AW228)+N(AX228)+N(AY228)</f>
        <v/>
      </c>
      <c r="BA228" s="3">
        <f>IF(N(R228)&lt;=0,0,(N(AZ228)-N(AY228))*90/N(R228))</f>
        <v/>
      </c>
      <c r="BB228" s="7">
        <f>IFERROR(AZ228-VLOOKUP($E228,Assumptions!$A$40:$C$43,3,FALSE),"")</f>
        <v/>
      </c>
      <c r="BC228" s="3">
        <f>IFERROR(BB228/H228,"")</f>
        <v/>
      </c>
      <c r="BD228">
        <f>IF(AND($G228=TRUE,$E228="GKP"),AZ228,"")</f>
        <v/>
      </c>
      <c r="BE228">
        <f>IF(AND($G228=TRUE,$E228="DEF"),AZ228,"")</f>
        <v/>
      </c>
      <c r="BF228">
        <f>IF(AND($G228=TRUE,$E228="MID"),AZ228,"")</f>
        <v/>
      </c>
      <c r="BG228">
        <f>IF(AND($G228=TRUE,$E228="FWD"),AZ228,"")</f>
        <v/>
      </c>
      <c r="BH228" t="n">
        <v>2</v>
      </c>
      <c r="BI228" t="n">
        <v>2</v>
      </c>
      <c r="BJ228" t="n">
        <v>4</v>
      </c>
      <c r="BK228" t="n">
        <v>6</v>
      </c>
    </row>
    <row r="229">
      <c r="A229" t="inlineStr">
        <is>
          <t>Mason Mount</t>
        </is>
      </c>
      <c r="B229" t="inlineStr">
        <is>
          <t>MUN</t>
        </is>
      </c>
      <c r="C229" t="inlineStr">
        <is>
          <t>MUN</t>
        </is>
      </c>
      <c r="D229" t="b">
        <v>0</v>
      </c>
      <c r="E229" t="inlineStr">
        <is>
          <t>MID</t>
        </is>
      </c>
      <c r="F229" t="inlineStr">
        <is>
          <t>MID</t>
        </is>
      </c>
      <c r="G229" t="b">
        <v>1</v>
      </c>
      <c r="H229" s="2" t="n">
        <v>5.5</v>
      </c>
      <c r="I229" t="inlineStr">
        <is>
          <t>a</t>
        </is>
      </c>
      <c r="K229" s="2" t="n">
        <v>1010</v>
      </c>
      <c r="L229" t="n">
        <v>58</v>
      </c>
      <c r="M229" s="3" t="n">
        <v>412</v>
      </c>
      <c r="N229" s="8" t="n">
        <v>412</v>
      </c>
      <c r="O229" s="8" t="n">
        <v>0</v>
      </c>
      <c r="Q229" t="inlineStr">
        <is>
          <t>flat</t>
        </is>
      </c>
      <c r="R229" s="6" t="n">
        <v>412</v>
      </c>
      <c r="S229" t="inlineStr">
        <is>
          <t>Solio</t>
        </is>
      </c>
      <c r="U229" s="6" t="n">
        <v>74.59999999999999</v>
      </c>
      <c r="V229" s="2" t="n">
        <v>12</v>
      </c>
      <c r="W229" s="7">
        <f>IF(N(U229)&lt;=0,0,MIN(Assumptions!$B$15,N(R229)/N(U229)))</f>
        <v/>
      </c>
      <c r="X229" s="6" t="n">
        <v>0.334</v>
      </c>
      <c r="Y229" s="3" t="n">
        <v>0.122</v>
      </c>
      <c r="Z229" t="inlineStr">
        <is>
          <t>adjusted xGOT</t>
        </is>
      </c>
      <c r="AA229" s="3" t="n">
        <v>1</v>
      </c>
      <c r="AB229" s="3" t="n">
        <v>0.878</v>
      </c>
      <c r="AC229" s="3" t="n">
        <v>7.3</v>
      </c>
      <c r="AD229" s="3" t="n">
        <v>0.1335</v>
      </c>
      <c r="AE229" s="3" t="n">
        <v>8.875999999999999</v>
      </c>
      <c r="AF229" s="3" t="n">
        <v>0.07116321869658049</v>
      </c>
      <c r="AG229" s="3" t="n">
        <v>5.864</v>
      </c>
      <c r="AH229" s="3" t="n">
        <v>0.1612458464</v>
      </c>
      <c r="AI229" s="3" t="n">
        <v>33</v>
      </c>
      <c r="AJ229" s="3" t="n">
        <v>2.2165</v>
      </c>
      <c r="AK229" s="3" t="n">
        <v>1.1467</v>
      </c>
      <c r="AL229" s="3" t="n">
        <v>-0.2486955269062244</v>
      </c>
      <c r="AM229" s="6" t="n">
        <v>0</v>
      </c>
      <c r="AN229" s="3" t="n">
        <v>0</v>
      </c>
      <c r="AO229" s="3" t="n">
        <v>0.61</v>
      </c>
      <c r="AP229" s="3" t="n">
        <v>0.52866</v>
      </c>
      <c r="AQ229" s="3">
        <f>N(X229)*N(BJ229)</f>
        <v/>
      </c>
      <c r="AR229" s="3" t="n">
        <v>0</v>
      </c>
      <c r="AS229" s="3" t="n">
        <v>-0</v>
      </c>
      <c r="AT229" s="3" t="n">
        <v>-0.2486955269062244</v>
      </c>
      <c r="AU229" s="3">
        <f>SUM(AO229:AT229)</f>
        <v/>
      </c>
      <c r="AV229" s="7">
        <f>IF(OR(N(W229)&lt;=0,N(BH229)=0),0,N(W229)*IF(N(R229)/N(W229)&gt;=60,N(BH229),1))</f>
        <v/>
      </c>
      <c r="AW229" s="7">
        <f>N(W229)*N(AF229)*N(BI229)</f>
        <v/>
      </c>
      <c r="AX229" s="3">
        <f>IF(N(BH229)=0,0,N(W229)*N(AH229))</f>
        <v/>
      </c>
      <c r="AY229" s="7">
        <f>N(AM229)*(Assumptions!$B$13*N(BK229)-(1-Assumptions!$B$13)*Assumptions!$B$14)+N(AN229)</f>
        <v/>
      </c>
      <c r="AZ229" s="7">
        <f>N(AU229)*N(R229)/90+N(AV229)+N(AW229)+N(AX229)+N(AY229)</f>
        <v/>
      </c>
      <c r="BA229" s="3">
        <f>IF(N(R229)&lt;=0,0,(N(AZ229)-N(AY229))*90/N(R229))</f>
        <v/>
      </c>
      <c r="BB229" s="7">
        <f>IFERROR(AZ229-VLOOKUP($E229,Assumptions!$A$40:$C$43,3,FALSE),"")</f>
        <v/>
      </c>
      <c r="BC229" s="3">
        <f>IFERROR(BB229/H229,"")</f>
        <v/>
      </c>
      <c r="BD229">
        <f>IF(AND($G229=TRUE,$E229="GKP"),AZ229,"")</f>
        <v/>
      </c>
      <c r="BE229">
        <f>IF(AND($G229=TRUE,$E229="DEF"),AZ229,"")</f>
        <v/>
      </c>
      <c r="BF229">
        <f>IF(AND($G229=TRUE,$E229="MID"),AZ229,"")</f>
        <v/>
      </c>
      <c r="BG229">
        <f>IF(AND($G229=TRUE,$E229="FWD"),AZ229,"")</f>
        <v/>
      </c>
      <c r="BH229" t="n">
        <v>2</v>
      </c>
      <c r="BI229" t="n">
        <v>2</v>
      </c>
      <c r="BJ229" t="n">
        <v>1</v>
      </c>
      <c r="BK229" t="n">
        <v>5</v>
      </c>
    </row>
    <row r="230">
      <c r="A230" t="inlineStr">
        <is>
          <t>Estêvão</t>
        </is>
      </c>
      <c r="B230" t="inlineStr">
        <is>
          <t>CHE</t>
        </is>
      </c>
      <c r="C230" t="inlineStr">
        <is>
          <t>CHE</t>
        </is>
      </c>
      <c r="D230" t="b">
        <v>0</v>
      </c>
      <c r="E230" t="inlineStr">
        <is>
          <t>MID</t>
        </is>
      </c>
      <c r="F230" t="inlineStr">
        <is>
          <t>MID</t>
        </is>
      </c>
      <c r="G230" t="b">
        <v>1</v>
      </c>
      <c r="H230" s="2" t="n">
        <v>6.5</v>
      </c>
      <c r="I230" t="inlineStr">
        <is>
          <t>a</t>
        </is>
      </c>
      <c r="K230" s="2" t="n">
        <v>839</v>
      </c>
      <c r="L230" t="n">
        <v>58</v>
      </c>
      <c r="M230" s="3" t="n">
        <v>684</v>
      </c>
      <c r="N230" s="8" t="n">
        <v>684</v>
      </c>
      <c r="O230" s="8" t="n">
        <v>0</v>
      </c>
      <c r="Q230" t="inlineStr">
        <is>
          <t>flat</t>
        </is>
      </c>
      <c r="R230" s="6" t="n">
        <v>684</v>
      </c>
      <c r="S230" t="inlineStr">
        <is>
          <t>Solio</t>
        </is>
      </c>
      <c r="U230" s="6" t="n">
        <v>66.09999999999999</v>
      </c>
      <c r="V230" s="2" t="n">
        <v>12</v>
      </c>
      <c r="W230" s="7">
        <f>IF(N(U230)&lt;=0,0,MIN(Assumptions!$B$15,N(R230)/N(U230)))</f>
        <v/>
      </c>
      <c r="X230" s="6" t="n">
        <v>0.322</v>
      </c>
      <c r="Y230" s="3" t="n">
        <v>0.3376</v>
      </c>
      <c r="Z230" t="inlineStr">
        <is>
          <t>adjusted xGOT</t>
        </is>
      </c>
      <c r="AA230" s="3" t="n">
        <v>1</v>
      </c>
      <c r="AB230" s="3" t="n">
        <v>1.082</v>
      </c>
      <c r="AC230" s="3" t="n">
        <v>2.9</v>
      </c>
      <c r="AD230" s="3" t="n">
        <v>0.2658</v>
      </c>
      <c r="AE230" s="3" t="n">
        <v>7.194</v>
      </c>
      <c r="AF230" s="3" t="n">
        <v>0.008220233724842707</v>
      </c>
      <c r="AG230" s="3" t="n">
        <v>4.14</v>
      </c>
      <c r="AH230" s="3" t="n">
        <v>0.3644243541</v>
      </c>
      <c r="AI230" s="3" t="n">
        <v>29</v>
      </c>
      <c r="AJ230" s="3" t="n">
        <v>2.4232</v>
      </c>
      <c r="AK230" s="3" t="n">
        <v>1.1851</v>
      </c>
      <c r="AL230" s="3" t="n">
        <v>-0.3005963358502878</v>
      </c>
      <c r="AM230" s="6" t="n">
        <v>0.0146943132788909</v>
      </c>
      <c r="AN230" s="3" t="n">
        <v>0</v>
      </c>
      <c r="AO230" s="3" t="n">
        <v>1.688</v>
      </c>
      <c r="AP230" s="3" t="n">
        <v>1.052568</v>
      </c>
      <c r="AQ230" s="3">
        <f>N(X230)*N(BJ230)</f>
        <v/>
      </c>
      <c r="AR230" s="3" t="n">
        <v>0</v>
      </c>
      <c r="AS230" s="3" t="n">
        <v>-0</v>
      </c>
      <c r="AT230" s="3" t="n">
        <v>-0.3005963358502878</v>
      </c>
      <c r="AU230" s="3">
        <f>SUM(AO230:AT230)</f>
        <v/>
      </c>
      <c r="AV230" s="7">
        <f>IF(OR(N(W230)&lt;=0,N(BH230)=0),0,N(W230)*IF(N(R230)/N(W230)&gt;=60,N(BH230),1))</f>
        <v/>
      </c>
      <c r="AW230" s="7">
        <f>N(W230)*N(AF230)*N(BI230)</f>
        <v/>
      </c>
      <c r="AX230" s="3">
        <f>IF(N(BH230)=0,0,N(W230)*N(AH230))</f>
        <v/>
      </c>
      <c r="AY230" s="7">
        <f>N(AM230)*(Assumptions!$B$13*N(BK230)-(1-Assumptions!$B$13)*Assumptions!$B$14)+N(AN230)</f>
        <v/>
      </c>
      <c r="AZ230" s="7">
        <f>N(AU230)*N(R230)/90+N(AV230)+N(AW230)+N(AX230)+N(AY230)</f>
        <v/>
      </c>
      <c r="BA230" s="3">
        <f>IF(N(R230)&lt;=0,0,(N(AZ230)-N(AY230))*90/N(R230))</f>
        <v/>
      </c>
      <c r="BB230" s="7">
        <f>IFERROR(AZ230-VLOOKUP($E230,Assumptions!$A$40:$C$43,3,FALSE),"")</f>
        <v/>
      </c>
      <c r="BC230" s="3">
        <f>IFERROR(BB230/H230,"")</f>
        <v/>
      </c>
      <c r="BD230">
        <f>IF(AND($G230=TRUE,$E230="GKP"),AZ230,"")</f>
        <v/>
      </c>
      <c r="BE230">
        <f>IF(AND($G230=TRUE,$E230="DEF"),AZ230,"")</f>
        <v/>
      </c>
      <c r="BF230">
        <f>IF(AND($G230=TRUE,$E230="MID"),AZ230,"")</f>
        <v/>
      </c>
      <c r="BG230">
        <f>IF(AND($G230=TRUE,$E230="FWD"),AZ230,"")</f>
        <v/>
      </c>
      <c r="BH230" t="n">
        <v>2</v>
      </c>
      <c r="BI230" t="n">
        <v>2</v>
      </c>
      <c r="BJ230" t="n">
        <v>1</v>
      </c>
      <c r="BK230" t="n">
        <v>5</v>
      </c>
    </row>
    <row r="231">
      <c r="A231" t="inlineStr">
        <is>
          <t>Gabriel Martinelli</t>
        </is>
      </c>
      <c r="B231" t="inlineStr">
        <is>
          <t>ARS</t>
        </is>
      </c>
      <c r="C231" t="inlineStr">
        <is>
          <t>ARS</t>
        </is>
      </c>
      <c r="D231" t="b">
        <v>0</v>
      </c>
      <c r="E231" t="inlineStr">
        <is>
          <t>MID</t>
        </is>
      </c>
      <c r="F231" t="inlineStr">
        <is>
          <t>MID</t>
        </is>
      </c>
      <c r="G231" t="b">
        <v>1</v>
      </c>
      <c r="H231" s="2" t="n">
        <v>6.5</v>
      </c>
      <c r="I231" t="inlineStr">
        <is>
          <t>a</t>
        </is>
      </c>
      <c r="K231" s="2" t="n">
        <v>1065</v>
      </c>
      <c r="L231" t="n">
        <v>57</v>
      </c>
      <c r="M231" s="3" t="n">
        <v>507</v>
      </c>
      <c r="N231" s="4" t="n">
        <v>1000</v>
      </c>
      <c r="O231" s="4" t="n">
        <v>493</v>
      </c>
      <c r="P231" s="5" t="inlineStr">
        <is>
          <t>medium</t>
        </is>
      </c>
      <c r="Q231" t="inlineStr">
        <is>
          <t>flat</t>
        </is>
      </c>
      <c r="R231" s="6" t="n">
        <v>1000</v>
      </c>
      <c r="S231" t="inlineStr">
        <is>
          <t>research</t>
        </is>
      </c>
      <c r="T231" s="5" t="inlineStr">
        <is>
          <t>Solio's 507 minutes reads as an assumption that he leaves. As of 14-15 August that has not happened and looks less likely: David Ornstein reported that Martinelli's camp told Arsenal he has no interest in joining Galatasaray despite a €45m bid, and Arseblog's read is that the interest was generated by Arsenal's own sporting director rather than by the player. Arsenal missed on Vinicius Junior and have no left-wing replacement lined up, so Arseblog's stated expectation is a 'Tzolis and Martinelli left side'. Arteta has publicly backed him. 1000 minutes reflects a rotation role, not a starting one, and still discounts a deadline-day sale.</t>
        </is>
      </c>
      <c r="U231" s="6" t="n">
        <v>71.59999999999999</v>
      </c>
      <c r="V231" s="2" t="n">
        <v>11</v>
      </c>
      <c r="W231" s="7">
        <f>IF(N(U231)&lt;=0,0,MIN(Assumptions!$B$15,N(R231)/N(U231)))</f>
        <v/>
      </c>
      <c r="X231" s="6" t="n">
        <v>0.391</v>
      </c>
      <c r="Y231" s="3" t="n">
        <v>0.3586</v>
      </c>
      <c r="Z231" t="inlineStr">
        <is>
          <t>adjusted xGOT</t>
        </is>
      </c>
      <c r="AA231" s="3" t="n">
        <v>1</v>
      </c>
      <c r="AB231" s="3" t="n">
        <v>1.03</v>
      </c>
      <c r="AC231" s="3" t="n">
        <v>26.8</v>
      </c>
      <c r="AD231" s="3" t="n">
        <v>0.1622</v>
      </c>
      <c r="AE231" s="3" t="n">
        <v>7.342</v>
      </c>
      <c r="AF231" s="3" t="n">
        <v>0.01674064649553464</v>
      </c>
      <c r="AG231" s="3" t="n">
        <v>4.901</v>
      </c>
      <c r="AH231" s="3" t="n">
        <v>0.397471912</v>
      </c>
      <c r="AI231" s="3" t="n">
        <v>35</v>
      </c>
      <c r="AJ231" s="3" t="n">
        <v>2.067</v>
      </c>
      <c r="AK231" s="3" t="n">
        <v>0.9838</v>
      </c>
      <c r="AL231" s="3" t="n">
        <v>-0.1549320488858959</v>
      </c>
      <c r="AM231" s="6" t="n">
        <v>0</v>
      </c>
      <c r="AN231" s="3" t="n">
        <v>0</v>
      </c>
      <c r="AO231" s="3" t="n">
        <v>1.793</v>
      </c>
      <c r="AP231" s="3" t="n">
        <v>0.6423120000000001</v>
      </c>
      <c r="AQ231" s="3">
        <f>N(X231)*N(BJ231)</f>
        <v/>
      </c>
      <c r="AR231" s="3" t="n">
        <v>0</v>
      </c>
      <c r="AS231" s="3" t="n">
        <v>-0</v>
      </c>
      <c r="AT231" s="3" t="n">
        <v>-0.1549320488858959</v>
      </c>
      <c r="AU231" s="3">
        <f>SUM(AO231:AT231)</f>
        <v/>
      </c>
      <c r="AV231" s="7">
        <f>IF(OR(N(W231)&lt;=0,N(BH231)=0),0,N(W231)*IF(N(R231)/N(W231)&gt;=60,N(BH231),1))</f>
        <v/>
      </c>
      <c r="AW231" s="7">
        <f>N(W231)*N(AF231)*N(BI231)</f>
        <v/>
      </c>
      <c r="AX231" s="3">
        <f>IF(N(BH231)=0,0,N(W231)*N(AH231))</f>
        <v/>
      </c>
      <c r="AY231" s="7">
        <f>N(AM231)*(Assumptions!$B$13*N(BK231)-(1-Assumptions!$B$13)*Assumptions!$B$14)+N(AN231)</f>
        <v/>
      </c>
      <c r="AZ231" s="7">
        <f>N(AU231)*N(R231)/90+N(AV231)+N(AW231)+N(AX231)+N(AY231)</f>
        <v/>
      </c>
      <c r="BA231" s="3">
        <f>IF(N(R231)&lt;=0,0,(N(AZ231)-N(AY231))*90/N(R231))</f>
        <v/>
      </c>
      <c r="BB231" s="7">
        <f>IFERROR(AZ231-VLOOKUP($E231,Assumptions!$A$40:$C$43,3,FALSE),"")</f>
        <v/>
      </c>
      <c r="BC231" s="3">
        <f>IFERROR(BB231/H231,"")</f>
        <v/>
      </c>
      <c r="BD231">
        <f>IF(AND($G231=TRUE,$E231="GKP"),AZ231,"")</f>
        <v/>
      </c>
      <c r="BE231">
        <f>IF(AND($G231=TRUE,$E231="DEF"),AZ231,"")</f>
        <v/>
      </c>
      <c r="BF231">
        <f>IF(AND($G231=TRUE,$E231="MID"),AZ231,"")</f>
        <v/>
      </c>
      <c r="BG231">
        <f>IF(AND($G231=TRUE,$E231="FWD"),AZ231,"")</f>
        <v/>
      </c>
      <c r="BH231" t="n">
        <v>2</v>
      </c>
      <c r="BI231" t="n">
        <v>2</v>
      </c>
      <c r="BJ231" t="n">
        <v>1</v>
      </c>
      <c r="BK231" t="n">
        <v>5</v>
      </c>
    </row>
    <row r="232">
      <c r="A232" t="inlineStr">
        <is>
          <t>Leny Yoro</t>
        </is>
      </c>
      <c r="B232" t="inlineStr">
        <is>
          <t>MUN</t>
        </is>
      </c>
      <c r="C232" t="inlineStr">
        <is>
          <t>MUN</t>
        </is>
      </c>
      <c r="D232" t="b">
        <v>0</v>
      </c>
      <c r="E232" t="inlineStr">
        <is>
          <t>DEF</t>
        </is>
      </c>
      <c r="F232" t="inlineStr">
        <is>
          <t>DEF</t>
        </is>
      </c>
      <c r="G232" t="b">
        <v>1</v>
      </c>
      <c r="H232" s="2" t="n">
        <v>5</v>
      </c>
      <c r="I232" t="inlineStr">
        <is>
          <t>a</t>
        </is>
      </c>
      <c r="K232" s="2" t="n">
        <v>1730</v>
      </c>
      <c r="L232" t="n">
        <v>56</v>
      </c>
      <c r="M232" s="3" t="n">
        <v>807</v>
      </c>
      <c r="N232" s="4" t="n">
        <v>1450</v>
      </c>
      <c r="O232" s="4" t="n">
        <v>643</v>
      </c>
      <c r="P232" s="5" t="inlineStr">
        <is>
          <t>medium</t>
        </is>
      </c>
      <c r="Q232" t="inlineStr">
        <is>
          <t>fade (losing his place)</t>
        </is>
      </c>
      <c r="R232" s="6" t="n">
        <v>1450</v>
      </c>
      <c r="S232" t="inlineStr">
        <is>
          <t>research</t>
        </is>
      </c>
      <c r="T232" s="5" t="inlineStr">
        <is>
          <t>Solio flags him 'fade (losing his place)' on 807 minutes, but he is named as one of the two candidates to start at left-sided centre-back in the opener, and he impressed filling in at right-back during pre-season, which gives him a second route into the XI. He played 1,730 minutes in 2025/26. He was dropped for the Milan game in favour of Heaven, which is why this is a partial rather than a full promotion.</t>
        </is>
      </c>
      <c r="U232" s="6" t="n">
        <v>82.90000000000001</v>
      </c>
      <c r="V232" s="2" t="n">
        <v>18</v>
      </c>
      <c r="W232" s="7">
        <f>IF(N(U232)&lt;=0,0,MIN(Assumptions!$B$15,N(R232)/N(U232)))</f>
        <v/>
      </c>
      <c r="X232" s="6" t="n">
        <v>0.334</v>
      </c>
      <c r="Y232" s="3" t="n">
        <v>0.0674</v>
      </c>
      <c r="Z232" t="inlineStr">
        <is>
          <t>adjusted xGOT</t>
        </is>
      </c>
      <c r="AA232" s="3" t="n">
        <v>1</v>
      </c>
      <c r="AB232" s="3" t="n">
        <v>0.966</v>
      </c>
      <c r="AC232" s="3" t="n">
        <v>2</v>
      </c>
      <c r="AD232" s="3" t="n">
        <v>0.0211</v>
      </c>
      <c r="AE232" s="3" t="n">
        <v>7.989</v>
      </c>
      <c r="AF232" s="3" t="n">
        <v>0.2076630955025032</v>
      </c>
      <c r="AG232" s="3" t="n">
        <v>7.178</v>
      </c>
      <c r="AH232" s="3" t="n">
        <v>0.1820467808</v>
      </c>
      <c r="AI232" s="3" t="n">
        <v>49</v>
      </c>
      <c r="AJ232" s="3" t="n">
        <v>2.2165</v>
      </c>
      <c r="AK232" s="3" t="n">
        <v>1.1467</v>
      </c>
      <c r="AL232" s="3" t="n">
        <v>-0.1826025601153342</v>
      </c>
      <c r="AM232" s="6" t="n">
        <v>0</v>
      </c>
      <c r="AN232" s="3" t="n">
        <v>0</v>
      </c>
      <c r="AO232" s="3" t="n">
        <v>0.4044</v>
      </c>
      <c r="AP232" s="3" t="n">
        <v>0.08355599999999999</v>
      </c>
      <c r="AQ232" s="3">
        <f>N(X232)*N(BJ232)</f>
        <v/>
      </c>
      <c r="AR232" s="3" t="n">
        <v>0</v>
      </c>
      <c r="AS232" s="3" t="n">
        <v>-0.348580685135232</v>
      </c>
      <c r="AT232" s="3" t="n">
        <v>-0.1826025601153342</v>
      </c>
      <c r="AU232" s="3">
        <f>SUM(AO232:AT232)</f>
        <v/>
      </c>
      <c r="AV232" s="7">
        <f>IF(OR(N(W232)&lt;=0,N(BH232)=0),0,N(W232)*IF(N(R232)/N(W232)&gt;=60,N(BH232),1))</f>
        <v/>
      </c>
      <c r="AW232" s="7">
        <f>N(W232)*N(AF232)*N(BI232)</f>
        <v/>
      </c>
      <c r="AX232" s="3">
        <f>IF(N(BH232)=0,0,N(W232)*N(AH232))</f>
        <v/>
      </c>
      <c r="AY232" s="7">
        <f>N(AM232)*(Assumptions!$B$13*N(BK232)-(1-Assumptions!$B$13)*Assumptions!$B$14)+N(AN232)</f>
        <v/>
      </c>
      <c r="AZ232" s="7">
        <f>N(AU232)*N(R232)/90+N(AV232)+N(AW232)+N(AX232)+N(AY232)</f>
        <v/>
      </c>
      <c r="BA232" s="3">
        <f>IF(N(R232)&lt;=0,0,(N(AZ232)-N(AY232))*90/N(R232))</f>
        <v/>
      </c>
      <c r="BB232" s="7">
        <f>IFERROR(AZ232-VLOOKUP($E232,Assumptions!$A$40:$C$43,3,FALSE),"")</f>
        <v/>
      </c>
      <c r="BC232" s="3">
        <f>IFERROR(BB232/H232,"")</f>
        <v/>
      </c>
      <c r="BD232">
        <f>IF(AND($G232=TRUE,$E232="GKP"),AZ232,"")</f>
        <v/>
      </c>
      <c r="BE232">
        <f>IF(AND($G232=TRUE,$E232="DEF"),AZ232,"")</f>
        <v/>
      </c>
      <c r="BF232">
        <f>IF(AND($G232=TRUE,$E232="MID"),AZ232,"")</f>
        <v/>
      </c>
      <c r="BG232">
        <f>IF(AND($G232=TRUE,$E232="FWD"),AZ232,"")</f>
        <v/>
      </c>
      <c r="BH232" t="n">
        <v>2</v>
      </c>
      <c r="BI232" t="n">
        <v>2</v>
      </c>
      <c r="BJ232" t="n">
        <v>4</v>
      </c>
      <c r="BK232" t="n">
        <v>6</v>
      </c>
    </row>
    <row r="233">
      <c r="A233" t="inlineStr">
        <is>
          <t>Carlos Baleba</t>
        </is>
      </c>
      <c r="B233" t="inlineStr">
        <is>
          <t>BHA</t>
        </is>
      </c>
      <c r="C233" t="inlineStr">
        <is>
          <t>BHA</t>
        </is>
      </c>
      <c r="D233" t="b">
        <v>0</v>
      </c>
      <c r="E233" t="inlineStr">
        <is>
          <t>MID</t>
        </is>
      </c>
      <c r="F233" t="inlineStr">
        <is>
          <t>MID</t>
        </is>
      </c>
      <c r="G233" t="b">
        <v>1</v>
      </c>
      <c r="H233" s="2" t="n">
        <v>5</v>
      </c>
      <c r="I233" t="inlineStr">
        <is>
          <t>i</t>
        </is>
      </c>
      <c r="J233" t="inlineStr">
        <is>
          <t>Ankle injury - Expected back 23 Aug</t>
        </is>
      </c>
      <c r="K233" s="2" t="n">
        <v>1646</v>
      </c>
      <c r="L233" t="n">
        <v>56</v>
      </c>
      <c r="M233" s="3" t="n">
        <v>1989</v>
      </c>
      <c r="N233" s="8" t="n">
        <v>1989</v>
      </c>
      <c r="O233" s="8" t="n">
        <v>0</v>
      </c>
      <c r="Q233" t="inlineStr">
        <is>
          <t>flat</t>
        </is>
      </c>
      <c r="R233" s="6" t="n">
        <v>1989</v>
      </c>
      <c r="S233" t="inlineStr">
        <is>
          <t>Solio</t>
        </is>
      </c>
      <c r="U233" s="6" t="n">
        <v>70.5</v>
      </c>
      <c r="V233" s="2" t="n">
        <v>23</v>
      </c>
      <c r="W233" s="7">
        <f>IF(N(U233)&lt;=0,0,MIN(Assumptions!$B$15,N(R233)/N(U233)))</f>
        <v/>
      </c>
      <c r="X233" s="6" t="n">
        <v>0.252</v>
      </c>
      <c r="Y233" s="3" t="n">
        <v>0.0429</v>
      </c>
      <c r="Z233" t="inlineStr">
        <is>
          <t>adjusted xGOT</t>
        </is>
      </c>
      <c r="AA233" s="3" t="n">
        <v>1</v>
      </c>
      <c r="AB233" s="3" t="n">
        <v>1.006</v>
      </c>
      <c r="AC233" s="3" t="n">
        <v>4.7</v>
      </c>
      <c r="AD233" s="3" t="n">
        <v>0.0419</v>
      </c>
      <c r="AE233" s="3" t="n">
        <v>10.56</v>
      </c>
      <c r="AF233" s="3" t="n">
        <v>0.1325519979532317</v>
      </c>
      <c r="AG233" s="3" t="n">
        <v>6.299</v>
      </c>
      <c r="AH233" s="3" t="n">
        <v>0.06319761259999999</v>
      </c>
      <c r="AI233" s="3" t="n">
        <v>46</v>
      </c>
      <c r="AJ233" s="3" t="n">
        <v>2.8404</v>
      </c>
      <c r="AK233" s="3" t="n">
        <v>1.439</v>
      </c>
      <c r="AL233" s="3" t="n">
        <v>-0.2687947400489801</v>
      </c>
      <c r="AM233" s="6" t="n">
        <v>0</v>
      </c>
      <c r="AN233" s="3" t="n">
        <v>0</v>
      </c>
      <c r="AO233" s="3" t="n">
        <v>0.2145</v>
      </c>
      <c r="AP233" s="3" t="n">
        <v>0.165924</v>
      </c>
      <c r="AQ233" s="3">
        <f>N(X233)*N(BJ233)</f>
        <v/>
      </c>
      <c r="AR233" s="3" t="n">
        <v>0</v>
      </c>
      <c r="AS233" s="3" t="n">
        <v>-0</v>
      </c>
      <c r="AT233" s="3" t="n">
        <v>-0.2687947400489801</v>
      </c>
      <c r="AU233" s="3">
        <f>SUM(AO233:AT233)</f>
        <v/>
      </c>
      <c r="AV233" s="7">
        <f>IF(OR(N(W233)&lt;=0,N(BH233)=0),0,N(W233)*IF(N(R233)/N(W233)&gt;=60,N(BH233),1))</f>
        <v/>
      </c>
      <c r="AW233" s="7">
        <f>N(W233)*N(AF233)*N(BI233)</f>
        <v/>
      </c>
      <c r="AX233" s="3">
        <f>IF(N(BH233)=0,0,N(W233)*N(AH233))</f>
        <v/>
      </c>
      <c r="AY233" s="7">
        <f>N(AM233)*(Assumptions!$B$13*N(BK233)-(1-Assumptions!$B$13)*Assumptions!$B$14)+N(AN233)</f>
        <v/>
      </c>
      <c r="AZ233" s="7">
        <f>N(AU233)*N(R233)/90+N(AV233)+N(AW233)+N(AX233)+N(AY233)</f>
        <v/>
      </c>
      <c r="BA233" s="3">
        <f>IF(N(R233)&lt;=0,0,(N(AZ233)-N(AY233))*90/N(R233))</f>
        <v/>
      </c>
      <c r="BB233" s="7">
        <f>IFERROR(AZ233-VLOOKUP($E233,Assumptions!$A$40:$C$43,3,FALSE),"")</f>
        <v/>
      </c>
      <c r="BC233" s="3">
        <f>IFERROR(BB233/H233,"")</f>
        <v/>
      </c>
      <c r="BD233">
        <f>IF(AND($G233=TRUE,$E233="GKP"),AZ233,"")</f>
        <v/>
      </c>
      <c r="BE233">
        <f>IF(AND($G233=TRUE,$E233="DEF"),AZ233,"")</f>
        <v/>
      </c>
      <c r="BF233">
        <f>IF(AND($G233=TRUE,$E233="MID"),AZ233,"")</f>
        <v/>
      </c>
      <c r="BG233">
        <f>IF(AND($G233=TRUE,$E233="FWD"),AZ233,"")</f>
        <v/>
      </c>
      <c r="BH233" t="n">
        <v>2</v>
      </c>
      <c r="BI233" t="n">
        <v>2</v>
      </c>
      <c r="BJ233" t="n">
        <v>1</v>
      </c>
      <c r="BK233" t="n">
        <v>5</v>
      </c>
    </row>
    <row r="234">
      <c r="A234" t="inlineStr">
        <is>
          <t>Sean Longstaff</t>
        </is>
      </c>
      <c r="B234" t="inlineStr">
        <is>
          <t>LEE</t>
        </is>
      </c>
      <c r="C234" t="inlineStr">
        <is>
          <t>LEE</t>
        </is>
      </c>
      <c r="D234" t="b">
        <v>0</v>
      </c>
      <c r="E234" t="inlineStr">
        <is>
          <t>MID</t>
        </is>
      </c>
      <c r="F234" t="inlineStr">
        <is>
          <t>MID</t>
        </is>
      </c>
      <c r="G234" t="b">
        <v>1</v>
      </c>
      <c r="H234" s="2" t="n">
        <v>5</v>
      </c>
      <c r="I234" t="inlineStr">
        <is>
          <t>a</t>
        </is>
      </c>
      <c r="K234" s="2" t="n">
        <v>1003</v>
      </c>
      <c r="L234" t="n">
        <v>56</v>
      </c>
      <c r="M234" s="3" t="n">
        <v>452</v>
      </c>
      <c r="N234" s="8" t="n">
        <v>452</v>
      </c>
      <c r="O234" s="8" t="n">
        <v>0</v>
      </c>
      <c r="Q234" t="inlineStr">
        <is>
          <t>flat</t>
        </is>
      </c>
      <c r="R234" s="6" t="n">
        <v>452</v>
      </c>
      <c r="S234" t="inlineStr">
        <is>
          <t>Solio</t>
        </is>
      </c>
      <c r="U234" s="6" t="n">
        <v>82.2</v>
      </c>
      <c r="V234" s="2" t="n">
        <v>10</v>
      </c>
      <c r="W234" s="7">
        <f>IF(N(U234)&lt;=0,0,MIN(Assumptions!$B$15,N(R234)/N(U234)))</f>
        <v/>
      </c>
      <c r="X234" s="6" t="n">
        <v>0.218</v>
      </c>
      <c r="Y234" s="3" t="n">
        <v>0.1032</v>
      </c>
      <c r="Z234" t="inlineStr">
        <is>
          <t>adjusted xGOT</t>
        </is>
      </c>
      <c r="AA234" s="3" t="n">
        <v>1</v>
      </c>
      <c r="AB234" s="3" t="n">
        <v>0.9350000000000001</v>
      </c>
      <c r="AC234" s="3" t="n">
        <v>11.9</v>
      </c>
      <c r="AD234" s="3" t="n">
        <v>0.2081</v>
      </c>
      <c r="AE234" s="3" t="n">
        <v>9.33</v>
      </c>
      <c r="AF234" s="3" t="n">
        <v>0.1531691114946067</v>
      </c>
      <c r="AG234" s="3" t="n">
        <v>9.271000000000001</v>
      </c>
      <c r="AH234" s="3" t="n">
        <v>0.3476226195</v>
      </c>
      <c r="AI234" s="3" t="n">
        <v>32</v>
      </c>
      <c r="AJ234" s="3" t="n">
        <v>3.0611</v>
      </c>
      <c r="AK234" s="3" t="n">
        <v>1.5875</v>
      </c>
      <c r="AL234" s="3" t="n">
        <v>-0.222926749447464</v>
      </c>
      <c r="AM234" s="6" t="n">
        <v>0</v>
      </c>
      <c r="AN234" s="3" t="n">
        <v>0</v>
      </c>
      <c r="AO234" s="3" t="n">
        <v>0.516</v>
      </c>
      <c r="AP234" s="3" t="n">
        <v>0.8240760000000001</v>
      </c>
      <c r="AQ234" s="3">
        <f>N(X234)*N(BJ234)</f>
        <v/>
      </c>
      <c r="AR234" s="3" t="n">
        <v>0</v>
      </c>
      <c r="AS234" s="3" t="n">
        <v>-0</v>
      </c>
      <c r="AT234" s="3" t="n">
        <v>-0.222926749447464</v>
      </c>
      <c r="AU234" s="3">
        <f>SUM(AO234:AT234)</f>
        <v/>
      </c>
      <c r="AV234" s="7">
        <f>IF(OR(N(W234)&lt;=0,N(BH234)=0),0,N(W234)*IF(N(R234)/N(W234)&gt;=60,N(BH234),1))</f>
        <v/>
      </c>
      <c r="AW234" s="7">
        <f>N(W234)*N(AF234)*N(BI234)</f>
        <v/>
      </c>
      <c r="AX234" s="3">
        <f>IF(N(BH234)=0,0,N(W234)*N(AH234))</f>
        <v/>
      </c>
      <c r="AY234" s="7">
        <f>N(AM234)*(Assumptions!$B$13*N(BK234)-(1-Assumptions!$B$13)*Assumptions!$B$14)+N(AN234)</f>
        <v/>
      </c>
      <c r="AZ234" s="7">
        <f>N(AU234)*N(R234)/90+N(AV234)+N(AW234)+N(AX234)+N(AY234)</f>
        <v/>
      </c>
      <c r="BA234" s="3">
        <f>IF(N(R234)&lt;=0,0,(N(AZ234)-N(AY234))*90/N(R234))</f>
        <v/>
      </c>
      <c r="BB234" s="7">
        <f>IFERROR(AZ234-VLOOKUP($E234,Assumptions!$A$40:$C$43,3,FALSE),"")</f>
        <v/>
      </c>
      <c r="BC234" s="3">
        <f>IFERROR(BB234/H234,"")</f>
        <v/>
      </c>
      <c r="BD234">
        <f>IF(AND($G234=TRUE,$E234="GKP"),AZ234,"")</f>
        <v/>
      </c>
      <c r="BE234">
        <f>IF(AND($G234=TRUE,$E234="DEF"),AZ234,"")</f>
        <v/>
      </c>
      <c r="BF234">
        <f>IF(AND($G234=TRUE,$E234="MID"),AZ234,"")</f>
        <v/>
      </c>
      <c r="BG234">
        <f>IF(AND($G234=TRUE,$E234="FWD"),AZ234,"")</f>
        <v/>
      </c>
      <c r="BH234" t="n">
        <v>2</v>
      </c>
      <c r="BI234" t="n">
        <v>2</v>
      </c>
      <c r="BJ234" t="n">
        <v>1</v>
      </c>
      <c r="BK234" t="n">
        <v>5</v>
      </c>
    </row>
    <row r="235">
      <c r="A235" t="inlineStr">
        <is>
          <t>Omar Marmoush</t>
        </is>
      </c>
      <c r="B235" t="inlineStr">
        <is>
          <t>MCI</t>
        </is>
      </c>
      <c r="C235" t="inlineStr">
        <is>
          <t>MCI</t>
        </is>
      </c>
      <c r="D235" t="b">
        <v>0</v>
      </c>
      <c r="E235" t="inlineStr">
        <is>
          <t>FWD</t>
        </is>
      </c>
      <c r="F235" t="inlineStr">
        <is>
          <t>MID</t>
        </is>
      </c>
      <c r="G235" t="b">
        <v>1</v>
      </c>
      <c r="H235" s="2" t="n">
        <v>7</v>
      </c>
      <c r="I235" t="inlineStr">
        <is>
          <t>a</t>
        </is>
      </c>
      <c r="K235" s="2" t="n">
        <v>691</v>
      </c>
      <c r="L235" t="n">
        <v>56</v>
      </c>
      <c r="M235" s="3" t="n">
        <v>349</v>
      </c>
      <c r="N235" s="8" t="n">
        <v>349</v>
      </c>
      <c r="O235" s="8" t="n">
        <v>0</v>
      </c>
      <c r="Q235" t="inlineStr">
        <is>
          <t>flat</t>
        </is>
      </c>
      <c r="R235" s="6" t="n">
        <v>349</v>
      </c>
      <c r="S235" t="inlineStr">
        <is>
          <t>Solio</t>
        </is>
      </c>
      <c r="U235" s="6" t="n">
        <v>73.3</v>
      </c>
      <c r="V235" s="2" t="n">
        <v>8</v>
      </c>
      <c r="W235" s="7">
        <f>IF(N(U235)&lt;=0,0,MIN(Assumptions!$B$15,N(R235)/N(U235)))</f>
        <v/>
      </c>
      <c r="X235" s="6" t="n">
        <v>0.371</v>
      </c>
      <c r="Y235" s="3" t="n">
        <v>0.3489</v>
      </c>
      <c r="Z235" t="inlineStr">
        <is>
          <t>adjusted xGOT</t>
        </is>
      </c>
      <c r="AA235" s="3" t="n">
        <v>1</v>
      </c>
      <c r="AB235" s="3" t="n">
        <v>0.964</v>
      </c>
      <c r="AC235" s="3" t="n">
        <v>8.199999999999999</v>
      </c>
      <c r="AD235" s="3" t="n">
        <v>0.1887</v>
      </c>
      <c r="AE235" s="3" t="n">
        <v>6.864</v>
      </c>
      <c r="AF235" s="3" t="n">
        <v>0.01233609390679369</v>
      </c>
      <c r="AG235" s="3" t="n">
        <v>5.439</v>
      </c>
      <c r="AH235" s="3" t="n">
        <v>0.502178736</v>
      </c>
      <c r="AI235" s="3" t="n">
        <v>26</v>
      </c>
      <c r="AJ235" s="3" t="n">
        <v>1.9737</v>
      </c>
      <c r="AK235" s="3" t="n">
        <v>1.0365</v>
      </c>
      <c r="AL235" s="3" t="n">
        <v>-0.189665894755715</v>
      </c>
      <c r="AM235" s="6" t="n">
        <v>0.0414562730263571</v>
      </c>
      <c r="AN235" s="3" t="n">
        <v>0</v>
      </c>
      <c r="AO235" s="3" t="n">
        <v>1.3956</v>
      </c>
      <c r="AP235" s="3" t="n">
        <v>0.7472520000000001</v>
      </c>
      <c r="AQ235" s="3">
        <f>N(X235)*N(BJ235)</f>
        <v/>
      </c>
      <c r="AR235" s="3" t="n">
        <v>0</v>
      </c>
      <c r="AS235" s="3" t="n">
        <v>-0</v>
      </c>
      <c r="AT235" s="3" t="n">
        <v>-0.189665894755715</v>
      </c>
      <c r="AU235" s="3">
        <f>SUM(AO235:AT235)</f>
        <v/>
      </c>
      <c r="AV235" s="7">
        <f>IF(OR(N(W235)&lt;=0,N(BH235)=0),0,N(W235)*IF(N(R235)/N(W235)&gt;=60,N(BH235),1))</f>
        <v/>
      </c>
      <c r="AW235" s="7">
        <f>N(W235)*N(AF235)*N(BI235)</f>
        <v/>
      </c>
      <c r="AX235" s="3">
        <f>IF(N(BH235)=0,0,N(W235)*N(AH235))</f>
        <v/>
      </c>
      <c r="AY235" s="7">
        <f>N(AM235)*(Assumptions!$B$13*N(BK235)-(1-Assumptions!$B$13)*Assumptions!$B$14)+N(AN235)</f>
        <v/>
      </c>
      <c r="AZ235" s="7">
        <f>N(AU235)*N(R235)/90+N(AV235)+N(AW235)+N(AX235)+N(AY235)</f>
        <v/>
      </c>
      <c r="BA235" s="3">
        <f>IF(N(R235)&lt;=0,0,(N(AZ235)-N(AY235))*90/N(R235))</f>
        <v/>
      </c>
      <c r="BB235" s="7">
        <f>IFERROR(AZ235-VLOOKUP($E235,Assumptions!$A$40:$C$43,3,FALSE),"")</f>
        <v/>
      </c>
      <c r="BC235" s="3">
        <f>IFERROR(BB235/H235,"")</f>
        <v/>
      </c>
      <c r="BD235">
        <f>IF(AND($G235=TRUE,$E235="GKP"),AZ235,"")</f>
        <v/>
      </c>
      <c r="BE235">
        <f>IF(AND($G235=TRUE,$E235="DEF"),AZ235,"")</f>
        <v/>
      </c>
      <c r="BF235">
        <f>IF(AND($G235=TRUE,$E235="MID"),AZ235,"")</f>
        <v/>
      </c>
      <c r="BG235">
        <f>IF(AND($G235=TRUE,$E235="FWD"),AZ235,"")</f>
        <v/>
      </c>
      <c r="BH235" t="n">
        <v>2</v>
      </c>
      <c r="BI235" t="n">
        <v>2</v>
      </c>
      <c r="BJ235" t="n">
        <v>0</v>
      </c>
      <c r="BK235" t="n">
        <v>4</v>
      </c>
    </row>
    <row r="236">
      <c r="A236" s="9" t="inlineStr">
        <is>
          <t>Alejandro Garnacho</t>
        </is>
      </c>
      <c r="B236" t="inlineStr">
        <is>
          <t>AVL</t>
        </is>
      </c>
      <c r="C236" s="9" t="inlineStr">
        <is>
          <t>CHE</t>
        </is>
      </c>
      <c r="D236" t="b">
        <v>1</v>
      </c>
      <c r="E236" t="inlineStr">
        <is>
          <t>MID</t>
        </is>
      </c>
      <c r="F236" t="inlineStr">
        <is>
          <t>MID</t>
        </is>
      </c>
      <c r="G236" t="b">
        <v>1</v>
      </c>
      <c r="H236" s="2" t="n">
        <v>6</v>
      </c>
      <c r="I236" t="inlineStr">
        <is>
          <t>a</t>
        </is>
      </c>
      <c r="K236" s="2" t="n">
        <v>1261</v>
      </c>
      <c r="L236" t="n">
        <v>56</v>
      </c>
      <c r="M236" s="3" t="n">
        <v>1949</v>
      </c>
      <c r="N236" s="4" t="n">
        <v>2400</v>
      </c>
      <c r="O236" s="4" t="n">
        <v>451</v>
      </c>
      <c r="P236" s="5" t="inlineStr">
        <is>
          <t>medium</t>
        </is>
      </c>
      <c r="Q236" t="inlineStr">
        <is>
          <t>flat</t>
        </is>
      </c>
      <c r="R236" s="6" t="n">
        <v>2400</v>
      </c>
      <c r="S236" t="inlineStr">
        <is>
          <t>research</t>
        </is>
      </c>
      <c r="T236" s="5" t="inlineStr">
        <is>
          <t>Recruited on a season-long loan from Chelsea specifically to replace Morgan Rogers's attacking output, with a conditional obligation to buy triggered by a set number of appearances - Villa are structurally incentivised to play him. He was in the projected Super Cup XI and only missed it under concussion protocol after a facial injury on 4 August; back in group training on 11 August, so available for the Brighton opener. Capped at 2,400 because his minutes-per-start is 68.2 (he gets substituted) and Villa may still add another winger.</t>
        </is>
      </c>
      <c r="U236" s="6" t="n">
        <v>73.2</v>
      </c>
      <c r="V236" s="2" t="n">
        <v>14</v>
      </c>
      <c r="W236" s="7">
        <f>IF(N(U236)&lt;=0,0,MIN(Assumptions!$B$15,N(R236)/N(U236)))</f>
        <v/>
      </c>
      <c r="X236" s="6" t="n">
        <v>0.273</v>
      </c>
      <c r="Y236" s="10" t="n">
        <v>0.2183</v>
      </c>
      <c r="Z236" t="inlineStr">
        <is>
          <t>adjusted xGOT</t>
        </is>
      </c>
      <c r="AA236" s="3" t="n">
        <v>1</v>
      </c>
      <c r="AB236" s="3" t="n">
        <v>0.889</v>
      </c>
      <c r="AC236" s="3" t="n">
        <v>22</v>
      </c>
      <c r="AD236" s="10" t="n">
        <v>0.2819</v>
      </c>
      <c r="AE236" s="3" t="n">
        <v>6.343</v>
      </c>
      <c r="AF236" s="3" t="n">
        <v>0.006893944871771418</v>
      </c>
      <c r="AG236" s="3" t="n">
        <v>5.836</v>
      </c>
      <c r="AH236" s="3" t="n">
        <v>0.367078344</v>
      </c>
      <c r="AI236" s="3" t="n">
        <v>34</v>
      </c>
      <c r="AJ236" s="3" t="n">
        <v>2.7451</v>
      </c>
      <c r="AK236" s="3" t="n">
        <v>1.3575</v>
      </c>
      <c r="AL236" s="3" t="n">
        <v>-0.1700554686066959</v>
      </c>
      <c r="AM236" s="6" t="n">
        <v>0</v>
      </c>
      <c r="AN236" s="3" t="n">
        <v>0</v>
      </c>
      <c r="AO236" s="10" t="n">
        <v>1.0915</v>
      </c>
      <c r="AP236" s="10" t="n">
        <v>1.116324</v>
      </c>
      <c r="AQ236" s="3">
        <f>N(X236)*N(BJ236)</f>
        <v/>
      </c>
      <c r="AR236" s="3" t="n">
        <v>0</v>
      </c>
      <c r="AS236" s="3" t="n">
        <v>-0</v>
      </c>
      <c r="AT236" s="3" t="n">
        <v>-0.1700554686066959</v>
      </c>
      <c r="AU236" s="3">
        <f>SUM(AO236:AT236)</f>
        <v/>
      </c>
      <c r="AV236" s="7">
        <f>IF(OR(N(W236)&lt;=0,N(BH236)=0),0,N(W236)*IF(N(R236)/N(W236)&gt;=60,N(BH236),1))</f>
        <v/>
      </c>
      <c r="AW236" s="7">
        <f>N(W236)*N(AF236)*N(BI236)</f>
        <v/>
      </c>
      <c r="AX236" s="3">
        <f>IF(N(BH236)=0,0,N(W236)*N(AH236))</f>
        <v/>
      </c>
      <c r="AY236" s="7">
        <f>N(AM236)*(Assumptions!$B$13*N(BK236)-(1-Assumptions!$B$13)*Assumptions!$B$14)+N(AN236)</f>
        <v/>
      </c>
      <c r="AZ236" s="7">
        <f>N(AU236)*N(R236)/90+N(AV236)+N(AW236)+N(AX236)+N(AY236)</f>
        <v/>
      </c>
      <c r="BA236" s="3">
        <f>IF(N(R236)&lt;=0,0,(N(AZ236)-N(AY236))*90/N(R236))</f>
        <v/>
      </c>
      <c r="BB236" s="7">
        <f>IFERROR(AZ236-VLOOKUP($E236,Assumptions!$A$40:$C$43,3,FALSE),"")</f>
        <v/>
      </c>
      <c r="BC236" s="3">
        <f>IFERROR(BB236/H236,"")</f>
        <v/>
      </c>
      <c r="BD236">
        <f>IF(AND($G236=TRUE,$E236="GKP"),AZ236,"")</f>
        <v/>
      </c>
      <c r="BE236">
        <f>IF(AND($G236=TRUE,$E236="DEF"),AZ236,"")</f>
        <v/>
      </c>
      <c r="BF236">
        <f>IF(AND($G236=TRUE,$E236="MID"),AZ236,"")</f>
        <v/>
      </c>
      <c r="BG236">
        <f>IF(AND($G236=TRUE,$E236="FWD"),AZ236,"")</f>
        <v/>
      </c>
      <c r="BH236" t="n">
        <v>2</v>
      </c>
      <c r="BI236" t="n">
        <v>2</v>
      </c>
      <c r="BJ236" t="n">
        <v>1</v>
      </c>
      <c r="BK236" t="n">
        <v>5</v>
      </c>
    </row>
    <row r="237">
      <c r="A237" t="inlineStr">
        <is>
          <t>Ross Barkley</t>
        </is>
      </c>
      <c r="B237" t="inlineStr">
        <is>
          <t>AVL</t>
        </is>
      </c>
      <c r="C237" t="inlineStr">
        <is>
          <t>AVL</t>
        </is>
      </c>
      <c r="D237" t="b">
        <v>0</v>
      </c>
      <c r="E237" t="inlineStr">
        <is>
          <t>MID</t>
        </is>
      </c>
      <c r="F237" t="inlineStr">
        <is>
          <t>MID</t>
        </is>
      </c>
      <c r="G237" t="b">
        <v>1</v>
      </c>
      <c r="H237" s="2" t="n">
        <v>5</v>
      </c>
      <c r="I237" t="inlineStr">
        <is>
          <t>a</t>
        </is>
      </c>
      <c r="K237" s="2" t="n">
        <v>844</v>
      </c>
      <c r="L237" t="n">
        <v>56</v>
      </c>
      <c r="M237" s="3" t="n">
        <v>670</v>
      </c>
      <c r="N237" s="4" t="n">
        <v>900</v>
      </c>
      <c r="O237" s="4" t="n">
        <v>230</v>
      </c>
      <c r="P237" s="5" t="inlineStr">
        <is>
          <t>low</t>
        </is>
      </c>
      <c r="Q237" t="inlineStr">
        <is>
          <t>fade (losing his place)</t>
        </is>
      </c>
      <c r="R237" s="6" t="n">
        <v>900</v>
      </c>
      <c r="S237" t="inlineStr">
        <is>
          <t>research</t>
        </is>
      </c>
      <c r="T237" s="5" t="inlineStr">
        <is>
          <t>Came on in the Super Cup and started against Monchengladbach. Villa's central midfield has lost Tielemans permanently and Onana for nine months, with Gomes out 2-4 weeks and Manzambi not yet fit, so the experienced fourth/fifth option gets more of the early load than Solio's 'fade' flag implies.</t>
        </is>
      </c>
      <c r="U237" s="6" t="n">
        <v>78.90000000000001</v>
      </c>
      <c r="V237" s="2" t="n">
        <v>7</v>
      </c>
      <c r="W237" s="7">
        <f>IF(N(U237)&lt;=0,0,MIN(Assumptions!$B$15,N(R237)/N(U237)))</f>
        <v/>
      </c>
      <c r="X237" s="6" t="n">
        <v>0.273</v>
      </c>
      <c r="Y237" s="3" t="n">
        <v>0.183</v>
      </c>
      <c r="Z237" t="inlineStr">
        <is>
          <t>adjusted xGOT</t>
        </is>
      </c>
      <c r="AA237" s="3" t="n">
        <v>1</v>
      </c>
      <c r="AB237" s="3" t="n">
        <v>1.086</v>
      </c>
      <c r="AC237" s="3" t="n">
        <v>7.3</v>
      </c>
      <c r="AD237" s="3" t="n">
        <v>0.1755</v>
      </c>
      <c r="AE237" s="3" t="n">
        <v>8.207000000000001</v>
      </c>
      <c r="AF237" s="3" t="n">
        <v>0.06264419008351096</v>
      </c>
      <c r="AG237" s="3" t="n">
        <v>7.02</v>
      </c>
      <c r="AH237" s="3" t="n">
        <v>0.342920635</v>
      </c>
      <c r="AI237" s="3" t="n">
        <v>28</v>
      </c>
      <c r="AJ237" s="3" t="n">
        <v>2.7451</v>
      </c>
      <c r="AK237" s="3" t="n">
        <v>1.3575</v>
      </c>
      <c r="AL237" s="3" t="n">
        <v>-0.2223636257694815</v>
      </c>
      <c r="AM237" s="6" t="n">
        <v>0</v>
      </c>
      <c r="AN237" s="3" t="n">
        <v>0</v>
      </c>
      <c r="AO237" s="3" t="n">
        <v>0.915</v>
      </c>
      <c r="AP237" s="3" t="n">
        <v>0.69498</v>
      </c>
      <c r="AQ237" s="3">
        <f>N(X237)*N(BJ237)</f>
        <v/>
      </c>
      <c r="AR237" s="3" t="n">
        <v>0</v>
      </c>
      <c r="AS237" s="3" t="n">
        <v>-0</v>
      </c>
      <c r="AT237" s="3" t="n">
        <v>-0.2223636257694815</v>
      </c>
      <c r="AU237" s="3">
        <f>SUM(AO237:AT237)</f>
        <v/>
      </c>
      <c r="AV237" s="7">
        <f>IF(OR(N(W237)&lt;=0,N(BH237)=0),0,N(W237)*IF(N(R237)/N(W237)&gt;=60,N(BH237),1))</f>
        <v/>
      </c>
      <c r="AW237" s="7">
        <f>N(W237)*N(AF237)*N(BI237)</f>
        <v/>
      </c>
      <c r="AX237" s="3">
        <f>IF(N(BH237)=0,0,N(W237)*N(AH237))</f>
        <v/>
      </c>
      <c r="AY237" s="7">
        <f>N(AM237)*(Assumptions!$B$13*N(BK237)-(1-Assumptions!$B$13)*Assumptions!$B$14)+N(AN237)</f>
        <v/>
      </c>
      <c r="AZ237" s="7">
        <f>N(AU237)*N(R237)/90+N(AV237)+N(AW237)+N(AX237)+N(AY237)</f>
        <v/>
      </c>
      <c r="BA237" s="3">
        <f>IF(N(R237)&lt;=0,0,(N(AZ237)-N(AY237))*90/N(R237))</f>
        <v/>
      </c>
      <c r="BB237" s="7">
        <f>IFERROR(AZ237-VLOOKUP($E237,Assumptions!$A$40:$C$43,3,FALSE),"")</f>
        <v/>
      </c>
      <c r="BC237" s="3">
        <f>IFERROR(BB237/H237,"")</f>
        <v/>
      </c>
      <c r="BD237">
        <f>IF(AND($G237=TRUE,$E237="GKP"),AZ237,"")</f>
        <v/>
      </c>
      <c r="BE237">
        <f>IF(AND($G237=TRUE,$E237="DEF"),AZ237,"")</f>
        <v/>
      </c>
      <c r="BF237">
        <f>IF(AND($G237=TRUE,$E237="MID"),AZ237,"")</f>
        <v/>
      </c>
      <c r="BG237">
        <f>IF(AND($G237=TRUE,$E237="FWD"),AZ237,"")</f>
        <v/>
      </c>
      <c r="BH237" t="n">
        <v>2</v>
      </c>
      <c r="BI237" t="n">
        <v>2</v>
      </c>
      <c r="BJ237" t="n">
        <v>1</v>
      </c>
      <c r="BK237" t="n">
        <v>5</v>
      </c>
    </row>
    <row r="238">
      <c r="A238" t="inlineStr">
        <is>
          <t>Ilia Gruev</t>
        </is>
      </c>
      <c r="B238" t="inlineStr">
        <is>
          <t>LEE</t>
        </is>
      </c>
      <c r="C238" t="inlineStr">
        <is>
          <t>LEE</t>
        </is>
      </c>
      <c r="D238" t="b">
        <v>0</v>
      </c>
      <c r="E238" t="inlineStr">
        <is>
          <t>MID</t>
        </is>
      </c>
      <c r="F238" t="inlineStr">
        <is>
          <t>MID</t>
        </is>
      </c>
      <c r="G238" t="b">
        <v>1</v>
      </c>
      <c r="H238" s="2" t="n">
        <v>5</v>
      </c>
      <c r="I238" t="inlineStr">
        <is>
          <t>a</t>
        </is>
      </c>
      <c r="K238" s="2" t="n">
        <v>1318</v>
      </c>
      <c r="L238" t="n">
        <v>56</v>
      </c>
      <c r="M238" s="3" t="n">
        <v>502</v>
      </c>
      <c r="N238" s="4" t="n">
        <v>220</v>
      </c>
      <c r="O238" s="4" t="n">
        <v>-282</v>
      </c>
      <c r="P238" s="5" t="inlineStr">
        <is>
          <t>medium</t>
        </is>
      </c>
      <c r="Q238" t="inlineStr">
        <is>
          <t>flat</t>
        </is>
      </c>
      <c r="R238" s="6" t="n">
        <v>220</v>
      </c>
      <c r="S238" t="inlineStr">
        <is>
          <t>research</t>
        </is>
      </c>
      <c r="T238" s="5" t="inlineStr">
        <is>
          <t>Newly flagged and the brief's data is stale here: the FPL feed carries 'Knee injury - Unknown return date' added 2026-08-14, whereas the brief has him as status 'a' with no news. This is a meniscus injury sustained in training in April 2026 that ended his season, his second serious knee problem at Leeds. He was described as a long-term absentee in the 14-15 Aug injury round-ups and is behind Ampadu, Stach, Tanaka and Longstaff in a two-man midfield.</t>
        </is>
      </c>
      <c r="U238" s="6" t="n">
        <v>79.59999999999999</v>
      </c>
      <c r="V238" s="2" t="n">
        <v>15</v>
      </c>
      <c r="W238" s="7">
        <f>IF(N(U238)&lt;=0,0,MIN(Assumptions!$B$15,N(R238)/N(U238)))</f>
        <v/>
      </c>
      <c r="X238" s="6" t="n">
        <v>0.218</v>
      </c>
      <c r="Y238" s="3" t="n">
        <v>0.0323</v>
      </c>
      <c r="Z238" t="inlineStr">
        <is>
          <t>adjusted xGOT</t>
        </is>
      </c>
      <c r="AA238" s="3" t="n">
        <v>1</v>
      </c>
      <c r="AB238" s="3" t="n">
        <v>0.966</v>
      </c>
      <c r="AC238" s="3" t="n">
        <v>0.5</v>
      </c>
      <c r="AD238" s="3" t="n">
        <v>0.0804</v>
      </c>
      <c r="AE238" s="3" t="n">
        <v>8.064</v>
      </c>
      <c r="AF238" s="3" t="n">
        <v>0.05954656095751498</v>
      </c>
      <c r="AG238" s="3" t="n">
        <v>6.84</v>
      </c>
      <c r="AH238" s="3" t="n">
        <v>0.07546948439999999</v>
      </c>
      <c r="AI238" s="3" t="n">
        <v>37</v>
      </c>
      <c r="AJ238" s="3" t="n">
        <v>3.0611</v>
      </c>
      <c r="AK238" s="3" t="n">
        <v>1.5875</v>
      </c>
      <c r="AL238" s="3" t="n">
        <v>-0.2186465119422614</v>
      </c>
      <c r="AM238" s="6" t="n">
        <v>0</v>
      </c>
      <c r="AN238" s="3" t="n">
        <v>0</v>
      </c>
      <c r="AO238" s="3" t="n">
        <v>0.1615</v>
      </c>
      <c r="AP238" s="3" t="n">
        <v>0.318384</v>
      </c>
      <c r="AQ238" s="3">
        <f>N(X238)*N(BJ238)</f>
        <v/>
      </c>
      <c r="AR238" s="3" t="n">
        <v>0</v>
      </c>
      <c r="AS238" s="3" t="n">
        <v>-0</v>
      </c>
      <c r="AT238" s="3" t="n">
        <v>-0.2186465119422614</v>
      </c>
      <c r="AU238" s="3">
        <f>SUM(AO238:AT238)</f>
        <v/>
      </c>
      <c r="AV238" s="7">
        <f>IF(OR(N(W238)&lt;=0,N(BH238)=0),0,N(W238)*IF(N(R238)/N(W238)&gt;=60,N(BH238),1))</f>
        <v/>
      </c>
      <c r="AW238" s="7">
        <f>N(W238)*N(AF238)*N(BI238)</f>
        <v/>
      </c>
      <c r="AX238" s="3">
        <f>IF(N(BH238)=0,0,N(W238)*N(AH238))</f>
        <v/>
      </c>
      <c r="AY238" s="7">
        <f>N(AM238)*(Assumptions!$B$13*N(BK238)-(1-Assumptions!$B$13)*Assumptions!$B$14)+N(AN238)</f>
        <v/>
      </c>
      <c r="AZ238" s="7">
        <f>N(AU238)*N(R238)/90+N(AV238)+N(AW238)+N(AX238)+N(AY238)</f>
        <v/>
      </c>
      <c r="BA238" s="3">
        <f>IF(N(R238)&lt;=0,0,(N(AZ238)-N(AY238))*90/N(R238))</f>
        <v/>
      </c>
      <c r="BB238" s="7">
        <f>IFERROR(AZ238-VLOOKUP($E238,Assumptions!$A$40:$C$43,3,FALSE),"")</f>
        <v/>
      </c>
      <c r="BC238" s="3">
        <f>IFERROR(BB238/H238,"")</f>
        <v/>
      </c>
      <c r="BD238">
        <f>IF(AND($G238=TRUE,$E238="GKP"),AZ238,"")</f>
        <v/>
      </c>
      <c r="BE238">
        <f>IF(AND($G238=TRUE,$E238="DEF"),AZ238,"")</f>
        <v/>
      </c>
      <c r="BF238">
        <f>IF(AND($G238=TRUE,$E238="MID"),AZ238,"")</f>
        <v/>
      </c>
      <c r="BG238">
        <f>IF(AND($G238=TRUE,$E238="FWD"),AZ238,"")</f>
        <v/>
      </c>
      <c r="BH238" t="n">
        <v>2</v>
      </c>
      <c r="BI238" t="n">
        <v>2</v>
      </c>
      <c r="BJ238" t="n">
        <v>1</v>
      </c>
      <c r="BK238" t="n">
        <v>5</v>
      </c>
    </row>
    <row r="239">
      <c r="A239" s="9" t="inlineStr">
        <is>
          <t>Andy Robertson</t>
        </is>
      </c>
      <c r="B239" t="inlineStr">
        <is>
          <t>TOT</t>
        </is>
      </c>
      <c r="C239" s="9" t="inlineStr">
        <is>
          <t>LIV</t>
        </is>
      </c>
      <c r="D239" t="b">
        <v>1</v>
      </c>
      <c r="E239" t="inlineStr">
        <is>
          <t>DEF</t>
        </is>
      </c>
      <c r="F239" t="inlineStr">
        <is>
          <t>DEF</t>
        </is>
      </c>
      <c r="G239" t="b">
        <v>1</v>
      </c>
      <c r="H239" s="2" t="n">
        <v>4.5</v>
      </c>
      <c r="I239" t="inlineStr">
        <is>
          <t>a</t>
        </is>
      </c>
      <c r="K239" s="2" t="n">
        <v>1165</v>
      </c>
      <c r="L239" t="n">
        <v>55</v>
      </c>
      <c r="M239" s="3" t="n">
        <v>718</v>
      </c>
      <c r="N239" s="4" t="n">
        <v>1800</v>
      </c>
      <c r="O239" s="4" t="n">
        <v>1082</v>
      </c>
      <c r="P239" s="5" t="inlineStr">
        <is>
          <t>medium</t>
        </is>
      </c>
      <c r="Q239" t="inlineStr">
        <is>
          <t>flat</t>
        </is>
      </c>
      <c r="R239" s="6" t="n">
        <v>1800</v>
      </c>
      <c r="S239" t="inlineStr">
        <is>
          <t>research</t>
        </is>
      </c>
      <c r="T239" s="5" t="inlineStr">
        <is>
          <t>Solio has Robertson as a bit-part third-choice, which was defensible only while Spence was still at the club. Spence has gone, leaving two senior left-backs. Robertson started both August friendlies (Getafe on the 8th, Hoffenheim on the 15th) while Udogie was withheld, and Udogie's own absence against Chelsea in Sydney forced Robertson into extra minutes. He is expected to start the season at left-back.</t>
        </is>
      </c>
      <c r="U239" s="6" t="n">
        <v>82.40000000000001</v>
      </c>
      <c r="V239" s="2" t="n">
        <v>11</v>
      </c>
      <c r="W239" s="7">
        <f>IF(N(U239)&lt;=0,0,MIN(Assumptions!$B$15,N(R239)/N(U239)))</f>
        <v/>
      </c>
      <c r="X239" s="6" t="n">
        <v>0.286</v>
      </c>
      <c r="Y239" s="10" t="n">
        <v>0.0814</v>
      </c>
      <c r="Z239" t="inlineStr">
        <is>
          <t>adjusted xGOT</t>
        </is>
      </c>
      <c r="AA239" s="3" t="n">
        <v>1</v>
      </c>
      <c r="AB239" s="3" t="n">
        <v>0.958</v>
      </c>
      <c r="AC239" s="3" t="n">
        <v>5.4</v>
      </c>
      <c r="AD239" s="10" t="n">
        <v>0.1124</v>
      </c>
      <c r="AE239" s="3" t="n">
        <v>5.561</v>
      </c>
      <c r="AF239" s="3" t="n">
        <v>0.0352653586021765</v>
      </c>
      <c r="AG239" s="3" t="n">
        <v>8.478999999999999</v>
      </c>
      <c r="AH239" s="3" t="n">
        <v>0.2707762256</v>
      </c>
      <c r="AI239" s="3" t="n">
        <v>33</v>
      </c>
      <c r="AJ239" s="3" t="n">
        <v>2.5739</v>
      </c>
      <c r="AK239" s="3" t="n">
        <v>1.3096</v>
      </c>
      <c r="AL239" s="3" t="n">
        <v>-0.1256424160049873</v>
      </c>
      <c r="AM239" s="6" t="n">
        <v>0</v>
      </c>
      <c r="AN239" s="3" t="n">
        <v>0</v>
      </c>
      <c r="AO239" s="10" t="n">
        <v>0.4884</v>
      </c>
      <c r="AP239" s="10" t="n">
        <v>0.445104</v>
      </c>
      <c r="AQ239" s="3">
        <f>N(X239)*N(BJ239)</f>
        <v/>
      </c>
      <c r="AR239" s="3" t="n">
        <v>0</v>
      </c>
      <c r="AS239" s="3" t="n">
        <v>-0.4230152821052008</v>
      </c>
      <c r="AT239" s="3" t="n">
        <v>-0.1256424160049873</v>
      </c>
      <c r="AU239" s="3">
        <f>SUM(AO239:AT239)</f>
        <v/>
      </c>
      <c r="AV239" s="7">
        <f>IF(OR(N(W239)&lt;=0,N(BH239)=0),0,N(W239)*IF(N(R239)/N(W239)&gt;=60,N(BH239),1))</f>
        <v/>
      </c>
      <c r="AW239" s="7">
        <f>N(W239)*N(AF239)*N(BI239)</f>
        <v/>
      </c>
      <c r="AX239" s="3">
        <f>IF(N(BH239)=0,0,N(W239)*N(AH239))</f>
        <v/>
      </c>
      <c r="AY239" s="7">
        <f>N(AM239)*(Assumptions!$B$13*N(BK239)-(1-Assumptions!$B$13)*Assumptions!$B$14)+N(AN239)</f>
        <v/>
      </c>
      <c r="AZ239" s="7">
        <f>N(AU239)*N(R239)/90+N(AV239)+N(AW239)+N(AX239)+N(AY239)</f>
        <v/>
      </c>
      <c r="BA239" s="3">
        <f>IF(N(R239)&lt;=0,0,(N(AZ239)-N(AY239))*90/N(R239))</f>
        <v/>
      </c>
      <c r="BB239" s="7">
        <f>IFERROR(AZ239-VLOOKUP($E239,Assumptions!$A$40:$C$43,3,FALSE),"")</f>
        <v/>
      </c>
      <c r="BC239" s="3">
        <f>IFERROR(BB239/H239,"")</f>
        <v/>
      </c>
      <c r="BD239">
        <f>IF(AND($G239=TRUE,$E239="GKP"),AZ239,"")</f>
        <v/>
      </c>
      <c r="BE239">
        <f>IF(AND($G239=TRUE,$E239="DEF"),AZ239,"")</f>
        <v/>
      </c>
      <c r="BF239">
        <f>IF(AND($G239=TRUE,$E239="MID"),AZ239,"")</f>
        <v/>
      </c>
      <c r="BG239">
        <f>IF(AND($G239=TRUE,$E239="FWD"),AZ239,"")</f>
        <v/>
      </c>
      <c r="BH239" t="n">
        <v>2</v>
      </c>
      <c r="BI239" t="n">
        <v>2</v>
      </c>
      <c r="BJ239" t="n">
        <v>4</v>
      </c>
      <c r="BK239" t="n">
        <v>6</v>
      </c>
    </row>
    <row r="240">
      <c r="A240" t="inlineStr">
        <is>
          <t>Ian Maatsen</t>
        </is>
      </c>
      <c r="B240" t="inlineStr">
        <is>
          <t>AVL</t>
        </is>
      </c>
      <c r="C240" t="inlineStr">
        <is>
          <t>AVL</t>
        </is>
      </c>
      <c r="D240" t="b">
        <v>0</v>
      </c>
      <c r="E240" t="inlineStr">
        <is>
          <t>DEF</t>
        </is>
      </c>
      <c r="F240" t="inlineStr">
        <is>
          <t>DEF</t>
        </is>
      </c>
      <c r="G240" t="b">
        <v>1</v>
      </c>
      <c r="H240" s="2" t="n">
        <v>4.5</v>
      </c>
      <c r="I240" t="inlineStr">
        <is>
          <t>a</t>
        </is>
      </c>
      <c r="K240" s="2" t="n">
        <v>1590</v>
      </c>
      <c r="L240" t="n">
        <v>54</v>
      </c>
      <c r="M240" s="3" t="n">
        <v>3004</v>
      </c>
      <c r="N240" s="8" t="n">
        <v>3004</v>
      </c>
      <c r="O240" s="8" t="n">
        <v>0</v>
      </c>
      <c r="Q240" t="inlineStr">
        <is>
          <t>flat</t>
        </is>
      </c>
      <c r="R240" s="6" t="n">
        <v>3004</v>
      </c>
      <c r="S240" t="inlineStr">
        <is>
          <t>Solio</t>
        </is>
      </c>
      <c r="U240" s="6" t="n">
        <v>82.90000000000001</v>
      </c>
      <c r="V240" s="2" t="n">
        <v>17</v>
      </c>
      <c r="W240" s="7">
        <f>IF(N(U240)&lt;=0,0,MIN(Assumptions!$B$15,N(R240)/N(U240)))</f>
        <v/>
      </c>
      <c r="X240" s="6" t="n">
        <v>0.273</v>
      </c>
      <c r="Y240" s="3" t="n">
        <v>0.0643</v>
      </c>
      <c r="Z240" t="inlineStr">
        <is>
          <t>adjusted xGOT</t>
        </is>
      </c>
      <c r="AA240" s="3" t="n">
        <v>1</v>
      </c>
      <c r="AB240" s="3" t="n">
        <v>0.902</v>
      </c>
      <c r="AC240" s="3" t="n">
        <v>2.9</v>
      </c>
      <c r="AD240" s="3" t="n">
        <v>0.1516</v>
      </c>
      <c r="AE240" s="3" t="n">
        <v>7.382</v>
      </c>
      <c r="AF240" s="3" t="n">
        <v>0.1497816788817284</v>
      </c>
      <c r="AG240" s="3" t="n">
        <v>9.176</v>
      </c>
      <c r="AH240" s="3" t="n">
        <v>0.303188144</v>
      </c>
      <c r="AI240" s="3" t="n">
        <v>47</v>
      </c>
      <c r="AJ240" s="3" t="n">
        <v>2.7451</v>
      </c>
      <c r="AK240" s="3" t="n">
        <v>1.3575</v>
      </c>
      <c r="AL240" s="3" t="n">
        <v>-0.1765454093646375</v>
      </c>
      <c r="AM240" s="6" t="n">
        <v>0</v>
      </c>
      <c r="AN240" s="3" t="n">
        <v>0</v>
      </c>
      <c r="AO240" s="3" t="n">
        <v>0.3858</v>
      </c>
      <c r="AP240" s="3" t="n">
        <v>0.6003360000000001</v>
      </c>
      <c r="AQ240" s="3">
        <f>N(X240)*N(BJ240)</f>
        <v/>
      </c>
      <c r="AR240" s="3" t="n">
        <v>0</v>
      </c>
      <c r="AS240" s="3" t="n">
        <v>-0.4453012382517575</v>
      </c>
      <c r="AT240" s="3" t="n">
        <v>-0.1765454093646375</v>
      </c>
      <c r="AU240" s="3">
        <f>SUM(AO240:AT240)</f>
        <v/>
      </c>
      <c r="AV240" s="7">
        <f>IF(OR(N(W240)&lt;=0,N(BH240)=0),0,N(W240)*IF(N(R240)/N(W240)&gt;=60,N(BH240),1))</f>
        <v/>
      </c>
      <c r="AW240" s="7">
        <f>N(W240)*N(AF240)*N(BI240)</f>
        <v/>
      </c>
      <c r="AX240" s="3">
        <f>IF(N(BH240)=0,0,N(W240)*N(AH240))</f>
        <v/>
      </c>
      <c r="AY240" s="7">
        <f>N(AM240)*(Assumptions!$B$13*N(BK240)-(1-Assumptions!$B$13)*Assumptions!$B$14)+N(AN240)</f>
        <v/>
      </c>
      <c r="AZ240" s="7">
        <f>N(AU240)*N(R240)/90+N(AV240)+N(AW240)+N(AX240)+N(AY240)</f>
        <v/>
      </c>
      <c r="BA240" s="3">
        <f>IF(N(R240)&lt;=0,0,(N(AZ240)-N(AY240))*90/N(R240))</f>
        <v/>
      </c>
      <c r="BB240" s="7">
        <f>IFERROR(AZ240-VLOOKUP($E240,Assumptions!$A$40:$C$43,3,FALSE),"")</f>
        <v/>
      </c>
      <c r="BC240" s="3">
        <f>IFERROR(BB240/H240,"")</f>
        <v/>
      </c>
      <c r="BD240">
        <f>IF(AND($G240=TRUE,$E240="GKP"),AZ240,"")</f>
        <v/>
      </c>
      <c r="BE240">
        <f>IF(AND($G240=TRUE,$E240="DEF"),AZ240,"")</f>
        <v/>
      </c>
      <c r="BF240">
        <f>IF(AND($G240=TRUE,$E240="MID"),AZ240,"")</f>
        <v/>
      </c>
      <c r="BG240">
        <f>IF(AND($G240=TRUE,$E240="FWD"),AZ240,"")</f>
        <v/>
      </c>
      <c r="BH240" t="n">
        <v>2</v>
      </c>
      <c r="BI240" t="n">
        <v>2</v>
      </c>
      <c r="BJ240" t="n">
        <v>4</v>
      </c>
      <c r="BK240" t="n">
        <v>6</v>
      </c>
    </row>
    <row r="241">
      <c r="A241" s="9" t="inlineStr">
        <is>
          <t>Dwight McNeil</t>
        </is>
      </c>
      <c r="B241" t="inlineStr">
        <is>
          <t>CRY</t>
        </is>
      </c>
      <c r="C241" s="9" t="inlineStr">
        <is>
          <t>EVE</t>
        </is>
      </c>
      <c r="D241" t="b">
        <v>1</v>
      </c>
      <c r="E241" t="inlineStr">
        <is>
          <t>MID</t>
        </is>
      </c>
      <c r="F241" t="inlineStr">
        <is>
          <t>MID</t>
        </is>
      </c>
      <c r="G241" t="b">
        <v>1</v>
      </c>
      <c r="H241" s="2" t="n">
        <v>5.5</v>
      </c>
      <c r="I241" t="inlineStr">
        <is>
          <t>a</t>
        </is>
      </c>
      <c r="K241" s="2" t="n">
        <v>1161</v>
      </c>
      <c r="L241" t="n">
        <v>53</v>
      </c>
      <c r="M241" s="3" t="n">
        <v>445</v>
      </c>
      <c r="N241" s="4" t="n">
        <v>1900</v>
      </c>
      <c r="O241" s="4" t="n">
        <v>1455</v>
      </c>
      <c r="P241" s="5" t="inlineStr">
        <is>
          <t>high</t>
        </is>
      </c>
      <c r="Q241" t="inlineStr">
        <is>
          <t>flat</t>
        </is>
      </c>
      <c r="R241" s="6" t="n">
        <v>1900</v>
      </c>
      <c r="S241" t="inlineStr">
        <is>
          <t>research</t>
        </is>
      </c>
      <c r="T241" s="5" t="inlineStr">
        <is>
          <t>Solio's 445 is a stale artefact: his club_2526 is still listed as EVE and the number looks like a part-season remnant. He joined Palace on 11 August in a straight swap for Brennan Johnson, both sides valued at around EUR 25.8m, and started the Freiburg friendly on 15 August for his first Palace minutes. A club does not trade away its first-choice right winger for a player who then plays five matches' worth of football.</t>
        </is>
      </c>
      <c r="U241" s="6" t="n">
        <v>77.90000000000001</v>
      </c>
      <c r="V241" s="2" t="n">
        <v>14</v>
      </c>
      <c r="W241" s="7">
        <f>IF(N(U241)&lt;=0,0,MIN(Assumptions!$B$15,N(R241)/N(U241)))</f>
        <v/>
      </c>
      <c r="X241" s="6" t="n">
        <v>0.216</v>
      </c>
      <c r="Y241" s="10" t="n">
        <v>0.1112</v>
      </c>
      <c r="Z241" t="inlineStr">
        <is>
          <t>adjusted xGOT</t>
        </is>
      </c>
      <c r="AA241" s="3" t="n">
        <v>1</v>
      </c>
      <c r="AB241" s="3" t="n">
        <v>1.047</v>
      </c>
      <c r="AC241" s="3" t="n">
        <v>9.199999999999999</v>
      </c>
      <c r="AD241" s="10" t="n">
        <v>0.1414</v>
      </c>
      <c r="AE241" s="3" t="n">
        <v>8.593999999999999</v>
      </c>
      <c r="AF241" s="3" t="n">
        <v>0.07569867762882987</v>
      </c>
      <c r="AG241" s="3" t="n">
        <v>5.41</v>
      </c>
      <c r="AH241" s="3" t="n">
        <v>0.192429029</v>
      </c>
      <c r="AI241" s="3" t="n">
        <v>34</v>
      </c>
      <c r="AJ241" s="3" t="n">
        <v>3.2035</v>
      </c>
      <c r="AK241" s="3" t="n">
        <v>1.5923</v>
      </c>
      <c r="AL241" s="3" t="n">
        <v>-0.1265644820412146</v>
      </c>
      <c r="AM241" s="6" t="n">
        <v>0</v>
      </c>
      <c r="AN241" s="3" t="n">
        <v>0</v>
      </c>
      <c r="AO241" s="10" t="n">
        <v>0.5559999999999999</v>
      </c>
      <c r="AP241" s="10" t="n">
        <v>0.5599440000000001</v>
      </c>
      <c r="AQ241" s="3">
        <f>N(X241)*N(BJ241)</f>
        <v/>
      </c>
      <c r="AR241" s="3" t="n">
        <v>0</v>
      </c>
      <c r="AS241" s="3" t="n">
        <v>-0</v>
      </c>
      <c r="AT241" s="3" t="n">
        <v>-0.1265644820412146</v>
      </c>
      <c r="AU241" s="3">
        <f>SUM(AO241:AT241)</f>
        <v/>
      </c>
      <c r="AV241" s="7">
        <f>IF(OR(N(W241)&lt;=0,N(BH241)=0),0,N(W241)*IF(N(R241)/N(W241)&gt;=60,N(BH241),1))</f>
        <v/>
      </c>
      <c r="AW241" s="7">
        <f>N(W241)*N(AF241)*N(BI241)</f>
        <v/>
      </c>
      <c r="AX241" s="3">
        <f>IF(N(BH241)=0,0,N(W241)*N(AH241))</f>
        <v/>
      </c>
      <c r="AY241" s="7">
        <f>N(AM241)*(Assumptions!$B$13*N(BK241)-(1-Assumptions!$B$13)*Assumptions!$B$14)+N(AN241)</f>
        <v/>
      </c>
      <c r="AZ241" s="7">
        <f>N(AU241)*N(R241)/90+N(AV241)+N(AW241)+N(AX241)+N(AY241)</f>
        <v/>
      </c>
      <c r="BA241" s="3">
        <f>IF(N(R241)&lt;=0,0,(N(AZ241)-N(AY241))*90/N(R241))</f>
        <v/>
      </c>
      <c r="BB241" s="7">
        <f>IFERROR(AZ241-VLOOKUP($E241,Assumptions!$A$40:$C$43,3,FALSE),"")</f>
        <v/>
      </c>
      <c r="BC241" s="3">
        <f>IFERROR(BB241/H241,"")</f>
        <v/>
      </c>
      <c r="BD241">
        <f>IF(AND($G241=TRUE,$E241="GKP"),AZ241,"")</f>
        <v/>
      </c>
      <c r="BE241">
        <f>IF(AND($G241=TRUE,$E241="DEF"),AZ241,"")</f>
        <v/>
      </c>
      <c r="BF241">
        <f>IF(AND($G241=TRUE,$E241="MID"),AZ241,"")</f>
        <v/>
      </c>
      <c r="BG241">
        <f>IF(AND($G241=TRUE,$E241="FWD"),AZ241,"")</f>
        <v/>
      </c>
      <c r="BH241" t="n">
        <v>2</v>
      </c>
      <c r="BI241" t="n">
        <v>2</v>
      </c>
      <c r="BJ241" t="n">
        <v>1</v>
      </c>
      <c r="BK241" t="n">
        <v>5</v>
      </c>
    </row>
    <row r="242">
      <c r="A242" t="inlineStr">
        <is>
          <t>Morato</t>
        </is>
      </c>
      <c r="B242" t="inlineStr">
        <is>
          <t>NFO</t>
        </is>
      </c>
      <c r="C242" t="inlineStr">
        <is>
          <t>NFO</t>
        </is>
      </c>
      <c r="D242" t="b">
        <v>0</v>
      </c>
      <c r="E242" t="inlineStr">
        <is>
          <t>DEF</t>
        </is>
      </c>
      <c r="F242" t="inlineStr">
        <is>
          <t>DEF</t>
        </is>
      </c>
      <c r="G242" t="b">
        <v>1</v>
      </c>
      <c r="H242" s="2" t="n">
        <v>5</v>
      </c>
      <c r="I242" t="inlineStr">
        <is>
          <t>a</t>
        </is>
      </c>
      <c r="K242" s="2" t="n">
        <v>1340</v>
      </c>
      <c r="L242" t="n">
        <v>53</v>
      </c>
      <c r="M242" s="3" t="n">
        <v>386</v>
      </c>
      <c r="N242" s="4" t="n">
        <v>740</v>
      </c>
      <c r="O242" s="4" t="n">
        <v>354</v>
      </c>
      <c r="P242" s="5" t="inlineStr">
        <is>
          <t>medium</t>
        </is>
      </c>
      <c r="Q242" t="inlineStr">
        <is>
          <t>flat</t>
        </is>
      </c>
      <c r="R242" s="6" t="n">
        <v>740</v>
      </c>
      <c r="S242" t="inlineStr">
        <is>
          <t>research</t>
        </is>
      </c>
      <c r="T242" s="5" t="inlineStr">
        <is>
          <t>A back three needs 10,260 centre-back minutes, and Solio gives 93.6% of them to Milenkovic, Murillo and Diomande. Morato played 1,340 league minutes last season and started in the back three in Glasner's first pre-season match, so he is the first-choice replacement, not a spare part.</t>
        </is>
      </c>
      <c r="U242" s="6" t="n">
        <v>87.5</v>
      </c>
      <c r="V242" s="2" t="n">
        <v>14</v>
      </c>
      <c r="W242" s="7">
        <f>IF(N(U242)&lt;=0,0,MIN(Assumptions!$B$15,N(R242)/N(U242)))</f>
        <v/>
      </c>
      <c r="X242" s="6" t="n">
        <v>0.224</v>
      </c>
      <c r="Y242" s="3" t="n">
        <v>0.0905</v>
      </c>
      <c r="Z242" t="inlineStr">
        <is>
          <t>adjusted xGOT</t>
        </is>
      </c>
      <c r="AA242" s="3" t="n">
        <v>1</v>
      </c>
      <c r="AB242" s="3" t="n">
        <v>1.021</v>
      </c>
      <c r="AC242" s="3" t="n">
        <v>1.5</v>
      </c>
      <c r="AD242" s="3" t="n">
        <v>0.008200000000000001</v>
      </c>
      <c r="AE242" s="3" t="n">
        <v>8.977</v>
      </c>
      <c r="AF242" s="3" t="n">
        <v>0.3767566357894665</v>
      </c>
      <c r="AG242" s="3" t="n">
        <v>8.824999999999999</v>
      </c>
      <c r="AH242" s="3" t="n">
        <v>0.235842272</v>
      </c>
      <c r="AI242" s="3" t="n">
        <v>35</v>
      </c>
      <c r="AJ242" s="3" t="n">
        <v>3.1134</v>
      </c>
      <c r="AK242" s="3" t="n">
        <v>1.5588</v>
      </c>
      <c r="AL242" s="3" t="n">
        <v>-0.3180632178373214</v>
      </c>
      <c r="AM242" s="6" t="n">
        <v>0</v>
      </c>
      <c r="AN242" s="3" t="n">
        <v>0</v>
      </c>
      <c r="AO242" s="3" t="n">
        <v>0.5429999999999999</v>
      </c>
      <c r="AP242" s="3" t="n">
        <v>0.03247200000000001</v>
      </c>
      <c r="AQ242" s="3">
        <f>N(X242)*N(BJ242)</f>
        <v/>
      </c>
      <c r="AR242" s="3" t="n">
        <v>0</v>
      </c>
      <c r="AS242" s="3" t="n">
        <v>-0.5404658182244797</v>
      </c>
      <c r="AT242" s="3" t="n">
        <v>-0.3180632178373214</v>
      </c>
      <c r="AU242" s="3">
        <f>SUM(AO242:AT242)</f>
        <v/>
      </c>
      <c r="AV242" s="7">
        <f>IF(OR(N(W242)&lt;=0,N(BH242)=0),0,N(W242)*IF(N(R242)/N(W242)&gt;=60,N(BH242),1))</f>
        <v/>
      </c>
      <c r="AW242" s="7">
        <f>N(W242)*N(AF242)*N(BI242)</f>
        <v/>
      </c>
      <c r="AX242" s="3">
        <f>IF(N(BH242)=0,0,N(W242)*N(AH242))</f>
        <v/>
      </c>
      <c r="AY242" s="7">
        <f>N(AM242)*(Assumptions!$B$13*N(BK242)-(1-Assumptions!$B$13)*Assumptions!$B$14)+N(AN242)</f>
        <v/>
      </c>
      <c r="AZ242" s="7">
        <f>N(AU242)*N(R242)/90+N(AV242)+N(AW242)+N(AX242)+N(AY242)</f>
        <v/>
      </c>
      <c r="BA242" s="3">
        <f>IF(N(R242)&lt;=0,0,(N(AZ242)-N(AY242))*90/N(R242))</f>
        <v/>
      </c>
      <c r="BB242" s="7">
        <f>IFERROR(AZ242-VLOOKUP($E242,Assumptions!$A$40:$C$43,3,FALSE),"")</f>
        <v/>
      </c>
      <c r="BC242" s="3">
        <f>IFERROR(BB242/H242,"")</f>
        <v/>
      </c>
      <c r="BD242">
        <f>IF(AND($G242=TRUE,$E242="GKP"),AZ242,"")</f>
        <v/>
      </c>
      <c r="BE242">
        <f>IF(AND($G242=TRUE,$E242="DEF"),AZ242,"")</f>
        <v/>
      </c>
      <c r="BF242">
        <f>IF(AND($G242=TRUE,$E242="MID"),AZ242,"")</f>
        <v/>
      </c>
      <c r="BG242">
        <f>IF(AND($G242=TRUE,$E242="FWD"),AZ242,"")</f>
        <v/>
      </c>
      <c r="BH242" t="n">
        <v>2</v>
      </c>
      <c r="BI242" t="n">
        <v>2</v>
      </c>
      <c r="BJ242" t="n">
        <v>4</v>
      </c>
      <c r="BK242" t="n">
        <v>6</v>
      </c>
    </row>
    <row r="243">
      <c r="A243" t="inlineStr">
        <is>
          <t>Noussair Mazraoui</t>
        </is>
      </c>
      <c r="B243" t="inlineStr">
        <is>
          <t>MUN</t>
        </is>
      </c>
      <c r="C243" t="inlineStr">
        <is>
          <t>MUN</t>
        </is>
      </c>
      <c r="D243" t="b">
        <v>0</v>
      </c>
      <c r="E243" t="inlineStr">
        <is>
          <t>DEF</t>
        </is>
      </c>
      <c r="F243" t="inlineStr">
        <is>
          <t>DEF</t>
        </is>
      </c>
      <c r="G243" t="b">
        <v>1</v>
      </c>
      <c r="H243" s="2" t="n">
        <v>4.5</v>
      </c>
      <c r="I243" t="inlineStr">
        <is>
          <t>a</t>
        </is>
      </c>
      <c r="K243" s="2" t="n">
        <v>977</v>
      </c>
      <c r="L243" t="n">
        <v>53</v>
      </c>
      <c r="M243" s="3" t="n">
        <v>808</v>
      </c>
      <c r="N243" s="4" t="n">
        <v>1300</v>
      </c>
      <c r="O243" s="4" t="n">
        <v>492</v>
      </c>
      <c r="P243" s="5" t="inlineStr">
        <is>
          <t>medium</t>
        </is>
      </c>
      <c r="Q243" t="inlineStr">
        <is>
          <t>flat</t>
        </is>
      </c>
      <c r="R243" s="6" t="n">
        <v>1300</v>
      </c>
      <c r="S243" t="inlineStr">
        <is>
          <t>research</t>
        </is>
      </c>
      <c r="T243" s="5" t="inlineStr">
        <is>
          <t>Started at right-back in the final pre-season friendly, the game reporters described as the closest guide to the Hull XI, and was widely reported to have returned from the World Cup in strong form. The offsetting half of the Dalot adjustment.</t>
        </is>
      </c>
      <c r="U243" s="6" t="n">
        <v>78.40000000000001</v>
      </c>
      <c r="V243" s="2" t="n">
        <v>11</v>
      </c>
      <c r="W243" s="7">
        <f>IF(N(U243)&lt;=0,0,MIN(Assumptions!$B$15,N(R243)/N(U243)))</f>
        <v/>
      </c>
      <c r="X243" s="6" t="n">
        <v>0.334</v>
      </c>
      <c r="Y243" s="3" t="n">
        <v>0.0164</v>
      </c>
      <c r="Z243" t="inlineStr">
        <is>
          <t>adjusted xGOT</t>
        </is>
      </c>
      <c r="AA243" s="3" t="n">
        <v>1</v>
      </c>
      <c r="AB243" s="3" t="n">
        <v>0.9350000000000001</v>
      </c>
      <c r="AC243" s="3" t="n">
        <v>0.9</v>
      </c>
      <c r="AD243" s="3" t="n">
        <v>0.0258</v>
      </c>
      <c r="AE243" s="3" t="n">
        <v>8.246</v>
      </c>
      <c r="AF243" s="3" t="n">
        <v>0.1885547173550973</v>
      </c>
      <c r="AG243" s="3" t="n">
        <v>9.855</v>
      </c>
      <c r="AH243" s="3" t="n">
        <v>0.2119289344</v>
      </c>
      <c r="AI243" s="3" t="n">
        <v>30</v>
      </c>
      <c r="AJ243" s="3" t="n">
        <v>2.2165</v>
      </c>
      <c r="AK243" s="3" t="n">
        <v>1.1467</v>
      </c>
      <c r="AL243" s="3" t="n">
        <v>-0.1901851058994535</v>
      </c>
      <c r="AM243" s="6" t="n">
        <v>0</v>
      </c>
      <c r="AN243" s="3" t="n">
        <v>0</v>
      </c>
      <c r="AO243" s="3" t="n">
        <v>0.09840000000000002</v>
      </c>
      <c r="AP243" s="3" t="n">
        <v>0.102168</v>
      </c>
      <c r="AQ243" s="3">
        <f>N(X243)*N(BJ243)</f>
        <v/>
      </c>
      <c r="AR243" s="3" t="n">
        <v>0</v>
      </c>
      <c r="AS243" s="3" t="n">
        <v>-0.348580685135232</v>
      </c>
      <c r="AT243" s="3" t="n">
        <v>-0.1901851058994535</v>
      </c>
      <c r="AU243" s="3">
        <f>SUM(AO243:AT243)</f>
        <v/>
      </c>
      <c r="AV243" s="7">
        <f>IF(OR(N(W243)&lt;=0,N(BH243)=0),0,N(W243)*IF(N(R243)/N(W243)&gt;=60,N(BH243),1))</f>
        <v/>
      </c>
      <c r="AW243" s="7">
        <f>N(W243)*N(AF243)*N(BI243)</f>
        <v/>
      </c>
      <c r="AX243" s="3">
        <f>IF(N(BH243)=0,0,N(W243)*N(AH243))</f>
        <v/>
      </c>
      <c r="AY243" s="7">
        <f>N(AM243)*(Assumptions!$B$13*N(BK243)-(1-Assumptions!$B$13)*Assumptions!$B$14)+N(AN243)</f>
        <v/>
      </c>
      <c r="AZ243" s="7">
        <f>N(AU243)*N(R243)/90+N(AV243)+N(AW243)+N(AX243)+N(AY243)</f>
        <v/>
      </c>
      <c r="BA243" s="3">
        <f>IF(N(R243)&lt;=0,0,(N(AZ243)-N(AY243))*90/N(R243))</f>
        <v/>
      </c>
      <c r="BB243" s="7">
        <f>IFERROR(AZ243-VLOOKUP($E243,Assumptions!$A$40:$C$43,3,FALSE),"")</f>
        <v/>
      </c>
      <c r="BC243" s="3">
        <f>IFERROR(BB243/H243,"")</f>
        <v/>
      </c>
      <c r="BD243">
        <f>IF(AND($G243=TRUE,$E243="GKP"),AZ243,"")</f>
        <v/>
      </c>
      <c r="BE243">
        <f>IF(AND($G243=TRUE,$E243="DEF"),AZ243,"")</f>
        <v/>
      </c>
      <c r="BF243">
        <f>IF(AND($G243=TRUE,$E243="MID"),AZ243,"")</f>
        <v/>
      </c>
      <c r="BG243">
        <f>IF(AND($G243=TRUE,$E243="FWD"),AZ243,"")</f>
        <v/>
      </c>
      <c r="BH243" t="n">
        <v>2</v>
      </c>
      <c r="BI243" t="n">
        <v>2</v>
      </c>
      <c r="BJ243" t="n">
        <v>4</v>
      </c>
      <c r="BK243" t="n">
        <v>6</v>
      </c>
    </row>
    <row r="244">
      <c r="A244" t="inlineStr">
        <is>
          <t>Rico Henry</t>
        </is>
      </c>
      <c r="B244" t="inlineStr">
        <is>
          <t>BRE</t>
        </is>
      </c>
      <c r="C244" t="inlineStr">
        <is>
          <t>BRE</t>
        </is>
      </c>
      <c r="D244" t="b">
        <v>0</v>
      </c>
      <c r="E244" t="inlineStr">
        <is>
          <t>DEF</t>
        </is>
      </c>
      <c r="F244" t="inlineStr">
        <is>
          <t>DEF</t>
        </is>
      </c>
      <c r="G244" t="b">
        <v>1</v>
      </c>
      <c r="H244" s="2" t="n">
        <v>4.5</v>
      </c>
      <c r="I244" t="inlineStr">
        <is>
          <t>a</t>
        </is>
      </c>
      <c r="K244" s="2" t="n">
        <v>1322</v>
      </c>
      <c r="L244" t="n">
        <v>52</v>
      </c>
      <c r="M244" s="3" t="n">
        <v>1236</v>
      </c>
      <c r="N244" s="4" t="n">
        <v>850</v>
      </c>
      <c r="O244" s="4" t="n">
        <v>-386</v>
      </c>
      <c r="P244" s="5" t="inlineStr">
        <is>
          <t>medium</t>
        </is>
      </c>
      <c r="Q244" t="inlineStr">
        <is>
          <t>flat</t>
        </is>
      </c>
      <c r="R244" s="6" t="n">
        <v>850</v>
      </c>
      <c r="S244" t="inlineStr">
        <is>
          <t>research</t>
        </is>
      </c>
      <c r="T244" s="5" t="inlineStr">
        <is>
          <t>Lewis-Potter started at left-back in both August friendlies while Henry came off the bench in the final one. Henry has a documented hamstring history and managed only 1322 minutes in 2025/26. Reduced to a backup left-back's share.</t>
        </is>
      </c>
      <c r="U244" s="6" t="n">
        <v>82.09999999999999</v>
      </c>
      <c r="V244" s="2" t="n">
        <v>14</v>
      </c>
      <c r="W244" s="7">
        <f>IF(N(U244)&lt;=0,0,MIN(Assumptions!$B$15,N(R244)/N(U244)))</f>
        <v/>
      </c>
      <c r="X244" s="6" t="n">
        <v>0.228</v>
      </c>
      <c r="Y244" s="3" t="n">
        <v>0.011</v>
      </c>
      <c r="Z244" t="inlineStr">
        <is>
          <t>adjusted xGOT</t>
        </is>
      </c>
      <c r="AA244" s="3" t="n">
        <v>1</v>
      </c>
      <c r="AB244" s="3" t="n">
        <v>0.896</v>
      </c>
      <c r="AC244" s="3" t="n">
        <v>2</v>
      </c>
      <c r="AD244" s="3" t="n">
        <v>0.0291</v>
      </c>
      <c r="AE244" s="3" t="n">
        <v>5.707</v>
      </c>
      <c r="AF244" s="3" t="n">
        <v>0.03993077509662135</v>
      </c>
      <c r="AG244" s="3" t="n">
        <v>5.286</v>
      </c>
      <c r="AH244" s="3" t="n">
        <v>0.06916496409999999</v>
      </c>
      <c r="AI244" s="3" t="n">
        <v>38</v>
      </c>
      <c r="AJ244" s="3" t="n">
        <v>3.2371</v>
      </c>
      <c r="AK244" s="3" t="n">
        <v>1.5396</v>
      </c>
      <c r="AL244" s="3" t="n">
        <v>-0.1823330539894165</v>
      </c>
      <c r="AM244" s="6" t="n">
        <v>0</v>
      </c>
      <c r="AN244" s="3" t="n">
        <v>0</v>
      </c>
      <c r="AO244" s="3" t="n">
        <v>0.066</v>
      </c>
      <c r="AP244" s="3" t="n">
        <v>0.115236</v>
      </c>
      <c r="AQ244" s="3">
        <f>N(X244)*N(BJ244)</f>
        <v/>
      </c>
      <c r="AR244" s="3" t="n">
        <v>0</v>
      </c>
      <c r="AS244" s="3" t="n">
        <v>-0.5312990096912251</v>
      </c>
      <c r="AT244" s="3" t="n">
        <v>-0.1823330539894165</v>
      </c>
      <c r="AU244" s="3">
        <f>SUM(AO244:AT244)</f>
        <v/>
      </c>
      <c r="AV244" s="7">
        <f>IF(OR(N(W244)&lt;=0,N(BH244)=0),0,N(W244)*IF(N(R244)/N(W244)&gt;=60,N(BH244),1))</f>
        <v/>
      </c>
      <c r="AW244" s="7">
        <f>N(W244)*N(AF244)*N(BI244)</f>
        <v/>
      </c>
      <c r="AX244" s="3">
        <f>IF(N(BH244)=0,0,N(W244)*N(AH244))</f>
        <v/>
      </c>
      <c r="AY244" s="7">
        <f>N(AM244)*(Assumptions!$B$13*N(BK244)-(1-Assumptions!$B$13)*Assumptions!$B$14)+N(AN244)</f>
        <v/>
      </c>
      <c r="AZ244" s="7">
        <f>N(AU244)*N(R244)/90+N(AV244)+N(AW244)+N(AX244)+N(AY244)</f>
        <v/>
      </c>
      <c r="BA244" s="3">
        <f>IF(N(R244)&lt;=0,0,(N(AZ244)-N(AY244))*90/N(R244))</f>
        <v/>
      </c>
      <c r="BB244" s="7">
        <f>IFERROR(AZ244-VLOOKUP($E244,Assumptions!$A$40:$C$43,3,FALSE),"")</f>
        <v/>
      </c>
      <c r="BC244" s="3">
        <f>IFERROR(BB244/H244,"")</f>
        <v/>
      </c>
      <c r="BD244">
        <f>IF(AND($G244=TRUE,$E244="GKP"),AZ244,"")</f>
        <v/>
      </c>
      <c r="BE244">
        <f>IF(AND($G244=TRUE,$E244="DEF"),AZ244,"")</f>
        <v/>
      </c>
      <c r="BF244">
        <f>IF(AND($G244=TRUE,$E244="MID"),AZ244,"")</f>
        <v/>
      </c>
      <c r="BG244">
        <f>IF(AND($G244=TRUE,$E244="FWD"),AZ244,"")</f>
        <v/>
      </c>
      <c r="BH244" t="n">
        <v>2</v>
      </c>
      <c r="BI244" t="n">
        <v>2</v>
      </c>
      <c r="BJ244" t="n">
        <v>4</v>
      </c>
      <c r="BK244" t="n">
        <v>6</v>
      </c>
    </row>
    <row r="245">
      <c r="A245" t="inlineStr">
        <is>
          <t>Lisandro Martínez</t>
        </is>
      </c>
      <c r="B245" t="inlineStr">
        <is>
          <t>MUN</t>
        </is>
      </c>
      <c r="C245" t="inlineStr">
        <is>
          <t>MUN</t>
        </is>
      </c>
      <c r="D245" t="b">
        <v>0</v>
      </c>
      <c r="E245" t="inlineStr">
        <is>
          <t>DEF</t>
        </is>
      </c>
      <c r="F245" t="inlineStr">
        <is>
          <t>DEF</t>
        </is>
      </c>
      <c r="G245" t="b">
        <v>1</v>
      </c>
      <c r="H245" s="2" t="n">
        <v>5</v>
      </c>
      <c r="I245" t="inlineStr">
        <is>
          <t>d</t>
        </is>
      </c>
      <c r="J245" t="inlineStr">
        <is>
          <t>Thigh injury - 75% chance of playing</t>
        </is>
      </c>
      <c r="K245" s="2" t="n">
        <v>1229</v>
      </c>
      <c r="L245" t="n">
        <v>51</v>
      </c>
      <c r="M245" s="3" t="n">
        <v>3089</v>
      </c>
      <c r="N245" s="4" t="n">
        <v>1900</v>
      </c>
      <c r="O245" s="4" t="n">
        <v>-1189</v>
      </c>
      <c r="P245" s="5" t="inlineStr">
        <is>
          <t>medium</t>
        </is>
      </c>
      <c r="Q245" t="inlineStr">
        <is>
          <t>flat</t>
        </is>
      </c>
      <c r="R245" s="6" t="n">
        <v>1900</v>
      </c>
      <c r="S245" t="inlineStr">
        <is>
          <t>research</t>
        </is>
      </c>
      <c r="T245" s="5" t="inlineStr">
        <is>
          <t>Solio projects him as an 81%-of-the-season nailed starter, which he has not been at United in four years. He tore a thigh muscle in the World Cup final on 19 July, missed the entire pre-season programme, and managed only a 29-minute substitute cameo against Milan on 15 Aug. He is not expected to start at Hull, with Yoro or Heaven set to partner Maguire. Stretty News counts 92 matches missed across four seasons, and this is his fourth absence of eight weeks or more since 2022. Evidence is genuinely mixed — Andy Mitten reported on 27 July that United were relaxed and optimistic for opening weekend — so this is a cut to roughly half a season rather than a write-off, and still comfortably above his 1,229 minutes in 2025/26.</t>
        </is>
      </c>
      <c r="U245" s="6" t="n">
        <v>87.8</v>
      </c>
      <c r="V245" s="2" t="n">
        <v>12</v>
      </c>
      <c r="W245" s="7">
        <f>IF(N(U245)&lt;=0,0,MIN(Assumptions!$B$15,N(R245)/N(U245)))</f>
        <v/>
      </c>
      <c r="X245" s="6" t="n">
        <v>0.334</v>
      </c>
      <c r="Y245" s="3" t="n">
        <v>0.01</v>
      </c>
      <c r="Z245" t="inlineStr">
        <is>
          <t>adjusted xGOT</t>
        </is>
      </c>
      <c r="AA245" s="3" t="n">
        <v>1</v>
      </c>
      <c r="AB245" s="3" t="n">
        <v>0.916</v>
      </c>
      <c r="AC245" s="3" t="n">
        <v>1.9</v>
      </c>
      <c r="AD245" s="3" t="n">
        <v>0.039</v>
      </c>
      <c r="AE245" s="3" t="n">
        <v>7.688</v>
      </c>
      <c r="AF245" s="3" t="n">
        <v>0.2236005250288305</v>
      </c>
      <c r="AG245" s="3" t="n">
        <v>9.951000000000001</v>
      </c>
      <c r="AH245" s="3" t="n">
        <v>0.2743659072</v>
      </c>
      <c r="AI245" s="3" t="n">
        <v>30</v>
      </c>
      <c r="AJ245" s="3" t="n">
        <v>2.2165</v>
      </c>
      <c r="AK245" s="3" t="n">
        <v>1.1467</v>
      </c>
      <c r="AL245" s="3" t="n">
        <v>-0.2097893663306599</v>
      </c>
      <c r="AM245" s="6" t="n">
        <v>0</v>
      </c>
      <c r="AN245" s="3" t="n">
        <v>0</v>
      </c>
      <c r="AO245" s="3" t="n">
        <v>0.06</v>
      </c>
      <c r="AP245" s="3" t="n">
        <v>0.15444</v>
      </c>
      <c r="AQ245" s="3">
        <f>N(X245)*N(BJ245)</f>
        <v/>
      </c>
      <c r="AR245" s="3" t="n">
        <v>0</v>
      </c>
      <c r="AS245" s="3" t="n">
        <v>-0.348580685135232</v>
      </c>
      <c r="AT245" s="3" t="n">
        <v>-0.2097893663306599</v>
      </c>
      <c r="AU245" s="3">
        <f>SUM(AO245:AT245)</f>
        <v/>
      </c>
      <c r="AV245" s="7">
        <f>IF(OR(N(W245)&lt;=0,N(BH245)=0),0,N(W245)*IF(N(R245)/N(W245)&gt;=60,N(BH245),1))</f>
        <v/>
      </c>
      <c r="AW245" s="7">
        <f>N(W245)*N(AF245)*N(BI245)</f>
        <v/>
      </c>
      <c r="AX245" s="3">
        <f>IF(N(BH245)=0,0,N(W245)*N(AH245))</f>
        <v/>
      </c>
      <c r="AY245" s="7">
        <f>N(AM245)*(Assumptions!$B$13*N(BK245)-(1-Assumptions!$B$13)*Assumptions!$B$14)+N(AN245)</f>
        <v/>
      </c>
      <c r="AZ245" s="7">
        <f>N(AU245)*N(R245)/90+N(AV245)+N(AW245)+N(AX245)+N(AY245)</f>
        <v/>
      </c>
      <c r="BA245" s="3">
        <f>IF(N(R245)&lt;=0,0,(N(AZ245)-N(AY245))*90/N(R245))</f>
        <v/>
      </c>
      <c r="BB245" s="7">
        <f>IFERROR(AZ245-VLOOKUP($E245,Assumptions!$A$40:$C$43,3,FALSE),"")</f>
        <v/>
      </c>
      <c r="BC245" s="3">
        <f>IFERROR(BB245/H245,"")</f>
        <v/>
      </c>
      <c r="BD245">
        <f>IF(AND($G245=TRUE,$E245="GKP"),AZ245,"")</f>
        <v/>
      </c>
      <c r="BE245">
        <f>IF(AND($G245=TRUE,$E245="DEF"),AZ245,"")</f>
        <v/>
      </c>
      <c r="BF245">
        <f>IF(AND($G245=TRUE,$E245="MID"),AZ245,"")</f>
        <v/>
      </c>
      <c r="BG245">
        <f>IF(AND($G245=TRUE,$E245="FWD"),AZ245,"")</f>
        <v/>
      </c>
      <c r="BH245" t="n">
        <v>2</v>
      </c>
      <c r="BI245" t="n">
        <v>2</v>
      </c>
      <c r="BJ245" t="n">
        <v>4</v>
      </c>
      <c r="BK245" t="n">
        <v>6</v>
      </c>
    </row>
    <row r="246">
      <c r="A246" t="inlineStr">
        <is>
          <t>Fabian Schär</t>
        </is>
      </c>
      <c r="B246" t="inlineStr">
        <is>
          <t>NEW</t>
        </is>
      </c>
      <c r="C246" t="inlineStr">
        <is>
          <t>NEW</t>
        </is>
      </c>
      <c r="D246" t="b">
        <v>0</v>
      </c>
      <c r="E246" t="inlineStr">
        <is>
          <t>DEF</t>
        </is>
      </c>
      <c r="F246" t="inlineStr">
        <is>
          <t>DEF</t>
        </is>
      </c>
      <c r="G246" t="b">
        <v>1</v>
      </c>
      <c r="H246" s="2" t="n">
        <v>5</v>
      </c>
      <c r="I246" t="inlineStr">
        <is>
          <t>a</t>
        </is>
      </c>
      <c r="K246" s="2" t="n">
        <v>1089</v>
      </c>
      <c r="L246" t="n">
        <v>51</v>
      </c>
      <c r="M246" s="3" t="n">
        <v>317</v>
      </c>
      <c r="N246" s="4" t="n">
        <v>750</v>
      </c>
      <c r="O246" s="4" t="n">
        <v>433</v>
      </c>
      <c r="P246" s="5" t="inlineStr">
        <is>
          <t>medium</t>
        </is>
      </c>
      <c r="Q246" t="inlineStr">
        <is>
          <t>flat</t>
        </is>
      </c>
      <c r="R246" s="6" t="n">
        <v>750</v>
      </c>
      <c r="S246" t="inlineStr">
        <is>
          <t>research</t>
        </is>
      </c>
      <c r="T246" s="5" t="inlineStr">
        <is>
          <t>317 minutes is an allocation for a player who is leaving or finished. Schar signed a one-year extension to summer 2027 on 2 Jun 2026, Newcastle signed no centre-back this window, and the senior centre-back group is only Thiaw, Botman, Burn and Schar. Jaissle said on 13 Aug that Schar 'is on the way back now' and hoped to have him in team training within days with a chance of minutes that weekend. Held well below a rotation share because he is 34 and lost most of 2025/26 to ankle, foot and groin problems.</t>
        </is>
      </c>
      <c r="U246" s="6" t="n">
        <v>86.7</v>
      </c>
      <c r="V246" s="2" t="n">
        <v>11</v>
      </c>
      <c r="W246" s="7">
        <f>IF(N(U246)&lt;=0,0,MIN(Assumptions!$B$15,N(R246)/N(U246)))</f>
        <v/>
      </c>
      <c r="X246" s="6" t="n">
        <v>0.248</v>
      </c>
      <c r="Y246" s="3" t="n">
        <v>0.0693</v>
      </c>
      <c r="Z246" t="inlineStr">
        <is>
          <t>adjusted xGOT</t>
        </is>
      </c>
      <c r="AA246" s="3" t="n">
        <v>1</v>
      </c>
      <c r="AB246" s="3" t="n">
        <v>0.865</v>
      </c>
      <c r="AC246" s="3" t="n">
        <v>12</v>
      </c>
      <c r="AD246" s="3" t="n">
        <v>0.0315</v>
      </c>
      <c r="AE246" s="3" t="n">
        <v>8.779999999999999</v>
      </c>
      <c r="AF246" s="3" t="n">
        <v>0.341587428022623</v>
      </c>
      <c r="AG246" s="3" t="n">
        <v>8.064</v>
      </c>
      <c r="AH246" s="3" t="n">
        <v>0.1954647732</v>
      </c>
      <c r="AI246" s="3" t="n">
        <v>27</v>
      </c>
      <c r="AJ246" s="3" t="n">
        <v>3.0912</v>
      </c>
      <c r="AK246" s="3" t="n">
        <v>1.4534</v>
      </c>
      <c r="AL246" s="3" t="n">
        <v>-0.2062473025928537</v>
      </c>
      <c r="AM246" s="6" t="n">
        <v>0</v>
      </c>
      <c r="AN246" s="3" t="n">
        <v>0</v>
      </c>
      <c r="AO246" s="3" t="n">
        <v>0.4158</v>
      </c>
      <c r="AP246" s="3" t="n">
        <v>0.12474</v>
      </c>
      <c r="AQ246" s="3">
        <f>N(X246)*N(BJ246)</f>
        <v/>
      </c>
      <c r="AR246" s="3" t="n">
        <v>0</v>
      </c>
      <c r="AS246" s="3" t="n">
        <v>-0.4903625828545308</v>
      </c>
      <c r="AT246" s="3" t="n">
        <v>-0.2062473025928537</v>
      </c>
      <c r="AU246" s="3">
        <f>SUM(AO246:AT246)</f>
        <v/>
      </c>
      <c r="AV246" s="7">
        <f>IF(OR(N(W246)&lt;=0,N(BH246)=0),0,N(W246)*IF(N(R246)/N(W246)&gt;=60,N(BH246),1))</f>
        <v/>
      </c>
      <c r="AW246" s="7">
        <f>N(W246)*N(AF246)*N(BI246)</f>
        <v/>
      </c>
      <c r="AX246" s="3">
        <f>IF(N(BH246)=0,0,N(W246)*N(AH246))</f>
        <v/>
      </c>
      <c r="AY246" s="7">
        <f>N(AM246)*(Assumptions!$B$13*N(BK246)-(1-Assumptions!$B$13)*Assumptions!$B$14)+N(AN246)</f>
        <v/>
      </c>
      <c r="AZ246" s="7">
        <f>N(AU246)*N(R246)/90+N(AV246)+N(AW246)+N(AX246)+N(AY246)</f>
        <v/>
      </c>
      <c r="BA246" s="3">
        <f>IF(N(R246)&lt;=0,0,(N(AZ246)-N(AY246))*90/N(R246))</f>
        <v/>
      </c>
      <c r="BB246" s="7">
        <f>IFERROR(AZ246-VLOOKUP($E246,Assumptions!$A$40:$C$43,3,FALSE),"")</f>
        <v/>
      </c>
      <c r="BC246" s="3">
        <f>IFERROR(BB246/H246,"")</f>
        <v/>
      </c>
      <c r="BD246">
        <f>IF(AND($G246=TRUE,$E246="GKP"),AZ246,"")</f>
        <v/>
      </c>
      <c r="BE246">
        <f>IF(AND($G246=TRUE,$E246="DEF"),AZ246,"")</f>
        <v/>
      </c>
      <c r="BF246">
        <f>IF(AND($G246=TRUE,$E246="MID"),AZ246,"")</f>
        <v/>
      </c>
      <c r="BG246">
        <f>IF(AND($G246=TRUE,$E246="FWD"),AZ246,"")</f>
        <v/>
      </c>
      <c r="BH246" t="n">
        <v>2</v>
      </c>
      <c r="BI246" t="n">
        <v>2</v>
      </c>
      <c r="BJ246" t="n">
        <v>4</v>
      </c>
      <c r="BK246" t="n">
        <v>6</v>
      </c>
    </row>
    <row r="247">
      <c r="A247" t="inlineStr">
        <is>
          <t>Tyrone Mings</t>
        </is>
      </c>
      <c r="B247" t="inlineStr">
        <is>
          <t>AVL</t>
        </is>
      </c>
      <c r="C247" t="inlineStr">
        <is>
          <t>AVL</t>
        </is>
      </c>
      <c r="D247" t="b">
        <v>0</v>
      </c>
      <c r="E247" t="inlineStr">
        <is>
          <t>DEF</t>
        </is>
      </c>
      <c r="F247" t="inlineStr">
        <is>
          <t>DEF</t>
        </is>
      </c>
      <c r="G247" t="b">
        <v>1</v>
      </c>
      <c r="H247" s="2" t="n">
        <v>4.5</v>
      </c>
      <c r="I247" t="inlineStr">
        <is>
          <t>a</t>
        </is>
      </c>
      <c r="K247" s="2" t="n">
        <v>1322</v>
      </c>
      <c r="L247" t="n">
        <v>50</v>
      </c>
      <c r="M247" s="3" t="n">
        <v>1493</v>
      </c>
      <c r="N247" s="4" t="n">
        <v>1370</v>
      </c>
      <c r="O247" s="4" t="n">
        <v>-123</v>
      </c>
      <c r="P247" s="5" t="inlineStr">
        <is>
          <t>low</t>
        </is>
      </c>
      <c r="Q247" t="inlineStr">
        <is>
          <t>flat</t>
        </is>
      </c>
      <c r="R247" s="6" t="n">
        <v>1370</v>
      </c>
      <c r="S247" t="inlineStr">
        <is>
          <t>research</t>
        </is>
      </c>
      <c r="T247" s="5" t="inlineStr">
        <is>
          <t>Small trim to keep the centre-back block near its physical ceiling. Mings is fit (used off the bench in the Super Cup, started against Monchengladbach) but is 33 and now sits in a five-man centre-back group after Villa signed Modou Keba Cisse from LASK on 15 June, with Lindelof starting ahead of him in August.</t>
        </is>
      </c>
      <c r="U247" s="6" t="n">
        <v>85.8</v>
      </c>
      <c r="V247" s="2" t="n">
        <v>15</v>
      </c>
      <c r="W247" s="7">
        <f>IF(N(U247)&lt;=0,0,MIN(Assumptions!$B$15,N(R247)/N(U247)))</f>
        <v/>
      </c>
      <c r="X247" s="6" t="n">
        <v>0.273</v>
      </c>
      <c r="Y247" s="3" t="n">
        <v>0.073</v>
      </c>
      <c r="Z247" t="inlineStr">
        <is>
          <t>adjusted xGOT</t>
        </is>
      </c>
      <c r="AA247" s="3" t="n">
        <v>1</v>
      </c>
      <c r="AB247" s="3" t="n">
        <v>0.825</v>
      </c>
      <c r="AC247" s="3" t="n">
        <v>3.2</v>
      </c>
      <c r="AD247" s="3" t="n">
        <v>0.0384</v>
      </c>
      <c r="AE247" s="3" t="n">
        <v>7.426</v>
      </c>
      <c r="AF247" s="3" t="n">
        <v>0.1776515732651519</v>
      </c>
      <c r="AG247" s="3" t="n">
        <v>7.551</v>
      </c>
      <c r="AH247" s="3" t="n">
        <v>0.196969645</v>
      </c>
      <c r="AI247" s="3" t="n">
        <v>31</v>
      </c>
      <c r="AJ247" s="3" t="n">
        <v>2.7451</v>
      </c>
      <c r="AK247" s="3" t="n">
        <v>1.3575</v>
      </c>
      <c r="AL247" s="3" t="n">
        <v>-0.1396137393160241</v>
      </c>
      <c r="AM247" s="6" t="n">
        <v>0</v>
      </c>
      <c r="AN247" s="3" t="n">
        <v>0</v>
      </c>
      <c r="AO247" s="3" t="n">
        <v>0.4379999999999999</v>
      </c>
      <c r="AP247" s="3" t="n">
        <v>0.152064</v>
      </c>
      <c r="AQ247" s="3">
        <f>N(X247)*N(BJ247)</f>
        <v/>
      </c>
      <c r="AR247" s="3" t="n">
        <v>0</v>
      </c>
      <c r="AS247" s="3" t="n">
        <v>-0.4453012382517575</v>
      </c>
      <c r="AT247" s="3" t="n">
        <v>-0.1396137393160241</v>
      </c>
      <c r="AU247" s="3">
        <f>SUM(AO247:AT247)</f>
        <v/>
      </c>
      <c r="AV247" s="7">
        <f>IF(OR(N(W247)&lt;=0,N(BH247)=0),0,N(W247)*IF(N(R247)/N(W247)&gt;=60,N(BH247),1))</f>
        <v/>
      </c>
      <c r="AW247" s="7">
        <f>N(W247)*N(AF247)*N(BI247)</f>
        <v/>
      </c>
      <c r="AX247" s="3">
        <f>IF(N(BH247)=0,0,N(W247)*N(AH247))</f>
        <v/>
      </c>
      <c r="AY247" s="7">
        <f>N(AM247)*(Assumptions!$B$13*N(BK247)-(1-Assumptions!$B$13)*Assumptions!$B$14)+N(AN247)</f>
        <v/>
      </c>
      <c r="AZ247" s="7">
        <f>N(AU247)*N(R247)/90+N(AV247)+N(AW247)+N(AX247)+N(AY247)</f>
        <v/>
      </c>
      <c r="BA247" s="3">
        <f>IF(N(R247)&lt;=0,0,(N(AZ247)-N(AY247))*90/N(R247))</f>
        <v/>
      </c>
      <c r="BB247" s="7">
        <f>IFERROR(AZ247-VLOOKUP($E247,Assumptions!$A$40:$C$43,3,FALSE),"")</f>
        <v/>
      </c>
      <c r="BC247" s="3">
        <f>IFERROR(BB247/H247,"")</f>
        <v/>
      </c>
      <c r="BD247">
        <f>IF(AND($G247=TRUE,$E247="GKP"),AZ247,"")</f>
        <v/>
      </c>
      <c r="BE247">
        <f>IF(AND($G247=TRUE,$E247="DEF"),AZ247,"")</f>
        <v/>
      </c>
      <c r="BF247">
        <f>IF(AND($G247=TRUE,$E247="MID"),AZ247,"")</f>
        <v/>
      </c>
      <c r="BG247">
        <f>IF(AND($G247=TRUE,$E247="FWD"),AZ247,"")</f>
        <v/>
      </c>
      <c r="BH247" t="n">
        <v>2</v>
      </c>
      <c r="BI247" t="n">
        <v>2</v>
      </c>
      <c r="BJ247" t="n">
        <v>4</v>
      </c>
      <c r="BK247" t="n">
        <v>6</v>
      </c>
    </row>
    <row r="248">
      <c r="A248" t="inlineStr">
        <is>
          <t>Dan Ndoye</t>
        </is>
      </c>
      <c r="B248" t="inlineStr">
        <is>
          <t>NFO</t>
        </is>
      </c>
      <c r="C248" t="inlineStr">
        <is>
          <t>NFO</t>
        </is>
      </c>
      <c r="D248" t="b">
        <v>0</v>
      </c>
      <c r="E248" t="inlineStr">
        <is>
          <t>MID</t>
        </is>
      </c>
      <c r="F248" t="inlineStr">
        <is>
          <t>MID</t>
        </is>
      </c>
      <c r="G248" t="b">
        <v>1</v>
      </c>
      <c r="H248" s="2" t="n">
        <v>5.5</v>
      </c>
      <c r="I248" t="inlineStr">
        <is>
          <t>a</t>
        </is>
      </c>
      <c r="K248" s="2" t="n">
        <v>1167</v>
      </c>
      <c r="L248" t="n">
        <v>50</v>
      </c>
      <c r="M248" s="3" t="n">
        <v>2417</v>
      </c>
      <c r="N248" s="4" t="n">
        <v>2300</v>
      </c>
      <c r="O248" s="4" t="n">
        <v>-117</v>
      </c>
      <c r="P248" s="5" t="inlineStr">
        <is>
          <t>low</t>
        </is>
      </c>
      <c r="Q248" t="inlineStr">
        <is>
          <t>flat</t>
        </is>
      </c>
      <c r="R248" s="6" t="n">
        <v>2300</v>
      </c>
      <c r="S248" t="inlineStr">
        <is>
          <t>research</t>
        </is>
      </c>
      <c r="T248" s="5" t="inlineStr">
        <is>
          <t>Confirmed starter as one of the two tens and scored vs Leverkusen, but Solio adds 1,250 minutes to a 2025-26 return of 1,167, with Hutchinson and Hudson-Odoi contesting the same wide-ten roles.</t>
        </is>
      </c>
      <c r="U248" s="6" t="n">
        <v>74.90000000000001</v>
      </c>
      <c r="V248" s="2" t="n">
        <v>14</v>
      </c>
      <c r="W248" s="7">
        <f>IF(N(U248)&lt;=0,0,MIN(Assumptions!$B$15,N(R248)/N(U248)))</f>
        <v/>
      </c>
      <c r="X248" s="6" t="n">
        <v>0.224</v>
      </c>
      <c r="Y248" s="3" t="n">
        <v>0.07969999999999999</v>
      </c>
      <c r="Z248" t="inlineStr">
        <is>
          <t>adjusted xGOT</t>
        </is>
      </c>
      <c r="AA248" s="3" t="n">
        <v>1</v>
      </c>
      <c r="AB248" s="3" t="n">
        <v>0.983</v>
      </c>
      <c r="AC248" s="3" t="n">
        <v>1</v>
      </c>
      <c r="AD248" s="3" t="n">
        <v>0.1181</v>
      </c>
      <c r="AE248" s="3" t="n">
        <v>7.851</v>
      </c>
      <c r="AF248" s="3" t="n">
        <v>0.03500587420755241</v>
      </c>
      <c r="AG248" s="3" t="n">
        <v>4.902</v>
      </c>
      <c r="AH248" s="3" t="n">
        <v>0.11214988</v>
      </c>
      <c r="AI248" s="3" t="n">
        <v>34</v>
      </c>
      <c r="AJ248" s="3" t="n">
        <v>3.1134</v>
      </c>
      <c r="AK248" s="3" t="n">
        <v>1.5588</v>
      </c>
      <c r="AL248" s="3" t="n">
        <v>-0.1613023541717858</v>
      </c>
      <c r="AM248" s="6" t="n">
        <v>0</v>
      </c>
      <c r="AN248" s="3" t="n">
        <v>0</v>
      </c>
      <c r="AO248" s="3" t="n">
        <v>0.3985</v>
      </c>
      <c r="AP248" s="3" t="n">
        <v>0.467676</v>
      </c>
      <c r="AQ248" s="3">
        <f>N(X248)*N(BJ248)</f>
        <v/>
      </c>
      <c r="AR248" s="3" t="n">
        <v>0</v>
      </c>
      <c r="AS248" s="3" t="n">
        <v>-0</v>
      </c>
      <c r="AT248" s="3" t="n">
        <v>-0.1613023541717858</v>
      </c>
      <c r="AU248" s="3">
        <f>SUM(AO248:AT248)</f>
        <v/>
      </c>
      <c r="AV248" s="7">
        <f>IF(OR(N(W248)&lt;=0,N(BH248)=0),0,N(W248)*IF(N(R248)/N(W248)&gt;=60,N(BH248),1))</f>
        <v/>
      </c>
      <c r="AW248" s="7">
        <f>N(W248)*N(AF248)*N(BI248)</f>
        <v/>
      </c>
      <c r="AX248" s="3">
        <f>IF(N(BH248)=0,0,N(W248)*N(AH248))</f>
        <v/>
      </c>
      <c r="AY248" s="7">
        <f>N(AM248)*(Assumptions!$B$13*N(BK248)-(1-Assumptions!$B$13)*Assumptions!$B$14)+N(AN248)</f>
        <v/>
      </c>
      <c r="AZ248" s="7">
        <f>N(AU248)*N(R248)/90+N(AV248)+N(AW248)+N(AX248)+N(AY248)</f>
        <v/>
      </c>
      <c r="BA248" s="3">
        <f>IF(N(R248)&lt;=0,0,(N(AZ248)-N(AY248))*90/N(R248))</f>
        <v/>
      </c>
      <c r="BB248" s="7">
        <f>IFERROR(AZ248-VLOOKUP($E248,Assumptions!$A$40:$C$43,3,FALSE),"")</f>
        <v/>
      </c>
      <c r="BC248" s="3">
        <f>IFERROR(BB248/H248,"")</f>
        <v/>
      </c>
      <c r="BD248">
        <f>IF(AND($G248=TRUE,$E248="GKP"),AZ248,"")</f>
        <v/>
      </c>
      <c r="BE248">
        <f>IF(AND($G248=TRUE,$E248="DEF"),AZ248,"")</f>
        <v/>
      </c>
      <c r="BF248">
        <f>IF(AND($G248=TRUE,$E248="MID"),AZ248,"")</f>
        <v/>
      </c>
      <c r="BG248">
        <f>IF(AND($G248=TRUE,$E248="FWD"),AZ248,"")</f>
        <v/>
      </c>
      <c r="BH248" t="n">
        <v>2</v>
      </c>
      <c r="BI248" t="n">
        <v>2</v>
      </c>
      <c r="BJ248" t="n">
        <v>1</v>
      </c>
      <c r="BK248" t="n">
        <v>5</v>
      </c>
    </row>
    <row r="249">
      <c r="A249" s="9" t="inlineStr">
        <is>
          <t>Axel Disasi</t>
        </is>
      </c>
      <c r="B249" t="inlineStr">
        <is>
          <t>CHE</t>
        </is>
      </c>
      <c r="C249" s="9" t="inlineStr">
        <is>
          <t>WHU</t>
        </is>
      </c>
      <c r="D249" t="b">
        <v>1</v>
      </c>
      <c r="E249" t="inlineStr">
        <is>
          <t>DEF</t>
        </is>
      </c>
      <c r="F249" t="inlineStr">
        <is>
          <t>DEF</t>
        </is>
      </c>
      <c r="G249" t="b">
        <v>1</v>
      </c>
      <c r="H249" s="2" t="n">
        <v>4.5</v>
      </c>
      <c r="I249" t="inlineStr">
        <is>
          <t>a</t>
        </is>
      </c>
      <c r="K249" s="2" t="n">
        <v>1254</v>
      </c>
      <c r="L249" t="n">
        <v>49</v>
      </c>
      <c r="M249" s="3" t="n">
        <v>0</v>
      </c>
      <c r="N249" s="8" t="n">
        <v>0</v>
      </c>
      <c r="O249" s="8" t="n">
        <v>0</v>
      </c>
      <c r="Q249" t="inlineStr">
        <is>
          <t>flat</t>
        </is>
      </c>
      <c r="R249" s="6" t="n">
        <v>0</v>
      </c>
      <c r="S249" t="inlineStr">
        <is>
          <t>Solio</t>
        </is>
      </c>
      <c r="U249" s="6" t="n">
        <v>87.90000000000001</v>
      </c>
      <c r="V249" s="2" t="n">
        <v>14</v>
      </c>
      <c r="W249" s="7">
        <f>IF(N(U249)&lt;=0,0,MIN(Assumptions!$B$15,N(R249)/N(U249)))</f>
        <v/>
      </c>
      <c r="X249" s="6" t="n">
        <v>0.322</v>
      </c>
      <c r="Y249" s="10" t="n">
        <v>0.08019999999999999</v>
      </c>
      <c r="Z249" t="inlineStr">
        <is>
          <t>adjusted xGOT</t>
        </is>
      </c>
      <c r="AA249" s="3" t="n">
        <v>1</v>
      </c>
      <c r="AB249" s="3" t="n">
        <v>1.015</v>
      </c>
      <c r="AC249" s="3" t="n">
        <v>3.8</v>
      </c>
      <c r="AD249" s="10" t="n">
        <v>0.0019</v>
      </c>
      <c r="AE249" s="3" t="n">
        <v>6.815</v>
      </c>
      <c r="AF249" s="3" t="n">
        <v>0.1363987575151699</v>
      </c>
      <c r="AG249" s="3" t="n">
        <v>7.177</v>
      </c>
      <c r="AH249" s="3" t="n">
        <v>0.1923544182</v>
      </c>
      <c r="AI249" s="3" t="n">
        <v>28</v>
      </c>
      <c r="AJ249" s="3" t="n">
        <v>2.4232</v>
      </c>
      <c r="AK249" s="3" t="n">
        <v>1.1851</v>
      </c>
      <c r="AL249" s="3" t="n">
        <v>-0.193992112107049</v>
      </c>
      <c r="AM249" s="6" t="n">
        <v>0</v>
      </c>
      <c r="AN249" s="3" t="n">
        <v>0</v>
      </c>
      <c r="AO249" s="10" t="n">
        <v>0.4812</v>
      </c>
      <c r="AP249" s="10" t="n">
        <v>0.007524</v>
      </c>
      <c r="AQ249" s="3">
        <f>N(X249)*N(BJ249)</f>
        <v/>
      </c>
      <c r="AR249" s="3" t="n">
        <v>0</v>
      </c>
      <c r="AS249" s="3" t="n">
        <v>-0.365915508000572</v>
      </c>
      <c r="AT249" s="3" t="n">
        <v>-0.193992112107049</v>
      </c>
      <c r="AU249" s="3">
        <f>SUM(AO249:AT249)</f>
        <v/>
      </c>
      <c r="AV249" s="7">
        <f>IF(OR(N(W249)&lt;=0,N(BH249)=0),0,N(W249)*IF(N(R249)/N(W249)&gt;=60,N(BH249),1))</f>
        <v/>
      </c>
      <c r="AW249" s="7">
        <f>N(W249)*N(AF249)*N(BI249)</f>
        <v/>
      </c>
      <c r="AX249" s="3">
        <f>IF(N(BH249)=0,0,N(W249)*N(AH249))</f>
        <v/>
      </c>
      <c r="AY249" s="7">
        <f>N(AM249)*(Assumptions!$B$13*N(BK249)-(1-Assumptions!$B$13)*Assumptions!$B$14)+N(AN249)</f>
        <v/>
      </c>
      <c r="AZ249" s="7">
        <f>N(AU249)*N(R249)/90+N(AV249)+N(AW249)+N(AX249)+N(AY249)</f>
        <v/>
      </c>
      <c r="BA249" s="3">
        <f>IF(N(R249)&lt;=0,0,(N(AZ249)-N(AY249))*90/N(R249))</f>
        <v/>
      </c>
      <c r="BB249" s="7">
        <f>IFERROR(AZ249-VLOOKUP($E249,Assumptions!$A$40:$C$43,3,FALSE),"")</f>
        <v/>
      </c>
      <c r="BC249" s="3">
        <f>IFERROR(BB249/H249,"")</f>
        <v/>
      </c>
      <c r="BD249">
        <f>IF(AND($G249=TRUE,$E249="GKP"),AZ249,"")</f>
        <v/>
      </c>
      <c r="BE249">
        <f>IF(AND($G249=TRUE,$E249="DEF"),AZ249,"")</f>
        <v/>
      </c>
      <c r="BF249">
        <f>IF(AND($G249=TRUE,$E249="MID"),AZ249,"")</f>
        <v/>
      </c>
      <c r="BG249">
        <f>IF(AND($G249=TRUE,$E249="FWD"),AZ249,"")</f>
        <v/>
      </c>
      <c r="BH249" t="n">
        <v>2</v>
      </c>
      <c r="BI249" t="n">
        <v>2</v>
      </c>
      <c r="BJ249" t="n">
        <v>4</v>
      </c>
      <c r="BK249" t="n">
        <v>6</v>
      </c>
    </row>
    <row r="250">
      <c r="A250" t="inlineStr">
        <is>
          <t>Lucas Bergvall</t>
        </is>
      </c>
      <c r="B250" t="inlineStr">
        <is>
          <t>TOT</t>
        </is>
      </c>
      <c r="C250" t="inlineStr">
        <is>
          <t>TOT</t>
        </is>
      </c>
      <c r="D250" t="b">
        <v>0</v>
      </c>
      <c r="E250" t="inlineStr">
        <is>
          <t>MID</t>
        </is>
      </c>
      <c r="F250" t="inlineStr">
        <is>
          <t>MID</t>
        </is>
      </c>
      <c r="G250" t="b">
        <v>1</v>
      </c>
      <c r="H250" s="2" t="n">
        <v>5.5</v>
      </c>
      <c r="I250" t="inlineStr">
        <is>
          <t>a</t>
        </is>
      </c>
      <c r="K250" s="2" t="n">
        <v>955</v>
      </c>
      <c r="L250" t="n">
        <v>49</v>
      </c>
      <c r="M250" s="3" t="n">
        <v>277</v>
      </c>
      <c r="N250" s="4" t="n">
        <v>900</v>
      </c>
      <c r="O250" s="4" t="n">
        <v>623</v>
      </c>
      <c r="P250" s="5" t="inlineStr">
        <is>
          <t>low</t>
        </is>
      </c>
      <c r="Q250" t="inlineStr">
        <is>
          <t>flat</t>
        </is>
      </c>
      <c r="R250" s="6" t="n">
        <v>900</v>
      </c>
      <c r="S250" t="inlineStr">
        <is>
          <t>research</t>
        </is>
      </c>
      <c r="T250" s="5" t="inlineStr">
        <is>
          <t>Bergvall started both August friendlies in central midfield. De Zerbi asked him to withdraw his transfer request and commit until January, explicitly promising opportunities in the first half of the season, and Spurs have rejected Newcastle and Nottingham Forest approaches. 277 minutes assumes he is frozen out; the pre-season evidence says otherwise. Kept modest because he still wants to leave and both clubs are expected to bid again.</t>
        </is>
      </c>
      <c r="U250" s="6" t="n">
        <v>72.90000000000001</v>
      </c>
      <c r="V250" s="2" t="n">
        <v>11</v>
      </c>
      <c r="W250" s="7">
        <f>IF(N(U250)&lt;=0,0,MIN(Assumptions!$B$15,N(R250)/N(U250)))</f>
        <v/>
      </c>
      <c r="X250" s="6" t="n">
        <v>0.286</v>
      </c>
      <c r="Y250" s="3" t="n">
        <v>0.1038</v>
      </c>
      <c r="Z250" t="inlineStr">
        <is>
          <t>adjusted xGOT</t>
        </is>
      </c>
      <c r="AA250" s="3" t="n">
        <v>1</v>
      </c>
      <c r="AB250" s="3" t="n">
        <v>0.895</v>
      </c>
      <c r="AC250" s="3" t="n">
        <v>1.9</v>
      </c>
      <c r="AD250" s="3" t="n">
        <v>0.034</v>
      </c>
      <c r="AE250" s="3" t="n">
        <v>7.932</v>
      </c>
      <c r="AF250" s="3" t="n">
        <v>0.0314687778617857</v>
      </c>
      <c r="AG250" s="3" t="n">
        <v>4.755</v>
      </c>
      <c r="AH250" s="3" t="n">
        <v>0.1027510352</v>
      </c>
      <c r="AI250" s="3" t="n">
        <v>32</v>
      </c>
      <c r="AJ250" s="3" t="n">
        <v>2.5739</v>
      </c>
      <c r="AK250" s="3" t="n">
        <v>1.3096</v>
      </c>
      <c r="AL250" s="3" t="n">
        <v>-0.2186085633126312</v>
      </c>
      <c r="AM250" s="6" t="n">
        <v>0</v>
      </c>
      <c r="AN250" s="3" t="n">
        <v>0</v>
      </c>
      <c r="AO250" s="3" t="n">
        <v>0.519</v>
      </c>
      <c r="AP250" s="3" t="n">
        <v>0.13464</v>
      </c>
      <c r="AQ250" s="3">
        <f>N(X250)*N(BJ250)</f>
        <v/>
      </c>
      <c r="AR250" s="3" t="n">
        <v>0</v>
      </c>
      <c r="AS250" s="3" t="n">
        <v>-0</v>
      </c>
      <c r="AT250" s="3" t="n">
        <v>-0.2186085633126312</v>
      </c>
      <c r="AU250" s="3">
        <f>SUM(AO250:AT250)</f>
        <v/>
      </c>
      <c r="AV250" s="7">
        <f>IF(OR(N(W250)&lt;=0,N(BH250)=0),0,N(W250)*IF(N(R250)/N(W250)&gt;=60,N(BH250),1))</f>
        <v/>
      </c>
      <c r="AW250" s="7">
        <f>N(W250)*N(AF250)*N(BI250)</f>
        <v/>
      </c>
      <c r="AX250" s="3">
        <f>IF(N(BH250)=0,0,N(W250)*N(AH250))</f>
        <v/>
      </c>
      <c r="AY250" s="7">
        <f>N(AM250)*(Assumptions!$B$13*N(BK250)-(1-Assumptions!$B$13)*Assumptions!$B$14)+N(AN250)</f>
        <v/>
      </c>
      <c r="AZ250" s="7">
        <f>N(AU250)*N(R250)/90+N(AV250)+N(AW250)+N(AX250)+N(AY250)</f>
        <v/>
      </c>
      <c r="BA250" s="3">
        <f>IF(N(R250)&lt;=0,0,(N(AZ250)-N(AY250))*90/N(R250))</f>
        <v/>
      </c>
      <c r="BB250" s="7">
        <f>IFERROR(AZ250-VLOOKUP($E250,Assumptions!$A$40:$C$43,3,FALSE),"")</f>
        <v/>
      </c>
      <c r="BC250" s="3">
        <f>IFERROR(BB250/H250,"")</f>
        <v/>
      </c>
      <c r="BD250">
        <f>IF(AND($G250=TRUE,$E250="GKP"),AZ250,"")</f>
        <v/>
      </c>
      <c r="BE250">
        <f>IF(AND($G250=TRUE,$E250="DEF"),AZ250,"")</f>
        <v/>
      </c>
      <c r="BF250">
        <f>IF(AND($G250=TRUE,$E250="MID"),AZ250,"")</f>
        <v/>
      </c>
      <c r="BG250">
        <f>IF(AND($G250=TRUE,$E250="FWD"),AZ250,"")</f>
        <v/>
      </c>
      <c r="BH250" t="n">
        <v>2</v>
      </c>
      <c r="BI250" t="n">
        <v>2</v>
      </c>
      <c r="BJ250" t="n">
        <v>1</v>
      </c>
      <c r="BK250" t="n">
        <v>5</v>
      </c>
    </row>
    <row r="251">
      <c r="A251" t="inlineStr">
        <is>
          <t>Kevin</t>
        </is>
      </c>
      <c r="B251" t="inlineStr">
        <is>
          <t>FUL</t>
        </is>
      </c>
      <c r="C251" t="inlineStr">
        <is>
          <t>FUL</t>
        </is>
      </c>
      <c r="D251" t="b">
        <v>0</v>
      </c>
      <c r="E251" t="inlineStr">
        <is>
          <t>MID</t>
        </is>
      </c>
      <c r="F251" t="inlineStr">
        <is>
          <t>MID</t>
        </is>
      </c>
      <c r="G251" t="b">
        <v>1</v>
      </c>
      <c r="H251" s="2" t="n">
        <v>5.5</v>
      </c>
      <c r="I251" t="inlineStr">
        <is>
          <t>a</t>
        </is>
      </c>
      <c r="K251" s="2" t="n">
        <v>1030</v>
      </c>
      <c r="L251" t="n">
        <v>49</v>
      </c>
      <c r="M251" s="3" t="n">
        <v>2519</v>
      </c>
      <c r="N251" s="4" t="n">
        <v>2100</v>
      </c>
      <c r="O251" s="4" t="n">
        <v>-419</v>
      </c>
      <c r="P251" s="5" t="inlineStr">
        <is>
          <t>low</t>
        </is>
      </c>
      <c r="Q251" t="inlineStr">
        <is>
          <t>flat</t>
        </is>
      </c>
      <c r="R251" s="6" t="n">
        <v>2100</v>
      </c>
      <c r="S251" t="inlineStr">
        <is>
          <t>research</t>
        </is>
      </c>
      <c r="T251" s="5" t="inlineStr">
        <is>
          <t>Left wing is a genuinely contested slot rather than a nailed one. Kevin started only one of the last three friendlies (12 Aug v Malaga), was a substitute on 7 Aug and was not in the matchday squad on 15 Aug, while Bobb started all three and Palacios started two. No injury is listed against him, so this is rotation. Solio's 2519 implies near-nailed status the pre-season evidence does not support.</t>
        </is>
      </c>
      <c r="U251" s="6" t="n">
        <v>74.3</v>
      </c>
      <c r="V251" s="2" t="n">
        <v>9</v>
      </c>
      <c r="W251" s="7">
        <f>IF(N(U251)&lt;=0,0,MIN(Assumptions!$B$15,N(R251)/N(U251)))</f>
        <v/>
      </c>
      <c r="X251" s="6" t="n">
        <v>0.214</v>
      </c>
      <c r="Y251" s="3" t="n">
        <v>0.1148</v>
      </c>
      <c r="Z251" t="inlineStr">
        <is>
          <t>adjusted xGOT</t>
        </is>
      </c>
      <c r="AA251" s="3" t="n">
        <v>1</v>
      </c>
      <c r="AB251" s="3" t="n">
        <v>1.086</v>
      </c>
      <c r="AC251" s="3" t="n">
        <v>1.2</v>
      </c>
      <c r="AD251" s="3" t="n">
        <v>0.1184</v>
      </c>
      <c r="AE251" s="3" t="n">
        <v>7.952</v>
      </c>
      <c r="AF251" s="3" t="n">
        <v>0.03606416051931205</v>
      </c>
      <c r="AG251" s="3" t="n">
        <v>5.342</v>
      </c>
      <c r="AH251" s="3" t="n">
        <v>0.1651820482</v>
      </c>
      <c r="AI251" s="3" t="n">
        <v>32</v>
      </c>
      <c r="AJ251" s="3" t="n">
        <v>3.22</v>
      </c>
      <c r="AK251" s="3" t="n">
        <v>1.6019</v>
      </c>
      <c r="AL251" s="3" t="n">
        <v>-0.1693264294675384</v>
      </c>
      <c r="AM251" s="6" t="n">
        <v>0</v>
      </c>
      <c r="AN251" s="3" t="n">
        <v>0</v>
      </c>
      <c r="AO251" s="3" t="n">
        <v>0.574</v>
      </c>
      <c r="AP251" s="3" t="n">
        <v>0.4688640000000001</v>
      </c>
      <c r="AQ251" s="3">
        <f>N(X251)*N(BJ251)</f>
        <v/>
      </c>
      <c r="AR251" s="3" t="n">
        <v>0</v>
      </c>
      <c r="AS251" s="3" t="n">
        <v>-0</v>
      </c>
      <c r="AT251" s="3" t="n">
        <v>-0.1693264294675384</v>
      </c>
      <c r="AU251" s="3">
        <f>SUM(AO251:AT251)</f>
        <v/>
      </c>
      <c r="AV251" s="7">
        <f>IF(OR(N(W251)&lt;=0,N(BH251)=0),0,N(W251)*IF(N(R251)/N(W251)&gt;=60,N(BH251),1))</f>
        <v/>
      </c>
      <c r="AW251" s="7">
        <f>N(W251)*N(AF251)*N(BI251)</f>
        <v/>
      </c>
      <c r="AX251" s="3">
        <f>IF(N(BH251)=0,0,N(W251)*N(AH251))</f>
        <v/>
      </c>
      <c r="AY251" s="7">
        <f>N(AM251)*(Assumptions!$B$13*N(BK251)-(1-Assumptions!$B$13)*Assumptions!$B$14)+N(AN251)</f>
        <v/>
      </c>
      <c r="AZ251" s="7">
        <f>N(AU251)*N(R251)/90+N(AV251)+N(AW251)+N(AX251)+N(AY251)</f>
        <v/>
      </c>
      <c r="BA251" s="3">
        <f>IF(N(R251)&lt;=0,0,(N(AZ251)-N(AY251))*90/N(R251))</f>
        <v/>
      </c>
      <c r="BB251" s="7">
        <f>IFERROR(AZ251-VLOOKUP($E251,Assumptions!$A$40:$C$43,3,FALSE),"")</f>
        <v/>
      </c>
      <c r="BC251" s="3">
        <f>IFERROR(BB251/H251,"")</f>
        <v/>
      </c>
      <c r="BD251">
        <f>IF(AND($G251=TRUE,$E251="GKP"),AZ251,"")</f>
        <v/>
      </c>
      <c r="BE251">
        <f>IF(AND($G251=TRUE,$E251="DEF"),AZ251,"")</f>
        <v/>
      </c>
      <c r="BF251">
        <f>IF(AND($G251=TRUE,$E251="MID"),AZ251,"")</f>
        <v/>
      </c>
      <c r="BG251">
        <f>IF(AND($G251=TRUE,$E251="FWD"),AZ251,"")</f>
        <v/>
      </c>
      <c r="BH251" t="n">
        <v>2</v>
      </c>
      <c r="BI251" t="n">
        <v>2</v>
      </c>
      <c r="BJ251" t="n">
        <v>1</v>
      </c>
      <c r="BK251" t="n">
        <v>5</v>
      </c>
    </row>
    <row r="252">
      <c r="A252" t="inlineStr">
        <is>
          <t>Nicolás Domínguez</t>
        </is>
      </c>
      <c r="B252" t="inlineStr">
        <is>
          <t>NFO</t>
        </is>
      </c>
      <c r="C252" t="inlineStr">
        <is>
          <t>NFO</t>
        </is>
      </c>
      <c r="D252" t="b">
        <v>0</v>
      </c>
      <c r="E252" t="inlineStr">
        <is>
          <t>MID</t>
        </is>
      </c>
      <c r="F252" t="inlineStr">
        <is>
          <t>MID</t>
        </is>
      </c>
      <c r="G252" t="b">
        <v>1</v>
      </c>
      <c r="H252" s="2" t="n">
        <v>5</v>
      </c>
      <c r="I252" t="inlineStr">
        <is>
          <t>a</t>
        </is>
      </c>
      <c r="K252" s="2" t="n">
        <v>1168</v>
      </c>
      <c r="L252" t="n">
        <v>48</v>
      </c>
      <c r="M252" s="3" t="n">
        <v>752</v>
      </c>
      <c r="N252" s="8" t="n">
        <v>752</v>
      </c>
      <c r="O252" s="8" t="n">
        <v>0</v>
      </c>
      <c r="Q252" t="inlineStr">
        <is>
          <t>flat</t>
        </is>
      </c>
      <c r="R252" s="6" t="n">
        <v>752</v>
      </c>
      <c r="S252" t="inlineStr">
        <is>
          <t>Solio</t>
        </is>
      </c>
      <c r="U252" s="6" t="n">
        <v>67.59999999999999</v>
      </c>
      <c r="V252" s="2" t="n">
        <v>17</v>
      </c>
      <c r="W252" s="7">
        <f>IF(N(U252)&lt;=0,0,MIN(Assumptions!$B$15,N(R252)/N(U252)))</f>
        <v/>
      </c>
      <c r="X252" s="6" t="n">
        <v>0.224</v>
      </c>
      <c r="Y252" s="3" t="n">
        <v>0.1147</v>
      </c>
      <c r="Z252" t="inlineStr">
        <is>
          <t>adjusted xGOT</t>
        </is>
      </c>
      <c r="AA252" s="3" t="n">
        <v>1</v>
      </c>
      <c r="AB252" s="3" t="n">
        <v>1.012</v>
      </c>
      <c r="AC252" s="3" t="n">
        <v>4.4</v>
      </c>
      <c r="AD252" s="3" t="n">
        <v>0.079</v>
      </c>
      <c r="AE252" s="3" t="n">
        <v>10.088</v>
      </c>
      <c r="AF252" s="3" t="n">
        <v>0.08384111693874197</v>
      </c>
      <c r="AG252" s="3" t="n">
        <v>7.901</v>
      </c>
      <c r="AH252" s="3" t="n">
        <v>0.167287368</v>
      </c>
      <c r="AI252" s="3" t="n">
        <v>35</v>
      </c>
      <c r="AJ252" s="3" t="n">
        <v>3.1134</v>
      </c>
      <c r="AK252" s="3" t="n">
        <v>1.5588</v>
      </c>
      <c r="AL252" s="3" t="n">
        <v>-0.2879209450932014</v>
      </c>
      <c r="AM252" s="6" t="n">
        <v>0</v>
      </c>
      <c r="AN252" s="3" t="n">
        <v>0</v>
      </c>
      <c r="AO252" s="3" t="n">
        <v>0.5735</v>
      </c>
      <c r="AP252" s="3" t="n">
        <v>0.31284</v>
      </c>
      <c r="AQ252" s="3">
        <f>N(X252)*N(BJ252)</f>
        <v/>
      </c>
      <c r="AR252" s="3" t="n">
        <v>0</v>
      </c>
      <c r="AS252" s="3" t="n">
        <v>-0</v>
      </c>
      <c r="AT252" s="3" t="n">
        <v>-0.2879209450932014</v>
      </c>
      <c r="AU252" s="3">
        <f>SUM(AO252:AT252)</f>
        <v/>
      </c>
      <c r="AV252" s="7">
        <f>IF(OR(N(W252)&lt;=0,N(BH252)=0),0,N(W252)*IF(N(R252)/N(W252)&gt;=60,N(BH252),1))</f>
        <v/>
      </c>
      <c r="AW252" s="7">
        <f>N(W252)*N(AF252)*N(BI252)</f>
        <v/>
      </c>
      <c r="AX252" s="3">
        <f>IF(N(BH252)=0,0,N(W252)*N(AH252))</f>
        <v/>
      </c>
      <c r="AY252" s="7">
        <f>N(AM252)*(Assumptions!$B$13*N(BK252)-(1-Assumptions!$B$13)*Assumptions!$B$14)+N(AN252)</f>
        <v/>
      </c>
      <c r="AZ252" s="7">
        <f>N(AU252)*N(R252)/90+N(AV252)+N(AW252)+N(AX252)+N(AY252)</f>
        <v/>
      </c>
      <c r="BA252" s="3">
        <f>IF(N(R252)&lt;=0,0,(N(AZ252)-N(AY252))*90/N(R252))</f>
        <v/>
      </c>
      <c r="BB252" s="7">
        <f>IFERROR(AZ252-VLOOKUP($E252,Assumptions!$A$40:$C$43,3,FALSE),"")</f>
        <v/>
      </c>
      <c r="BC252" s="3">
        <f>IFERROR(BB252/H252,"")</f>
        <v/>
      </c>
      <c r="BD252">
        <f>IF(AND($G252=TRUE,$E252="GKP"),AZ252,"")</f>
        <v/>
      </c>
      <c r="BE252">
        <f>IF(AND($G252=TRUE,$E252="DEF"),AZ252,"")</f>
        <v/>
      </c>
      <c r="BF252">
        <f>IF(AND($G252=TRUE,$E252="MID"),AZ252,"")</f>
        <v/>
      </c>
      <c r="BG252">
        <f>IF(AND($G252=TRUE,$E252="FWD"),AZ252,"")</f>
        <v/>
      </c>
      <c r="BH252" t="n">
        <v>2</v>
      </c>
      <c r="BI252" t="n">
        <v>2</v>
      </c>
      <c r="BJ252" t="n">
        <v>1</v>
      </c>
      <c r="BK252" t="n">
        <v>5</v>
      </c>
    </row>
    <row r="253">
      <c r="A253" t="inlineStr">
        <is>
          <t>Anthony Elanga</t>
        </is>
      </c>
      <c r="B253" t="inlineStr">
        <is>
          <t>NEW</t>
        </is>
      </c>
      <c r="C253" t="inlineStr">
        <is>
          <t>NEW</t>
        </is>
      </c>
      <c r="D253" t="b">
        <v>0</v>
      </c>
      <c r="E253" t="inlineStr">
        <is>
          <t>MID</t>
        </is>
      </c>
      <c r="F253" t="inlineStr">
        <is>
          <t>MID</t>
        </is>
      </c>
      <c r="G253" t="b">
        <v>1</v>
      </c>
      <c r="H253" s="2" t="n">
        <v>6</v>
      </c>
      <c r="I253" t="inlineStr">
        <is>
          <t>a</t>
        </is>
      </c>
      <c r="K253" s="2" t="n">
        <v>1302</v>
      </c>
      <c r="L253" t="n">
        <v>48</v>
      </c>
      <c r="M253" s="3" t="n">
        <v>1345</v>
      </c>
      <c r="N253" s="4" t="n">
        <v>1850</v>
      </c>
      <c r="O253" s="4" t="n">
        <v>505</v>
      </c>
      <c r="P253" s="5" t="inlineStr">
        <is>
          <t>high</t>
        </is>
      </c>
      <c r="Q253" t="inlineStr">
        <is>
          <t>flat</t>
        </is>
      </c>
      <c r="R253" s="6" t="n">
        <v>1850</v>
      </c>
      <c r="S253" t="inlineStr">
        <is>
          <t>research</t>
        </is>
      </c>
      <c r="T253" s="5" t="inlineStr">
        <is>
          <t>Solio's 1,345 tracks his 1,302 minutes from 2025/26, a season in which he sat behind Anthony Gordon and Jacob Murphy. Gordon has been sold to Barcelona and Elanga has started all three Jaissle friendlies, including three days after being stretchered off at Valencia. The senior wide group is now just Elanga, Barnes, Toure and the out-of-favour Murphy.</t>
        </is>
      </c>
      <c r="U253" s="6" t="n">
        <v>74.40000000000001</v>
      </c>
      <c r="V253" s="2" t="n">
        <v>14</v>
      </c>
      <c r="W253" s="7">
        <f>IF(N(U253)&lt;=0,0,MIN(Assumptions!$B$15,N(R253)/N(U253)))</f>
        <v/>
      </c>
      <c r="X253" s="6" t="n">
        <v>0.248</v>
      </c>
      <c r="Y253" s="3" t="n">
        <v>0.1268</v>
      </c>
      <c r="Z253" t="inlineStr">
        <is>
          <t>adjusted xGOT</t>
        </is>
      </c>
      <c r="AA253" s="3" t="n">
        <v>1</v>
      </c>
      <c r="AB253" s="3" t="n">
        <v>1.112</v>
      </c>
      <c r="AC253" s="3" t="n">
        <v>13.3</v>
      </c>
      <c r="AD253" s="3" t="n">
        <v>0.1206</v>
      </c>
      <c r="AE253" s="3" t="n">
        <v>5.502</v>
      </c>
      <c r="AF253" s="3" t="n">
        <v>0.002617654306675932</v>
      </c>
      <c r="AG253" s="3" t="n">
        <v>5.105</v>
      </c>
      <c r="AH253" s="3" t="n">
        <v>0.185214925</v>
      </c>
      <c r="AI253" s="3" t="n">
        <v>43</v>
      </c>
      <c r="AJ253" s="3" t="n">
        <v>3.0912</v>
      </c>
      <c r="AK253" s="3" t="n">
        <v>1.4534</v>
      </c>
      <c r="AL253" s="3" t="n">
        <v>-0.0890351884799802</v>
      </c>
      <c r="AM253" s="6" t="n">
        <v>0</v>
      </c>
      <c r="AN253" s="3" t="n">
        <v>0</v>
      </c>
      <c r="AO253" s="3" t="n">
        <v>0.634</v>
      </c>
      <c r="AP253" s="3" t="n">
        <v>0.4775760000000001</v>
      </c>
      <c r="AQ253" s="3">
        <f>N(X253)*N(BJ253)</f>
        <v/>
      </c>
      <c r="AR253" s="3" t="n">
        <v>0</v>
      </c>
      <c r="AS253" s="3" t="n">
        <v>-0</v>
      </c>
      <c r="AT253" s="3" t="n">
        <v>-0.0890351884799802</v>
      </c>
      <c r="AU253" s="3">
        <f>SUM(AO253:AT253)</f>
        <v/>
      </c>
      <c r="AV253" s="7">
        <f>IF(OR(N(W253)&lt;=0,N(BH253)=0),0,N(W253)*IF(N(R253)/N(W253)&gt;=60,N(BH253),1))</f>
        <v/>
      </c>
      <c r="AW253" s="7">
        <f>N(W253)*N(AF253)*N(BI253)</f>
        <v/>
      </c>
      <c r="AX253" s="3">
        <f>IF(N(BH253)=0,0,N(W253)*N(AH253))</f>
        <v/>
      </c>
      <c r="AY253" s="7">
        <f>N(AM253)*(Assumptions!$B$13*N(BK253)-(1-Assumptions!$B$13)*Assumptions!$B$14)+N(AN253)</f>
        <v/>
      </c>
      <c r="AZ253" s="7">
        <f>N(AU253)*N(R253)/90+N(AV253)+N(AW253)+N(AX253)+N(AY253)</f>
        <v/>
      </c>
      <c r="BA253" s="3">
        <f>IF(N(R253)&lt;=0,0,(N(AZ253)-N(AY253))*90/N(R253))</f>
        <v/>
      </c>
      <c r="BB253" s="7">
        <f>IFERROR(AZ253-VLOOKUP($E253,Assumptions!$A$40:$C$43,3,FALSE),"")</f>
        <v/>
      </c>
      <c r="BC253" s="3">
        <f>IFERROR(BB253/H253,"")</f>
        <v/>
      </c>
      <c r="BD253">
        <f>IF(AND($G253=TRUE,$E253="GKP"),AZ253,"")</f>
        <v/>
      </c>
      <c r="BE253">
        <f>IF(AND($G253=TRUE,$E253="DEF"),AZ253,"")</f>
        <v/>
      </c>
      <c r="BF253">
        <f>IF(AND($G253=TRUE,$E253="MID"),AZ253,"")</f>
        <v/>
      </c>
      <c r="BG253">
        <f>IF(AND($G253=TRUE,$E253="FWD"),AZ253,"")</f>
        <v/>
      </c>
      <c r="BH253" t="n">
        <v>2</v>
      </c>
      <c r="BI253" t="n">
        <v>2</v>
      </c>
      <c r="BJ253" t="n">
        <v>1</v>
      </c>
      <c r="BK253" t="n">
        <v>5</v>
      </c>
    </row>
    <row r="254">
      <c r="A254" t="inlineStr">
        <is>
          <t>Ryan Christie</t>
        </is>
      </c>
      <c r="B254" t="inlineStr">
        <is>
          <t>BOU</t>
        </is>
      </c>
      <c r="C254" t="inlineStr">
        <is>
          <t>BOU</t>
        </is>
      </c>
      <c r="D254" t="b">
        <v>0</v>
      </c>
      <c r="E254" t="inlineStr">
        <is>
          <t>MID</t>
        </is>
      </c>
      <c r="F254" t="inlineStr">
        <is>
          <t>MID</t>
        </is>
      </c>
      <c r="G254" t="b">
        <v>1</v>
      </c>
      <c r="H254" s="2" t="n">
        <v>5</v>
      </c>
      <c r="I254" t="inlineStr">
        <is>
          <t>s</t>
        </is>
      </c>
      <c r="J254" t="inlineStr">
        <is>
          <t>Suspended until 29 Aug</t>
        </is>
      </c>
      <c r="K254" s="2" t="n">
        <v>978</v>
      </c>
      <c r="L254" t="n">
        <v>47</v>
      </c>
      <c r="M254" s="3" t="n">
        <v>406</v>
      </c>
      <c r="N254" s="8" t="n">
        <v>406</v>
      </c>
      <c r="O254" s="8" t="n">
        <v>0</v>
      </c>
      <c r="Q254" t="inlineStr">
        <is>
          <t>flat</t>
        </is>
      </c>
      <c r="R254" s="6" t="n">
        <v>406</v>
      </c>
      <c r="S254" t="inlineStr">
        <is>
          <t>Solio</t>
        </is>
      </c>
      <c r="U254" s="6" t="n">
        <v>74.90000000000001</v>
      </c>
      <c r="V254" s="2" t="n">
        <v>8</v>
      </c>
      <c r="W254" s="7">
        <f>IF(N(U254)&lt;=0,0,MIN(Assumptions!$B$15,N(R254)/N(U254)))</f>
        <v/>
      </c>
      <c r="X254" s="6" t="n">
        <v>0.23</v>
      </c>
      <c r="Y254" s="3" t="n">
        <v>0.1653</v>
      </c>
      <c r="Z254" t="inlineStr">
        <is>
          <t>adjusted xGOT</t>
        </is>
      </c>
      <c r="AA254" s="3" t="n">
        <v>1</v>
      </c>
      <c r="AB254" s="3" t="n">
        <v>0.992</v>
      </c>
      <c r="AC254" s="3" t="n">
        <v>9.300000000000001</v>
      </c>
      <c r="AD254" s="3" t="n">
        <v>0.1109</v>
      </c>
      <c r="AE254" s="3" t="n">
        <v>10.156</v>
      </c>
      <c r="AF254" s="3" t="n">
        <v>0.1472766661239835</v>
      </c>
      <c r="AG254" s="3" t="n">
        <v>7.753</v>
      </c>
      <c r="AH254" s="3" t="n">
        <v>0.3006656067</v>
      </c>
      <c r="AI254" s="3" t="n">
        <v>33</v>
      </c>
      <c r="AJ254" s="3" t="n">
        <v>3.0957</v>
      </c>
      <c r="AK254" s="3" t="n">
        <v>1.53</v>
      </c>
      <c r="AL254" s="3" t="n">
        <v>-0.2762743852642902</v>
      </c>
      <c r="AM254" s="6" t="n">
        <v>0</v>
      </c>
      <c r="AN254" s="3" t="n">
        <v>0</v>
      </c>
      <c r="AO254" s="3" t="n">
        <v>0.8265</v>
      </c>
      <c r="AP254" s="3" t="n">
        <v>0.439164</v>
      </c>
      <c r="AQ254" s="3">
        <f>N(X254)*N(BJ254)</f>
        <v/>
      </c>
      <c r="AR254" s="3" t="n">
        <v>0</v>
      </c>
      <c r="AS254" s="3" t="n">
        <v>-0</v>
      </c>
      <c r="AT254" s="3" t="n">
        <v>-0.2762743852642902</v>
      </c>
      <c r="AU254" s="3">
        <f>SUM(AO254:AT254)</f>
        <v/>
      </c>
      <c r="AV254" s="7">
        <f>IF(OR(N(W254)&lt;=0,N(BH254)=0),0,N(W254)*IF(N(R254)/N(W254)&gt;=60,N(BH254),1))</f>
        <v/>
      </c>
      <c r="AW254" s="7">
        <f>N(W254)*N(AF254)*N(BI254)</f>
        <v/>
      </c>
      <c r="AX254" s="3">
        <f>IF(N(BH254)=0,0,N(W254)*N(AH254))</f>
        <v/>
      </c>
      <c r="AY254" s="7">
        <f>N(AM254)*(Assumptions!$B$13*N(BK254)-(1-Assumptions!$B$13)*Assumptions!$B$14)+N(AN254)</f>
        <v/>
      </c>
      <c r="AZ254" s="7">
        <f>N(AU254)*N(R254)/90+N(AV254)+N(AW254)+N(AX254)+N(AY254)</f>
        <v/>
      </c>
      <c r="BA254" s="3">
        <f>IF(N(R254)&lt;=0,0,(N(AZ254)-N(AY254))*90/N(R254))</f>
        <v/>
      </c>
      <c r="BB254" s="7">
        <f>IFERROR(AZ254-VLOOKUP($E254,Assumptions!$A$40:$C$43,3,FALSE),"")</f>
        <v/>
      </c>
      <c r="BC254" s="3">
        <f>IFERROR(BB254/H254,"")</f>
        <v/>
      </c>
      <c r="BD254">
        <f>IF(AND($G254=TRUE,$E254="GKP"),AZ254,"")</f>
        <v/>
      </c>
      <c r="BE254">
        <f>IF(AND($G254=TRUE,$E254="DEF"),AZ254,"")</f>
        <v/>
      </c>
      <c r="BF254">
        <f>IF(AND($G254=TRUE,$E254="MID"),AZ254,"")</f>
        <v/>
      </c>
      <c r="BG254">
        <f>IF(AND($G254=TRUE,$E254="FWD"),AZ254,"")</f>
        <v/>
      </c>
      <c r="BH254" t="n">
        <v>2</v>
      </c>
      <c r="BI254" t="n">
        <v>2</v>
      </c>
      <c r="BJ254" t="n">
        <v>1</v>
      </c>
      <c r="BK254" t="n">
        <v>5</v>
      </c>
    </row>
    <row r="255">
      <c r="A255" s="9" t="inlineStr">
        <is>
          <t>Andrey Santos</t>
        </is>
      </c>
      <c r="B255" t="inlineStr">
        <is>
          <t>MUN</t>
        </is>
      </c>
      <c r="C255" s="9" t="inlineStr">
        <is>
          <t>CHE</t>
        </is>
      </c>
      <c r="D255" t="b">
        <v>1</v>
      </c>
      <c r="E255" t="inlineStr">
        <is>
          <t>MID</t>
        </is>
      </c>
      <c r="F255" t="inlineStr">
        <is>
          <t>MID</t>
        </is>
      </c>
      <c r="G255" t="b">
        <v>1</v>
      </c>
      <c r="H255" s="2" t="n">
        <v>5</v>
      </c>
      <c r="I255" t="inlineStr">
        <is>
          <t>a</t>
        </is>
      </c>
      <c r="K255" s="2" t="n">
        <v>1247</v>
      </c>
      <c r="L255" t="n">
        <v>47</v>
      </c>
      <c r="M255" s="3" t="n">
        <v>2861</v>
      </c>
      <c r="N255" s="8" t="n">
        <v>2861</v>
      </c>
      <c r="O255" s="8" t="n">
        <v>0</v>
      </c>
      <c r="Q255" t="inlineStr">
        <is>
          <t>flat</t>
        </is>
      </c>
      <c r="R255" s="6" t="n">
        <v>2861</v>
      </c>
      <c r="S255" t="inlineStr">
        <is>
          <t>Solio</t>
        </is>
      </c>
      <c r="U255" s="6" t="n">
        <v>75</v>
      </c>
      <c r="V255" s="2" t="n">
        <v>13</v>
      </c>
      <c r="W255" s="7">
        <f>IF(N(U255)&lt;=0,0,MIN(Assumptions!$B$15,N(R255)/N(U255)))</f>
        <v/>
      </c>
      <c r="X255" s="6" t="n">
        <v>0.334</v>
      </c>
      <c r="Y255" s="10" t="n">
        <v>0.1349</v>
      </c>
      <c r="Z255" t="inlineStr">
        <is>
          <t>adjusted xGOT</t>
        </is>
      </c>
      <c r="AA255" s="3" t="n">
        <v>1</v>
      </c>
      <c r="AB255" s="3" t="n">
        <v>0.9340000000000001</v>
      </c>
      <c r="AC255" s="3" t="n">
        <v>2.1</v>
      </c>
      <c r="AD255" s="10" t="n">
        <v>0.0566</v>
      </c>
      <c r="AE255" s="3" t="n">
        <v>9.042</v>
      </c>
      <c r="AF255" s="3" t="n">
        <v>0.08130627024531711</v>
      </c>
      <c r="AG255" s="3" t="n">
        <v>8.901999999999999</v>
      </c>
      <c r="AH255" s="3" t="n">
        <v>0.1994546784</v>
      </c>
      <c r="AI255" s="3" t="n">
        <v>38</v>
      </c>
      <c r="AJ255" s="3" t="n">
        <v>2.2165</v>
      </c>
      <c r="AK255" s="3" t="n">
        <v>1.1467</v>
      </c>
      <c r="AL255" s="3" t="n">
        <v>-0.2572282668161304</v>
      </c>
      <c r="AM255" s="6" t="n">
        <v>0</v>
      </c>
      <c r="AN255" s="3" t="n">
        <v>0</v>
      </c>
      <c r="AO255" s="10" t="n">
        <v>0.6745</v>
      </c>
      <c r="AP255" s="10" t="n">
        <v>0.224136</v>
      </c>
      <c r="AQ255" s="3">
        <f>N(X255)*N(BJ255)</f>
        <v/>
      </c>
      <c r="AR255" s="3" t="n">
        <v>0</v>
      </c>
      <c r="AS255" s="3" t="n">
        <v>-0</v>
      </c>
      <c r="AT255" s="3" t="n">
        <v>-0.2572282668161304</v>
      </c>
      <c r="AU255" s="3">
        <f>SUM(AO255:AT255)</f>
        <v/>
      </c>
      <c r="AV255" s="7">
        <f>IF(OR(N(W255)&lt;=0,N(BH255)=0),0,N(W255)*IF(N(R255)/N(W255)&gt;=60,N(BH255),1))</f>
        <v/>
      </c>
      <c r="AW255" s="7">
        <f>N(W255)*N(AF255)*N(BI255)</f>
        <v/>
      </c>
      <c r="AX255" s="3">
        <f>IF(N(BH255)=0,0,N(W255)*N(AH255))</f>
        <v/>
      </c>
      <c r="AY255" s="7">
        <f>N(AM255)*(Assumptions!$B$13*N(BK255)-(1-Assumptions!$B$13)*Assumptions!$B$14)+N(AN255)</f>
        <v/>
      </c>
      <c r="AZ255" s="7">
        <f>N(AU255)*N(R255)/90+N(AV255)+N(AW255)+N(AX255)+N(AY255)</f>
        <v/>
      </c>
      <c r="BA255" s="3">
        <f>IF(N(R255)&lt;=0,0,(N(AZ255)-N(AY255))*90/N(R255))</f>
        <v/>
      </c>
      <c r="BB255" s="7">
        <f>IFERROR(AZ255-VLOOKUP($E255,Assumptions!$A$40:$C$43,3,FALSE),"")</f>
        <v/>
      </c>
      <c r="BC255" s="3">
        <f>IFERROR(BB255/H255,"")</f>
        <v/>
      </c>
      <c r="BD255">
        <f>IF(AND($G255=TRUE,$E255="GKP"),AZ255,"")</f>
        <v/>
      </c>
      <c r="BE255">
        <f>IF(AND($G255=TRUE,$E255="DEF"),AZ255,"")</f>
        <v/>
      </c>
      <c r="BF255">
        <f>IF(AND($G255=TRUE,$E255="MID"),AZ255,"")</f>
        <v/>
      </c>
      <c r="BG255">
        <f>IF(AND($G255=TRUE,$E255="FWD"),AZ255,"")</f>
        <v/>
      </c>
      <c r="BH255" t="n">
        <v>2</v>
      </c>
      <c r="BI255" t="n">
        <v>2</v>
      </c>
      <c r="BJ255" t="n">
        <v>1</v>
      </c>
      <c r="BK255" t="n">
        <v>5</v>
      </c>
    </row>
    <row r="256">
      <c r="A256" t="inlineStr">
        <is>
          <t>Bafodé Diakité</t>
        </is>
      </c>
      <c r="B256" t="inlineStr">
        <is>
          <t>BOU</t>
        </is>
      </c>
      <c r="C256" t="inlineStr">
        <is>
          <t>BOU</t>
        </is>
      </c>
      <c r="D256" t="b">
        <v>0</v>
      </c>
      <c r="E256" t="inlineStr">
        <is>
          <t>DEF</t>
        </is>
      </c>
      <c r="F256" t="inlineStr">
        <is>
          <t>DEF</t>
        </is>
      </c>
      <c r="G256" t="b">
        <v>1</v>
      </c>
      <c r="H256" s="2" t="n">
        <v>5</v>
      </c>
      <c r="I256" t="inlineStr">
        <is>
          <t>a</t>
        </is>
      </c>
      <c r="K256" s="2" t="n">
        <v>1275</v>
      </c>
      <c r="L256" t="n">
        <v>46</v>
      </c>
      <c r="M256" s="3" t="n">
        <v>130</v>
      </c>
      <c r="N256" s="4" t="n">
        <v>1150</v>
      </c>
      <c r="O256" s="4" t="n">
        <v>1020</v>
      </c>
      <c r="P256" s="5" t="inlineStr">
        <is>
          <t>medium</t>
        </is>
      </c>
      <c r="Q256" t="inlineStr">
        <is>
          <t>flat</t>
        </is>
      </c>
      <c r="R256" s="6" t="n">
        <v>1150</v>
      </c>
      <c r="S256" t="inlineStr">
        <is>
          <t>research</t>
        </is>
      </c>
      <c r="T256" s="5" t="inlineStr">
        <is>
          <t>Solio's 130 minutes implies Diakite is effectively out of the squad, which the evidence contradicts on every count: he started at centre-back in the 8 Aug Betis friendly, was named on the bench for the 15 Aug Mainz friendly, is fit (FPL status 'a', no news), was a c.EUR 35m signing from Lille in Aug 2025 under contract to 2030, and carries no transfer rumours. With Senesi gone to Tottenham he is one of only three fit senior centre-backs for a season that includes a Europa League league phase. This looks like a straight Solio error rather than a judgement call.</t>
        </is>
      </c>
      <c r="U256" s="6" t="n">
        <v>84.59999999999999</v>
      </c>
      <c r="V256" s="2" t="n">
        <v>15</v>
      </c>
      <c r="W256" s="7">
        <f>IF(N(U256)&lt;=0,0,MIN(Assumptions!$B$15,N(R256)/N(U256)))</f>
        <v/>
      </c>
      <c r="X256" s="6" t="n">
        <v>0.23</v>
      </c>
      <c r="Y256" s="3" t="n">
        <v>0.0014</v>
      </c>
      <c r="Z256" t="inlineStr">
        <is>
          <t>adjusted xGOT</t>
        </is>
      </c>
      <c r="AA256" s="3" t="n">
        <v>1</v>
      </c>
      <c r="AB256" s="3" t="n">
        <v>0.998</v>
      </c>
      <c r="AC256" s="3" t="n">
        <v>0</v>
      </c>
      <c r="AD256" s="3" t="n">
        <v>0.0097</v>
      </c>
      <c r="AE256" s="3" t="n">
        <v>8.052</v>
      </c>
      <c r="AF256" s="3" t="n">
        <v>0.2315285912091684</v>
      </c>
      <c r="AG256" s="3" t="n">
        <v>8.122999999999999</v>
      </c>
      <c r="AH256" s="3" t="n">
        <v>0.1173958409</v>
      </c>
      <c r="AI256" s="3" t="n">
        <v>31</v>
      </c>
      <c r="AJ256" s="3" t="n">
        <v>3.0957</v>
      </c>
      <c r="AK256" s="3" t="n">
        <v>1.53</v>
      </c>
      <c r="AL256" s="3" t="n">
        <v>-0.1515806232502433</v>
      </c>
      <c r="AM256" s="6" t="n">
        <v>0</v>
      </c>
      <c r="AN256" s="3" t="n">
        <v>0</v>
      </c>
      <c r="AO256" s="3" t="n">
        <v>0.008399999999999999</v>
      </c>
      <c r="AP256" s="3" t="n">
        <v>0.038412</v>
      </c>
      <c r="AQ256" s="3">
        <f>N(X256)*N(BJ256)</f>
        <v/>
      </c>
      <c r="AR256" s="3" t="n">
        <v>0</v>
      </c>
      <c r="AS256" s="3" t="n">
        <v>-0.5267219238049191</v>
      </c>
      <c r="AT256" s="3" t="n">
        <v>-0.1515806232502433</v>
      </c>
      <c r="AU256" s="3">
        <f>SUM(AO256:AT256)</f>
        <v/>
      </c>
      <c r="AV256" s="7">
        <f>IF(OR(N(W256)&lt;=0,N(BH256)=0),0,N(W256)*IF(N(R256)/N(W256)&gt;=60,N(BH256),1))</f>
        <v/>
      </c>
      <c r="AW256" s="7">
        <f>N(W256)*N(AF256)*N(BI256)</f>
        <v/>
      </c>
      <c r="AX256" s="3">
        <f>IF(N(BH256)=0,0,N(W256)*N(AH256))</f>
        <v/>
      </c>
      <c r="AY256" s="7">
        <f>N(AM256)*(Assumptions!$B$13*N(BK256)-(1-Assumptions!$B$13)*Assumptions!$B$14)+N(AN256)</f>
        <v/>
      </c>
      <c r="AZ256" s="7">
        <f>N(AU256)*N(R256)/90+N(AV256)+N(AW256)+N(AX256)+N(AY256)</f>
        <v/>
      </c>
      <c r="BA256" s="3">
        <f>IF(N(R256)&lt;=0,0,(N(AZ256)-N(AY256))*90/N(R256))</f>
        <v/>
      </c>
      <c r="BB256" s="7">
        <f>IFERROR(AZ256-VLOOKUP($E256,Assumptions!$A$40:$C$43,3,FALSE),"")</f>
        <v/>
      </c>
      <c r="BC256" s="3">
        <f>IFERROR(BB256/H256,"")</f>
        <v/>
      </c>
      <c r="BD256">
        <f>IF(AND($G256=TRUE,$E256="GKP"),AZ256,"")</f>
        <v/>
      </c>
      <c r="BE256">
        <f>IF(AND($G256=TRUE,$E256="DEF"),AZ256,"")</f>
        <v/>
      </c>
      <c r="BF256">
        <f>IF(AND($G256=TRUE,$E256="MID"),AZ256,"")</f>
        <v/>
      </c>
      <c r="BG256">
        <f>IF(AND($G256=TRUE,$E256="FWD"),AZ256,"")</f>
        <v/>
      </c>
      <c r="BH256" t="n">
        <v>2</v>
      </c>
      <c r="BI256" t="n">
        <v>2</v>
      </c>
      <c r="BJ256" t="n">
        <v>4</v>
      </c>
      <c r="BK256" t="n">
        <v>6</v>
      </c>
    </row>
    <row r="257">
      <c r="A257" t="inlineStr">
        <is>
          <t>Wilson Odobert</t>
        </is>
      </c>
      <c r="B257" t="inlineStr">
        <is>
          <t>TOT</t>
        </is>
      </c>
      <c r="C257" t="inlineStr">
        <is>
          <t>TOT</t>
        </is>
      </c>
      <c r="D257" t="b">
        <v>0</v>
      </c>
      <c r="E257" t="inlineStr">
        <is>
          <t>MID</t>
        </is>
      </c>
      <c r="F257" t="inlineStr">
        <is>
          <t>MID</t>
        </is>
      </c>
      <c r="G257" t="b">
        <v>1</v>
      </c>
      <c r="H257" s="2" t="n">
        <v>5.5</v>
      </c>
      <c r="I257" t="inlineStr">
        <is>
          <t>i</t>
        </is>
      </c>
      <c r="J257" t="inlineStr">
        <is>
          <t>Knee injury - Unknown return date</t>
        </is>
      </c>
      <c r="K257" s="2" t="n">
        <v>972</v>
      </c>
      <c r="L257" t="n">
        <v>46</v>
      </c>
      <c r="M257" s="3" t="n">
        <v>419</v>
      </c>
      <c r="N257" s="8" t="n">
        <v>419</v>
      </c>
      <c r="O257" s="8" t="n">
        <v>0</v>
      </c>
      <c r="Q257" t="inlineStr">
        <is>
          <t>flat</t>
        </is>
      </c>
      <c r="R257" s="6" t="n">
        <v>419</v>
      </c>
      <c r="S257" t="inlineStr">
        <is>
          <t>Solio</t>
        </is>
      </c>
      <c r="U257" s="6" t="n">
        <v>74</v>
      </c>
      <c r="V257" s="2" t="n">
        <v>10</v>
      </c>
      <c r="W257" s="7">
        <f>IF(N(U257)&lt;=0,0,MIN(Assumptions!$B$15,N(R257)/N(U257)))</f>
        <v/>
      </c>
      <c r="X257" s="6" t="n">
        <v>0.286</v>
      </c>
      <c r="Y257" s="3" t="n">
        <v>0.1604</v>
      </c>
      <c r="Z257" t="inlineStr">
        <is>
          <t>adjusted xGOT</t>
        </is>
      </c>
      <c r="AA257" s="3" t="n">
        <v>1</v>
      </c>
      <c r="AB257" s="3" t="n">
        <v>0.902</v>
      </c>
      <c r="AC257" s="3" t="n">
        <v>6.3</v>
      </c>
      <c r="AD257" s="3" t="n">
        <v>0.1464</v>
      </c>
      <c r="AE257" s="3" t="n">
        <v>7.746</v>
      </c>
      <c r="AF257" s="3" t="n">
        <v>0.02975293246068822</v>
      </c>
      <c r="AG257" s="3" t="n">
        <v>6.598</v>
      </c>
      <c r="AH257" s="3" t="n">
        <v>0.24035454</v>
      </c>
      <c r="AI257" s="3" t="n">
        <v>32</v>
      </c>
      <c r="AJ257" s="3" t="n">
        <v>2.5739</v>
      </c>
      <c r="AK257" s="3" t="n">
        <v>1.3096</v>
      </c>
      <c r="AL257" s="3" t="n">
        <v>-0.1218449339240393</v>
      </c>
      <c r="AM257" s="6" t="n">
        <v>0</v>
      </c>
      <c r="AN257" s="3" t="n">
        <v>0</v>
      </c>
      <c r="AO257" s="3" t="n">
        <v>0.8019999999999999</v>
      </c>
      <c r="AP257" s="3" t="n">
        <v>0.579744</v>
      </c>
      <c r="AQ257" s="3">
        <f>N(X257)*N(BJ257)</f>
        <v/>
      </c>
      <c r="AR257" s="3" t="n">
        <v>0</v>
      </c>
      <c r="AS257" s="3" t="n">
        <v>-0</v>
      </c>
      <c r="AT257" s="3" t="n">
        <v>-0.1218449339240393</v>
      </c>
      <c r="AU257" s="3">
        <f>SUM(AO257:AT257)</f>
        <v/>
      </c>
      <c r="AV257" s="7">
        <f>IF(OR(N(W257)&lt;=0,N(BH257)=0),0,N(W257)*IF(N(R257)/N(W257)&gt;=60,N(BH257),1))</f>
        <v/>
      </c>
      <c r="AW257" s="7">
        <f>N(W257)*N(AF257)*N(BI257)</f>
        <v/>
      </c>
      <c r="AX257" s="3">
        <f>IF(N(BH257)=0,0,N(W257)*N(AH257))</f>
        <v/>
      </c>
      <c r="AY257" s="7">
        <f>N(AM257)*(Assumptions!$B$13*N(BK257)-(1-Assumptions!$B$13)*Assumptions!$B$14)+N(AN257)</f>
        <v/>
      </c>
      <c r="AZ257" s="7">
        <f>N(AU257)*N(R257)/90+N(AV257)+N(AW257)+N(AX257)+N(AY257)</f>
        <v/>
      </c>
      <c r="BA257" s="3">
        <f>IF(N(R257)&lt;=0,0,(N(AZ257)-N(AY257))*90/N(R257))</f>
        <v/>
      </c>
      <c r="BB257" s="7">
        <f>IFERROR(AZ257-VLOOKUP($E257,Assumptions!$A$40:$C$43,3,FALSE),"")</f>
        <v/>
      </c>
      <c r="BC257" s="3">
        <f>IFERROR(BB257/H257,"")</f>
        <v/>
      </c>
      <c r="BD257">
        <f>IF(AND($G257=TRUE,$E257="GKP"),AZ257,"")</f>
        <v/>
      </c>
      <c r="BE257">
        <f>IF(AND($G257=TRUE,$E257="DEF"),AZ257,"")</f>
        <v/>
      </c>
      <c r="BF257">
        <f>IF(AND($G257=TRUE,$E257="MID"),AZ257,"")</f>
        <v/>
      </c>
      <c r="BG257">
        <f>IF(AND($G257=TRUE,$E257="FWD"),AZ257,"")</f>
        <v/>
      </c>
      <c r="BH257" t="n">
        <v>2</v>
      </c>
      <c r="BI257" t="n">
        <v>2</v>
      </c>
      <c r="BJ257" t="n">
        <v>1</v>
      </c>
      <c r="BK257" t="n">
        <v>5</v>
      </c>
    </row>
    <row r="258">
      <c r="A258" t="inlineStr">
        <is>
          <t>Liam Delap</t>
        </is>
      </c>
      <c r="B258" t="inlineStr">
        <is>
          <t>CHE</t>
        </is>
      </c>
      <c r="C258" t="inlineStr">
        <is>
          <t>CHE</t>
        </is>
      </c>
      <c r="D258" t="b">
        <v>0</v>
      </c>
      <c r="E258" t="inlineStr">
        <is>
          <t>FWD</t>
        </is>
      </c>
      <c r="F258" t="inlineStr">
        <is>
          <t>FWD</t>
        </is>
      </c>
      <c r="G258" t="b">
        <v>1</v>
      </c>
      <c r="H258" s="2" t="n">
        <v>5.5</v>
      </c>
      <c r="I258" t="inlineStr">
        <is>
          <t>a</t>
        </is>
      </c>
      <c r="K258" s="2" t="n">
        <v>1092</v>
      </c>
      <c r="L258" t="n">
        <v>45</v>
      </c>
      <c r="M258" s="3" t="n">
        <v>21</v>
      </c>
      <c r="N258" s="4" t="n">
        <v>0</v>
      </c>
      <c r="O258" s="4" t="n">
        <v>-21</v>
      </c>
      <c r="P258" s="5" t="inlineStr">
        <is>
          <t>medium</t>
        </is>
      </c>
      <c r="Q258" t="inlineStr">
        <is>
          <t>flat</t>
        </is>
      </c>
      <c r="R258" s="6" t="n">
        <v>0</v>
      </c>
      <c r="S258" t="inlineStr">
        <is>
          <t>research</t>
        </is>
      </c>
      <c r="T258" s="5" t="inlineStr">
        <is>
          <t>Named on Last Word on Football's 'unwanted list', omitted from the final pre-season matchday squad after failing to impress against weaker tour opposition, with reported interest in a permanent move away.</t>
        </is>
      </c>
      <c r="U258" s="6" t="n">
        <v>72.5</v>
      </c>
      <c r="V258" s="2" t="n">
        <v>12</v>
      </c>
      <c r="W258" s="7">
        <f>IF(N(U258)&lt;=0,0,MIN(Assumptions!$B$15,N(R258)/N(U258)))</f>
        <v/>
      </c>
      <c r="X258" s="6" t="n">
        <v>0.322</v>
      </c>
      <c r="Y258" s="3" t="n">
        <v>0.3711</v>
      </c>
      <c r="Z258" t="inlineStr">
        <is>
          <t>adjusted xGOT</t>
        </is>
      </c>
      <c r="AA258" s="3" t="n">
        <v>1</v>
      </c>
      <c r="AB258" s="3" t="n">
        <v>0.992</v>
      </c>
      <c r="AC258" s="3" t="n">
        <v>14</v>
      </c>
      <c r="AD258" s="3" t="n">
        <v>0.0165</v>
      </c>
      <c r="AE258" s="3" t="n">
        <v>3.991</v>
      </c>
      <c r="AF258" s="3" t="n">
        <v>0.0001348593235228623</v>
      </c>
      <c r="AG258" s="3" t="n">
        <v>0.427</v>
      </c>
      <c r="AH258" s="3" t="n">
        <v>0.3890706644</v>
      </c>
      <c r="AI258" s="3" t="n">
        <v>38</v>
      </c>
      <c r="AJ258" s="3" t="n">
        <v>2.4232</v>
      </c>
      <c r="AK258" s="3" t="n">
        <v>1.1851</v>
      </c>
      <c r="AL258" s="3" t="n">
        <v>-0.3159241692174626</v>
      </c>
      <c r="AM258" s="6" t="n">
        <v>0.0003609129577271</v>
      </c>
      <c r="AN258" s="3" t="n">
        <v>0</v>
      </c>
      <c r="AO258" s="3" t="n">
        <v>1.4844</v>
      </c>
      <c r="AP258" s="3" t="n">
        <v>0.06534000000000001</v>
      </c>
      <c r="AQ258" s="3">
        <f>N(X258)*N(BJ258)</f>
        <v/>
      </c>
      <c r="AR258" s="3" t="n">
        <v>0</v>
      </c>
      <c r="AS258" s="3" t="n">
        <v>-0</v>
      </c>
      <c r="AT258" s="3" t="n">
        <v>-0.3159241692174626</v>
      </c>
      <c r="AU258" s="3">
        <f>SUM(AO258:AT258)</f>
        <v/>
      </c>
      <c r="AV258" s="7">
        <f>IF(OR(N(W258)&lt;=0,N(BH258)=0),0,N(W258)*IF(N(R258)/N(W258)&gt;=60,N(BH258),1))</f>
        <v/>
      </c>
      <c r="AW258" s="7">
        <f>N(W258)*N(AF258)*N(BI258)</f>
        <v/>
      </c>
      <c r="AX258" s="3">
        <f>IF(N(BH258)=0,0,N(W258)*N(AH258))</f>
        <v/>
      </c>
      <c r="AY258" s="7">
        <f>N(AM258)*(Assumptions!$B$13*N(BK258)-(1-Assumptions!$B$13)*Assumptions!$B$14)+N(AN258)</f>
        <v/>
      </c>
      <c r="AZ258" s="7">
        <f>N(AU258)*N(R258)/90+N(AV258)+N(AW258)+N(AX258)+N(AY258)</f>
        <v/>
      </c>
      <c r="BA258" s="3">
        <f>IF(N(R258)&lt;=0,0,(N(AZ258)-N(AY258))*90/N(R258))</f>
        <v/>
      </c>
      <c r="BB258" s="7">
        <f>IFERROR(AZ258-VLOOKUP($E258,Assumptions!$A$40:$C$43,3,FALSE),"")</f>
        <v/>
      </c>
      <c r="BC258" s="3">
        <f>IFERROR(BB258/H258,"")</f>
        <v/>
      </c>
      <c r="BD258">
        <f>IF(AND($G258=TRUE,$E258="GKP"),AZ258,"")</f>
        <v/>
      </c>
      <c r="BE258">
        <f>IF(AND($G258=TRUE,$E258="DEF"),AZ258,"")</f>
        <v/>
      </c>
      <c r="BF258">
        <f>IF(AND($G258=TRUE,$E258="MID"),AZ258,"")</f>
        <v/>
      </c>
      <c r="BG258">
        <f>IF(AND($G258=TRUE,$E258="FWD"),AZ258,"")</f>
        <v/>
      </c>
      <c r="BH258" t="n">
        <v>2</v>
      </c>
      <c r="BI258" t="n">
        <v>2</v>
      </c>
      <c r="BJ258" t="n">
        <v>0</v>
      </c>
      <c r="BK258" t="n">
        <v>4</v>
      </c>
    </row>
    <row r="259">
      <c r="A259" t="inlineStr">
        <is>
          <t>Will Hughes</t>
        </is>
      </c>
      <c r="B259" t="inlineStr">
        <is>
          <t>CRY</t>
        </is>
      </c>
      <c r="C259" t="inlineStr">
        <is>
          <t>CRY</t>
        </is>
      </c>
      <c r="D259" t="b">
        <v>0</v>
      </c>
      <c r="E259" t="inlineStr">
        <is>
          <t>MID</t>
        </is>
      </c>
      <c r="F259" t="inlineStr">
        <is>
          <t>MID</t>
        </is>
      </c>
      <c r="G259" t="b">
        <v>1</v>
      </c>
      <c r="H259" s="2" t="n">
        <v>4.5</v>
      </c>
      <c r="I259" t="inlineStr">
        <is>
          <t>a</t>
        </is>
      </c>
      <c r="K259" s="2" t="n">
        <v>1560</v>
      </c>
      <c r="L259" t="n">
        <v>45</v>
      </c>
      <c r="M259" s="3" t="n">
        <v>1510</v>
      </c>
      <c r="N259" s="4" t="n">
        <v>1200</v>
      </c>
      <c r="O259" s="4" t="n">
        <v>-310</v>
      </c>
      <c r="P259" s="5" t="inlineStr">
        <is>
          <t>low</t>
        </is>
      </c>
      <c r="Q259" t="inlineStr">
        <is>
          <t>flat</t>
        </is>
      </c>
      <c r="R259" s="6" t="n">
        <v>1200</v>
      </c>
      <c r="S259" t="inlineStr">
        <is>
          <t>research</t>
        </is>
      </c>
      <c r="T259" s="5" t="inlineStr">
        <is>
          <t>Rotation midfielder who came off the bench for Wharton at Freiburg. Cheick Doucoure is back in training and played in pre-season after roughly 18 months out, which restores a competitor Solio's numbers do not account for, and Lerma and Devenny remain. Trimmed to help fund the attacking arrivals.</t>
        </is>
      </c>
      <c r="U259" s="6" t="n">
        <v>75.3</v>
      </c>
      <c r="V259" s="2" t="n">
        <v>19</v>
      </c>
      <c r="W259" s="7">
        <f>IF(N(U259)&lt;=0,0,MIN(Assumptions!$B$15,N(R259)/N(U259)))</f>
        <v/>
      </c>
      <c r="X259" s="6" t="n">
        <v>0.216</v>
      </c>
      <c r="Y259" s="3" t="n">
        <v>0.0549</v>
      </c>
      <c r="Z259" t="inlineStr">
        <is>
          <t>adjusted xGOT</t>
        </is>
      </c>
      <c r="AA259" s="3" t="n">
        <v>1</v>
      </c>
      <c r="AB259" s="3" t="n">
        <v>0.857</v>
      </c>
      <c r="AC259" s="3" t="n">
        <v>2.8</v>
      </c>
      <c r="AD259" s="3" t="n">
        <v>0.1115</v>
      </c>
      <c r="AE259" s="3" t="n">
        <v>8.551</v>
      </c>
      <c r="AF259" s="3" t="n">
        <v>0.06063128964576248</v>
      </c>
      <c r="AG259" s="3" t="n">
        <v>6.256</v>
      </c>
      <c r="AH259" s="3" t="n">
        <v>0.113001719</v>
      </c>
      <c r="AI259" s="3" t="n">
        <v>44</v>
      </c>
      <c r="AJ259" s="3" t="n">
        <v>3.2035</v>
      </c>
      <c r="AK259" s="3" t="n">
        <v>1.5923</v>
      </c>
      <c r="AL259" s="3" t="n">
        <v>-0.3610724434657475</v>
      </c>
      <c r="AM259" s="6" t="n">
        <v>0</v>
      </c>
      <c r="AN259" s="3" t="n">
        <v>0</v>
      </c>
      <c r="AO259" s="3" t="n">
        <v>0.2745</v>
      </c>
      <c r="AP259" s="3" t="n">
        <v>0.44154</v>
      </c>
      <c r="AQ259" s="3">
        <f>N(X259)*N(BJ259)</f>
        <v/>
      </c>
      <c r="AR259" s="3" t="n">
        <v>0</v>
      </c>
      <c r="AS259" s="3" t="n">
        <v>-0</v>
      </c>
      <c r="AT259" s="3" t="n">
        <v>-0.3610724434657475</v>
      </c>
      <c r="AU259" s="3">
        <f>SUM(AO259:AT259)</f>
        <v/>
      </c>
      <c r="AV259" s="7">
        <f>IF(OR(N(W259)&lt;=0,N(BH259)=0),0,N(W259)*IF(N(R259)/N(W259)&gt;=60,N(BH259),1))</f>
        <v/>
      </c>
      <c r="AW259" s="7">
        <f>N(W259)*N(AF259)*N(BI259)</f>
        <v/>
      </c>
      <c r="AX259" s="3">
        <f>IF(N(BH259)=0,0,N(W259)*N(AH259))</f>
        <v/>
      </c>
      <c r="AY259" s="7">
        <f>N(AM259)*(Assumptions!$B$13*N(BK259)-(1-Assumptions!$B$13)*Assumptions!$B$14)+N(AN259)</f>
        <v/>
      </c>
      <c r="AZ259" s="7">
        <f>N(AU259)*N(R259)/90+N(AV259)+N(AW259)+N(AX259)+N(AY259)</f>
        <v/>
      </c>
      <c r="BA259" s="3">
        <f>IF(N(R259)&lt;=0,0,(N(AZ259)-N(AY259))*90/N(R259))</f>
        <v/>
      </c>
      <c r="BB259" s="7">
        <f>IFERROR(AZ259-VLOOKUP($E259,Assumptions!$A$40:$C$43,3,FALSE),"")</f>
        <v/>
      </c>
      <c r="BC259" s="3">
        <f>IFERROR(BB259/H259,"")</f>
        <v/>
      </c>
      <c r="BD259">
        <f>IF(AND($G259=TRUE,$E259="GKP"),AZ259,"")</f>
        <v/>
      </c>
      <c r="BE259">
        <f>IF(AND($G259=TRUE,$E259="DEF"),AZ259,"")</f>
        <v/>
      </c>
      <c r="BF259">
        <f>IF(AND($G259=TRUE,$E259="MID"),AZ259,"")</f>
        <v/>
      </c>
      <c r="BG259">
        <f>IF(AND($G259=TRUE,$E259="FWD"),AZ259,"")</f>
        <v/>
      </c>
      <c r="BH259" t="n">
        <v>2</v>
      </c>
      <c r="BI259" t="n">
        <v>2</v>
      </c>
      <c r="BJ259" t="n">
        <v>1</v>
      </c>
      <c r="BK259" t="n">
        <v>5</v>
      </c>
    </row>
    <row r="260">
      <c r="A260" t="inlineStr">
        <is>
          <t>Ben White</t>
        </is>
      </c>
      <c r="B260" t="inlineStr">
        <is>
          <t>ARS</t>
        </is>
      </c>
      <c r="C260" t="inlineStr">
        <is>
          <t>ARS</t>
        </is>
      </c>
      <c r="D260" t="b">
        <v>0</v>
      </c>
      <c r="E260" t="inlineStr">
        <is>
          <t>DEF</t>
        </is>
      </c>
      <c r="F260" t="inlineStr">
        <is>
          <t>DEF</t>
        </is>
      </c>
      <c r="G260" t="b">
        <v>1</v>
      </c>
      <c r="H260" s="2" t="n">
        <v>5.5</v>
      </c>
      <c r="I260" t="inlineStr">
        <is>
          <t>a</t>
        </is>
      </c>
      <c r="K260" s="2" t="n">
        <v>699</v>
      </c>
      <c r="L260" t="n">
        <v>45</v>
      </c>
      <c r="M260" s="3" t="n">
        <v>287</v>
      </c>
      <c r="N260" s="4" t="n">
        <v>900</v>
      </c>
      <c r="O260" s="4" t="n">
        <v>613</v>
      </c>
      <c r="P260" s="5" t="inlineStr">
        <is>
          <t>medium</t>
        </is>
      </c>
      <c r="Q260" t="inlineStr">
        <is>
          <t>fade (losing his place)</t>
        </is>
      </c>
      <c r="R260" s="6" t="n">
        <v>900</v>
      </c>
      <c r="S260" t="inlineStr">
        <is>
          <t>research</t>
        </is>
      </c>
      <c r="T260" s="5" t="inlineStr">
        <is>
          <t>Same source and same reason as Mosquera: White is one of only two fit right-sided defenders and is 'fit again and present in pre-season'. He is the incumbent right-back until Timber returns. Held well below a starter's allocation because Arseblog notes his last two seasons have been 'punctuated by injury' (699 league minutes in 2025/26), and because Timber's return reclaims the position.</t>
        </is>
      </c>
      <c r="U260" s="6" t="n">
        <v>78.90000000000001</v>
      </c>
      <c r="V260" s="2" t="n">
        <v>9</v>
      </c>
      <c r="W260" s="7">
        <f>IF(N(U260)&lt;=0,0,MIN(Assumptions!$B$15,N(R260)/N(U260)))</f>
        <v/>
      </c>
      <c r="X260" s="6" t="n">
        <v>0.391</v>
      </c>
      <c r="Y260" s="3" t="n">
        <v>0.0578</v>
      </c>
      <c r="Z260" t="inlineStr">
        <is>
          <t>adjusted xGOT</t>
        </is>
      </c>
      <c r="AA260" s="3" t="n">
        <v>1</v>
      </c>
      <c r="AB260" s="3" t="n">
        <v>0.997</v>
      </c>
      <c r="AC260" s="3" t="n">
        <v>3.4</v>
      </c>
      <c r="AD260" s="3" t="n">
        <v>0.1447</v>
      </c>
      <c r="AE260" s="3" t="n">
        <v>7.261</v>
      </c>
      <c r="AF260" s="3" t="n">
        <v>0.1113731183555535</v>
      </c>
      <c r="AG260" s="3" t="n">
        <v>8.532</v>
      </c>
      <c r="AH260" s="3" t="n">
        <v>0.3082181296</v>
      </c>
      <c r="AI260" s="3" t="n">
        <v>19</v>
      </c>
      <c r="AJ260" s="3" t="n">
        <v>2.067</v>
      </c>
      <c r="AK260" s="3" t="n">
        <v>0.9838</v>
      </c>
      <c r="AL260" s="3" t="n">
        <v>-0.1841263655678415</v>
      </c>
      <c r="AM260" s="6" t="n">
        <v>0</v>
      </c>
      <c r="AN260" s="3" t="n">
        <v>0</v>
      </c>
      <c r="AO260" s="3" t="n">
        <v>0.3468</v>
      </c>
      <c r="AP260" s="3" t="n">
        <v>0.573012</v>
      </c>
      <c r="AQ260" s="3">
        <f>N(X260)*N(BJ260)</f>
        <v/>
      </c>
      <c r="AR260" s="3" t="n">
        <v>0</v>
      </c>
      <c r="AS260" s="3" t="n">
        <v>-0.2768479886568037</v>
      </c>
      <c r="AT260" s="3" t="n">
        <v>-0.1841263655678415</v>
      </c>
      <c r="AU260" s="3">
        <f>SUM(AO260:AT260)</f>
        <v/>
      </c>
      <c r="AV260" s="7">
        <f>IF(OR(N(W260)&lt;=0,N(BH260)=0),0,N(W260)*IF(N(R260)/N(W260)&gt;=60,N(BH260),1))</f>
        <v/>
      </c>
      <c r="AW260" s="7">
        <f>N(W260)*N(AF260)*N(BI260)</f>
        <v/>
      </c>
      <c r="AX260" s="3">
        <f>IF(N(BH260)=0,0,N(W260)*N(AH260))</f>
        <v/>
      </c>
      <c r="AY260" s="7">
        <f>N(AM260)*(Assumptions!$B$13*N(BK260)-(1-Assumptions!$B$13)*Assumptions!$B$14)+N(AN260)</f>
        <v/>
      </c>
      <c r="AZ260" s="7">
        <f>N(AU260)*N(R260)/90+N(AV260)+N(AW260)+N(AX260)+N(AY260)</f>
        <v/>
      </c>
      <c r="BA260" s="3">
        <f>IF(N(R260)&lt;=0,0,(N(AZ260)-N(AY260))*90/N(R260))</f>
        <v/>
      </c>
      <c r="BB260" s="7">
        <f>IFERROR(AZ260-VLOOKUP($E260,Assumptions!$A$40:$C$43,3,FALSE),"")</f>
        <v/>
      </c>
      <c r="BC260" s="3">
        <f>IFERROR(BB260/H260,"")</f>
        <v/>
      </c>
      <c r="BD260">
        <f>IF(AND($G260=TRUE,$E260="GKP"),AZ260,"")</f>
        <v/>
      </c>
      <c r="BE260">
        <f>IF(AND($G260=TRUE,$E260="DEF"),AZ260,"")</f>
        <v/>
      </c>
      <c r="BF260">
        <f>IF(AND($G260=TRUE,$E260="MID"),AZ260,"")</f>
        <v/>
      </c>
      <c r="BG260">
        <f>IF(AND($G260=TRUE,$E260="FWD"),AZ260,"")</f>
        <v/>
      </c>
      <c r="BH260" t="n">
        <v>2</v>
      </c>
      <c r="BI260" t="n">
        <v>2</v>
      </c>
      <c r="BJ260" t="n">
        <v>4</v>
      </c>
      <c r="BK260" t="n">
        <v>6</v>
      </c>
    </row>
    <row r="261">
      <c r="A261" t="inlineStr">
        <is>
          <t>Conor Gallagher</t>
        </is>
      </c>
      <c r="B261" t="inlineStr">
        <is>
          <t>TOT</t>
        </is>
      </c>
      <c r="C261" t="inlineStr">
        <is>
          <t>TOT</t>
        </is>
      </c>
      <c r="D261" t="b">
        <v>0</v>
      </c>
      <c r="E261" t="inlineStr">
        <is>
          <t>MID</t>
        </is>
      </c>
      <c r="F261" t="inlineStr">
        <is>
          <t>MID</t>
        </is>
      </c>
      <c r="G261" t="b">
        <v>1</v>
      </c>
      <c r="H261" s="2" t="n">
        <v>5.5</v>
      </c>
      <c r="I261" t="inlineStr">
        <is>
          <t>a</t>
        </is>
      </c>
      <c r="K261" s="2" t="n">
        <v>1183</v>
      </c>
      <c r="L261" t="n">
        <v>44</v>
      </c>
      <c r="M261" s="3" t="n">
        <v>1858</v>
      </c>
      <c r="N261" s="8" t="n">
        <v>1858</v>
      </c>
      <c r="O261" s="8" t="n">
        <v>0</v>
      </c>
      <c r="Q261" t="inlineStr">
        <is>
          <t>fade (losing his place)</t>
        </is>
      </c>
      <c r="R261" s="6" t="n">
        <v>1858</v>
      </c>
      <c r="S261" t="inlineStr">
        <is>
          <t>Solio</t>
        </is>
      </c>
      <c r="U261" s="6" t="n">
        <v>80.5</v>
      </c>
      <c r="V261" s="2" t="n">
        <v>14</v>
      </c>
      <c r="W261" s="7">
        <f>IF(N(U261)&lt;=0,0,MIN(Assumptions!$B$15,N(R261)/N(U261)))</f>
        <v/>
      </c>
      <c r="X261" s="6" t="n">
        <v>0.286</v>
      </c>
      <c r="Y261" s="3" t="n">
        <v>0.09180000000000001</v>
      </c>
      <c r="Z261" t="inlineStr">
        <is>
          <t>adjusted xGOT</t>
        </is>
      </c>
      <c r="AA261" s="3" t="n">
        <v>1</v>
      </c>
      <c r="AB261" s="3" t="n">
        <v>0.982</v>
      </c>
      <c r="AC261" s="3" t="n">
        <v>7.8</v>
      </c>
      <c r="AD261" s="3" t="n">
        <v>0.0592</v>
      </c>
      <c r="AE261" s="3" t="n">
        <v>9.109999999999999</v>
      </c>
      <c r="AF261" s="3" t="n">
        <v>0.122932900488234</v>
      </c>
      <c r="AG261" s="3" t="n">
        <v>7.39</v>
      </c>
      <c r="AH261" s="3" t="n">
        <v>0.1547936896</v>
      </c>
      <c r="AI261" s="3" t="n">
        <v>29</v>
      </c>
      <c r="AJ261" s="3" t="n">
        <v>2.5739</v>
      </c>
      <c r="AK261" s="3" t="n">
        <v>1.3096</v>
      </c>
      <c r="AL261" s="3" t="n">
        <v>-0.2022405945083572</v>
      </c>
      <c r="AM261" s="6" t="n">
        <v>0</v>
      </c>
      <c r="AN261" s="3" t="n">
        <v>0</v>
      </c>
      <c r="AO261" s="3" t="n">
        <v>0.459</v>
      </c>
      <c r="AP261" s="3" t="n">
        <v>0.234432</v>
      </c>
      <c r="AQ261" s="3">
        <f>N(X261)*N(BJ261)</f>
        <v/>
      </c>
      <c r="AR261" s="3" t="n">
        <v>0</v>
      </c>
      <c r="AS261" s="3" t="n">
        <v>-0</v>
      </c>
      <c r="AT261" s="3" t="n">
        <v>-0.2022405945083572</v>
      </c>
      <c r="AU261" s="3">
        <f>SUM(AO261:AT261)</f>
        <v/>
      </c>
      <c r="AV261" s="7">
        <f>IF(OR(N(W261)&lt;=0,N(BH261)=0),0,N(W261)*IF(N(R261)/N(W261)&gt;=60,N(BH261),1))</f>
        <v/>
      </c>
      <c r="AW261" s="7">
        <f>N(W261)*N(AF261)*N(BI261)</f>
        <v/>
      </c>
      <c r="AX261" s="3">
        <f>IF(N(BH261)=0,0,N(W261)*N(AH261))</f>
        <v/>
      </c>
      <c r="AY261" s="7">
        <f>N(AM261)*(Assumptions!$B$13*N(BK261)-(1-Assumptions!$B$13)*Assumptions!$B$14)+N(AN261)</f>
        <v/>
      </c>
      <c r="AZ261" s="7">
        <f>N(AU261)*N(R261)/90+N(AV261)+N(AW261)+N(AX261)+N(AY261)</f>
        <v/>
      </c>
      <c r="BA261" s="3">
        <f>IF(N(R261)&lt;=0,0,(N(AZ261)-N(AY261))*90/N(R261))</f>
        <v/>
      </c>
      <c r="BB261" s="7">
        <f>IFERROR(AZ261-VLOOKUP($E261,Assumptions!$A$40:$C$43,3,FALSE),"")</f>
        <v/>
      </c>
      <c r="BC261" s="3">
        <f>IFERROR(BB261/H261,"")</f>
        <v/>
      </c>
      <c r="BD261">
        <f>IF(AND($G261=TRUE,$E261="GKP"),AZ261,"")</f>
        <v/>
      </c>
      <c r="BE261">
        <f>IF(AND($G261=TRUE,$E261="DEF"),AZ261,"")</f>
        <v/>
      </c>
      <c r="BF261">
        <f>IF(AND($G261=TRUE,$E261="MID"),AZ261,"")</f>
        <v/>
      </c>
      <c r="BG261">
        <f>IF(AND($G261=TRUE,$E261="FWD"),AZ261,"")</f>
        <v/>
      </c>
      <c r="BH261" t="n">
        <v>2</v>
      </c>
      <c r="BI261" t="n">
        <v>2</v>
      </c>
      <c r="BJ261" t="n">
        <v>1</v>
      </c>
      <c r="BK261" t="n">
        <v>5</v>
      </c>
    </row>
    <row r="262">
      <c r="A262" t="inlineStr">
        <is>
          <t>Evann Guessand</t>
        </is>
      </c>
      <c r="B262" t="inlineStr">
        <is>
          <t>CRY</t>
        </is>
      </c>
      <c r="C262" t="inlineStr">
        <is>
          <t>CRY</t>
        </is>
      </c>
      <c r="D262" t="b">
        <v>0</v>
      </c>
      <c r="E262" t="inlineStr">
        <is>
          <t>MID</t>
        </is>
      </c>
      <c r="F262" t="inlineStr">
        <is>
          <t>MID</t>
        </is>
      </c>
      <c r="G262" t="b">
        <v>1</v>
      </c>
      <c r="H262" s="2" t="n">
        <v>5.5</v>
      </c>
      <c r="I262" t="inlineStr">
        <is>
          <t>a</t>
        </is>
      </c>
      <c r="K262" s="2" t="n">
        <v>909</v>
      </c>
      <c r="L262" t="n">
        <v>44</v>
      </c>
      <c r="M262" s="3" t="n">
        <v>832</v>
      </c>
      <c r="N262" s="4" t="n">
        <v>1250</v>
      </c>
      <c r="O262" s="4" t="n">
        <v>418</v>
      </c>
      <c r="P262" s="5" t="inlineStr">
        <is>
          <t>medium</t>
        </is>
      </c>
      <c r="Q262" t="inlineStr">
        <is>
          <t>flat</t>
        </is>
      </c>
      <c r="R262" s="6" t="n">
        <v>1250</v>
      </c>
      <c r="S262" t="inlineStr">
        <is>
          <t>research</t>
        </is>
      </c>
      <c r="T262" s="5" t="inlineStr">
        <is>
          <t>Re-signed from Aston Villa on 12 August on a season-long loan carrying a conditional obligation to buy, having previously been at Palace only from January to May 2026. A full-season deal with a purchase obligation implies a larger role than the half-season Solio's number is scaled from. He came off the bench for Strand Larsen at Freiburg.</t>
        </is>
      </c>
      <c r="U262" s="6" t="n">
        <v>74.5</v>
      </c>
      <c r="V262" s="2" t="n">
        <v>9</v>
      </c>
      <c r="W262" s="7">
        <f>IF(N(U262)&lt;=0,0,MIN(Assumptions!$B$15,N(R262)/N(U262)))</f>
        <v/>
      </c>
      <c r="X262" s="6" t="n">
        <v>0.216</v>
      </c>
      <c r="Y262" s="3" t="n">
        <v>0.1551</v>
      </c>
      <c r="Z262" t="inlineStr">
        <is>
          <t>adjusted xGOT</t>
        </is>
      </c>
      <c r="AA262" s="3" t="n">
        <v>1</v>
      </c>
      <c r="AB262" s="3" t="n">
        <v>1.004</v>
      </c>
      <c r="AC262" s="3" t="n">
        <v>1.6</v>
      </c>
      <c r="AD262" s="3" t="n">
        <v>0.1034</v>
      </c>
      <c r="AE262" s="3" t="n">
        <v>8.377000000000001</v>
      </c>
      <c r="AF262" s="3" t="n">
        <v>0.05043712192936523</v>
      </c>
      <c r="AG262" s="3" t="n">
        <v>4.1</v>
      </c>
      <c r="AH262" s="3" t="n">
        <v>0.1964264365</v>
      </c>
      <c r="AI262" s="3" t="n">
        <v>28</v>
      </c>
      <c r="AJ262" s="3" t="n">
        <v>3.2035</v>
      </c>
      <c r="AK262" s="3" t="n">
        <v>1.5923</v>
      </c>
      <c r="AL262" s="3" t="n">
        <v>-0.1388775988728118</v>
      </c>
      <c r="AM262" s="6" t="n">
        <v>0</v>
      </c>
      <c r="AN262" s="3" t="n">
        <v>0</v>
      </c>
      <c r="AO262" s="3" t="n">
        <v>0.7755</v>
      </c>
      <c r="AP262" s="3" t="n">
        <v>0.4094640000000001</v>
      </c>
      <c r="AQ262" s="3">
        <f>N(X262)*N(BJ262)</f>
        <v/>
      </c>
      <c r="AR262" s="3" t="n">
        <v>0</v>
      </c>
      <c r="AS262" s="3" t="n">
        <v>-0</v>
      </c>
      <c r="AT262" s="3" t="n">
        <v>-0.1388775988728118</v>
      </c>
      <c r="AU262" s="3">
        <f>SUM(AO262:AT262)</f>
        <v/>
      </c>
      <c r="AV262" s="7">
        <f>IF(OR(N(W262)&lt;=0,N(BH262)=0),0,N(W262)*IF(N(R262)/N(W262)&gt;=60,N(BH262),1))</f>
        <v/>
      </c>
      <c r="AW262" s="7">
        <f>N(W262)*N(AF262)*N(BI262)</f>
        <v/>
      </c>
      <c r="AX262" s="3">
        <f>IF(N(BH262)=0,0,N(W262)*N(AH262))</f>
        <v/>
      </c>
      <c r="AY262" s="7">
        <f>N(AM262)*(Assumptions!$B$13*N(BK262)-(1-Assumptions!$B$13)*Assumptions!$B$14)+N(AN262)</f>
        <v/>
      </c>
      <c r="AZ262" s="7">
        <f>N(AU262)*N(R262)/90+N(AV262)+N(AW262)+N(AX262)+N(AY262)</f>
        <v/>
      </c>
      <c r="BA262" s="3">
        <f>IF(N(R262)&lt;=0,0,(N(AZ262)-N(AY262))*90/N(R262))</f>
        <v/>
      </c>
      <c r="BB262" s="7">
        <f>IFERROR(AZ262-VLOOKUP($E262,Assumptions!$A$40:$C$43,3,FALSE),"")</f>
        <v/>
      </c>
      <c r="BC262" s="3">
        <f>IFERROR(BB262/H262,"")</f>
        <v/>
      </c>
      <c r="BD262">
        <f>IF(AND($G262=TRUE,$E262="GKP"),AZ262,"")</f>
        <v/>
      </c>
      <c r="BE262">
        <f>IF(AND($G262=TRUE,$E262="DEF"),AZ262,"")</f>
        <v/>
      </c>
      <c r="BF262">
        <f>IF(AND($G262=TRUE,$E262="MID"),AZ262,"")</f>
        <v/>
      </c>
      <c r="BG262">
        <f>IF(AND($G262=TRUE,$E262="FWD"),AZ262,"")</f>
        <v/>
      </c>
      <c r="BH262" t="n">
        <v>2</v>
      </c>
      <c r="BI262" t="n">
        <v>2</v>
      </c>
      <c r="BJ262" t="n">
        <v>1</v>
      </c>
      <c r="BK262" t="n">
        <v>5</v>
      </c>
    </row>
    <row r="263">
      <c r="A263" t="inlineStr">
        <is>
          <t>Savinho</t>
        </is>
      </c>
      <c r="B263" t="inlineStr">
        <is>
          <t>MCI</t>
        </is>
      </c>
      <c r="C263" t="inlineStr">
        <is>
          <t>MCI</t>
        </is>
      </c>
      <c r="D263" t="b">
        <v>0</v>
      </c>
      <c r="E263" t="inlineStr">
        <is>
          <t>MID</t>
        </is>
      </c>
      <c r="F263" t="inlineStr">
        <is>
          <t>MID</t>
        </is>
      </c>
      <c r="G263" t="b">
        <v>1</v>
      </c>
      <c r="H263" s="2" t="n">
        <v>6.5</v>
      </c>
      <c r="I263" t="inlineStr">
        <is>
          <t>a</t>
        </is>
      </c>
      <c r="K263" s="2" t="n">
        <v>817</v>
      </c>
      <c r="L263" t="n">
        <v>43</v>
      </c>
      <c r="M263" s="3" t="n">
        <v>419</v>
      </c>
      <c r="N263" s="8" t="n">
        <v>419</v>
      </c>
      <c r="O263" s="8" t="n">
        <v>0</v>
      </c>
      <c r="Q263" t="inlineStr">
        <is>
          <t>flat</t>
        </is>
      </c>
      <c r="R263" s="6" t="n">
        <v>419</v>
      </c>
      <c r="S263" t="inlineStr">
        <is>
          <t>Solio</t>
        </is>
      </c>
      <c r="U263" s="6" t="n">
        <v>79.40000000000001</v>
      </c>
      <c r="V263" s="2" t="n">
        <v>7</v>
      </c>
      <c r="W263" s="7">
        <f>IF(N(U263)&lt;=0,0,MIN(Assumptions!$B$15,N(R263)/N(U263)))</f>
        <v/>
      </c>
      <c r="X263" s="6" t="n">
        <v>0.371</v>
      </c>
      <c r="Y263" s="3" t="n">
        <v>0.2644</v>
      </c>
      <c r="Z263" t="inlineStr">
        <is>
          <t>adjusted xGOT</t>
        </is>
      </c>
      <c r="AA263" s="3" t="n">
        <v>1</v>
      </c>
      <c r="AB263" s="3" t="n">
        <v>0.96</v>
      </c>
      <c r="AC263" s="3" t="n">
        <v>7.5</v>
      </c>
      <c r="AD263" s="3" t="n">
        <v>0.1389</v>
      </c>
      <c r="AE263" s="3" t="n">
        <v>7.473</v>
      </c>
      <c r="AF263" s="3" t="n">
        <v>0.03703901402831566</v>
      </c>
      <c r="AG263" s="3" t="n">
        <v>4.843</v>
      </c>
      <c r="AH263" s="3" t="n">
        <v>0.3512454592</v>
      </c>
      <c r="AI263" s="3" t="n">
        <v>30</v>
      </c>
      <c r="AJ263" s="3" t="n">
        <v>1.9737</v>
      </c>
      <c r="AK263" s="3" t="n">
        <v>1.0365</v>
      </c>
      <c r="AL263" s="3" t="n">
        <v>-0.206537684616904</v>
      </c>
      <c r="AM263" s="6" t="n">
        <v>0</v>
      </c>
      <c r="AN263" s="3" t="n">
        <v>0</v>
      </c>
      <c r="AO263" s="3" t="n">
        <v>1.322</v>
      </c>
      <c r="AP263" s="3" t="n">
        <v>0.550044</v>
      </c>
      <c r="AQ263" s="3">
        <f>N(X263)*N(BJ263)</f>
        <v/>
      </c>
      <c r="AR263" s="3" t="n">
        <v>0</v>
      </c>
      <c r="AS263" s="3" t="n">
        <v>-0</v>
      </c>
      <c r="AT263" s="3" t="n">
        <v>-0.206537684616904</v>
      </c>
      <c r="AU263" s="3">
        <f>SUM(AO263:AT263)</f>
        <v/>
      </c>
      <c r="AV263" s="7">
        <f>IF(OR(N(W263)&lt;=0,N(BH263)=0),0,N(W263)*IF(N(R263)/N(W263)&gt;=60,N(BH263),1))</f>
        <v/>
      </c>
      <c r="AW263" s="7">
        <f>N(W263)*N(AF263)*N(BI263)</f>
        <v/>
      </c>
      <c r="AX263" s="3">
        <f>IF(N(BH263)=0,0,N(W263)*N(AH263))</f>
        <v/>
      </c>
      <c r="AY263" s="7">
        <f>N(AM263)*(Assumptions!$B$13*N(BK263)-(1-Assumptions!$B$13)*Assumptions!$B$14)+N(AN263)</f>
        <v/>
      </c>
      <c r="AZ263" s="7">
        <f>N(AU263)*N(R263)/90+N(AV263)+N(AW263)+N(AX263)+N(AY263)</f>
        <v/>
      </c>
      <c r="BA263" s="3">
        <f>IF(N(R263)&lt;=0,0,(N(AZ263)-N(AY263))*90/N(R263))</f>
        <v/>
      </c>
      <c r="BB263" s="7">
        <f>IFERROR(AZ263-VLOOKUP($E263,Assumptions!$A$40:$C$43,3,FALSE),"")</f>
        <v/>
      </c>
      <c r="BC263" s="3">
        <f>IFERROR(BB263/H263,"")</f>
        <v/>
      </c>
      <c r="BD263">
        <f>IF(AND($G263=TRUE,$E263="GKP"),AZ263,"")</f>
        <v/>
      </c>
      <c r="BE263">
        <f>IF(AND($G263=TRUE,$E263="DEF"),AZ263,"")</f>
        <v/>
      </c>
      <c r="BF263">
        <f>IF(AND($G263=TRUE,$E263="MID"),AZ263,"")</f>
        <v/>
      </c>
      <c r="BG263">
        <f>IF(AND($G263=TRUE,$E263="FWD"),AZ263,"")</f>
        <v/>
      </c>
      <c r="BH263" t="n">
        <v>2</v>
      </c>
      <c r="BI263" t="n">
        <v>2</v>
      </c>
      <c r="BJ263" t="n">
        <v>1</v>
      </c>
      <c r="BK263" t="n">
        <v>5</v>
      </c>
    </row>
    <row r="264">
      <c r="A264" t="inlineStr">
        <is>
          <t>Rio Ngumoha</t>
        </is>
      </c>
      <c r="B264" t="inlineStr">
        <is>
          <t>LIV</t>
        </is>
      </c>
      <c r="C264" t="inlineStr">
        <is>
          <t>LIV</t>
        </is>
      </c>
      <c r="D264" t="b">
        <v>0</v>
      </c>
      <c r="E264" t="inlineStr">
        <is>
          <t>MID</t>
        </is>
      </c>
      <c r="F264" t="inlineStr">
        <is>
          <t>MID</t>
        </is>
      </c>
      <c r="G264" t="b">
        <v>1</v>
      </c>
      <c r="H264" s="2" t="n">
        <v>6</v>
      </c>
      <c r="I264" t="inlineStr">
        <is>
          <t>a</t>
        </is>
      </c>
      <c r="K264" s="2" t="n">
        <v>547</v>
      </c>
      <c r="L264" t="n">
        <v>43</v>
      </c>
      <c r="M264" s="3" t="n">
        <v>2269</v>
      </c>
      <c r="N264" s="4" t="n">
        <v>1880</v>
      </c>
      <c r="O264" s="4" t="n">
        <v>-389</v>
      </c>
      <c r="P264" s="5" t="inlineStr">
        <is>
          <t>medium</t>
        </is>
      </c>
      <c r="Q264" t="inlineStr">
        <is>
          <t>flat</t>
        </is>
      </c>
      <c r="R264" s="6" t="n">
        <v>1880</v>
      </c>
      <c r="S264" t="inlineStr">
        <is>
          <t>research</t>
        </is>
      </c>
      <c r="T264" s="5" t="inlineStr">
        <is>
          <t>Ngumoha is the incumbent right winger in the pre-season XIs, but the framing from Liverpool sources is explicitly provisional: 'maybe Rio is the one who's going to be deployed there until we get a new signing.' Iraola: 'we definitely need to sign a winger.' Solio's 2269 (a fourfold rise on his 547 league minutes last season) assumes no reinforcement arrives before 31 August; trimmed to reflect that risk.</t>
        </is>
      </c>
      <c r="U264" s="6" t="n">
        <v>77.3</v>
      </c>
      <c r="V264" s="2" t="n">
        <v>5</v>
      </c>
      <c r="W264" s="7">
        <f>IF(N(U264)&lt;=0,0,MIN(Assumptions!$B$15,N(R264)/N(U264)))</f>
        <v/>
      </c>
      <c r="X264" s="6" t="n">
        <v>0.342</v>
      </c>
      <c r="Y264" s="3" t="n">
        <v>0.2336</v>
      </c>
      <c r="Z264" t="inlineStr">
        <is>
          <t>adjusted xGOT</t>
        </is>
      </c>
      <c r="AA264" s="3" t="n">
        <v>1</v>
      </c>
      <c r="AB264" s="3" t="n">
        <v>1.06</v>
      </c>
      <c r="AC264" s="3" t="n">
        <v>1.3</v>
      </c>
      <c r="AD264" s="3" t="n">
        <v>0.3403</v>
      </c>
      <c r="AE264" s="3" t="n">
        <v>7.005</v>
      </c>
      <c r="AF264" s="3" t="n">
        <v>0.02046663423069417</v>
      </c>
      <c r="AG264" s="3" t="n">
        <v>8.802</v>
      </c>
      <c r="AH264" s="3" t="n">
        <v>0.5305878656</v>
      </c>
      <c r="AI264" s="3" t="n">
        <v>24</v>
      </c>
      <c r="AJ264" s="3" t="n">
        <v>2.409</v>
      </c>
      <c r="AK264" s="3" t="n">
        <v>1.1228</v>
      </c>
      <c r="AL264" s="3" t="n">
        <v>-0.1611483197653539</v>
      </c>
      <c r="AM264" s="6" t="n">
        <v>0</v>
      </c>
      <c r="AN264" s="3" t="n">
        <v>0</v>
      </c>
      <c r="AO264" s="3" t="n">
        <v>1.168</v>
      </c>
      <c r="AP264" s="3" t="n">
        <v>1.347588</v>
      </c>
      <c r="AQ264" s="3">
        <f>N(X264)*N(BJ264)</f>
        <v/>
      </c>
      <c r="AR264" s="3" t="n">
        <v>0</v>
      </c>
      <c r="AS264" s="3" t="n">
        <v>-0</v>
      </c>
      <c r="AT264" s="3" t="n">
        <v>-0.1611483197653539</v>
      </c>
      <c r="AU264" s="3">
        <f>SUM(AO264:AT264)</f>
        <v/>
      </c>
      <c r="AV264" s="7">
        <f>IF(OR(N(W264)&lt;=0,N(BH264)=0),0,N(W264)*IF(N(R264)/N(W264)&gt;=60,N(BH264),1))</f>
        <v/>
      </c>
      <c r="AW264" s="7">
        <f>N(W264)*N(AF264)*N(BI264)</f>
        <v/>
      </c>
      <c r="AX264" s="3">
        <f>IF(N(BH264)=0,0,N(W264)*N(AH264))</f>
        <v/>
      </c>
      <c r="AY264" s="7">
        <f>N(AM264)*(Assumptions!$B$13*N(BK264)-(1-Assumptions!$B$13)*Assumptions!$B$14)+N(AN264)</f>
        <v/>
      </c>
      <c r="AZ264" s="7">
        <f>N(AU264)*N(R264)/90+N(AV264)+N(AW264)+N(AX264)+N(AY264)</f>
        <v/>
      </c>
      <c r="BA264" s="3">
        <f>IF(N(R264)&lt;=0,0,(N(AZ264)-N(AY264))*90/N(R264))</f>
        <v/>
      </c>
      <c r="BB264" s="7">
        <f>IFERROR(AZ264-VLOOKUP($E264,Assumptions!$A$40:$C$43,3,FALSE),"")</f>
        <v/>
      </c>
      <c r="BC264" s="3">
        <f>IFERROR(BB264/H264,"")</f>
        <v/>
      </c>
      <c r="BD264">
        <f>IF(AND($G264=TRUE,$E264="GKP"),AZ264,"")</f>
        <v/>
      </c>
      <c r="BE264">
        <f>IF(AND($G264=TRUE,$E264="DEF"),AZ264,"")</f>
        <v/>
      </c>
      <c r="BF264">
        <f>IF(AND($G264=TRUE,$E264="MID"),AZ264,"")</f>
        <v/>
      </c>
      <c r="BG264">
        <f>IF(AND($G264=TRUE,$E264="FWD"),AZ264,"")</f>
        <v/>
      </c>
      <c r="BH264" t="n">
        <v>2</v>
      </c>
      <c r="BI264" t="n">
        <v>2</v>
      </c>
      <c r="BJ264" t="n">
        <v>1</v>
      </c>
      <c r="BK264" t="n">
        <v>5</v>
      </c>
    </row>
    <row r="265">
      <c r="A265" t="inlineStr">
        <is>
          <t>Taiwo Awoniyi</t>
        </is>
      </c>
      <c r="B265" t="inlineStr">
        <is>
          <t>NFO</t>
        </is>
      </c>
      <c r="C265" t="inlineStr">
        <is>
          <t>NFO</t>
        </is>
      </c>
      <c r="D265" t="b">
        <v>0</v>
      </c>
      <c r="E265" t="inlineStr">
        <is>
          <t>FWD</t>
        </is>
      </c>
      <c r="F265" t="inlineStr">
        <is>
          <t>FWD</t>
        </is>
      </c>
      <c r="G265" t="b">
        <v>1</v>
      </c>
      <c r="H265" s="2" t="n">
        <v>5.5</v>
      </c>
      <c r="I265" t="inlineStr">
        <is>
          <t>a</t>
        </is>
      </c>
      <c r="K265" s="2" t="n">
        <v>480</v>
      </c>
      <c r="L265" t="n">
        <v>43</v>
      </c>
      <c r="M265" s="3" t="n">
        <v>72</v>
      </c>
      <c r="N265" s="4" t="n">
        <v>250</v>
      </c>
      <c r="O265" s="4" t="n">
        <v>178</v>
      </c>
      <c r="P265" s="5" t="inlineStr">
        <is>
          <t>low</t>
        </is>
      </c>
      <c r="Q265" t="inlineStr">
        <is>
          <t>flat</t>
        </is>
      </c>
      <c r="R265" s="6" t="n">
        <v>250</v>
      </c>
      <c r="S265" t="inlineStr">
        <is>
          <t>research</t>
        </is>
      </c>
      <c r="T265" s="5" t="inlineStr">
        <is>
          <t>Fit, flagged 'available' in the FPL bootstrap, and scored in pre-season against Blackburn after his 2025 abdominal injury. Seventy-two minutes for a season implies he is effectively gone, which no source supports; he remains a squad striker under a manager rotating four of them.</t>
        </is>
      </c>
      <c r="U265" s="6" t="n">
        <v>76.3</v>
      </c>
      <c r="V265" s="2" t="n">
        <v>3</v>
      </c>
      <c r="W265" s="7">
        <f>IF(N(U265)&lt;=0,0,MIN(Assumptions!$B$15,N(R265)/N(U265)))</f>
        <v/>
      </c>
      <c r="X265" s="6" t="n">
        <v>0.224</v>
      </c>
      <c r="Y265" s="3" t="n">
        <v>0.5998</v>
      </c>
      <c r="Z265" t="inlineStr">
        <is>
          <t>adjusted xGOT</t>
        </is>
      </c>
      <c r="AA265" s="3" t="n">
        <v>1</v>
      </c>
      <c r="AB265" s="3" t="n">
        <v>0.869</v>
      </c>
      <c r="AC265" s="3" t="n">
        <v>17.5</v>
      </c>
      <c r="AD265" s="3" t="n">
        <v>0.1959</v>
      </c>
      <c r="AE265" s="3" t="n">
        <v>4.826</v>
      </c>
      <c r="AF265" s="3" t="n">
        <v>0.001105738013307045</v>
      </c>
      <c r="AG265" s="3" t="n">
        <v>1.791</v>
      </c>
      <c r="AH265" s="3" t="n">
        <v>0.829059144</v>
      </c>
      <c r="AI265" s="3" t="n">
        <v>19</v>
      </c>
      <c r="AJ265" s="3" t="n">
        <v>3.1134</v>
      </c>
      <c r="AK265" s="3" t="n">
        <v>1.5588</v>
      </c>
      <c r="AL265" s="3" t="n">
        <v>-0.2008123290547753</v>
      </c>
      <c r="AM265" s="6" t="n">
        <v>0</v>
      </c>
      <c r="AN265" s="3" t="n">
        <v>0</v>
      </c>
      <c r="AO265" s="3" t="n">
        <v>2.3992</v>
      </c>
      <c r="AP265" s="3" t="n">
        <v>0.775764</v>
      </c>
      <c r="AQ265" s="3">
        <f>N(X265)*N(BJ265)</f>
        <v/>
      </c>
      <c r="AR265" s="3" t="n">
        <v>0</v>
      </c>
      <c r="AS265" s="3" t="n">
        <v>-0</v>
      </c>
      <c r="AT265" s="3" t="n">
        <v>-0.2008123290547753</v>
      </c>
      <c r="AU265" s="3">
        <f>SUM(AO265:AT265)</f>
        <v/>
      </c>
      <c r="AV265" s="7">
        <f>IF(OR(N(W265)&lt;=0,N(BH265)=0),0,N(W265)*IF(N(R265)/N(W265)&gt;=60,N(BH265),1))</f>
        <v/>
      </c>
      <c r="AW265" s="7">
        <f>N(W265)*N(AF265)*N(BI265)</f>
        <v/>
      </c>
      <c r="AX265" s="3">
        <f>IF(N(BH265)=0,0,N(W265)*N(AH265))</f>
        <v/>
      </c>
      <c r="AY265" s="7">
        <f>N(AM265)*(Assumptions!$B$13*N(BK265)-(1-Assumptions!$B$13)*Assumptions!$B$14)+N(AN265)</f>
        <v/>
      </c>
      <c r="AZ265" s="7">
        <f>N(AU265)*N(R265)/90+N(AV265)+N(AW265)+N(AX265)+N(AY265)</f>
        <v/>
      </c>
      <c r="BA265" s="3">
        <f>IF(N(R265)&lt;=0,0,(N(AZ265)-N(AY265))*90/N(R265))</f>
        <v/>
      </c>
      <c r="BB265" s="7">
        <f>IFERROR(AZ265-VLOOKUP($E265,Assumptions!$A$40:$C$43,3,FALSE),"")</f>
        <v/>
      </c>
      <c r="BC265" s="3">
        <f>IFERROR(BB265/H265,"")</f>
        <v/>
      </c>
      <c r="BD265">
        <f>IF(AND($G265=TRUE,$E265="GKP"),AZ265,"")</f>
        <v/>
      </c>
      <c r="BE265">
        <f>IF(AND($G265=TRUE,$E265="DEF"),AZ265,"")</f>
        <v/>
      </c>
      <c r="BF265">
        <f>IF(AND($G265=TRUE,$E265="MID"),AZ265,"")</f>
        <v/>
      </c>
      <c r="BG265">
        <f>IF(AND($G265=TRUE,$E265="FWD"),AZ265,"")</f>
        <v/>
      </c>
      <c r="BH265" t="n">
        <v>2</v>
      </c>
      <c r="BI265" t="n">
        <v>2</v>
      </c>
      <c r="BJ265" t="n">
        <v>0</v>
      </c>
      <c r="BK265" t="n">
        <v>4</v>
      </c>
    </row>
    <row r="266">
      <c r="A266" t="inlineStr">
        <is>
          <t>Matthijs de Ligt</t>
        </is>
      </c>
      <c r="B266" t="inlineStr">
        <is>
          <t>MUN</t>
        </is>
      </c>
      <c r="C266" t="inlineStr">
        <is>
          <t>MUN</t>
        </is>
      </c>
      <c r="D266" t="b">
        <v>0</v>
      </c>
      <c r="E266" t="inlineStr">
        <is>
          <t>DEF</t>
        </is>
      </c>
      <c r="F266" t="inlineStr">
        <is>
          <t>DEF</t>
        </is>
      </c>
      <c r="G266" t="b">
        <v>1</v>
      </c>
      <c r="H266" s="2" t="n">
        <v>5</v>
      </c>
      <c r="I266" t="inlineStr">
        <is>
          <t>i</t>
        </is>
      </c>
      <c r="J266" t="inlineStr">
        <is>
          <t>Back injury - Unknown return date</t>
        </is>
      </c>
      <c r="K266" s="2" t="n">
        <v>1170</v>
      </c>
      <c r="L266" t="n">
        <v>43</v>
      </c>
      <c r="M266" s="3" t="n">
        <v>1026</v>
      </c>
      <c r="N266" s="8" t="n">
        <v>1026</v>
      </c>
      <c r="O266" s="8" t="n">
        <v>0</v>
      </c>
      <c r="Q266" t="inlineStr">
        <is>
          <t>flat</t>
        </is>
      </c>
      <c r="R266" s="6" t="n">
        <v>1026</v>
      </c>
      <c r="S266" t="inlineStr">
        <is>
          <t>Solio</t>
        </is>
      </c>
      <c r="U266" s="6" t="n">
        <v>88</v>
      </c>
      <c r="V266" s="2" t="n">
        <v>13</v>
      </c>
      <c r="W266" s="7">
        <f>IF(N(U266)&lt;=0,0,MIN(Assumptions!$B$15,N(R266)/N(U266)))</f>
        <v/>
      </c>
      <c r="X266" s="6" t="n">
        <v>0.334</v>
      </c>
      <c r="Y266" s="3" t="n">
        <v>0.1164</v>
      </c>
      <c r="Z266" t="inlineStr">
        <is>
          <t>adjusted xGOT</t>
        </is>
      </c>
      <c r="AA266" s="3" t="n">
        <v>1</v>
      </c>
      <c r="AB266" s="3" t="n">
        <v>1.096</v>
      </c>
      <c r="AC266" s="3" t="n">
        <v>3.9</v>
      </c>
      <c r="AD266" s="3" t="n">
        <v>0.0484</v>
      </c>
      <c r="AE266" s="3" t="n">
        <v>8.023</v>
      </c>
      <c r="AF266" s="3" t="n">
        <v>0.2643046071888955</v>
      </c>
      <c r="AG266" s="3" t="n">
        <v>9.130000000000001</v>
      </c>
      <c r="AH266" s="3" t="n">
        <v>0.3274595648</v>
      </c>
      <c r="AI266" s="3" t="n">
        <v>26</v>
      </c>
      <c r="AJ266" s="3" t="n">
        <v>2.2165</v>
      </c>
      <c r="AK266" s="3" t="n">
        <v>1.1467</v>
      </c>
      <c r="AL266" s="3" t="n">
        <v>-0.1309496477453779</v>
      </c>
      <c r="AM266" s="6" t="n">
        <v>0</v>
      </c>
      <c r="AN266" s="3" t="n">
        <v>0</v>
      </c>
      <c r="AO266" s="3" t="n">
        <v>0.6984</v>
      </c>
      <c r="AP266" s="3" t="n">
        <v>0.191664</v>
      </c>
      <c r="AQ266" s="3">
        <f>N(X266)*N(BJ266)</f>
        <v/>
      </c>
      <c r="AR266" s="3" t="n">
        <v>0</v>
      </c>
      <c r="AS266" s="3" t="n">
        <v>-0.348580685135232</v>
      </c>
      <c r="AT266" s="3" t="n">
        <v>-0.1309496477453779</v>
      </c>
      <c r="AU266" s="3">
        <f>SUM(AO266:AT266)</f>
        <v/>
      </c>
      <c r="AV266" s="7">
        <f>IF(OR(N(W266)&lt;=0,N(BH266)=0),0,N(W266)*IF(N(R266)/N(W266)&gt;=60,N(BH266),1))</f>
        <v/>
      </c>
      <c r="AW266" s="7">
        <f>N(W266)*N(AF266)*N(BI266)</f>
        <v/>
      </c>
      <c r="AX266" s="3">
        <f>IF(N(BH266)=0,0,N(W266)*N(AH266))</f>
        <v/>
      </c>
      <c r="AY266" s="7">
        <f>N(AM266)*(Assumptions!$B$13*N(BK266)-(1-Assumptions!$B$13)*Assumptions!$B$14)+N(AN266)</f>
        <v/>
      </c>
      <c r="AZ266" s="7">
        <f>N(AU266)*N(R266)/90+N(AV266)+N(AW266)+N(AX266)+N(AY266)</f>
        <v/>
      </c>
      <c r="BA266" s="3">
        <f>IF(N(R266)&lt;=0,0,(N(AZ266)-N(AY266))*90/N(R266))</f>
        <v/>
      </c>
      <c r="BB266" s="7">
        <f>IFERROR(AZ266-VLOOKUP($E266,Assumptions!$A$40:$C$43,3,FALSE),"")</f>
        <v/>
      </c>
      <c r="BC266" s="3">
        <f>IFERROR(BB266/H266,"")</f>
        <v/>
      </c>
      <c r="BD266">
        <f>IF(AND($G266=TRUE,$E266="GKP"),AZ266,"")</f>
        <v/>
      </c>
      <c r="BE266">
        <f>IF(AND($G266=TRUE,$E266="DEF"),AZ266,"")</f>
        <v/>
      </c>
      <c r="BF266">
        <f>IF(AND($G266=TRUE,$E266="MID"),AZ266,"")</f>
        <v/>
      </c>
      <c r="BG266">
        <f>IF(AND($G266=TRUE,$E266="FWD"),AZ266,"")</f>
        <v/>
      </c>
      <c r="BH266" t="n">
        <v>2</v>
      </c>
      <c r="BI266" t="n">
        <v>2</v>
      </c>
      <c r="BJ266" t="n">
        <v>4</v>
      </c>
      <c r="BK266" t="n">
        <v>6</v>
      </c>
    </row>
    <row r="267">
      <c r="A267" t="inlineStr">
        <is>
          <t>Lucas Perri</t>
        </is>
      </c>
      <c r="B267" t="inlineStr">
        <is>
          <t>LEE</t>
        </is>
      </c>
      <c r="C267" t="inlineStr">
        <is>
          <t>LEE</t>
        </is>
      </c>
      <c r="D267" t="b">
        <v>0</v>
      </c>
      <c r="E267" t="inlineStr">
        <is>
          <t>GKP</t>
        </is>
      </c>
      <c r="F267" t="inlineStr">
        <is>
          <t>GKP</t>
        </is>
      </c>
      <c r="G267" t="b">
        <v>1</v>
      </c>
      <c r="H267" s="2" t="n">
        <v>4.5</v>
      </c>
      <c r="I267" t="inlineStr">
        <is>
          <t>a</t>
        </is>
      </c>
      <c r="K267" s="2" t="n">
        <v>1440</v>
      </c>
      <c r="L267" t="n">
        <v>43</v>
      </c>
      <c r="M267" s="3" t="n">
        <v>35</v>
      </c>
      <c r="N267" s="4" t="n">
        <v>0</v>
      </c>
      <c r="O267" s="4" t="n">
        <v>-35</v>
      </c>
      <c r="P267" s="5" t="inlineStr">
        <is>
          <t>medium</t>
        </is>
      </c>
      <c r="Q267" t="inlineStr">
        <is>
          <t>flat</t>
        </is>
      </c>
      <c r="R267" s="6" t="n">
        <v>0</v>
      </c>
      <c r="S267" t="inlineStr">
        <is>
          <t>research</t>
        </is>
      </c>
      <c r="T267" s="5" t="inlineStr">
        <is>
          <t>Leaving. Season-long loan to Torino with an option to buy (reported around EUR 11m / GBP 9.4m), personal terms agreed and conditional only on Trafford's arrival, which completed on 6 Aug. He was left out of the Augsburg squad entirely on 15 Aug with his pending transfer given as the reason - the two goalkeepers on the bench were youth players. Not yet reflected in the FPL feed, which still lists him as available.</t>
        </is>
      </c>
      <c r="U267" s="6" t="n">
        <v>89.90000000000001</v>
      </c>
      <c r="V267" s="2" t="n">
        <v>16</v>
      </c>
      <c r="W267" s="7">
        <f>IF(N(U267)&lt;=0,0,MIN(Assumptions!$B$15,N(R267)/N(U267)))</f>
        <v/>
      </c>
      <c r="X267" s="6" t="n">
        <v>0.218</v>
      </c>
      <c r="Y267" s="3" t="n">
        <v>0</v>
      </c>
      <c r="Z267" t="inlineStr">
        <is>
          <t>blended xG</t>
        </is>
      </c>
      <c r="AA267" s="3" t="n">
        <v>1</v>
      </c>
      <c r="AB267" s="3" t="n">
        <v>1</v>
      </c>
      <c r="AC267" s="3" t="n">
        <v>0</v>
      </c>
      <c r="AD267" s="3" t="n">
        <v>0</v>
      </c>
      <c r="AE267" s="3" t="n">
        <v>0</v>
      </c>
      <c r="AF267" s="3" t="n">
        <v>0</v>
      </c>
      <c r="AG267" s="3" t="n">
        <v>4.923</v>
      </c>
      <c r="AH267" s="3" t="n">
        <v>0.1869305794</v>
      </c>
      <c r="AI267" s="3" t="n">
        <v>32</v>
      </c>
      <c r="AJ267" s="3" t="n">
        <v>3.0611</v>
      </c>
      <c r="AK267" s="3" t="n">
        <v>1.5875</v>
      </c>
      <c r="AL267" s="3" t="n">
        <v>-0.1021412005307425</v>
      </c>
      <c r="AM267" s="6" t="n">
        <v>0</v>
      </c>
      <c r="AN267" s="3" t="n">
        <v>0.0346842262529947</v>
      </c>
      <c r="AO267" s="3" t="n">
        <v>0</v>
      </c>
      <c r="AP267" s="3" t="n">
        <v>0</v>
      </c>
      <c r="AQ267" s="3">
        <f>N(X267)*N(BJ267)</f>
        <v/>
      </c>
      <c r="AR267" s="3" t="n">
        <v>0.684972232751521</v>
      </c>
      <c r="AS267" s="3" t="n">
        <v>-0.5541985260210861</v>
      </c>
      <c r="AT267" s="3" t="n">
        <v>-0.1021412005307425</v>
      </c>
      <c r="AU267" s="3">
        <f>SUM(AO267:AT267)</f>
        <v/>
      </c>
      <c r="AV267" s="7">
        <f>IF(OR(N(W267)&lt;=0,N(BH267)=0),0,N(W267)*IF(N(R267)/N(W267)&gt;=60,N(BH267),1))</f>
        <v/>
      </c>
      <c r="AW267" s="7">
        <f>N(W267)*N(AF267)*N(BI267)</f>
        <v/>
      </c>
      <c r="AX267" s="3">
        <f>IF(N(BH267)=0,0,N(W267)*N(AH267))</f>
        <v/>
      </c>
      <c r="AY267" s="7">
        <f>N(AM267)*(Assumptions!$B$13*N(BK267)-(1-Assumptions!$B$13)*Assumptions!$B$14)+N(AN267)</f>
        <v/>
      </c>
      <c r="AZ267" s="7">
        <f>N(AU267)*N(R267)/90+N(AV267)+N(AW267)+N(AX267)+N(AY267)</f>
        <v/>
      </c>
      <c r="BA267" s="3">
        <f>IF(N(R267)&lt;=0,0,(N(AZ267)-N(AY267))*90/N(R267))</f>
        <v/>
      </c>
      <c r="BB267" s="7">
        <f>IFERROR(AZ267-VLOOKUP($E267,Assumptions!$A$40:$C$43,3,FALSE),"")</f>
        <v/>
      </c>
      <c r="BC267" s="3">
        <f>IFERROR(BB267/H267,"")</f>
        <v/>
      </c>
      <c r="BD267">
        <f>IF(AND($G267=TRUE,$E267="GKP"),AZ267,"")</f>
        <v/>
      </c>
      <c r="BE267">
        <f>IF(AND($G267=TRUE,$E267="DEF"),AZ267,"")</f>
        <v/>
      </c>
      <c r="BF267">
        <f>IF(AND($G267=TRUE,$E267="MID"),AZ267,"")</f>
        <v/>
      </c>
      <c r="BG267">
        <f>IF(AND($G267=TRUE,$E267="FWD"),AZ267,"")</f>
        <v/>
      </c>
      <c r="BH267" t="n">
        <v>2</v>
      </c>
      <c r="BI267" t="n">
        <v>0</v>
      </c>
      <c r="BJ267" t="n">
        <v>4</v>
      </c>
      <c r="BK267" t="n">
        <v>10</v>
      </c>
    </row>
    <row r="268">
      <c r="A268" t="inlineStr">
        <is>
          <t>Oscar Bobb</t>
        </is>
      </c>
      <c r="B268" t="inlineStr">
        <is>
          <t>FUL</t>
        </is>
      </c>
      <c r="C268" t="inlineStr">
        <is>
          <t>FUL</t>
        </is>
      </c>
      <c r="D268" t="b">
        <v>0</v>
      </c>
      <c r="E268" t="inlineStr">
        <is>
          <t>MID</t>
        </is>
      </c>
      <c r="F268" t="inlineStr">
        <is>
          <t>MID</t>
        </is>
      </c>
      <c r="G268" t="b">
        <v>1</v>
      </c>
      <c r="H268" s="2" t="n">
        <v>5.5</v>
      </c>
      <c r="I268" t="inlineStr">
        <is>
          <t>a</t>
        </is>
      </c>
      <c r="K268" s="2" t="n">
        <v>1030</v>
      </c>
      <c r="L268" t="n">
        <v>42</v>
      </c>
      <c r="M268" s="3" t="n">
        <v>2645</v>
      </c>
      <c r="N268" s="8" t="n">
        <v>2645</v>
      </c>
      <c r="O268" s="8" t="n">
        <v>0</v>
      </c>
      <c r="Q268" t="inlineStr">
        <is>
          <t>flat</t>
        </is>
      </c>
      <c r="R268" s="6" t="n">
        <v>2645</v>
      </c>
      <c r="S268" t="inlineStr">
        <is>
          <t>Solio</t>
        </is>
      </c>
      <c r="U268" s="6" t="n">
        <v>75.2</v>
      </c>
      <c r="V268" s="2" t="n">
        <v>11</v>
      </c>
      <c r="W268" s="7">
        <f>IF(N(U268)&lt;=0,0,MIN(Assumptions!$B$15,N(R268)/N(U268)))</f>
        <v/>
      </c>
      <c r="X268" s="6" t="n">
        <v>0.214</v>
      </c>
      <c r="Y268" s="3" t="n">
        <v>0.1206</v>
      </c>
      <c r="Z268" t="inlineStr">
        <is>
          <t>adjusted xGOT</t>
        </is>
      </c>
      <c r="AA268" s="3" t="n">
        <v>1</v>
      </c>
      <c r="AB268" s="3" t="n">
        <v>0.9389999999999999</v>
      </c>
      <c r="AC268" s="3" t="n">
        <v>3</v>
      </c>
      <c r="AD268" s="3" t="n">
        <v>0.1799</v>
      </c>
      <c r="AE268" s="3" t="n">
        <v>7.437</v>
      </c>
      <c r="AF268" s="3" t="n">
        <v>0.02535789211957828</v>
      </c>
      <c r="AG268" s="3" t="n">
        <v>6.516</v>
      </c>
      <c r="AH268" s="3" t="n">
        <v>0.2360793167</v>
      </c>
      <c r="AI268" s="3" t="n">
        <v>33</v>
      </c>
      <c r="AJ268" s="3" t="n">
        <v>3.22</v>
      </c>
      <c r="AK268" s="3" t="n">
        <v>1.6019</v>
      </c>
      <c r="AL268" s="3" t="n">
        <v>-0.1619153526247274</v>
      </c>
      <c r="AM268" s="6" t="n">
        <v>0</v>
      </c>
      <c r="AN268" s="3" t="n">
        <v>0</v>
      </c>
      <c r="AO268" s="3" t="n">
        <v>0.603</v>
      </c>
      <c r="AP268" s="3" t="n">
        <v>0.7124040000000001</v>
      </c>
      <c r="AQ268" s="3">
        <f>N(X268)*N(BJ268)</f>
        <v/>
      </c>
      <c r="AR268" s="3" t="n">
        <v>0</v>
      </c>
      <c r="AS268" s="3" t="n">
        <v>-0</v>
      </c>
      <c r="AT268" s="3" t="n">
        <v>-0.1619153526247274</v>
      </c>
      <c r="AU268" s="3">
        <f>SUM(AO268:AT268)</f>
        <v/>
      </c>
      <c r="AV268" s="7">
        <f>IF(OR(N(W268)&lt;=0,N(BH268)=0),0,N(W268)*IF(N(R268)/N(W268)&gt;=60,N(BH268),1))</f>
        <v/>
      </c>
      <c r="AW268" s="7">
        <f>N(W268)*N(AF268)*N(BI268)</f>
        <v/>
      </c>
      <c r="AX268" s="3">
        <f>IF(N(BH268)=0,0,N(W268)*N(AH268))</f>
        <v/>
      </c>
      <c r="AY268" s="7">
        <f>N(AM268)*(Assumptions!$B$13*N(BK268)-(1-Assumptions!$B$13)*Assumptions!$B$14)+N(AN268)</f>
        <v/>
      </c>
      <c r="AZ268" s="7">
        <f>N(AU268)*N(R268)/90+N(AV268)+N(AW268)+N(AX268)+N(AY268)</f>
        <v/>
      </c>
      <c r="BA268" s="3">
        <f>IF(N(R268)&lt;=0,0,(N(AZ268)-N(AY268))*90/N(R268))</f>
        <v/>
      </c>
      <c r="BB268" s="7">
        <f>IFERROR(AZ268-VLOOKUP($E268,Assumptions!$A$40:$C$43,3,FALSE),"")</f>
        <v/>
      </c>
      <c r="BC268" s="3">
        <f>IFERROR(BB268/H268,"")</f>
        <v/>
      </c>
      <c r="BD268">
        <f>IF(AND($G268=TRUE,$E268="GKP"),AZ268,"")</f>
        <v/>
      </c>
      <c r="BE268">
        <f>IF(AND($G268=TRUE,$E268="DEF"),AZ268,"")</f>
        <v/>
      </c>
      <c r="BF268">
        <f>IF(AND($G268=TRUE,$E268="MID"),AZ268,"")</f>
        <v/>
      </c>
      <c r="BG268">
        <f>IF(AND($G268=TRUE,$E268="FWD"),AZ268,"")</f>
        <v/>
      </c>
      <c r="BH268" t="n">
        <v>2</v>
      </c>
      <c r="BI268" t="n">
        <v>2</v>
      </c>
      <c r="BJ268" t="n">
        <v>1</v>
      </c>
      <c r="BK268" t="n">
        <v>5</v>
      </c>
    </row>
    <row r="269">
      <c r="A269" t="inlineStr">
        <is>
          <t>Ayden Heaven</t>
        </is>
      </c>
      <c r="B269" t="inlineStr">
        <is>
          <t>MUN</t>
        </is>
      </c>
      <c r="C269" t="inlineStr">
        <is>
          <t>MUN</t>
        </is>
      </c>
      <c r="D269" t="b">
        <v>0</v>
      </c>
      <c r="E269" t="inlineStr">
        <is>
          <t>DEF</t>
        </is>
      </c>
      <c r="F269" t="inlineStr">
        <is>
          <t>DEF</t>
        </is>
      </c>
      <c r="G269" t="b">
        <v>1</v>
      </c>
      <c r="H269" s="2" t="n">
        <v>4.5</v>
      </c>
      <c r="I269" t="inlineStr">
        <is>
          <t>a</t>
        </is>
      </c>
      <c r="K269" s="2" t="n">
        <v>920</v>
      </c>
      <c r="L269" t="n">
        <v>42</v>
      </c>
      <c r="M269" s="3" t="n">
        <v>176</v>
      </c>
      <c r="N269" s="4" t="n">
        <v>550</v>
      </c>
      <c r="O269" s="4" t="n">
        <v>374</v>
      </c>
      <c r="P269" s="5" t="inlineStr">
        <is>
          <t>medium</t>
        </is>
      </c>
      <c r="Q269" t="inlineStr">
        <is>
          <t>fade (losing his place)</t>
        </is>
      </c>
      <c r="R269" s="6" t="n">
        <v>550</v>
      </c>
      <c r="S269" t="inlineStr">
        <is>
          <t>research</t>
        </is>
      </c>
      <c r="T269" s="5" t="inlineStr">
        <is>
          <t>Solio has him at 176 minutes with a 'fade' flag, yet he started at centre-back in the 15 August dress rehearsal and is explicitly one of the two named contenders for the left-sided centre-back slot at Hull. He played 920 minutes as a teenager last season. 550 reflects a squad defender who currently has a real chance of starting, not a first-choice promotion.</t>
        </is>
      </c>
      <c r="U269" s="6" t="n">
        <v>82.5</v>
      </c>
      <c r="V269" s="2" t="n">
        <v>11</v>
      </c>
      <c r="W269" s="7">
        <f>IF(N(U269)&lt;=0,0,MIN(Assumptions!$B$15,N(R269)/N(U269)))</f>
        <v/>
      </c>
      <c r="X269" s="6" t="n">
        <v>0.334</v>
      </c>
      <c r="Y269" s="3" t="n">
        <v>0.0315</v>
      </c>
      <c r="Z269" t="inlineStr">
        <is>
          <t>adjusted xGOT</t>
        </is>
      </c>
      <c r="AA269" s="3" t="n">
        <v>1</v>
      </c>
      <c r="AB269" s="3" t="n">
        <v>0.946</v>
      </c>
      <c r="AC269" s="3" t="n">
        <v>0.5</v>
      </c>
      <c r="AD269" s="3" t="n">
        <v>0.0267</v>
      </c>
      <c r="AE269" s="3" t="n">
        <v>8.478</v>
      </c>
      <c r="AF269" s="3" t="n">
        <v>0.2554596480103442</v>
      </c>
      <c r="AG269" s="3" t="n">
        <v>9.573</v>
      </c>
      <c r="AH269" s="3" t="n">
        <v>0.2508162304</v>
      </c>
      <c r="AI269" s="3" t="n">
        <v>27</v>
      </c>
      <c r="AJ269" s="3" t="n">
        <v>2.2165</v>
      </c>
      <c r="AK269" s="3" t="n">
        <v>1.1467</v>
      </c>
      <c r="AL269" s="3" t="n">
        <v>-0.2235172313821019</v>
      </c>
      <c r="AM269" s="6" t="n">
        <v>0</v>
      </c>
      <c r="AN269" s="3" t="n">
        <v>0</v>
      </c>
      <c r="AO269" s="3" t="n">
        <v>0.189</v>
      </c>
      <c r="AP269" s="3" t="n">
        <v>0.105732</v>
      </c>
      <c r="AQ269" s="3">
        <f>N(X269)*N(BJ269)</f>
        <v/>
      </c>
      <c r="AR269" s="3" t="n">
        <v>0</v>
      </c>
      <c r="AS269" s="3" t="n">
        <v>-0.348580685135232</v>
      </c>
      <c r="AT269" s="3" t="n">
        <v>-0.2235172313821019</v>
      </c>
      <c r="AU269" s="3">
        <f>SUM(AO269:AT269)</f>
        <v/>
      </c>
      <c r="AV269" s="7">
        <f>IF(OR(N(W269)&lt;=0,N(BH269)=0),0,N(W269)*IF(N(R269)/N(W269)&gt;=60,N(BH269),1))</f>
        <v/>
      </c>
      <c r="AW269" s="7">
        <f>N(W269)*N(AF269)*N(BI269)</f>
        <v/>
      </c>
      <c r="AX269" s="3">
        <f>IF(N(BH269)=0,0,N(W269)*N(AH269))</f>
        <v/>
      </c>
      <c r="AY269" s="7">
        <f>N(AM269)*(Assumptions!$B$13*N(BK269)-(1-Assumptions!$B$13)*Assumptions!$B$14)+N(AN269)</f>
        <v/>
      </c>
      <c r="AZ269" s="7">
        <f>N(AU269)*N(R269)/90+N(AV269)+N(AW269)+N(AX269)+N(AY269)</f>
        <v/>
      </c>
      <c r="BA269" s="3">
        <f>IF(N(R269)&lt;=0,0,(N(AZ269)-N(AY269))*90/N(R269))</f>
        <v/>
      </c>
      <c r="BB269" s="7">
        <f>IFERROR(AZ269-VLOOKUP($E269,Assumptions!$A$40:$C$43,3,FALSE),"")</f>
        <v/>
      </c>
      <c r="BC269" s="3">
        <f>IFERROR(BB269/H269,"")</f>
        <v/>
      </c>
      <c r="BD269">
        <f>IF(AND($G269=TRUE,$E269="GKP"),AZ269,"")</f>
        <v/>
      </c>
      <c r="BE269">
        <f>IF(AND($G269=TRUE,$E269="DEF"),AZ269,"")</f>
        <v/>
      </c>
      <c r="BF269">
        <f>IF(AND($G269=TRUE,$E269="MID"),AZ269,"")</f>
        <v/>
      </c>
      <c r="BG269">
        <f>IF(AND($G269=TRUE,$E269="FWD"),AZ269,"")</f>
        <v/>
      </c>
      <c r="BH269" t="n">
        <v>2</v>
      </c>
      <c r="BI269" t="n">
        <v>2</v>
      </c>
      <c r="BJ269" t="n">
        <v>4</v>
      </c>
      <c r="BK269" t="n">
        <v>6</v>
      </c>
    </row>
    <row r="270">
      <c r="A270" t="inlineStr">
        <is>
          <t>Conor Bradley</t>
        </is>
      </c>
      <c r="B270" t="inlineStr">
        <is>
          <t>LIV</t>
        </is>
      </c>
      <c r="C270" t="inlineStr">
        <is>
          <t>LIV</t>
        </is>
      </c>
      <c r="D270" t="b">
        <v>0</v>
      </c>
      <c r="E270" t="inlineStr">
        <is>
          <t>DEF</t>
        </is>
      </c>
      <c r="F270" t="inlineStr">
        <is>
          <t>DEF</t>
        </is>
      </c>
      <c r="G270" t="b">
        <v>1</v>
      </c>
      <c r="H270" s="2" t="n">
        <v>5</v>
      </c>
      <c r="I270" t="inlineStr">
        <is>
          <t>i</t>
        </is>
      </c>
      <c r="J270" t="inlineStr">
        <is>
          <t>Knee injury - Unknown return date</t>
        </is>
      </c>
      <c r="K270" s="2" t="n">
        <v>928</v>
      </c>
      <c r="L270" t="n">
        <v>42</v>
      </c>
      <c r="M270" s="3" t="n">
        <v>1328</v>
      </c>
      <c r="N270" s="4" t="n">
        <v>1000</v>
      </c>
      <c r="O270" s="4" t="n">
        <v>-328</v>
      </c>
      <c r="P270" s="5" t="inlineStr">
        <is>
          <t>medium</t>
        </is>
      </c>
      <c r="Q270" t="inlineStr">
        <is>
          <t>ramp-up (injury / late WC return)</t>
        </is>
      </c>
      <c r="R270" s="6" t="n">
        <v>1000</v>
      </c>
      <c r="S270" t="inlineStr">
        <is>
          <t>research</t>
        </is>
      </c>
      <c r="T270" s="5" t="inlineStr">
        <is>
          <t>This Is Anfield, on Bradley's knee (bone and ligament damage, out since January): 'a return to team training is still not on the horizon', with October the earliest realistic return and careful management needed thereafter. Iraola: 'right now he is still, I would say, a little bit far from returning.' Solio's 1328 implies roughly fifteen full matches, which requires both an on-time return and an immediate full workload.</t>
        </is>
      </c>
      <c r="U270" s="6" t="n">
        <v>77.2</v>
      </c>
      <c r="V270" s="2" t="n">
        <v>12</v>
      </c>
      <c r="W270" s="7">
        <f>IF(N(U270)&lt;=0,0,MIN(Assumptions!$B$15,N(R270)/N(U270)))</f>
        <v/>
      </c>
      <c r="X270" s="6" t="n">
        <v>0.342</v>
      </c>
      <c r="Y270" s="3" t="n">
        <v>0.0185</v>
      </c>
      <c r="Z270" t="inlineStr">
        <is>
          <t>adjusted xGOT</t>
        </is>
      </c>
      <c r="AA270" s="3" t="n">
        <v>1</v>
      </c>
      <c r="AB270" s="3" t="n">
        <v>1.062</v>
      </c>
      <c r="AC270" s="3" t="n">
        <v>1.8</v>
      </c>
      <c r="AD270" s="3" t="n">
        <v>0.09859999999999999</v>
      </c>
      <c r="AE270" s="3" t="n">
        <v>6.907</v>
      </c>
      <c r="AF270" s="3" t="n">
        <v>0.07883612970814979</v>
      </c>
      <c r="AG270" s="3" t="n">
        <v>7.665</v>
      </c>
      <c r="AH270" s="3" t="n">
        <v>0.1727139256</v>
      </c>
      <c r="AI270" s="3" t="n">
        <v>24</v>
      </c>
      <c r="AJ270" s="3" t="n">
        <v>2.409</v>
      </c>
      <c r="AK270" s="3" t="n">
        <v>1.1228</v>
      </c>
      <c r="AL270" s="3" t="n">
        <v>-0.3428432368686911</v>
      </c>
      <c r="AM270" s="6" t="n">
        <v>0</v>
      </c>
      <c r="AN270" s="3" t="n">
        <v>0</v>
      </c>
      <c r="AO270" s="3" t="n">
        <v>0.111</v>
      </c>
      <c r="AP270" s="3" t="n">
        <v>0.390456</v>
      </c>
      <c r="AQ270" s="3">
        <f>N(X270)*N(BJ270)</f>
        <v/>
      </c>
      <c r="AR270" s="3" t="n">
        <v>0</v>
      </c>
      <c r="AS270" s="3" t="n">
        <v>-0.3378660007281162</v>
      </c>
      <c r="AT270" s="3" t="n">
        <v>-0.3428432368686911</v>
      </c>
      <c r="AU270" s="3">
        <f>SUM(AO270:AT270)</f>
        <v/>
      </c>
      <c r="AV270" s="7">
        <f>IF(OR(N(W270)&lt;=0,N(BH270)=0),0,N(W270)*IF(N(R270)/N(W270)&gt;=60,N(BH270),1))</f>
        <v/>
      </c>
      <c r="AW270" s="7">
        <f>N(W270)*N(AF270)*N(BI270)</f>
        <v/>
      </c>
      <c r="AX270" s="3">
        <f>IF(N(BH270)=0,0,N(W270)*N(AH270))</f>
        <v/>
      </c>
      <c r="AY270" s="7">
        <f>N(AM270)*(Assumptions!$B$13*N(BK270)-(1-Assumptions!$B$13)*Assumptions!$B$14)+N(AN270)</f>
        <v/>
      </c>
      <c r="AZ270" s="7">
        <f>N(AU270)*N(R270)/90+N(AV270)+N(AW270)+N(AX270)+N(AY270)</f>
        <v/>
      </c>
      <c r="BA270" s="3">
        <f>IF(N(R270)&lt;=0,0,(N(AZ270)-N(AY270))*90/N(R270))</f>
        <v/>
      </c>
      <c r="BB270" s="7">
        <f>IFERROR(AZ270-VLOOKUP($E270,Assumptions!$A$40:$C$43,3,FALSE),"")</f>
        <v/>
      </c>
      <c r="BC270" s="3">
        <f>IFERROR(BB270/H270,"")</f>
        <v/>
      </c>
      <c r="BD270">
        <f>IF(AND($G270=TRUE,$E270="GKP"),AZ270,"")</f>
        <v/>
      </c>
      <c r="BE270">
        <f>IF(AND($G270=TRUE,$E270="DEF"),AZ270,"")</f>
        <v/>
      </c>
      <c r="BF270">
        <f>IF(AND($G270=TRUE,$E270="MID"),AZ270,"")</f>
        <v/>
      </c>
      <c r="BG270">
        <f>IF(AND($G270=TRUE,$E270="FWD"),AZ270,"")</f>
        <v/>
      </c>
      <c r="BH270" t="n">
        <v>2</v>
      </c>
      <c r="BI270" t="n">
        <v>2</v>
      </c>
      <c r="BJ270" t="n">
        <v>4</v>
      </c>
      <c r="BK270" t="n">
        <v>6</v>
      </c>
    </row>
    <row r="271">
      <c r="A271" t="inlineStr">
        <is>
          <t>Joshua Zirkzee</t>
        </is>
      </c>
      <c r="B271" t="inlineStr">
        <is>
          <t>MUN</t>
        </is>
      </c>
      <c r="C271" t="inlineStr">
        <is>
          <t>MUN</t>
        </is>
      </c>
      <c r="D271" t="b">
        <v>0</v>
      </c>
      <c r="E271" t="inlineStr">
        <is>
          <t>FWD</t>
        </is>
      </c>
      <c r="F271" t="inlineStr">
        <is>
          <t>FWD</t>
        </is>
      </c>
      <c r="G271" t="b">
        <v>1</v>
      </c>
      <c r="H271" s="2" t="n">
        <v>5.5</v>
      </c>
      <c r="I271" t="inlineStr">
        <is>
          <t>a</t>
        </is>
      </c>
      <c r="K271" s="2" t="n">
        <v>607</v>
      </c>
      <c r="L271" t="n">
        <v>42</v>
      </c>
      <c r="M271" s="3" t="n">
        <v>59</v>
      </c>
      <c r="N271" s="4" t="n">
        <v>0</v>
      </c>
      <c r="O271" s="4" t="n">
        <v>-59</v>
      </c>
      <c r="P271" s="5" t="inlineStr">
        <is>
          <t>medium</t>
        </is>
      </c>
      <c r="Q271" t="inlineStr">
        <is>
          <t>flat</t>
        </is>
      </c>
      <c r="R271" s="6" t="n">
        <v>0</v>
      </c>
      <c r="S271" t="inlineStr">
        <is>
          <t>research</t>
        </is>
      </c>
      <c r="T271" s="5" t="inlineStr">
        <is>
          <t>United expect him to leave before the window shuts. Juventus have opened talks and submitted multiple proposals, and United are insisting on a loan with an obligation to buy rather than an option, with Laurie Whitwell quoted saying he would be very surprised if United accepted an option again. Zirkzee has told the club he wants a Serie A return. Solio's 59 minutes is already near zero, so this is a rounding-level change.</t>
        </is>
      </c>
      <c r="U271" s="6" t="n">
        <v>76.7</v>
      </c>
      <c r="V271" s="2" t="n">
        <v>5</v>
      </c>
      <c r="W271" s="7">
        <f>IF(N(U271)&lt;=0,0,MIN(Assumptions!$B$15,N(R271)/N(U271)))</f>
        <v/>
      </c>
      <c r="X271" s="6" t="n">
        <v>0.334</v>
      </c>
      <c r="Y271" s="3" t="n">
        <v>0.4147</v>
      </c>
      <c r="Z271" t="inlineStr">
        <is>
          <t>adjusted xGOT</t>
        </is>
      </c>
      <c r="AA271" s="3" t="n">
        <v>1</v>
      </c>
      <c r="AB271" s="3" t="n">
        <v>1.021</v>
      </c>
      <c r="AC271" s="3" t="n">
        <v>7.4</v>
      </c>
      <c r="AD271" s="3" t="n">
        <v>0.1154</v>
      </c>
      <c r="AE271" s="3" t="n">
        <v>5.585</v>
      </c>
      <c r="AF271" s="3" t="n">
        <v>0.003739148619664623</v>
      </c>
      <c r="AG271" s="3" t="n">
        <v>2.195</v>
      </c>
      <c r="AH271" s="3" t="n">
        <v>0.5328831712000001</v>
      </c>
      <c r="AI271" s="3" t="n">
        <v>28</v>
      </c>
      <c r="AJ271" s="3" t="n">
        <v>2.2165</v>
      </c>
      <c r="AK271" s="3" t="n">
        <v>1.1467</v>
      </c>
      <c r="AL271" s="3" t="n">
        <v>-0.2245566207903356</v>
      </c>
      <c r="AM271" s="6" t="n">
        <v>0</v>
      </c>
      <c r="AN271" s="3" t="n">
        <v>0</v>
      </c>
      <c r="AO271" s="3" t="n">
        <v>1.6588</v>
      </c>
      <c r="AP271" s="3" t="n">
        <v>0.4569840000000001</v>
      </c>
      <c r="AQ271" s="3">
        <f>N(X271)*N(BJ271)</f>
        <v/>
      </c>
      <c r="AR271" s="3" t="n">
        <v>0</v>
      </c>
      <c r="AS271" s="3" t="n">
        <v>-0</v>
      </c>
      <c r="AT271" s="3" t="n">
        <v>-0.2245566207903356</v>
      </c>
      <c r="AU271" s="3">
        <f>SUM(AO271:AT271)</f>
        <v/>
      </c>
      <c r="AV271" s="7">
        <f>IF(OR(N(W271)&lt;=0,N(BH271)=0),0,N(W271)*IF(N(R271)/N(W271)&gt;=60,N(BH271),1))</f>
        <v/>
      </c>
      <c r="AW271" s="7">
        <f>N(W271)*N(AF271)*N(BI271)</f>
        <v/>
      </c>
      <c r="AX271" s="3">
        <f>IF(N(BH271)=0,0,N(W271)*N(AH271))</f>
        <v/>
      </c>
      <c r="AY271" s="7">
        <f>N(AM271)*(Assumptions!$B$13*N(BK271)-(1-Assumptions!$B$13)*Assumptions!$B$14)+N(AN271)</f>
        <v/>
      </c>
      <c r="AZ271" s="7">
        <f>N(AU271)*N(R271)/90+N(AV271)+N(AW271)+N(AX271)+N(AY271)</f>
        <v/>
      </c>
      <c r="BA271" s="3">
        <f>IF(N(R271)&lt;=0,0,(N(AZ271)-N(AY271))*90/N(R271))</f>
        <v/>
      </c>
      <c r="BB271" s="7">
        <f>IFERROR(AZ271-VLOOKUP($E271,Assumptions!$A$40:$C$43,3,FALSE),"")</f>
        <v/>
      </c>
      <c r="BC271" s="3">
        <f>IFERROR(BB271/H271,"")</f>
        <v/>
      </c>
      <c r="BD271">
        <f>IF(AND($G271=TRUE,$E271="GKP"),AZ271,"")</f>
        <v/>
      </c>
      <c r="BE271">
        <f>IF(AND($G271=TRUE,$E271="DEF"),AZ271,"")</f>
        <v/>
      </c>
      <c r="BF271">
        <f>IF(AND($G271=TRUE,$E271="MID"),AZ271,"")</f>
        <v/>
      </c>
      <c r="BG271">
        <f>IF(AND($G271=TRUE,$E271="FWD"),AZ271,"")</f>
        <v/>
      </c>
      <c r="BH271" t="n">
        <v>2</v>
      </c>
      <c r="BI271" t="n">
        <v>2</v>
      </c>
      <c r="BJ271" t="n">
        <v>0</v>
      </c>
      <c r="BK271" t="n">
        <v>4</v>
      </c>
    </row>
    <row r="272">
      <c r="A272" t="inlineStr">
        <is>
          <t>Justin Kluivert</t>
        </is>
      </c>
      <c r="B272" t="inlineStr">
        <is>
          <t>BOU</t>
        </is>
      </c>
      <c r="C272" t="inlineStr">
        <is>
          <t>BOU</t>
        </is>
      </c>
      <c r="D272" t="b">
        <v>0</v>
      </c>
      <c r="E272" t="inlineStr">
        <is>
          <t>MID</t>
        </is>
      </c>
      <c r="F272" t="inlineStr">
        <is>
          <t>MID</t>
        </is>
      </c>
      <c r="G272" t="b">
        <v>1</v>
      </c>
      <c r="H272" s="2" t="n">
        <v>6</v>
      </c>
      <c r="I272" t="inlineStr">
        <is>
          <t>a</t>
        </is>
      </c>
      <c r="K272" s="2" t="n">
        <v>945</v>
      </c>
      <c r="L272" t="n">
        <v>41</v>
      </c>
      <c r="M272" s="3" t="n">
        <v>935</v>
      </c>
      <c r="N272" s="4" t="n">
        <v>2100</v>
      </c>
      <c r="O272" s="4" t="n">
        <v>1165</v>
      </c>
      <c r="P272" s="5" t="inlineStr">
        <is>
          <t>medium</t>
        </is>
      </c>
      <c r="Q272" t="inlineStr">
        <is>
          <t>fade (losing his place)</t>
        </is>
      </c>
      <c r="R272" s="6" t="n">
        <v>2100</v>
      </c>
      <c r="S272" t="inlineStr">
        <is>
          <t>research</t>
        </is>
      </c>
      <c r="T272" s="5" t="inlineStr">
        <is>
          <t>Solio's 'fade (losing his place)' pattern is stale - it describes his 2025/26 under Andoni Iraola, who has left. Under Marco Rose, Kluivert started as the number 10 in both the 8 Aug Betis and 15 Aug Mainz friendlies, and Fantasy Football Scout reports him 'operating in the number 10 role, continuing a pattern seen throughout pre-season'. Held below 2400 because Kroupi will contest that area once fit and the Europa League will force rotation.</t>
        </is>
      </c>
      <c r="U272" s="6" t="n">
        <v>76.2</v>
      </c>
      <c r="V272" s="2" t="n">
        <v>10</v>
      </c>
      <c r="W272" s="7">
        <f>IF(N(U272)&lt;=0,0,MIN(Assumptions!$B$15,N(R272)/N(U272)))</f>
        <v/>
      </c>
      <c r="X272" s="6" t="n">
        <v>0.23</v>
      </c>
      <c r="Y272" s="3" t="n">
        <v>0.2249</v>
      </c>
      <c r="Z272" t="inlineStr">
        <is>
          <t>adjusted xGOT</t>
        </is>
      </c>
      <c r="AA272" s="3" t="n">
        <v>1</v>
      </c>
      <c r="AB272" s="3" t="n">
        <v>1.022</v>
      </c>
      <c r="AC272" s="3" t="n">
        <v>18.1</v>
      </c>
      <c r="AD272" s="3" t="n">
        <v>0.1831</v>
      </c>
      <c r="AE272" s="3" t="n">
        <v>7.222</v>
      </c>
      <c r="AF272" s="3" t="n">
        <v>0.02279990727175096</v>
      </c>
      <c r="AG272" s="3" t="n">
        <v>5.62</v>
      </c>
      <c r="AH272" s="3" t="n">
        <v>0.3587502976</v>
      </c>
      <c r="AI272" s="3" t="n">
        <v>29</v>
      </c>
      <c r="AJ272" s="3" t="n">
        <v>3.0957</v>
      </c>
      <c r="AK272" s="3" t="n">
        <v>1.53</v>
      </c>
      <c r="AL272" s="3" t="n">
        <v>-0.3129945567631165</v>
      </c>
      <c r="AM272" s="6" t="n">
        <v>0.2972649975908064</v>
      </c>
      <c r="AN272" s="3" t="n">
        <v>0</v>
      </c>
      <c r="AO272" s="3" t="n">
        <v>1.1245</v>
      </c>
      <c r="AP272" s="3" t="n">
        <v>0.7250760000000001</v>
      </c>
      <c r="AQ272" s="3">
        <f>N(X272)*N(BJ272)</f>
        <v/>
      </c>
      <c r="AR272" s="3" t="n">
        <v>0</v>
      </c>
      <c r="AS272" s="3" t="n">
        <v>-0</v>
      </c>
      <c r="AT272" s="3" t="n">
        <v>-0.3129945567631165</v>
      </c>
      <c r="AU272" s="3">
        <f>SUM(AO272:AT272)</f>
        <v/>
      </c>
      <c r="AV272" s="7">
        <f>IF(OR(N(W272)&lt;=0,N(BH272)=0),0,N(W272)*IF(N(R272)/N(W272)&gt;=60,N(BH272),1))</f>
        <v/>
      </c>
      <c r="AW272" s="7">
        <f>N(W272)*N(AF272)*N(BI272)</f>
        <v/>
      </c>
      <c r="AX272" s="3">
        <f>IF(N(BH272)=0,0,N(W272)*N(AH272))</f>
        <v/>
      </c>
      <c r="AY272" s="7">
        <f>N(AM272)*(Assumptions!$B$13*N(BK272)-(1-Assumptions!$B$13)*Assumptions!$B$14)+N(AN272)</f>
        <v/>
      </c>
      <c r="AZ272" s="7">
        <f>N(AU272)*N(R272)/90+N(AV272)+N(AW272)+N(AX272)+N(AY272)</f>
        <v/>
      </c>
      <c r="BA272" s="3">
        <f>IF(N(R272)&lt;=0,0,(N(AZ272)-N(AY272))*90/N(R272))</f>
        <v/>
      </c>
      <c r="BB272" s="7">
        <f>IFERROR(AZ272-VLOOKUP($E272,Assumptions!$A$40:$C$43,3,FALSE),"")</f>
        <v/>
      </c>
      <c r="BC272" s="3">
        <f>IFERROR(BB272/H272,"")</f>
        <v/>
      </c>
      <c r="BD272">
        <f>IF(AND($G272=TRUE,$E272="GKP"),AZ272,"")</f>
        <v/>
      </c>
      <c r="BE272">
        <f>IF(AND($G272=TRUE,$E272="DEF"),AZ272,"")</f>
        <v/>
      </c>
      <c r="BF272">
        <f>IF(AND($G272=TRUE,$E272="MID"),AZ272,"")</f>
        <v/>
      </c>
      <c r="BG272">
        <f>IF(AND($G272=TRUE,$E272="FWD"),AZ272,"")</f>
        <v/>
      </c>
      <c r="BH272" t="n">
        <v>2</v>
      </c>
      <c r="BI272" t="n">
        <v>2</v>
      </c>
      <c r="BJ272" t="n">
        <v>1</v>
      </c>
      <c r="BK272" t="n">
        <v>5</v>
      </c>
    </row>
    <row r="273">
      <c r="A273" t="inlineStr">
        <is>
          <t>Tom Cairney</t>
        </is>
      </c>
      <c r="B273" t="inlineStr">
        <is>
          <t>FUL</t>
        </is>
      </c>
      <c r="C273" t="inlineStr">
        <is>
          <t>FUL</t>
        </is>
      </c>
      <c r="D273" t="b">
        <v>0</v>
      </c>
      <c r="E273" t="inlineStr">
        <is>
          <t>MID</t>
        </is>
      </c>
      <c r="F273" t="inlineStr">
        <is>
          <t>MID</t>
        </is>
      </c>
      <c r="G273" t="b">
        <v>1</v>
      </c>
      <c r="H273" s="2" t="n">
        <v>5</v>
      </c>
      <c r="I273" t="inlineStr">
        <is>
          <t>i</t>
        </is>
      </c>
      <c r="J273" t="inlineStr">
        <is>
          <t>Knee injury - Expected back 10 Oct</t>
        </is>
      </c>
      <c r="K273" s="2" t="n">
        <v>756</v>
      </c>
      <c r="L273" t="n">
        <v>41</v>
      </c>
      <c r="M273" s="3" t="n">
        <v>324</v>
      </c>
      <c r="N273" s="4" t="n">
        <v>120</v>
      </c>
      <c r="O273" s="4" t="n">
        <v>-204</v>
      </c>
      <c r="P273" s="5" t="inlineStr">
        <is>
          <t>medium</t>
        </is>
      </c>
      <c r="Q273" t="inlineStr">
        <is>
          <t>flat</t>
        </is>
      </c>
      <c r="R273" s="6" t="n">
        <v>120</v>
      </c>
      <c r="S273" t="inlineStr">
        <is>
          <t>research</t>
        </is>
      </c>
      <c r="T273" s="5" t="inlineStr">
        <is>
          <t>FPL lists a knee injury with an expected return of 10 Oct (news added 2026-08-14), which removes roughly the first seven gameweeks. He is 35, and Fulham signed Shea Charles for £27m + £6m into his position on 11 Aug.</t>
        </is>
      </c>
      <c r="U273" s="6" t="n">
        <v>76.5</v>
      </c>
      <c r="V273" s="2" t="n">
        <v>6</v>
      </c>
      <c r="W273" s="7">
        <f>IF(N(U273)&lt;=0,0,MIN(Assumptions!$B$15,N(R273)/N(U273)))</f>
        <v/>
      </c>
      <c r="X273" s="6" t="n">
        <v>0.214</v>
      </c>
      <c r="Y273" s="3" t="n">
        <v>0.1474</v>
      </c>
      <c r="Z273" t="inlineStr">
        <is>
          <t>adjusted xGOT</t>
        </is>
      </c>
      <c r="AA273" s="3" t="n">
        <v>1</v>
      </c>
      <c r="AB273" s="3" t="n">
        <v>1.023</v>
      </c>
      <c r="AC273" s="3" t="n">
        <v>4.4</v>
      </c>
      <c r="AD273" s="3" t="n">
        <v>0.0892</v>
      </c>
      <c r="AE273" s="3" t="n">
        <v>7.903</v>
      </c>
      <c r="AF273" s="3" t="n">
        <v>0.04160177269862164</v>
      </c>
      <c r="AG273" s="3" t="n">
        <v>7.446</v>
      </c>
      <c r="AH273" s="3" t="n">
        <v>0.2360401058</v>
      </c>
      <c r="AI273" s="3" t="n">
        <v>31</v>
      </c>
      <c r="AJ273" s="3" t="n">
        <v>3.22</v>
      </c>
      <c r="AK273" s="3" t="n">
        <v>1.6019</v>
      </c>
      <c r="AL273" s="3" t="n">
        <v>-0.2791548805601698</v>
      </c>
      <c r="AM273" s="6" t="n">
        <v>0</v>
      </c>
      <c r="AN273" s="3" t="n">
        <v>0</v>
      </c>
      <c r="AO273" s="3" t="n">
        <v>0.737</v>
      </c>
      <c r="AP273" s="3" t="n">
        <v>0.353232</v>
      </c>
      <c r="AQ273" s="3">
        <f>N(X273)*N(BJ273)</f>
        <v/>
      </c>
      <c r="AR273" s="3" t="n">
        <v>0</v>
      </c>
      <c r="AS273" s="3" t="n">
        <v>-0</v>
      </c>
      <c r="AT273" s="3" t="n">
        <v>-0.2791548805601698</v>
      </c>
      <c r="AU273" s="3">
        <f>SUM(AO273:AT273)</f>
        <v/>
      </c>
      <c r="AV273" s="7">
        <f>IF(OR(N(W273)&lt;=0,N(BH273)=0),0,N(W273)*IF(N(R273)/N(W273)&gt;=60,N(BH273),1))</f>
        <v/>
      </c>
      <c r="AW273" s="7">
        <f>N(W273)*N(AF273)*N(BI273)</f>
        <v/>
      </c>
      <c r="AX273" s="3">
        <f>IF(N(BH273)=0,0,N(W273)*N(AH273))</f>
        <v/>
      </c>
      <c r="AY273" s="7">
        <f>N(AM273)*(Assumptions!$B$13*N(BK273)-(1-Assumptions!$B$13)*Assumptions!$B$14)+N(AN273)</f>
        <v/>
      </c>
      <c r="AZ273" s="7">
        <f>N(AU273)*N(R273)/90+N(AV273)+N(AW273)+N(AX273)+N(AY273)</f>
        <v/>
      </c>
      <c r="BA273" s="3">
        <f>IF(N(R273)&lt;=0,0,(N(AZ273)-N(AY273))*90/N(R273))</f>
        <v/>
      </c>
      <c r="BB273" s="7">
        <f>IFERROR(AZ273-VLOOKUP($E273,Assumptions!$A$40:$C$43,3,FALSE),"")</f>
        <v/>
      </c>
      <c r="BC273" s="3">
        <f>IFERROR(BB273/H273,"")</f>
        <v/>
      </c>
      <c r="BD273">
        <f>IF(AND($G273=TRUE,$E273="GKP"),AZ273,"")</f>
        <v/>
      </c>
      <c r="BE273">
        <f>IF(AND($G273=TRUE,$E273="DEF"),AZ273,"")</f>
        <v/>
      </c>
      <c r="BF273">
        <f>IF(AND($G273=TRUE,$E273="MID"),AZ273,"")</f>
        <v/>
      </c>
      <c r="BG273">
        <f>IF(AND($G273=TRUE,$E273="FWD"),AZ273,"")</f>
        <v/>
      </c>
      <c r="BH273" t="n">
        <v>2</v>
      </c>
      <c r="BI273" t="n">
        <v>2</v>
      </c>
      <c r="BJ273" t="n">
        <v>1</v>
      </c>
      <c r="BK273" t="n">
        <v>5</v>
      </c>
    </row>
    <row r="274">
      <c r="A274" t="inlineStr">
        <is>
          <t>Chris Wood</t>
        </is>
      </c>
      <c r="B274" t="inlineStr">
        <is>
          <t>NFO</t>
        </is>
      </c>
      <c r="C274" t="inlineStr">
        <is>
          <t>NFO</t>
        </is>
      </c>
      <c r="D274" t="b">
        <v>0</v>
      </c>
      <c r="E274" t="inlineStr">
        <is>
          <t>FWD</t>
        </is>
      </c>
      <c r="F274" t="inlineStr">
        <is>
          <t>FWD</t>
        </is>
      </c>
      <c r="G274" t="b">
        <v>1</v>
      </c>
      <c r="H274" s="2" t="n">
        <v>6</v>
      </c>
      <c r="I274" t="inlineStr">
        <is>
          <t>a</t>
        </is>
      </c>
      <c r="K274" s="2" t="n">
        <v>896</v>
      </c>
      <c r="L274" t="n">
        <v>41</v>
      </c>
      <c r="M274" s="3" t="n">
        <v>523</v>
      </c>
      <c r="N274" s="8" t="n">
        <v>523</v>
      </c>
      <c r="O274" s="8" t="n">
        <v>0</v>
      </c>
      <c r="Q274" t="inlineStr">
        <is>
          <t>flat</t>
        </is>
      </c>
      <c r="R274" s="6" t="n">
        <v>523</v>
      </c>
      <c r="S274" t="inlineStr">
        <is>
          <t>Solio</t>
        </is>
      </c>
      <c r="U274" s="6" t="n">
        <v>76.09999999999999</v>
      </c>
      <c r="V274" s="2" t="n">
        <v>11</v>
      </c>
      <c r="W274" s="7">
        <f>IF(N(U274)&lt;=0,0,MIN(Assumptions!$B$15,N(R274)/N(U274)))</f>
        <v/>
      </c>
      <c r="X274" s="6" t="n">
        <v>0.224</v>
      </c>
      <c r="Y274" s="3" t="n">
        <v>0.4327</v>
      </c>
      <c r="Z274" t="inlineStr">
        <is>
          <t>adjusted xGOT</t>
        </is>
      </c>
      <c r="AA274" s="3" t="n">
        <v>1</v>
      </c>
      <c r="AB274" s="3" t="n">
        <v>1.004</v>
      </c>
      <c r="AC274" s="3" t="n">
        <v>32.1</v>
      </c>
      <c r="AD274" s="3" t="n">
        <v>0.0322</v>
      </c>
      <c r="AE274" s="3" t="n">
        <v>3.751</v>
      </c>
      <c r="AF274" s="3" t="n">
        <v>0.000119182325916789</v>
      </c>
      <c r="AG274" s="3" t="n">
        <v>0.748</v>
      </c>
      <c r="AH274" s="3" t="n">
        <v>0.522002832</v>
      </c>
      <c r="AI274" s="3" t="n">
        <v>25</v>
      </c>
      <c r="AJ274" s="3" t="n">
        <v>3.1134</v>
      </c>
      <c r="AK274" s="3" t="n">
        <v>1.5588</v>
      </c>
      <c r="AL274" s="3" t="n">
        <v>-0.0714071602315091</v>
      </c>
      <c r="AM274" s="6" t="n">
        <v>0.6712660691758691</v>
      </c>
      <c r="AN274" s="3" t="n">
        <v>0</v>
      </c>
      <c r="AO274" s="3" t="n">
        <v>1.7308</v>
      </c>
      <c r="AP274" s="3" t="n">
        <v>0.127512</v>
      </c>
      <c r="AQ274" s="3">
        <f>N(X274)*N(BJ274)</f>
        <v/>
      </c>
      <c r="AR274" s="3" t="n">
        <v>0</v>
      </c>
      <c r="AS274" s="3" t="n">
        <v>-0</v>
      </c>
      <c r="AT274" s="3" t="n">
        <v>-0.0714071602315091</v>
      </c>
      <c r="AU274" s="3">
        <f>SUM(AO274:AT274)</f>
        <v/>
      </c>
      <c r="AV274" s="7">
        <f>IF(OR(N(W274)&lt;=0,N(BH274)=0),0,N(W274)*IF(N(R274)/N(W274)&gt;=60,N(BH274),1))</f>
        <v/>
      </c>
      <c r="AW274" s="7">
        <f>N(W274)*N(AF274)*N(BI274)</f>
        <v/>
      </c>
      <c r="AX274" s="3">
        <f>IF(N(BH274)=0,0,N(W274)*N(AH274))</f>
        <v/>
      </c>
      <c r="AY274" s="7">
        <f>N(AM274)*(Assumptions!$B$13*N(BK274)-(1-Assumptions!$B$13)*Assumptions!$B$14)+N(AN274)</f>
        <v/>
      </c>
      <c r="AZ274" s="7">
        <f>N(AU274)*N(R274)/90+N(AV274)+N(AW274)+N(AX274)+N(AY274)</f>
        <v/>
      </c>
      <c r="BA274" s="3">
        <f>IF(N(R274)&lt;=0,0,(N(AZ274)-N(AY274))*90/N(R274))</f>
        <v/>
      </c>
      <c r="BB274" s="7">
        <f>IFERROR(AZ274-VLOOKUP($E274,Assumptions!$A$40:$C$43,3,FALSE),"")</f>
        <v/>
      </c>
      <c r="BC274" s="3">
        <f>IFERROR(BB274/H274,"")</f>
        <v/>
      </c>
      <c r="BD274">
        <f>IF(AND($G274=TRUE,$E274="GKP"),AZ274,"")</f>
        <v/>
      </c>
      <c r="BE274">
        <f>IF(AND($G274=TRUE,$E274="DEF"),AZ274,"")</f>
        <v/>
      </c>
      <c r="BF274">
        <f>IF(AND($G274=TRUE,$E274="MID"),AZ274,"")</f>
        <v/>
      </c>
      <c r="BG274">
        <f>IF(AND($G274=TRUE,$E274="FWD"),AZ274,"")</f>
        <v/>
      </c>
      <c r="BH274" t="n">
        <v>2</v>
      </c>
      <c r="BI274" t="n">
        <v>2</v>
      </c>
      <c r="BJ274" t="n">
        <v>0</v>
      </c>
      <c r="BK274" t="n">
        <v>4</v>
      </c>
    </row>
    <row r="275">
      <c r="A275" t="inlineStr">
        <is>
          <t>Alexander Isak</t>
        </is>
      </c>
      <c r="B275" t="inlineStr">
        <is>
          <t>LIV</t>
        </is>
      </c>
      <c r="C275" t="inlineStr">
        <is>
          <t>LIV</t>
        </is>
      </c>
      <c r="D275" t="b">
        <v>0</v>
      </c>
      <c r="E275" t="inlineStr">
        <is>
          <t>FWD</t>
        </is>
      </c>
      <c r="F275" t="inlineStr">
        <is>
          <t>FWD</t>
        </is>
      </c>
      <c r="G275" t="b">
        <v>1</v>
      </c>
      <c r="H275" s="2" t="n">
        <v>9</v>
      </c>
      <c r="I275" t="inlineStr">
        <is>
          <t>a</t>
        </is>
      </c>
      <c r="K275" s="2" t="n">
        <v>694</v>
      </c>
      <c r="L275" t="n">
        <v>41</v>
      </c>
      <c r="M275" s="3" t="n">
        <v>2177</v>
      </c>
      <c r="N275" s="4" t="n">
        <v>2450</v>
      </c>
      <c r="O275" s="4" t="n">
        <v>273</v>
      </c>
      <c r="P275" s="5" t="inlineStr">
        <is>
          <t>medium</t>
        </is>
      </c>
      <c r="Q275" t="inlineStr">
        <is>
          <t>flat</t>
        </is>
      </c>
      <c r="R275" s="6" t="n">
        <v>2450</v>
      </c>
      <c r="S275" t="inlineStr">
        <is>
          <t>research</t>
        </is>
      </c>
      <c r="T275" s="5" t="inlineStr">
        <is>
          <t>Isak says he is '100% fit' after a full pre-season, and This Is Anfield notes Ekitike is 'not expected to return from his Achilles injury until early 2027', leaving Isak as the only senior centre-forward for most of the season. Iraola: 'he is going to be massive for us.' Solio's 2177 (64% of the striker slot) is low for an undisputed lone striker with no senior deputy.</t>
        </is>
      </c>
      <c r="U275" s="6" t="n">
        <v>76.7</v>
      </c>
      <c r="V275" s="2" t="n">
        <v>8</v>
      </c>
      <c r="W275" s="7">
        <f>IF(N(U275)&lt;=0,0,MIN(Assumptions!$B$15,N(R275)/N(U275)))</f>
        <v/>
      </c>
      <c r="X275" s="6" t="n">
        <v>0.342</v>
      </c>
      <c r="Y275" s="3" t="n">
        <v>0.3548</v>
      </c>
      <c r="Z275" t="inlineStr">
        <is>
          <t>adjusted xGOT</t>
        </is>
      </c>
      <c r="AA275" s="3" t="n">
        <v>1</v>
      </c>
      <c r="AB275" s="3" t="n">
        <v>1.056</v>
      </c>
      <c r="AC275" s="3" t="n">
        <v>51.2</v>
      </c>
      <c r="AD275" s="3" t="n">
        <v>0.0601</v>
      </c>
      <c r="AE275" s="3" t="n">
        <v>4.35</v>
      </c>
      <c r="AF275" s="3" t="n">
        <v>0.0004781546906245104</v>
      </c>
      <c r="AG275" s="3" t="n">
        <v>0.581</v>
      </c>
      <c r="AH275" s="3" t="n">
        <v>0.4154927728</v>
      </c>
      <c r="AI275" s="3" t="n">
        <v>22</v>
      </c>
      <c r="AJ275" s="3" t="n">
        <v>2.409</v>
      </c>
      <c r="AK275" s="3" t="n">
        <v>1.1228</v>
      </c>
      <c r="AL275" s="3" t="n">
        <v>-0.0808828680880328</v>
      </c>
      <c r="AM275" s="6" t="n">
        <v>3.879716204766393</v>
      </c>
      <c r="AN275" s="3" t="n">
        <v>0</v>
      </c>
      <c r="AO275" s="3" t="n">
        <v>1.4192</v>
      </c>
      <c r="AP275" s="3" t="n">
        <v>0.237996</v>
      </c>
      <c r="AQ275" s="3">
        <f>N(X275)*N(BJ275)</f>
        <v/>
      </c>
      <c r="AR275" s="3" t="n">
        <v>0</v>
      </c>
      <c r="AS275" s="3" t="n">
        <v>-0</v>
      </c>
      <c r="AT275" s="3" t="n">
        <v>-0.0808828680880328</v>
      </c>
      <c r="AU275" s="3">
        <f>SUM(AO275:AT275)</f>
        <v/>
      </c>
      <c r="AV275" s="7">
        <f>IF(OR(N(W275)&lt;=0,N(BH275)=0),0,N(W275)*IF(N(R275)/N(W275)&gt;=60,N(BH275),1))</f>
        <v/>
      </c>
      <c r="AW275" s="7">
        <f>N(W275)*N(AF275)*N(BI275)</f>
        <v/>
      </c>
      <c r="AX275" s="3">
        <f>IF(N(BH275)=0,0,N(W275)*N(AH275))</f>
        <v/>
      </c>
      <c r="AY275" s="7">
        <f>N(AM275)*(Assumptions!$B$13*N(BK275)-(1-Assumptions!$B$13)*Assumptions!$B$14)+N(AN275)</f>
        <v/>
      </c>
      <c r="AZ275" s="7">
        <f>N(AU275)*N(R275)/90+N(AV275)+N(AW275)+N(AX275)+N(AY275)</f>
        <v/>
      </c>
      <c r="BA275" s="3">
        <f>IF(N(R275)&lt;=0,0,(N(AZ275)-N(AY275))*90/N(R275))</f>
        <v/>
      </c>
      <c r="BB275" s="7">
        <f>IFERROR(AZ275-VLOOKUP($E275,Assumptions!$A$40:$C$43,3,FALSE),"")</f>
        <v/>
      </c>
      <c r="BC275" s="3">
        <f>IFERROR(BB275/H275,"")</f>
        <v/>
      </c>
      <c r="BD275">
        <f>IF(AND($G275=TRUE,$E275="GKP"),AZ275,"")</f>
        <v/>
      </c>
      <c r="BE275">
        <f>IF(AND($G275=TRUE,$E275="DEF"),AZ275,"")</f>
        <v/>
      </c>
      <c r="BF275">
        <f>IF(AND($G275=TRUE,$E275="MID"),AZ275,"")</f>
        <v/>
      </c>
      <c r="BG275">
        <f>IF(AND($G275=TRUE,$E275="FWD"),AZ275,"")</f>
        <v/>
      </c>
      <c r="BH275" t="n">
        <v>2</v>
      </c>
      <c r="BI275" t="n">
        <v>2</v>
      </c>
      <c r="BJ275" t="n">
        <v>0</v>
      </c>
      <c r="BK275" t="n">
        <v>4</v>
      </c>
    </row>
    <row r="276">
      <c r="A276" t="inlineStr">
        <is>
          <t>Lamare Bogarde</t>
        </is>
      </c>
      <c r="B276" t="inlineStr">
        <is>
          <t>AVL</t>
        </is>
      </c>
      <c r="C276" t="inlineStr">
        <is>
          <t>AVL</t>
        </is>
      </c>
      <c r="D276" t="b">
        <v>0</v>
      </c>
      <c r="E276" t="inlineStr">
        <is>
          <t>MID</t>
        </is>
      </c>
      <c r="F276" t="inlineStr">
        <is>
          <t>DEF</t>
        </is>
      </c>
      <c r="G276" t="b">
        <v>1</v>
      </c>
      <c r="H276" s="2" t="n">
        <v>5</v>
      </c>
      <c r="I276" t="inlineStr">
        <is>
          <t>a</t>
        </is>
      </c>
      <c r="K276" s="2" t="n">
        <v>1042</v>
      </c>
      <c r="L276" t="n">
        <v>40</v>
      </c>
      <c r="M276" s="3" t="n">
        <v>272</v>
      </c>
      <c r="N276" s="4" t="n">
        <v>550</v>
      </c>
      <c r="O276" s="4" t="n">
        <v>278</v>
      </c>
      <c r="P276" s="5" t="inlineStr">
        <is>
          <t>low</t>
        </is>
      </c>
      <c r="Q276" t="inlineStr">
        <is>
          <t>flat</t>
        </is>
      </c>
      <c r="R276" s="6" t="n">
        <v>550</v>
      </c>
      <c r="S276" t="inlineStr">
        <is>
          <t>research</t>
        </is>
      </c>
      <c r="T276" s="5" t="inlineStr">
        <is>
          <t>Solio's 272 is well below his 1,042 Premier League minutes in 2025/26 despite the squad around him thinning. He came on in the Super Cup and started against Monchengladbach at left-back, giving him two routes into the side - midfield cover with Onana out for nine months and Tielemans sold, and left-back cover behind Maatsen.</t>
        </is>
      </c>
      <c r="U276" s="6" t="n">
        <v>82.3</v>
      </c>
      <c r="V276" s="2" t="n">
        <v>11</v>
      </c>
      <c r="W276" s="7">
        <f>IF(N(U276)&lt;=0,0,MIN(Assumptions!$B$15,N(R276)/N(U276)))</f>
        <v/>
      </c>
      <c r="X276" s="6" t="n">
        <v>0.273</v>
      </c>
      <c r="Y276" s="3" t="n">
        <v>0</v>
      </c>
      <c r="Z276" t="inlineStr">
        <is>
          <t>adjusted xGOT</t>
        </is>
      </c>
      <c r="AA276" s="3" t="n">
        <v>1</v>
      </c>
      <c r="AB276" s="3" t="n">
        <v>1.008</v>
      </c>
      <c r="AC276" s="3" t="n">
        <v>0</v>
      </c>
      <c r="AD276" s="3" t="n">
        <v>0.0104</v>
      </c>
      <c r="AE276" s="3" t="n">
        <v>6.205</v>
      </c>
      <c r="AF276" s="3" t="n">
        <v>0.01369597986363336</v>
      </c>
      <c r="AG276" s="3" t="n">
        <v>7.22</v>
      </c>
      <c r="AH276" s="3" t="n">
        <v>0.016041021</v>
      </c>
      <c r="AI276" s="3" t="n">
        <v>38</v>
      </c>
      <c r="AJ276" s="3" t="n">
        <v>2.7451</v>
      </c>
      <c r="AK276" s="3" t="n">
        <v>1.3575</v>
      </c>
      <c r="AL276" s="3" t="n">
        <v>-0.3222058105239432</v>
      </c>
      <c r="AM276" s="6" t="n">
        <v>0</v>
      </c>
      <c r="AN276" s="3" t="n">
        <v>0</v>
      </c>
      <c r="AO276" s="3" t="n">
        <v>0</v>
      </c>
      <c r="AP276" s="3" t="n">
        <v>0.041184</v>
      </c>
      <c r="AQ276" s="3">
        <f>N(X276)*N(BJ276)</f>
        <v/>
      </c>
      <c r="AR276" s="3" t="n">
        <v>0</v>
      </c>
      <c r="AS276" s="3" t="n">
        <v>-0</v>
      </c>
      <c r="AT276" s="3" t="n">
        <v>-0.3222058105239432</v>
      </c>
      <c r="AU276" s="3">
        <f>SUM(AO276:AT276)</f>
        <v/>
      </c>
      <c r="AV276" s="7">
        <f>IF(OR(N(W276)&lt;=0,N(BH276)=0),0,N(W276)*IF(N(R276)/N(W276)&gt;=60,N(BH276),1))</f>
        <v/>
      </c>
      <c r="AW276" s="7">
        <f>N(W276)*N(AF276)*N(BI276)</f>
        <v/>
      </c>
      <c r="AX276" s="3">
        <f>IF(N(BH276)=0,0,N(W276)*N(AH276))</f>
        <v/>
      </c>
      <c r="AY276" s="7">
        <f>N(AM276)*(Assumptions!$B$13*N(BK276)-(1-Assumptions!$B$13)*Assumptions!$B$14)+N(AN276)</f>
        <v/>
      </c>
      <c r="AZ276" s="7">
        <f>N(AU276)*N(R276)/90+N(AV276)+N(AW276)+N(AX276)+N(AY276)</f>
        <v/>
      </c>
      <c r="BA276" s="3">
        <f>IF(N(R276)&lt;=0,0,(N(AZ276)-N(AY276))*90/N(R276))</f>
        <v/>
      </c>
      <c r="BB276" s="7">
        <f>IFERROR(AZ276-VLOOKUP($E276,Assumptions!$A$40:$C$43,3,FALSE),"")</f>
        <v/>
      </c>
      <c r="BC276" s="3">
        <f>IFERROR(BB276/H276,"")</f>
        <v/>
      </c>
      <c r="BD276">
        <f>IF(AND($G276=TRUE,$E276="GKP"),AZ276,"")</f>
        <v/>
      </c>
      <c r="BE276">
        <f>IF(AND($G276=TRUE,$E276="DEF"),AZ276,"")</f>
        <v/>
      </c>
      <c r="BF276">
        <f>IF(AND($G276=TRUE,$E276="MID"),AZ276,"")</f>
        <v/>
      </c>
      <c r="BG276">
        <f>IF(AND($G276=TRUE,$E276="FWD"),AZ276,"")</f>
        <v/>
      </c>
      <c r="BH276" t="n">
        <v>2</v>
      </c>
      <c r="BI276" t="n">
        <v>2</v>
      </c>
      <c r="BJ276" t="n">
        <v>1</v>
      </c>
      <c r="BK276" t="n">
        <v>5</v>
      </c>
    </row>
    <row r="277">
      <c r="A277" t="inlineStr">
        <is>
          <t>Cristhian Mosquera</t>
        </is>
      </c>
      <c r="B277" t="inlineStr">
        <is>
          <t>ARS</t>
        </is>
      </c>
      <c r="C277" t="inlineStr">
        <is>
          <t>ARS</t>
        </is>
      </c>
      <c r="D277" t="b">
        <v>0</v>
      </c>
      <c r="E277" t="inlineStr">
        <is>
          <t>DEF</t>
        </is>
      </c>
      <c r="F277" t="inlineStr">
        <is>
          <t>DEF</t>
        </is>
      </c>
      <c r="G277" t="b">
        <v>1</v>
      </c>
      <c r="H277" s="2" t="n">
        <v>5.5</v>
      </c>
      <c r="I277" t="inlineStr">
        <is>
          <t>a</t>
        </is>
      </c>
      <c r="K277" s="2" t="n">
        <v>986</v>
      </c>
      <c r="L277" t="n">
        <v>40</v>
      </c>
      <c r="M277" s="3" t="n">
        <v>295</v>
      </c>
      <c r="N277" s="4" t="n">
        <v>1350</v>
      </c>
      <c r="O277" s="4" t="n">
        <v>1055</v>
      </c>
      <c r="P277" s="5" t="inlineStr">
        <is>
          <t>medium</t>
        </is>
      </c>
      <c r="Q277" t="inlineStr">
        <is>
          <t>fade (losing his place)</t>
        </is>
      </c>
      <c r="R277" s="6" t="n">
        <v>1350</v>
      </c>
      <c r="S277" t="inlineStr">
        <is>
          <t>research</t>
        </is>
      </c>
      <c r="T277" s="5" t="inlineStr">
        <is>
          <t>With Saliba out long-term and Timber out to start the season, Arseblog states plainly on 11 August that 'we have two right-sided defenders available to us - Ben White and Cristhian Mosquera', and that Arsenal are 'very, very light in this area of the pitch'. Mosquera is in every projected XI seen for the Community Shield and for the Coventry opener. Solio's 295 minutes is inconsistent with him being one of only two available defenders on that side. Held to 1350 rather than higher because Arsenal are actively pursuing a defender (Konsa, Quansah, Fresneda all reported) before the window closes on roughly 1 September, which would cut into this.</t>
        </is>
      </c>
      <c r="U277" s="6" t="n">
        <v>80.5</v>
      </c>
      <c r="V277" s="2" t="n">
        <v>9</v>
      </c>
      <c r="W277" s="7">
        <f>IF(N(U277)&lt;=0,0,MIN(Assumptions!$B$15,N(R277)/N(U277)))</f>
        <v/>
      </c>
      <c r="X277" s="6" t="n">
        <v>0.391</v>
      </c>
      <c r="Y277" s="3" t="n">
        <v>0.008999999999999999</v>
      </c>
      <c r="Z277" t="inlineStr">
        <is>
          <t>adjusted xGOT</t>
        </is>
      </c>
      <c r="AA277" s="3" t="n">
        <v>1</v>
      </c>
      <c r="AB277" s="3" t="n">
        <v>0.988</v>
      </c>
      <c r="AC277" s="3" t="n">
        <v>0.1</v>
      </c>
      <c r="AD277" s="3" t="n">
        <v>0.0421</v>
      </c>
      <c r="AE277" s="3" t="n">
        <v>8.255000000000001</v>
      </c>
      <c r="AF277" s="3" t="n">
        <v>0.210434480609244</v>
      </c>
      <c r="AG277" s="3" t="n">
        <v>9.395</v>
      </c>
      <c r="AH277" s="3" t="n">
        <v>0.2130267424</v>
      </c>
      <c r="AI277" s="3" t="n">
        <v>28</v>
      </c>
      <c r="AJ277" s="3" t="n">
        <v>2.067</v>
      </c>
      <c r="AK277" s="3" t="n">
        <v>0.9838</v>
      </c>
      <c r="AL277" s="3" t="n">
        <v>-0.2784067877134873</v>
      </c>
      <c r="AM277" s="6" t="n">
        <v>0</v>
      </c>
      <c r="AN277" s="3" t="n">
        <v>0</v>
      </c>
      <c r="AO277" s="3" t="n">
        <v>0.05399999999999999</v>
      </c>
      <c r="AP277" s="3" t="n">
        <v>0.166716</v>
      </c>
      <c r="AQ277" s="3">
        <f>N(X277)*N(BJ277)</f>
        <v/>
      </c>
      <c r="AR277" s="3" t="n">
        <v>0</v>
      </c>
      <c r="AS277" s="3" t="n">
        <v>-0.2768479886568037</v>
      </c>
      <c r="AT277" s="3" t="n">
        <v>-0.2784067877134873</v>
      </c>
      <c r="AU277" s="3">
        <f>SUM(AO277:AT277)</f>
        <v/>
      </c>
      <c r="AV277" s="7">
        <f>IF(OR(N(W277)&lt;=0,N(BH277)=0),0,N(W277)*IF(N(R277)/N(W277)&gt;=60,N(BH277),1))</f>
        <v/>
      </c>
      <c r="AW277" s="7">
        <f>N(W277)*N(AF277)*N(BI277)</f>
        <v/>
      </c>
      <c r="AX277" s="3">
        <f>IF(N(BH277)=0,0,N(W277)*N(AH277))</f>
        <v/>
      </c>
      <c r="AY277" s="7">
        <f>N(AM277)*(Assumptions!$B$13*N(BK277)-(1-Assumptions!$B$13)*Assumptions!$B$14)+N(AN277)</f>
        <v/>
      </c>
      <c r="AZ277" s="7">
        <f>N(AU277)*N(R277)/90+N(AV277)+N(AW277)+N(AX277)+N(AY277)</f>
        <v/>
      </c>
      <c r="BA277" s="3">
        <f>IF(N(R277)&lt;=0,0,(N(AZ277)-N(AY277))*90/N(R277))</f>
        <v/>
      </c>
      <c r="BB277" s="7">
        <f>IFERROR(AZ277-VLOOKUP($E277,Assumptions!$A$40:$C$43,3,FALSE),"")</f>
        <v/>
      </c>
      <c r="BC277" s="3">
        <f>IFERROR(BB277/H277,"")</f>
        <v/>
      </c>
      <c r="BD277">
        <f>IF(AND($G277=TRUE,$E277="GKP"),AZ277,"")</f>
        <v/>
      </c>
      <c r="BE277">
        <f>IF(AND($G277=TRUE,$E277="DEF"),AZ277,"")</f>
        <v/>
      </c>
      <c r="BF277">
        <f>IF(AND($G277=TRUE,$E277="MID"),AZ277,"")</f>
        <v/>
      </c>
      <c r="BG277">
        <f>IF(AND($G277=TRUE,$E277="FWD"),AZ277,"")</f>
        <v/>
      </c>
      <c r="BH277" t="n">
        <v>2</v>
      </c>
      <c r="BI277" t="n">
        <v>2</v>
      </c>
      <c r="BJ277" t="n">
        <v>4</v>
      </c>
      <c r="BK277" t="n">
        <v>6</v>
      </c>
    </row>
    <row r="278">
      <c r="A278" t="inlineStr">
        <is>
          <t>Dominic Solanke</t>
        </is>
      </c>
      <c r="B278" t="inlineStr">
        <is>
          <t>TOT</t>
        </is>
      </c>
      <c r="C278" t="inlineStr">
        <is>
          <t>TOT</t>
        </is>
      </c>
      <c r="D278" t="b">
        <v>0</v>
      </c>
      <c r="E278" t="inlineStr">
        <is>
          <t>FWD</t>
        </is>
      </c>
      <c r="F278" t="inlineStr">
        <is>
          <t>FWD</t>
        </is>
      </c>
      <c r="G278" t="b">
        <v>1</v>
      </c>
      <c r="H278" s="2" t="n">
        <v>6</v>
      </c>
      <c r="I278" t="inlineStr">
        <is>
          <t>a</t>
        </is>
      </c>
      <c r="K278" s="2" t="n">
        <v>997</v>
      </c>
      <c r="L278" t="n">
        <v>40</v>
      </c>
      <c r="M278" s="3" t="n">
        <v>2747</v>
      </c>
      <c r="N278" s="4" t="n">
        <v>2000</v>
      </c>
      <c r="O278" s="4" t="n">
        <v>-747</v>
      </c>
      <c r="P278" s="5" t="inlineStr">
        <is>
          <t>medium</t>
        </is>
      </c>
      <c r="Q278" t="inlineStr">
        <is>
          <t>flat</t>
        </is>
      </c>
      <c r="R278" s="6" t="n">
        <v>2000</v>
      </c>
      <c r="S278" t="inlineStr">
        <is>
          <t>research</t>
        </is>
      </c>
      <c r="T278" s="5" t="inlineStr">
        <is>
          <t>Solio's 2,747 assumes a fit, near-ever-present No.9. Solanke managed 997 minutes in 2025/26 after ankle surgery, has had only two pre-season appearances, felt pain in the ankle again in the week of 8 August and was withheld as a precaution, and Gold rates him unlikely for the opener. Cut to a figure consistent with an incumbent starter who misses chunks of the season, not a healthy one.</t>
        </is>
      </c>
      <c r="U278" s="6" t="n">
        <v>80.7</v>
      </c>
      <c r="V278" s="2" t="n">
        <v>11</v>
      </c>
      <c r="W278" s="7">
        <f>IF(N(U278)&lt;=0,0,MIN(Assumptions!$B$15,N(R278)/N(U278)))</f>
        <v/>
      </c>
      <c r="X278" s="6" t="n">
        <v>0.286</v>
      </c>
      <c r="Y278" s="3" t="n">
        <v>0.2459</v>
      </c>
      <c r="Z278" t="inlineStr">
        <is>
          <t>adjusted xGOT</t>
        </is>
      </c>
      <c r="AA278" s="3" t="n">
        <v>1</v>
      </c>
      <c r="AB278" s="3" t="n">
        <v>0.917</v>
      </c>
      <c r="AC278" s="3" t="n">
        <v>42.6</v>
      </c>
      <c r="AD278" s="3" t="n">
        <v>0.0423</v>
      </c>
      <c r="AE278" s="3" t="n">
        <v>5.731</v>
      </c>
      <c r="AF278" s="3" t="n">
        <v>0.006696059848580904</v>
      </c>
      <c r="AG278" s="3" t="n">
        <v>2.822</v>
      </c>
      <c r="AH278" s="3" t="n">
        <v>0.349485828</v>
      </c>
      <c r="AI278" s="3" t="n">
        <v>25</v>
      </c>
      <c r="AJ278" s="3" t="n">
        <v>2.5739</v>
      </c>
      <c r="AK278" s="3" t="n">
        <v>1.3096</v>
      </c>
      <c r="AL278" s="3" t="n">
        <v>-0.0967185596671383</v>
      </c>
      <c r="AM278" s="6" t="n">
        <v>4.308494827596488</v>
      </c>
      <c r="AN278" s="3" t="n">
        <v>0</v>
      </c>
      <c r="AO278" s="3" t="n">
        <v>0.9836</v>
      </c>
      <c r="AP278" s="3" t="n">
        <v>0.167508</v>
      </c>
      <c r="AQ278" s="3">
        <f>N(X278)*N(BJ278)</f>
        <v/>
      </c>
      <c r="AR278" s="3" t="n">
        <v>0</v>
      </c>
      <c r="AS278" s="3" t="n">
        <v>-0</v>
      </c>
      <c r="AT278" s="3" t="n">
        <v>-0.0967185596671383</v>
      </c>
      <c r="AU278" s="3">
        <f>SUM(AO278:AT278)</f>
        <v/>
      </c>
      <c r="AV278" s="7">
        <f>IF(OR(N(W278)&lt;=0,N(BH278)=0),0,N(W278)*IF(N(R278)/N(W278)&gt;=60,N(BH278),1))</f>
        <v/>
      </c>
      <c r="AW278" s="7">
        <f>N(W278)*N(AF278)*N(BI278)</f>
        <v/>
      </c>
      <c r="AX278" s="3">
        <f>IF(N(BH278)=0,0,N(W278)*N(AH278))</f>
        <v/>
      </c>
      <c r="AY278" s="7">
        <f>N(AM278)*(Assumptions!$B$13*N(BK278)-(1-Assumptions!$B$13)*Assumptions!$B$14)+N(AN278)</f>
        <v/>
      </c>
      <c r="AZ278" s="7">
        <f>N(AU278)*N(R278)/90+N(AV278)+N(AW278)+N(AX278)+N(AY278)</f>
        <v/>
      </c>
      <c r="BA278" s="3">
        <f>IF(N(R278)&lt;=0,0,(N(AZ278)-N(AY278))*90/N(R278))</f>
        <v/>
      </c>
      <c r="BB278" s="7">
        <f>IFERROR(AZ278-VLOOKUP($E278,Assumptions!$A$40:$C$43,3,FALSE),"")</f>
        <v/>
      </c>
      <c r="BC278" s="3">
        <f>IFERROR(BB278/H278,"")</f>
        <v/>
      </c>
      <c r="BD278">
        <f>IF(AND($G278=TRUE,$E278="GKP"),AZ278,"")</f>
        <v/>
      </c>
      <c r="BE278">
        <f>IF(AND($G278=TRUE,$E278="DEF"),AZ278,"")</f>
        <v/>
      </c>
      <c r="BF278">
        <f>IF(AND($G278=TRUE,$E278="MID"),AZ278,"")</f>
        <v/>
      </c>
      <c r="BG278">
        <f>IF(AND($G278=TRUE,$E278="FWD"),AZ278,"")</f>
        <v/>
      </c>
      <c r="BH278" t="n">
        <v>2</v>
      </c>
      <c r="BI278" t="n">
        <v>2</v>
      </c>
      <c r="BJ278" t="n">
        <v>0</v>
      </c>
      <c r="BK278" t="n">
        <v>4</v>
      </c>
    </row>
    <row r="279">
      <c r="A279" t="inlineStr">
        <is>
          <t>Lewis Cook</t>
        </is>
      </c>
      <c r="B279" t="inlineStr">
        <is>
          <t>BOU</t>
        </is>
      </c>
      <c r="C279" t="inlineStr">
        <is>
          <t>BOU</t>
        </is>
      </c>
      <c r="D279" t="b">
        <v>0</v>
      </c>
      <c r="E279" t="inlineStr">
        <is>
          <t>MID</t>
        </is>
      </c>
      <c r="F279" t="inlineStr">
        <is>
          <t>MID</t>
        </is>
      </c>
      <c r="G279" t="b">
        <v>1</v>
      </c>
      <c r="H279" s="2" t="n">
        <v>5</v>
      </c>
      <c r="I279" t="inlineStr">
        <is>
          <t>a</t>
        </is>
      </c>
      <c r="K279" s="2" t="n">
        <v>872</v>
      </c>
      <c r="L279" t="n">
        <v>40</v>
      </c>
      <c r="M279" s="3" t="n">
        <v>451</v>
      </c>
      <c r="N279" s="4" t="n">
        <v>1300</v>
      </c>
      <c r="O279" s="4" t="n">
        <v>849</v>
      </c>
      <c r="P279" s="5" t="inlineStr">
        <is>
          <t>medium</t>
        </is>
      </c>
      <c r="Q279" t="inlineStr">
        <is>
          <t>flat</t>
        </is>
      </c>
      <c r="R279" s="6" t="n">
        <v>1300</v>
      </c>
      <c r="S279" t="inlineStr">
        <is>
          <t>research</t>
        </is>
      </c>
      <c r="T279" s="5" t="inlineStr">
        <is>
          <t>Started the central-midfield pivot in both of the last two friendlies (8 Aug vs Betis alongside Scott, 15 Aug vs Mainz alongside Toth). Solio's 451 reflects his 872-minute 2025/26 and predates his pre-season role under the new head coach. Capped at 1300 rather than higher because Scott, Adams and Christie were all absent or doubtful for at least one of those matches, so some of the pre-season workload is availability rather than preference.</t>
        </is>
      </c>
      <c r="U279" s="6" t="n">
        <v>84.5</v>
      </c>
      <c r="V279" s="2" t="n">
        <v>8</v>
      </c>
      <c r="W279" s="7">
        <f>IF(N(U279)&lt;=0,0,MIN(Assumptions!$B$15,N(R279)/N(U279)))</f>
        <v/>
      </c>
      <c r="X279" s="6" t="n">
        <v>0.23</v>
      </c>
      <c r="Y279" s="3" t="n">
        <v>0.0071</v>
      </c>
      <c r="Z279" t="inlineStr">
        <is>
          <t>adjusted xGOT</t>
        </is>
      </c>
      <c r="AA279" s="3" t="n">
        <v>1</v>
      </c>
      <c r="AB279" s="3" t="n">
        <v>0.993</v>
      </c>
      <c r="AC279" s="3" t="n">
        <v>1.7</v>
      </c>
      <c r="AD279" s="3" t="n">
        <v>0.0447</v>
      </c>
      <c r="AE279" s="3" t="n">
        <v>11.963</v>
      </c>
      <c r="AF279" s="3" t="n">
        <v>0.4483980111986565</v>
      </c>
      <c r="AG279" s="3" t="n">
        <v>9.432</v>
      </c>
      <c r="AH279" s="3" t="n">
        <v>0.07026970060000001</v>
      </c>
      <c r="AI279" s="3" t="n">
        <v>26</v>
      </c>
      <c r="AJ279" s="3" t="n">
        <v>3.0957</v>
      </c>
      <c r="AK279" s="3" t="n">
        <v>1.53</v>
      </c>
      <c r="AL279" s="3" t="n">
        <v>-0.2064030647938763</v>
      </c>
      <c r="AM279" s="6" t="n">
        <v>0</v>
      </c>
      <c r="AN279" s="3" t="n">
        <v>0</v>
      </c>
      <c r="AO279" s="3" t="n">
        <v>0.0355</v>
      </c>
      <c r="AP279" s="3" t="n">
        <v>0.177012</v>
      </c>
      <c r="AQ279" s="3">
        <f>N(X279)*N(BJ279)</f>
        <v/>
      </c>
      <c r="AR279" s="3" t="n">
        <v>0</v>
      </c>
      <c r="AS279" s="3" t="n">
        <v>-0</v>
      </c>
      <c r="AT279" s="3" t="n">
        <v>-0.2064030647938763</v>
      </c>
      <c r="AU279" s="3">
        <f>SUM(AO279:AT279)</f>
        <v/>
      </c>
      <c r="AV279" s="7">
        <f>IF(OR(N(W279)&lt;=0,N(BH279)=0),0,N(W279)*IF(N(R279)/N(W279)&gt;=60,N(BH279),1))</f>
        <v/>
      </c>
      <c r="AW279" s="7">
        <f>N(W279)*N(AF279)*N(BI279)</f>
        <v/>
      </c>
      <c r="AX279" s="3">
        <f>IF(N(BH279)=0,0,N(W279)*N(AH279))</f>
        <v/>
      </c>
      <c r="AY279" s="7">
        <f>N(AM279)*(Assumptions!$B$13*N(BK279)-(1-Assumptions!$B$13)*Assumptions!$B$14)+N(AN279)</f>
        <v/>
      </c>
      <c r="AZ279" s="7">
        <f>N(AU279)*N(R279)/90+N(AV279)+N(AW279)+N(AX279)+N(AY279)</f>
        <v/>
      </c>
      <c r="BA279" s="3">
        <f>IF(N(R279)&lt;=0,0,(N(AZ279)-N(AY279))*90/N(R279))</f>
        <v/>
      </c>
      <c r="BB279" s="7">
        <f>IFERROR(AZ279-VLOOKUP($E279,Assumptions!$A$40:$C$43,3,FALSE),"")</f>
        <v/>
      </c>
      <c r="BC279" s="3">
        <f>IFERROR(BB279/H279,"")</f>
        <v/>
      </c>
      <c r="BD279">
        <f>IF(AND($G279=TRUE,$E279="GKP"),AZ279,"")</f>
        <v/>
      </c>
      <c r="BE279">
        <f>IF(AND($G279=TRUE,$E279="DEF"),AZ279,"")</f>
        <v/>
      </c>
      <c r="BF279">
        <f>IF(AND($G279=TRUE,$E279="MID"),AZ279,"")</f>
        <v/>
      </c>
      <c r="BG279">
        <f>IF(AND($G279=TRUE,$E279="FWD"),AZ279,"")</f>
        <v/>
      </c>
      <c r="BH279" t="n">
        <v>2</v>
      </c>
      <c r="BI279" t="n">
        <v>2</v>
      </c>
      <c r="BJ279" t="n">
        <v>1</v>
      </c>
      <c r="BK279" t="n">
        <v>5</v>
      </c>
    </row>
    <row r="280">
      <c r="A280" t="inlineStr">
        <is>
          <t>Josh Acheampong</t>
        </is>
      </c>
      <c r="B280" t="inlineStr">
        <is>
          <t>CHE</t>
        </is>
      </c>
      <c r="C280" t="inlineStr">
        <is>
          <t>CHE</t>
        </is>
      </c>
      <c r="D280" t="b">
        <v>0</v>
      </c>
      <c r="E280" t="inlineStr">
        <is>
          <t>DEF</t>
        </is>
      </c>
      <c r="F280" t="inlineStr">
        <is>
          <t>DEF</t>
        </is>
      </c>
      <c r="G280" t="b">
        <v>1</v>
      </c>
      <c r="H280" s="2" t="n">
        <v>4.5</v>
      </c>
      <c r="I280" t="inlineStr">
        <is>
          <t>a</t>
        </is>
      </c>
      <c r="K280" s="2" t="n">
        <v>657</v>
      </c>
      <c r="L280" t="n">
        <v>39</v>
      </c>
      <c r="M280" s="3" t="n">
        <v>136</v>
      </c>
      <c r="N280" s="4" t="n">
        <v>600</v>
      </c>
      <c r="O280" s="4" t="n">
        <v>464</v>
      </c>
      <c r="P280" s="5" t="inlineStr">
        <is>
          <t>medium</t>
        </is>
      </c>
      <c r="Q280" t="inlineStr">
        <is>
          <t>flat</t>
        </is>
      </c>
      <c r="R280" s="6" t="n">
        <v>600</v>
      </c>
      <c r="S280" t="inlineStr">
        <is>
          <t>research</t>
        </is>
      </c>
      <c r="T280" s="5" t="inlineStr">
        <is>
          <t>Promoted in the centre-back queue by the exits above. He started in the back three against AC Milan and was one of only two centre-backs named among the substitutes for the final friendly against Real Sociedad; Last Word on Football states Tosin Adarabioyo is behind 'Acheampong and Hato in the pecking order'. With Chalobah sold, Badiashile leaving, Fofana serving a carried-over suspension for the first two league games and Colwill in his first full season back from an ACL injury, 136 minutes for a matchday-squad centre-back in a back-three system is implausibly low. Sized at 600 (about 6-7 matches) so the club total lands on the 37,620 budget.</t>
        </is>
      </c>
      <c r="U280" s="6" t="n">
        <v>79.09999999999999</v>
      </c>
      <c r="V280" s="2" t="n">
        <v>8</v>
      </c>
      <c r="W280" s="7">
        <f>IF(N(U280)&lt;=0,0,MIN(Assumptions!$B$15,N(R280)/N(U280)))</f>
        <v/>
      </c>
      <c r="X280" s="6" t="n">
        <v>0.322</v>
      </c>
      <c r="Y280" s="3" t="n">
        <v>0.0864</v>
      </c>
      <c r="Z280" t="inlineStr">
        <is>
          <t>adjusted xGOT</t>
        </is>
      </c>
      <c r="AA280" s="3" t="n">
        <v>1</v>
      </c>
      <c r="AB280" s="3" t="n">
        <v>1.018</v>
      </c>
      <c r="AC280" s="3" t="n">
        <v>0.8</v>
      </c>
      <c r="AD280" s="3" t="n">
        <v>0.0184</v>
      </c>
      <c r="AE280" s="3" t="n">
        <v>6.894</v>
      </c>
      <c r="AF280" s="3" t="n">
        <v>0.08804964094178636</v>
      </c>
      <c r="AG280" s="3" t="n">
        <v>8.260999999999999</v>
      </c>
      <c r="AH280" s="3" t="n">
        <v>0.2084980254</v>
      </c>
      <c r="AI280" s="3" t="n">
        <v>24</v>
      </c>
      <c r="AJ280" s="3" t="n">
        <v>2.4232</v>
      </c>
      <c r="AK280" s="3" t="n">
        <v>1.1851</v>
      </c>
      <c r="AL280" s="3" t="n">
        <v>-0.2066640795218735</v>
      </c>
      <c r="AM280" s="6" t="n">
        <v>0</v>
      </c>
      <c r="AN280" s="3" t="n">
        <v>0</v>
      </c>
      <c r="AO280" s="3" t="n">
        <v>0.5184</v>
      </c>
      <c r="AP280" s="3" t="n">
        <v>0.072864</v>
      </c>
      <c r="AQ280" s="3">
        <f>N(X280)*N(BJ280)</f>
        <v/>
      </c>
      <c r="AR280" s="3" t="n">
        <v>0</v>
      </c>
      <c r="AS280" s="3" t="n">
        <v>-0.365915508000572</v>
      </c>
      <c r="AT280" s="3" t="n">
        <v>-0.2066640795218735</v>
      </c>
      <c r="AU280" s="3">
        <f>SUM(AO280:AT280)</f>
        <v/>
      </c>
      <c r="AV280" s="7">
        <f>IF(OR(N(W280)&lt;=0,N(BH280)=0),0,N(W280)*IF(N(R280)/N(W280)&gt;=60,N(BH280),1))</f>
        <v/>
      </c>
      <c r="AW280" s="7">
        <f>N(W280)*N(AF280)*N(BI280)</f>
        <v/>
      </c>
      <c r="AX280" s="3">
        <f>IF(N(BH280)=0,0,N(W280)*N(AH280))</f>
        <v/>
      </c>
      <c r="AY280" s="7">
        <f>N(AM280)*(Assumptions!$B$13*N(BK280)-(1-Assumptions!$B$13)*Assumptions!$B$14)+N(AN280)</f>
        <v/>
      </c>
      <c r="AZ280" s="7">
        <f>N(AU280)*N(R280)/90+N(AV280)+N(AW280)+N(AX280)+N(AY280)</f>
        <v/>
      </c>
      <c r="BA280" s="3">
        <f>IF(N(R280)&lt;=0,0,(N(AZ280)-N(AY280))*90/N(R280))</f>
        <v/>
      </c>
      <c r="BB280" s="7">
        <f>IFERROR(AZ280-VLOOKUP($E280,Assumptions!$A$40:$C$43,3,FALSE),"")</f>
        <v/>
      </c>
      <c r="BC280" s="3">
        <f>IFERROR(BB280/H280,"")</f>
        <v/>
      </c>
      <c r="BD280">
        <f>IF(AND($G280=TRUE,$E280="GKP"),AZ280,"")</f>
        <v/>
      </c>
      <c r="BE280">
        <f>IF(AND($G280=TRUE,$E280="DEF"),AZ280,"")</f>
        <v/>
      </c>
      <c r="BF280">
        <f>IF(AND($G280=TRUE,$E280="MID"),AZ280,"")</f>
        <v/>
      </c>
      <c r="BG280">
        <f>IF(AND($G280=TRUE,$E280="FWD"),AZ280,"")</f>
        <v/>
      </c>
      <c r="BH280" t="n">
        <v>2</v>
      </c>
      <c r="BI280" t="n">
        <v>2</v>
      </c>
      <c r="BJ280" t="n">
        <v>4</v>
      </c>
      <c r="BK280" t="n">
        <v>6</v>
      </c>
    </row>
    <row r="281">
      <c r="A281" t="inlineStr">
        <is>
          <t>Nicolò Savona</t>
        </is>
      </c>
      <c r="B281" t="inlineStr">
        <is>
          <t>NFO</t>
        </is>
      </c>
      <c r="C281" t="inlineStr">
        <is>
          <t>NFO</t>
        </is>
      </c>
      <c r="D281" t="b">
        <v>0</v>
      </c>
      <c r="E281" t="inlineStr">
        <is>
          <t>DEF</t>
        </is>
      </c>
      <c r="F281" t="inlineStr">
        <is>
          <t>DEF</t>
        </is>
      </c>
      <c r="G281" t="b">
        <v>1</v>
      </c>
      <c r="H281" s="2" t="n">
        <v>4.5</v>
      </c>
      <c r="I281" t="inlineStr">
        <is>
          <t>i</t>
        </is>
      </c>
      <c r="J281" t="inlineStr">
        <is>
          <t>Knee injury - Unknown return date</t>
        </is>
      </c>
      <c r="K281" s="2" t="n">
        <v>1025</v>
      </c>
      <c r="L281" t="n">
        <v>39</v>
      </c>
      <c r="M281" s="3" t="n">
        <v>395</v>
      </c>
      <c r="N281" s="8" t="n">
        <v>395</v>
      </c>
      <c r="O281" s="8" t="n">
        <v>0</v>
      </c>
      <c r="Q281" t="inlineStr">
        <is>
          <t>flat</t>
        </is>
      </c>
      <c r="R281" s="6" t="n">
        <v>395</v>
      </c>
      <c r="S281" t="inlineStr">
        <is>
          <t>Solio</t>
        </is>
      </c>
      <c r="U281" s="6" t="n">
        <v>85.2</v>
      </c>
      <c r="V281" s="2" t="n">
        <v>11</v>
      </c>
      <c r="W281" s="7">
        <f>IF(N(U281)&lt;=0,0,MIN(Assumptions!$B$15,N(R281)/N(U281)))</f>
        <v/>
      </c>
      <c r="X281" s="6" t="n">
        <v>0.224</v>
      </c>
      <c r="Y281" s="3" t="n">
        <v>0.1209</v>
      </c>
      <c r="Z281" t="inlineStr">
        <is>
          <t>adjusted xGOT</t>
        </is>
      </c>
      <c r="AA281" s="3" t="n">
        <v>1</v>
      </c>
      <c r="AB281" s="3" t="n">
        <v>1.028</v>
      </c>
      <c r="AC281" s="3" t="n">
        <v>1.3</v>
      </c>
      <c r="AD281" s="3" t="n">
        <v>0.0459</v>
      </c>
      <c r="AE281" s="3" t="n">
        <v>6.111</v>
      </c>
      <c r="AF281" s="3" t="n">
        <v>0.06992315293574369</v>
      </c>
      <c r="AG281" s="3" t="n">
        <v>6.964</v>
      </c>
      <c r="AH281" s="3" t="n">
        <v>0.187438432</v>
      </c>
      <c r="AI281" s="3" t="n">
        <v>24</v>
      </c>
      <c r="AJ281" s="3" t="n">
        <v>3.1134</v>
      </c>
      <c r="AK281" s="3" t="n">
        <v>1.5588</v>
      </c>
      <c r="AL281" s="3" t="n">
        <v>-0.2013150628397314</v>
      </c>
      <c r="AM281" s="6" t="n">
        <v>0</v>
      </c>
      <c r="AN281" s="3" t="n">
        <v>0</v>
      </c>
      <c r="AO281" s="3" t="n">
        <v>0.7253999999999999</v>
      </c>
      <c r="AP281" s="3" t="n">
        <v>0.181764</v>
      </c>
      <c r="AQ281" s="3">
        <f>N(X281)*N(BJ281)</f>
        <v/>
      </c>
      <c r="AR281" s="3" t="n">
        <v>0</v>
      </c>
      <c r="AS281" s="3" t="n">
        <v>-0.5404658182244797</v>
      </c>
      <c r="AT281" s="3" t="n">
        <v>-0.2013150628397314</v>
      </c>
      <c r="AU281" s="3">
        <f>SUM(AO281:AT281)</f>
        <v/>
      </c>
      <c r="AV281" s="7">
        <f>IF(OR(N(W281)&lt;=0,N(BH281)=0),0,N(W281)*IF(N(R281)/N(W281)&gt;=60,N(BH281),1))</f>
        <v/>
      </c>
      <c r="AW281" s="7">
        <f>N(W281)*N(AF281)*N(BI281)</f>
        <v/>
      </c>
      <c r="AX281" s="3">
        <f>IF(N(BH281)=0,0,N(W281)*N(AH281))</f>
        <v/>
      </c>
      <c r="AY281" s="7">
        <f>N(AM281)*(Assumptions!$B$13*N(BK281)-(1-Assumptions!$B$13)*Assumptions!$B$14)+N(AN281)</f>
        <v/>
      </c>
      <c r="AZ281" s="7">
        <f>N(AU281)*N(R281)/90+N(AV281)+N(AW281)+N(AX281)+N(AY281)</f>
        <v/>
      </c>
      <c r="BA281" s="3">
        <f>IF(N(R281)&lt;=0,0,(N(AZ281)-N(AY281))*90/N(R281))</f>
        <v/>
      </c>
      <c r="BB281" s="7">
        <f>IFERROR(AZ281-VLOOKUP($E281,Assumptions!$A$40:$C$43,3,FALSE),"")</f>
        <v/>
      </c>
      <c r="BC281" s="3">
        <f>IFERROR(BB281/H281,"")</f>
        <v/>
      </c>
      <c r="BD281">
        <f>IF(AND($G281=TRUE,$E281="GKP"),AZ281,"")</f>
        <v/>
      </c>
      <c r="BE281">
        <f>IF(AND($G281=TRUE,$E281="DEF"),AZ281,"")</f>
        <v/>
      </c>
      <c r="BF281">
        <f>IF(AND($G281=TRUE,$E281="MID"),AZ281,"")</f>
        <v/>
      </c>
      <c r="BG281">
        <f>IF(AND($G281=TRUE,$E281="FWD"),AZ281,"")</f>
        <v/>
      </c>
      <c r="BH281" t="n">
        <v>2</v>
      </c>
      <c r="BI281" t="n">
        <v>2</v>
      </c>
      <c r="BJ281" t="n">
        <v>4</v>
      </c>
      <c r="BK281" t="n">
        <v>6</v>
      </c>
    </row>
    <row r="282">
      <c r="A282" t="inlineStr">
        <is>
          <t>Jorge Cuenca</t>
        </is>
      </c>
      <c r="B282" t="inlineStr">
        <is>
          <t>FUL</t>
        </is>
      </c>
      <c r="C282" t="inlineStr">
        <is>
          <t>FUL</t>
        </is>
      </c>
      <c r="D282" t="b">
        <v>0</v>
      </c>
      <c r="E282" t="inlineStr">
        <is>
          <t>DEF</t>
        </is>
      </c>
      <c r="F282" t="inlineStr">
        <is>
          <t>DEF</t>
        </is>
      </c>
      <c r="G282" t="b">
        <v>1</v>
      </c>
      <c r="H282" s="2" t="n">
        <v>4.5</v>
      </c>
      <c r="I282" t="inlineStr">
        <is>
          <t>a</t>
        </is>
      </c>
      <c r="K282" s="2" t="n">
        <v>935</v>
      </c>
      <c r="L282" t="n">
        <v>39</v>
      </c>
      <c r="M282" s="3" t="n">
        <v>889</v>
      </c>
      <c r="N282" s="4" t="n">
        <v>1300</v>
      </c>
      <c r="O282" s="4" t="n">
        <v>411</v>
      </c>
      <c r="P282" s="5" t="inlineStr">
        <is>
          <t>high</t>
        </is>
      </c>
      <c r="Q282" t="inlineStr">
        <is>
          <t>fade (losing his place)</t>
        </is>
      </c>
      <c r="R282" s="6" t="n">
        <v>1300</v>
      </c>
      <c r="S282" t="inlineStr">
        <is>
          <t>research</t>
        </is>
      </c>
      <c r="T282" s="5" t="inlineStr">
        <is>
          <t>Issa Diop was sold to Ipswich on 22 Jul 2026, leaving only three senior centre-backs (Andersen, Bassey, Cuenca). Cuenca started two of the last three friendlies (7 Aug v Crystal Palace, 15 Aug v Stuttgart) and is the stand-in for Andersen's opening-day suspension. Solio's 'fade - losing his place' pattern is measured against a 2025/26 squad that still contained Diop.</t>
        </is>
      </c>
      <c r="U282" s="6" t="n">
        <v>84.7</v>
      </c>
      <c r="V282" s="2" t="n">
        <v>11</v>
      </c>
      <c r="W282" s="7">
        <f>IF(N(U282)&lt;=0,0,MIN(Assumptions!$B$15,N(R282)/N(U282)))</f>
        <v/>
      </c>
      <c r="X282" s="6" t="n">
        <v>0.214</v>
      </c>
      <c r="Y282" s="3" t="n">
        <v>0.0048</v>
      </c>
      <c r="Z282" t="inlineStr">
        <is>
          <t>adjusted xGOT</t>
        </is>
      </c>
      <c r="AA282" s="3" t="n">
        <v>1</v>
      </c>
      <c r="AB282" s="3" t="n">
        <v>0.991</v>
      </c>
      <c r="AC282" s="3" t="n">
        <v>0.1</v>
      </c>
      <c r="AD282" s="3" t="n">
        <v>0.0503</v>
      </c>
      <c r="AE282" s="3" t="n">
        <v>9.706</v>
      </c>
      <c r="AF282" s="3" t="n">
        <v>0.4302970533391327</v>
      </c>
      <c r="AG282" s="3" t="n">
        <v>9.278</v>
      </c>
      <c r="AH282" s="3" t="n">
        <v>0.1684573679</v>
      </c>
      <c r="AI282" s="3" t="n">
        <v>25</v>
      </c>
      <c r="AJ282" s="3" t="n">
        <v>3.22</v>
      </c>
      <c r="AK282" s="3" t="n">
        <v>1.6019</v>
      </c>
      <c r="AL282" s="3" t="n">
        <v>-0.3322909752121754</v>
      </c>
      <c r="AM282" s="6" t="n">
        <v>0</v>
      </c>
      <c r="AN282" s="3" t="n">
        <v>0</v>
      </c>
      <c r="AO282" s="3" t="n">
        <v>0.0288</v>
      </c>
      <c r="AP282" s="3" t="n">
        <v>0.199188</v>
      </c>
      <c r="AQ282" s="3">
        <f>N(X282)*N(BJ282)</f>
        <v/>
      </c>
      <c r="AR282" s="3" t="n">
        <v>0</v>
      </c>
      <c r="AS282" s="3" t="n">
        <v>-0.5611019003833156</v>
      </c>
      <c r="AT282" s="3" t="n">
        <v>-0.3322909752121754</v>
      </c>
      <c r="AU282" s="3">
        <f>SUM(AO282:AT282)</f>
        <v/>
      </c>
      <c r="AV282" s="7">
        <f>IF(OR(N(W282)&lt;=0,N(BH282)=0),0,N(W282)*IF(N(R282)/N(W282)&gt;=60,N(BH282),1))</f>
        <v/>
      </c>
      <c r="AW282" s="7">
        <f>N(W282)*N(AF282)*N(BI282)</f>
        <v/>
      </c>
      <c r="AX282" s="3">
        <f>IF(N(BH282)=0,0,N(W282)*N(AH282))</f>
        <v/>
      </c>
      <c r="AY282" s="7">
        <f>N(AM282)*(Assumptions!$B$13*N(BK282)-(1-Assumptions!$B$13)*Assumptions!$B$14)+N(AN282)</f>
        <v/>
      </c>
      <c r="AZ282" s="7">
        <f>N(AU282)*N(R282)/90+N(AV282)+N(AW282)+N(AX282)+N(AY282)</f>
        <v/>
      </c>
      <c r="BA282" s="3">
        <f>IF(N(R282)&lt;=0,0,(N(AZ282)-N(AY282))*90/N(R282))</f>
        <v/>
      </c>
      <c r="BB282" s="7">
        <f>IFERROR(AZ282-VLOOKUP($E282,Assumptions!$A$40:$C$43,3,FALSE),"")</f>
        <v/>
      </c>
      <c r="BC282" s="3">
        <f>IFERROR(BB282/H282,"")</f>
        <v/>
      </c>
      <c r="BD282">
        <f>IF(AND($G282=TRUE,$E282="GKP"),AZ282,"")</f>
        <v/>
      </c>
      <c r="BE282">
        <f>IF(AND($G282=TRUE,$E282="DEF"),AZ282,"")</f>
        <v/>
      </c>
      <c r="BF282">
        <f>IF(AND($G282=TRUE,$E282="MID"),AZ282,"")</f>
        <v/>
      </c>
      <c r="BG282">
        <f>IF(AND($G282=TRUE,$E282="FWD"),AZ282,"")</f>
        <v/>
      </c>
      <c r="BH282" t="n">
        <v>2</v>
      </c>
      <c r="BI282" t="n">
        <v>2</v>
      </c>
      <c r="BJ282" t="n">
        <v>4</v>
      </c>
      <c r="BK282" t="n">
        <v>6</v>
      </c>
    </row>
    <row r="283">
      <c r="A283" t="inlineStr">
        <is>
          <t>Olivier Boscagli</t>
        </is>
      </c>
      <c r="B283" t="inlineStr">
        <is>
          <t>BHA</t>
        </is>
      </c>
      <c r="C283" t="inlineStr">
        <is>
          <t>BHA</t>
        </is>
      </c>
      <c r="D283" t="b">
        <v>0</v>
      </c>
      <c r="E283" t="inlineStr">
        <is>
          <t>DEF</t>
        </is>
      </c>
      <c r="F283" t="inlineStr">
        <is>
          <t>DEF</t>
        </is>
      </c>
      <c r="G283" t="b">
        <v>1</v>
      </c>
      <c r="H283" s="2" t="n">
        <v>4.5</v>
      </c>
      <c r="I283" t="inlineStr">
        <is>
          <t>a</t>
        </is>
      </c>
      <c r="K283" s="2" t="n">
        <v>799</v>
      </c>
      <c r="L283" t="n">
        <v>39</v>
      </c>
      <c r="M283" s="3" t="n">
        <v>826</v>
      </c>
      <c r="N283" s="4" t="n">
        <v>1750</v>
      </c>
      <c r="O283" s="4" t="n">
        <v>924</v>
      </c>
      <c r="P283" s="5" t="inlineStr">
        <is>
          <t>medium</t>
        </is>
      </c>
      <c r="Q283" t="inlineStr">
        <is>
          <t>fade (losing his place)</t>
        </is>
      </c>
      <c r="R283" s="6" t="n">
        <v>1750</v>
      </c>
      <c r="S283" t="inlineStr">
        <is>
          <t>research</t>
        </is>
      </c>
      <c r="T283" s="5" t="inlineStr">
        <is>
          <t>Solio flags him 'fade (losing his place)' at 826 minutes, but he STARTED at centre-back in both August friendlies - v Roma on 8 Aug (off 85') and v Bologna on 15 Aug (off 66') - partnering Vuskovic each time, while Dunk came off the bench and Struijk did not feature at all. The 15 Aug XI was the last rehearsal before the opener. Held below a full starter's allocation only because We Are Brighton (11 Aug) name him the likeliest of the five centre-backs to be sold before the window shuts on 1 Sep.</t>
        </is>
      </c>
      <c r="U283" s="6" t="n">
        <v>85.09999999999999</v>
      </c>
      <c r="V283" s="2" t="n">
        <v>9</v>
      </c>
      <c r="W283" s="7">
        <f>IF(N(U283)&lt;=0,0,MIN(Assumptions!$B$15,N(R283)/N(U283)))</f>
        <v/>
      </c>
      <c r="X283" s="6" t="n">
        <v>0.252</v>
      </c>
      <c r="Y283" s="3" t="n">
        <v>0.0056</v>
      </c>
      <c r="Z283" t="inlineStr">
        <is>
          <t>adjusted xGOT</t>
        </is>
      </c>
      <c r="AA283" s="3" t="n">
        <v>1</v>
      </c>
      <c r="AB283" s="3" t="n">
        <v>0.994</v>
      </c>
      <c r="AC283" s="3" t="n">
        <v>0</v>
      </c>
      <c r="AD283" s="3" t="n">
        <v>0.0348</v>
      </c>
      <c r="AE283" s="3" t="n">
        <v>8.263999999999999</v>
      </c>
      <c r="AF283" s="3" t="n">
        <v>0.2605908444593074</v>
      </c>
      <c r="AG283" s="3" t="n">
        <v>9.574</v>
      </c>
      <c r="AH283" s="3" t="n">
        <v>0.1836767717</v>
      </c>
      <c r="AI283" s="3" t="n">
        <v>20</v>
      </c>
      <c r="AJ283" s="3" t="n">
        <v>2.8404</v>
      </c>
      <c r="AK283" s="3" t="n">
        <v>1.439</v>
      </c>
      <c r="AL283" s="3" t="n">
        <v>-0.2194955984140306</v>
      </c>
      <c r="AM283" s="6" t="n">
        <v>0</v>
      </c>
      <c r="AN283" s="3" t="n">
        <v>0</v>
      </c>
      <c r="AO283" s="3" t="n">
        <v>0.0336</v>
      </c>
      <c r="AP283" s="3" t="n">
        <v>0.137808</v>
      </c>
      <c r="AQ283" s="3">
        <f>N(X283)*N(BJ283)</f>
        <v/>
      </c>
      <c r="AR283" s="3" t="n">
        <v>0</v>
      </c>
      <c r="AS283" s="3" t="n">
        <v>-0.4835617861760246</v>
      </c>
      <c r="AT283" s="3" t="n">
        <v>-0.2194955984140306</v>
      </c>
      <c r="AU283" s="3">
        <f>SUM(AO283:AT283)</f>
        <v/>
      </c>
      <c r="AV283" s="7">
        <f>IF(OR(N(W283)&lt;=0,N(BH283)=0),0,N(W283)*IF(N(R283)/N(W283)&gt;=60,N(BH283),1))</f>
        <v/>
      </c>
      <c r="AW283" s="7">
        <f>N(W283)*N(AF283)*N(BI283)</f>
        <v/>
      </c>
      <c r="AX283" s="3">
        <f>IF(N(BH283)=0,0,N(W283)*N(AH283))</f>
        <v/>
      </c>
      <c r="AY283" s="7">
        <f>N(AM283)*(Assumptions!$B$13*N(BK283)-(1-Assumptions!$B$13)*Assumptions!$B$14)+N(AN283)</f>
        <v/>
      </c>
      <c r="AZ283" s="7">
        <f>N(AU283)*N(R283)/90+N(AV283)+N(AW283)+N(AX283)+N(AY283)</f>
        <v/>
      </c>
      <c r="BA283" s="3">
        <f>IF(N(R283)&lt;=0,0,(N(AZ283)-N(AY283))*90/N(R283))</f>
        <v/>
      </c>
      <c r="BB283" s="7">
        <f>IFERROR(AZ283-VLOOKUP($E283,Assumptions!$A$40:$C$43,3,FALSE),"")</f>
        <v/>
      </c>
      <c r="BC283" s="3">
        <f>IFERROR(BB283/H283,"")</f>
        <v/>
      </c>
      <c r="BD283">
        <f>IF(AND($G283=TRUE,$E283="GKP"),AZ283,"")</f>
        <v/>
      </c>
      <c r="BE283">
        <f>IF(AND($G283=TRUE,$E283="DEF"),AZ283,"")</f>
        <v/>
      </c>
      <c r="BF283">
        <f>IF(AND($G283=TRUE,$E283="MID"),AZ283,"")</f>
        <v/>
      </c>
      <c r="BG283">
        <f>IF(AND($G283=TRUE,$E283="FWD"),AZ283,"")</f>
        <v/>
      </c>
      <c r="BH283" t="n">
        <v>2</v>
      </c>
      <c r="BI283" t="n">
        <v>2</v>
      </c>
      <c r="BJ283" t="n">
        <v>4</v>
      </c>
      <c r="BK283" t="n">
        <v>6</v>
      </c>
    </row>
    <row r="284">
      <c r="A284" t="inlineStr">
        <is>
          <t>Joe Willock</t>
        </is>
      </c>
      <c r="B284" t="inlineStr">
        <is>
          <t>NEW</t>
        </is>
      </c>
      <c r="C284" t="inlineStr">
        <is>
          <t>NEW</t>
        </is>
      </c>
      <c r="D284" t="b">
        <v>0</v>
      </c>
      <c r="E284" t="inlineStr">
        <is>
          <t>MID</t>
        </is>
      </c>
      <c r="F284" t="inlineStr">
        <is>
          <t>MID</t>
        </is>
      </c>
      <c r="G284" t="b">
        <v>1</v>
      </c>
      <c r="H284" s="2" t="n">
        <v>5</v>
      </c>
      <c r="I284" t="inlineStr">
        <is>
          <t>a</t>
        </is>
      </c>
      <c r="K284" s="2" t="n">
        <v>972</v>
      </c>
      <c r="L284" t="n">
        <v>38</v>
      </c>
      <c r="M284" s="3" t="n">
        <v>912</v>
      </c>
      <c r="N284" s="4" t="n">
        <v>620</v>
      </c>
      <c r="O284" s="4" t="n">
        <v>-292</v>
      </c>
      <c r="P284" s="5" t="inlineStr">
        <is>
          <t>low</t>
        </is>
      </c>
      <c r="Q284" t="inlineStr">
        <is>
          <t>flat</t>
        </is>
      </c>
      <c r="R284" s="6" t="n">
        <v>620</v>
      </c>
      <c r="S284" t="inlineStr">
        <is>
          <t>research</t>
        </is>
      </c>
      <c r="T284" s="5" t="inlineStr">
        <is>
          <t>Reported to be someone Newcastle are willing to sell, with Besiktas interested at around GBP 20m, to avoid losing him for nothing when his contract expires in 2027; he made only 10 league starts in 2025/26. He was an unused substitute v Everton and absent from the Leverkusen squad. Low confidence: the reporting carries no visible byline date and no bid has been confirmed.</t>
        </is>
      </c>
      <c r="U284" s="6" t="n">
        <v>75.2</v>
      </c>
      <c r="V284" s="2" t="n">
        <v>10</v>
      </c>
      <c r="W284" s="7">
        <f>IF(N(U284)&lt;=0,0,MIN(Assumptions!$B$15,N(R284)/N(U284)))</f>
        <v/>
      </c>
      <c r="X284" s="6" t="n">
        <v>0.248</v>
      </c>
      <c r="Y284" s="3" t="n">
        <v>0.1076</v>
      </c>
      <c r="Z284" t="inlineStr">
        <is>
          <t>adjusted xGOT</t>
        </is>
      </c>
      <c r="AA284" s="3" t="n">
        <v>1</v>
      </c>
      <c r="AB284" s="3" t="n">
        <v>0.922</v>
      </c>
      <c r="AC284" s="3" t="n">
        <v>11.1</v>
      </c>
      <c r="AD284" s="3" t="n">
        <v>0.1467</v>
      </c>
      <c r="AE284" s="3" t="n">
        <v>8.384</v>
      </c>
      <c r="AF284" s="3" t="n">
        <v>0.05358929231825704</v>
      </c>
      <c r="AG284" s="3" t="n">
        <v>6.595</v>
      </c>
      <c r="AH284" s="3" t="n">
        <v>0.1950919146</v>
      </c>
      <c r="AI284" s="3" t="n">
        <v>32</v>
      </c>
      <c r="AJ284" s="3" t="n">
        <v>3.0912</v>
      </c>
      <c r="AK284" s="3" t="n">
        <v>1.4534</v>
      </c>
      <c r="AL284" s="3" t="n">
        <v>-0.2569668685375061</v>
      </c>
      <c r="AM284" s="6" t="n">
        <v>0</v>
      </c>
      <c r="AN284" s="3" t="n">
        <v>0</v>
      </c>
      <c r="AO284" s="3" t="n">
        <v>0.538</v>
      </c>
      <c r="AP284" s="3" t="n">
        <v>0.580932</v>
      </c>
      <c r="AQ284" s="3">
        <f>N(X284)*N(BJ284)</f>
        <v/>
      </c>
      <c r="AR284" s="3" t="n">
        <v>0</v>
      </c>
      <c r="AS284" s="3" t="n">
        <v>-0</v>
      </c>
      <c r="AT284" s="3" t="n">
        <v>-0.2569668685375061</v>
      </c>
      <c r="AU284" s="3">
        <f>SUM(AO284:AT284)</f>
        <v/>
      </c>
      <c r="AV284" s="7">
        <f>IF(OR(N(W284)&lt;=0,N(BH284)=0),0,N(W284)*IF(N(R284)/N(W284)&gt;=60,N(BH284),1))</f>
        <v/>
      </c>
      <c r="AW284" s="7">
        <f>N(W284)*N(AF284)*N(BI284)</f>
        <v/>
      </c>
      <c r="AX284" s="3">
        <f>IF(N(BH284)=0,0,N(W284)*N(AH284))</f>
        <v/>
      </c>
      <c r="AY284" s="7">
        <f>N(AM284)*(Assumptions!$B$13*N(BK284)-(1-Assumptions!$B$13)*Assumptions!$B$14)+N(AN284)</f>
        <v/>
      </c>
      <c r="AZ284" s="7">
        <f>N(AU284)*N(R284)/90+N(AV284)+N(AW284)+N(AX284)+N(AY284)</f>
        <v/>
      </c>
      <c r="BA284" s="3">
        <f>IF(N(R284)&lt;=0,0,(N(AZ284)-N(AY284))*90/N(R284))</f>
        <v/>
      </c>
      <c r="BB284" s="7">
        <f>IFERROR(AZ284-VLOOKUP($E284,Assumptions!$A$40:$C$43,3,FALSE),"")</f>
        <v/>
      </c>
      <c r="BC284" s="3">
        <f>IFERROR(BB284/H284,"")</f>
        <v/>
      </c>
      <c r="BD284">
        <f>IF(AND($G284=TRUE,$E284="GKP"),AZ284,"")</f>
        <v/>
      </c>
      <c r="BE284">
        <f>IF(AND($G284=TRUE,$E284="DEF"),AZ284,"")</f>
        <v/>
      </c>
      <c r="BF284">
        <f>IF(AND($G284=TRUE,$E284="MID"),AZ284,"")</f>
        <v/>
      </c>
      <c r="BG284">
        <f>IF(AND($G284=TRUE,$E284="FWD"),AZ284,"")</f>
        <v/>
      </c>
      <c r="BH284" t="n">
        <v>2</v>
      </c>
      <c r="BI284" t="n">
        <v>2</v>
      </c>
      <c r="BJ284" t="n">
        <v>1</v>
      </c>
      <c r="BK284" t="n">
        <v>5</v>
      </c>
    </row>
    <row r="285">
      <c r="A285" t="inlineStr">
        <is>
          <t>Manuel Ugarte</t>
        </is>
      </c>
      <c r="B285" t="inlineStr">
        <is>
          <t>MUN</t>
        </is>
      </c>
      <c r="C285" t="inlineStr">
        <is>
          <t>MUN</t>
        </is>
      </c>
      <c r="D285" t="b">
        <v>0</v>
      </c>
      <c r="E285" t="inlineStr">
        <is>
          <t>MID</t>
        </is>
      </c>
      <c r="F285" t="inlineStr">
        <is>
          <t>MID</t>
        </is>
      </c>
      <c r="G285" t="b">
        <v>1</v>
      </c>
      <c r="H285" s="2" t="n">
        <v>5</v>
      </c>
      <c r="I285" t="inlineStr">
        <is>
          <t>i</t>
        </is>
      </c>
      <c r="J285" t="inlineStr">
        <is>
          <t>Knee injury - Unknown return date</t>
        </is>
      </c>
      <c r="K285" s="2" t="n">
        <v>876</v>
      </c>
      <c r="L285" t="n">
        <v>38</v>
      </c>
      <c r="M285" s="3" t="n">
        <v>89</v>
      </c>
      <c r="N285" s="4" t="n">
        <v>0</v>
      </c>
      <c r="O285" s="4" t="n">
        <v>-89</v>
      </c>
      <c r="P285" s="5" t="inlineStr">
        <is>
          <t>high</t>
        </is>
      </c>
      <c r="Q285" t="inlineStr">
        <is>
          <t>flat</t>
        </is>
      </c>
      <c r="R285" s="6" t="n">
        <v>0</v>
      </c>
      <c r="S285" t="inlineStr">
        <is>
          <t>research</t>
        </is>
      </c>
      <c r="T285" s="5" t="inlineStr">
        <is>
          <t>ESPN reports a season-ending knee ligament injury, and the injury trackers put his return in 2027. He plays no part in 2026/27. Small in absolute terms but it is a certainty rather than a projection.</t>
        </is>
      </c>
      <c r="U285" s="6" t="n">
        <v>80.2</v>
      </c>
      <c r="V285" s="2" t="n">
        <v>8</v>
      </c>
      <c r="W285" s="7">
        <f>IF(N(U285)&lt;=0,0,MIN(Assumptions!$B$15,N(R285)/N(U285)))</f>
        <v/>
      </c>
      <c r="X285" s="6" t="n">
        <v>0.334</v>
      </c>
      <c r="Y285" s="3" t="n">
        <v>0.0639</v>
      </c>
      <c r="Z285" t="inlineStr">
        <is>
          <t>adjusted xGOT</t>
        </is>
      </c>
      <c r="AA285" s="3" t="n">
        <v>1</v>
      </c>
      <c r="AB285" s="3" t="n">
        <v>0.864</v>
      </c>
      <c r="AC285" s="3" t="n">
        <v>1.7</v>
      </c>
      <c r="AD285" s="3" t="n">
        <v>0.0148</v>
      </c>
      <c r="AE285" s="3" t="n">
        <v>11.877</v>
      </c>
      <c r="AF285" s="3" t="n">
        <v>0.3711720108442984</v>
      </c>
      <c r="AG285" s="3" t="n">
        <v>8.608000000000001</v>
      </c>
      <c r="AH285" s="3" t="n">
        <v>0.1156670016</v>
      </c>
      <c r="AI285" s="3" t="n">
        <v>30</v>
      </c>
      <c r="AJ285" s="3" t="n">
        <v>2.2165</v>
      </c>
      <c r="AK285" s="3" t="n">
        <v>1.1467</v>
      </c>
      <c r="AL285" s="3" t="n">
        <v>-0.3037698751433417</v>
      </c>
      <c r="AM285" s="6" t="n">
        <v>0</v>
      </c>
      <c r="AN285" s="3" t="n">
        <v>0</v>
      </c>
      <c r="AO285" s="3" t="n">
        <v>0.3195</v>
      </c>
      <c r="AP285" s="3" t="n">
        <v>0.05860800000000001</v>
      </c>
      <c r="AQ285" s="3">
        <f>N(X285)*N(BJ285)</f>
        <v/>
      </c>
      <c r="AR285" s="3" t="n">
        <v>0</v>
      </c>
      <c r="AS285" s="3" t="n">
        <v>-0</v>
      </c>
      <c r="AT285" s="3" t="n">
        <v>-0.3037698751433417</v>
      </c>
      <c r="AU285" s="3">
        <f>SUM(AO285:AT285)</f>
        <v/>
      </c>
      <c r="AV285" s="7">
        <f>IF(OR(N(W285)&lt;=0,N(BH285)=0),0,N(W285)*IF(N(R285)/N(W285)&gt;=60,N(BH285),1))</f>
        <v/>
      </c>
      <c r="AW285" s="7">
        <f>N(W285)*N(AF285)*N(BI285)</f>
        <v/>
      </c>
      <c r="AX285" s="3">
        <f>IF(N(BH285)=0,0,N(W285)*N(AH285))</f>
        <v/>
      </c>
      <c r="AY285" s="7">
        <f>N(AM285)*(Assumptions!$B$13*N(BK285)-(1-Assumptions!$B$13)*Assumptions!$B$14)+N(AN285)</f>
        <v/>
      </c>
      <c r="AZ285" s="7">
        <f>N(AU285)*N(R285)/90+N(AV285)+N(AW285)+N(AX285)+N(AY285)</f>
        <v/>
      </c>
      <c r="BA285" s="3">
        <f>IF(N(R285)&lt;=0,0,(N(AZ285)-N(AY285))*90/N(R285))</f>
        <v/>
      </c>
      <c r="BB285" s="7">
        <f>IFERROR(AZ285-VLOOKUP($E285,Assumptions!$A$40:$C$43,3,FALSE),"")</f>
        <v/>
      </c>
      <c r="BC285" s="3">
        <f>IFERROR(BB285/H285,"")</f>
        <v/>
      </c>
      <c r="BD285">
        <f>IF(AND($G285=TRUE,$E285="GKP"),AZ285,"")</f>
        <v/>
      </c>
      <c r="BE285">
        <f>IF(AND($G285=TRUE,$E285="DEF"),AZ285,"")</f>
        <v/>
      </c>
      <c r="BF285">
        <f>IF(AND($G285=TRUE,$E285="MID"),AZ285,"")</f>
        <v/>
      </c>
      <c r="BG285">
        <f>IF(AND($G285=TRUE,$E285="FWD"),AZ285,"")</f>
        <v/>
      </c>
      <c r="BH285" t="n">
        <v>2</v>
      </c>
      <c r="BI285" t="n">
        <v>2</v>
      </c>
      <c r="BJ285" t="n">
        <v>1</v>
      </c>
      <c r="BK285" t="n">
        <v>5</v>
      </c>
    </row>
    <row r="286">
      <c r="A286" t="inlineStr">
        <is>
          <t>Federico Chiesa</t>
        </is>
      </c>
      <c r="B286" t="inlineStr">
        <is>
          <t>LIV</t>
        </is>
      </c>
      <c r="C286" t="inlineStr">
        <is>
          <t>LIV</t>
        </is>
      </c>
      <c r="D286" t="b">
        <v>0</v>
      </c>
      <c r="E286" t="inlineStr">
        <is>
          <t>MID</t>
        </is>
      </c>
      <c r="F286" t="inlineStr">
        <is>
          <t>MID</t>
        </is>
      </c>
      <c r="G286" t="b">
        <v>1</v>
      </c>
      <c r="H286" s="2" t="n">
        <v>5.5</v>
      </c>
      <c r="I286" t="inlineStr">
        <is>
          <t>a</t>
        </is>
      </c>
      <c r="K286" s="2" t="n">
        <v>317</v>
      </c>
      <c r="L286" t="n">
        <v>37</v>
      </c>
      <c r="M286" s="3" t="n">
        <v>40</v>
      </c>
      <c r="N286" s="8" t="n">
        <v>40</v>
      </c>
      <c r="O286" s="8" t="n">
        <v>0</v>
      </c>
      <c r="Q286" t="inlineStr">
        <is>
          <t>flat</t>
        </is>
      </c>
      <c r="R286" s="6" t="n">
        <v>40</v>
      </c>
      <c r="S286" t="inlineStr">
        <is>
          <t>Solio</t>
        </is>
      </c>
      <c r="U286" s="6" t="n">
        <v>78.3</v>
      </c>
      <c r="V286" s="2" t="n">
        <v>1</v>
      </c>
      <c r="W286" s="7">
        <f>IF(N(U286)&lt;=0,0,MIN(Assumptions!$B$15,N(R286)/N(U286)))</f>
        <v/>
      </c>
      <c r="X286" s="6" t="n">
        <v>0.342</v>
      </c>
      <c r="Y286" s="3" t="n">
        <v>0.429</v>
      </c>
      <c r="Z286" t="inlineStr">
        <is>
          <t>adjusted xGOT</t>
        </is>
      </c>
      <c r="AA286" s="3" t="n">
        <v>1</v>
      </c>
      <c r="AB286" s="3" t="n">
        <v>1.042</v>
      </c>
      <c r="AC286" s="3" t="n">
        <v>1.8</v>
      </c>
      <c r="AD286" s="3" t="n">
        <v>0.2956</v>
      </c>
      <c r="AE286" s="3" t="n">
        <v>8.558999999999999</v>
      </c>
      <c r="AF286" s="3" t="n">
        <v>0.07613979951146643</v>
      </c>
      <c r="AG286" s="3" t="n">
        <v>7.24</v>
      </c>
      <c r="AH286" s="3" t="n">
        <v>0.7397455507999999</v>
      </c>
      <c r="AI286" s="3" t="n">
        <v>27</v>
      </c>
      <c r="AJ286" s="3" t="n">
        <v>2.409</v>
      </c>
      <c r="AK286" s="3" t="n">
        <v>1.1228</v>
      </c>
      <c r="AL286" s="3" t="n">
        <v>-0.3229622562080891</v>
      </c>
      <c r="AM286" s="6" t="n">
        <v>0</v>
      </c>
      <c r="AN286" s="3" t="n">
        <v>0</v>
      </c>
      <c r="AO286" s="3" t="n">
        <v>2.145</v>
      </c>
      <c r="AP286" s="3" t="n">
        <v>1.170576</v>
      </c>
      <c r="AQ286" s="3">
        <f>N(X286)*N(BJ286)</f>
        <v/>
      </c>
      <c r="AR286" s="3" t="n">
        <v>0</v>
      </c>
      <c r="AS286" s="3" t="n">
        <v>-0</v>
      </c>
      <c r="AT286" s="3" t="n">
        <v>-0.3229622562080891</v>
      </c>
      <c r="AU286" s="3">
        <f>SUM(AO286:AT286)</f>
        <v/>
      </c>
      <c r="AV286" s="7">
        <f>IF(OR(N(W286)&lt;=0,N(BH286)=0),0,N(W286)*IF(N(R286)/N(W286)&gt;=60,N(BH286),1))</f>
        <v/>
      </c>
      <c r="AW286" s="7">
        <f>N(W286)*N(AF286)*N(BI286)</f>
        <v/>
      </c>
      <c r="AX286" s="3">
        <f>IF(N(BH286)=0,0,N(W286)*N(AH286))</f>
        <v/>
      </c>
      <c r="AY286" s="7">
        <f>N(AM286)*(Assumptions!$B$13*N(BK286)-(1-Assumptions!$B$13)*Assumptions!$B$14)+N(AN286)</f>
        <v/>
      </c>
      <c r="AZ286" s="7">
        <f>N(AU286)*N(R286)/90+N(AV286)+N(AW286)+N(AX286)+N(AY286)</f>
        <v/>
      </c>
      <c r="BA286" s="3">
        <f>IF(N(R286)&lt;=0,0,(N(AZ286)-N(AY286))*90/N(R286))</f>
        <v/>
      </c>
      <c r="BB286" s="7">
        <f>IFERROR(AZ286-VLOOKUP($E286,Assumptions!$A$40:$C$43,3,FALSE),"")</f>
        <v/>
      </c>
      <c r="BC286" s="3">
        <f>IFERROR(BB286/H286,"")</f>
        <v/>
      </c>
      <c r="BD286">
        <f>IF(AND($G286=TRUE,$E286="GKP"),AZ286,"")</f>
        <v/>
      </c>
      <c r="BE286">
        <f>IF(AND($G286=TRUE,$E286="DEF"),AZ286,"")</f>
        <v/>
      </c>
      <c r="BF286">
        <f>IF(AND($G286=TRUE,$E286="MID"),AZ286,"")</f>
        <v/>
      </c>
      <c r="BG286">
        <f>IF(AND($G286=TRUE,$E286="FWD"),AZ286,"")</f>
        <v/>
      </c>
      <c r="BH286" t="n">
        <v>2</v>
      </c>
      <c r="BI286" t="n">
        <v>2</v>
      </c>
      <c r="BJ286" t="n">
        <v>1</v>
      </c>
      <c r="BK286" t="n">
        <v>5</v>
      </c>
    </row>
    <row r="287">
      <c r="A287" t="inlineStr">
        <is>
          <t>Aaron Hickey</t>
        </is>
      </c>
      <c r="B287" t="inlineStr">
        <is>
          <t>BRE</t>
        </is>
      </c>
      <c r="C287" t="inlineStr">
        <is>
          <t>BRE</t>
        </is>
      </c>
      <c r="D287" t="b">
        <v>0</v>
      </c>
      <c r="E287" t="inlineStr">
        <is>
          <t>DEF</t>
        </is>
      </c>
      <c r="F287" t="inlineStr">
        <is>
          <t>DEF</t>
        </is>
      </c>
      <c r="G287" t="b">
        <v>1</v>
      </c>
      <c r="H287" s="2" t="n">
        <v>4.5</v>
      </c>
      <c r="I287" t="inlineStr">
        <is>
          <t>a</t>
        </is>
      </c>
      <c r="K287" s="2" t="n">
        <v>679</v>
      </c>
      <c r="L287" t="n">
        <v>37</v>
      </c>
      <c r="M287" s="3" t="n">
        <v>166</v>
      </c>
      <c r="N287" s="8" t="n">
        <v>166</v>
      </c>
      <c r="O287" s="8" t="n">
        <v>0</v>
      </c>
      <c r="Q287" t="inlineStr">
        <is>
          <t>flat</t>
        </is>
      </c>
      <c r="R287" s="6" t="n">
        <v>166</v>
      </c>
      <c r="S287" t="inlineStr">
        <is>
          <t>Solio</t>
        </is>
      </c>
      <c r="U287" s="6" t="n">
        <v>77.8</v>
      </c>
      <c r="V287" s="2" t="n">
        <v>8</v>
      </c>
      <c r="W287" s="7">
        <f>IF(N(U287)&lt;=0,0,MIN(Assumptions!$B$15,N(R287)/N(U287)))</f>
        <v/>
      </c>
      <c r="X287" s="6" t="n">
        <v>0.228</v>
      </c>
      <c r="Y287" s="3" t="n">
        <v>0.055</v>
      </c>
      <c r="Z287" t="inlineStr">
        <is>
          <t>adjusted xGOT</t>
        </is>
      </c>
      <c r="AA287" s="3" t="n">
        <v>1</v>
      </c>
      <c r="AB287" s="3" t="n">
        <v>0.9419999999999999</v>
      </c>
      <c r="AC287" s="3" t="n">
        <v>1</v>
      </c>
      <c r="AD287" s="3" t="n">
        <v>0.0513</v>
      </c>
      <c r="AE287" s="3" t="n">
        <v>7.236</v>
      </c>
      <c r="AF287" s="3" t="n">
        <v>0.1026041792665304</v>
      </c>
      <c r="AG287" s="3" t="n">
        <v>6.762</v>
      </c>
      <c r="AH287" s="3" t="n">
        <v>0.1095056065</v>
      </c>
      <c r="AI287" s="3" t="n">
        <v>28</v>
      </c>
      <c r="AJ287" s="3" t="n">
        <v>3.2371</v>
      </c>
      <c r="AK287" s="3" t="n">
        <v>1.5396</v>
      </c>
      <c r="AL287" s="3" t="n">
        <v>-0.2433045203090201</v>
      </c>
      <c r="AM287" s="6" t="n">
        <v>0</v>
      </c>
      <c r="AN287" s="3" t="n">
        <v>0</v>
      </c>
      <c r="AO287" s="3" t="n">
        <v>0.33</v>
      </c>
      <c r="AP287" s="3" t="n">
        <v>0.203148</v>
      </c>
      <c r="AQ287" s="3">
        <f>N(X287)*N(BJ287)</f>
        <v/>
      </c>
      <c r="AR287" s="3" t="n">
        <v>0</v>
      </c>
      <c r="AS287" s="3" t="n">
        <v>-0.5312990096912251</v>
      </c>
      <c r="AT287" s="3" t="n">
        <v>-0.2433045203090201</v>
      </c>
      <c r="AU287" s="3">
        <f>SUM(AO287:AT287)</f>
        <v/>
      </c>
      <c r="AV287" s="7">
        <f>IF(OR(N(W287)&lt;=0,N(BH287)=0),0,N(W287)*IF(N(R287)/N(W287)&gt;=60,N(BH287),1))</f>
        <v/>
      </c>
      <c r="AW287" s="7">
        <f>N(W287)*N(AF287)*N(BI287)</f>
        <v/>
      </c>
      <c r="AX287" s="3">
        <f>IF(N(BH287)=0,0,N(W287)*N(AH287))</f>
        <v/>
      </c>
      <c r="AY287" s="7">
        <f>N(AM287)*(Assumptions!$B$13*N(BK287)-(1-Assumptions!$B$13)*Assumptions!$B$14)+N(AN287)</f>
        <v/>
      </c>
      <c r="AZ287" s="7">
        <f>N(AU287)*N(R287)/90+N(AV287)+N(AW287)+N(AX287)+N(AY287)</f>
        <v/>
      </c>
      <c r="BA287" s="3">
        <f>IF(N(R287)&lt;=0,0,(N(AZ287)-N(AY287))*90/N(R287))</f>
        <v/>
      </c>
      <c r="BB287" s="7">
        <f>IFERROR(AZ287-VLOOKUP($E287,Assumptions!$A$40:$C$43,3,FALSE),"")</f>
        <v/>
      </c>
      <c r="BC287" s="3">
        <f>IFERROR(BB287/H287,"")</f>
        <v/>
      </c>
      <c r="BD287">
        <f>IF(AND($G287=TRUE,$E287="GKP"),AZ287,"")</f>
        <v/>
      </c>
      <c r="BE287">
        <f>IF(AND($G287=TRUE,$E287="DEF"),AZ287,"")</f>
        <v/>
      </c>
      <c r="BF287">
        <f>IF(AND($G287=TRUE,$E287="MID"),AZ287,"")</f>
        <v/>
      </c>
      <c r="BG287">
        <f>IF(AND($G287=TRUE,$E287="FWD"),AZ287,"")</f>
        <v/>
      </c>
      <c r="BH287" t="n">
        <v>2</v>
      </c>
      <c r="BI287" t="n">
        <v>2</v>
      </c>
      <c r="BJ287" t="n">
        <v>4</v>
      </c>
      <c r="BK287" t="n">
        <v>6</v>
      </c>
    </row>
    <row r="288">
      <c r="A288" t="inlineStr">
        <is>
          <t>Chris Rigg</t>
        </is>
      </c>
      <c r="B288" t="inlineStr">
        <is>
          <t>SUN</t>
        </is>
      </c>
      <c r="C288" t="inlineStr">
        <is>
          <t>SUN</t>
        </is>
      </c>
      <c r="D288" t="b">
        <v>0</v>
      </c>
      <c r="E288" t="inlineStr">
        <is>
          <t>MID</t>
        </is>
      </c>
      <c r="F288" t="inlineStr">
        <is>
          <t>MID</t>
        </is>
      </c>
      <c r="G288" t="b">
        <v>1</v>
      </c>
      <c r="H288" s="2" t="n">
        <v>5</v>
      </c>
      <c r="I288" t="inlineStr">
        <is>
          <t>a</t>
        </is>
      </c>
      <c r="K288" s="2" t="n">
        <v>758</v>
      </c>
      <c r="L288" t="n">
        <v>36</v>
      </c>
      <c r="M288" s="3" t="n">
        <v>144</v>
      </c>
      <c r="N288" s="4" t="n">
        <v>1350</v>
      </c>
      <c r="O288" s="4" t="n">
        <v>1206</v>
      </c>
      <c r="P288" s="5" t="inlineStr">
        <is>
          <t>medium</t>
        </is>
      </c>
      <c r="Q288" t="inlineStr">
        <is>
          <t>flat</t>
        </is>
      </c>
      <c r="R288" s="6" t="n">
        <v>1350</v>
      </c>
      <c r="S288" t="inlineStr">
        <is>
          <t>research</t>
        </is>
      </c>
      <c r="T288" s="5" t="inlineStr">
        <is>
          <t>The clearest single error in Solio's Sunderland file. 144 minutes is a number you give a player who is about to leave or is buried; Rigg is neither. He is contracted to 2030 with no transfer agreed (Everton interest was met with a GBP40m asking price), he played 758 Premier League minutes last season aged 18, and he was arguably Sunderland's standout pre-season performer — scored against York City, assisted Le Fee against Liverpool, started against Leeds, and came on at 61' against Rennes. Le Bris publicly called his development 'a big step' and said he is positioning himself to play a major part across the campaign. He is behind Xhaka, Sadiki and Le Fee in the first-choice midfield, which is why the proposed figure is a rotation number rather than a starter's, but eight Europa League fixtures plus two domestic cups will pull first-choice midfielders out of Premier League games.</t>
        </is>
      </c>
      <c r="U288" s="6" t="n">
        <v>72.3</v>
      </c>
      <c r="V288" s="2" t="n">
        <v>11</v>
      </c>
      <c r="W288" s="7">
        <f>IF(N(U288)&lt;=0,0,MIN(Assumptions!$B$15,N(R288)/N(U288)))</f>
        <v/>
      </c>
      <c r="X288" s="6" t="n">
        <v>0.204</v>
      </c>
      <c r="Y288" s="3" t="n">
        <v>0.1026</v>
      </c>
      <c r="Z288" t="inlineStr">
        <is>
          <t>adjusted xGOT</t>
        </is>
      </c>
      <c r="AA288" s="3" t="n">
        <v>1</v>
      </c>
      <c r="AB288" s="3" t="n">
        <v>1.004</v>
      </c>
      <c r="AC288" s="3" t="n">
        <v>0.9</v>
      </c>
      <c r="AD288" s="3" t="n">
        <v>0.1258</v>
      </c>
      <c r="AE288" s="3" t="n">
        <v>7.649</v>
      </c>
      <c r="AF288" s="3" t="n">
        <v>0.02355275397625212</v>
      </c>
      <c r="AG288" s="3" t="n">
        <v>5.86</v>
      </c>
      <c r="AH288" s="3" t="n">
        <v>0.1562761718</v>
      </c>
      <c r="AI288" s="3" t="n">
        <v>25</v>
      </c>
      <c r="AJ288" s="3" t="n">
        <v>3.3348</v>
      </c>
      <c r="AK288" s="3" t="n">
        <v>1.6498</v>
      </c>
      <c r="AL288" s="3" t="n">
        <v>-0.1882218549323582</v>
      </c>
      <c r="AM288" s="6" t="n">
        <v>0</v>
      </c>
      <c r="AN288" s="3" t="n">
        <v>0</v>
      </c>
      <c r="AO288" s="3" t="n">
        <v>0.513</v>
      </c>
      <c r="AP288" s="3" t="n">
        <v>0.4981679999999999</v>
      </c>
      <c r="AQ288" s="3">
        <f>N(X288)*N(BJ288)</f>
        <v/>
      </c>
      <c r="AR288" s="3" t="n">
        <v>0</v>
      </c>
      <c r="AS288" s="3" t="n">
        <v>-0</v>
      </c>
      <c r="AT288" s="3" t="n">
        <v>-0.1882218549323582</v>
      </c>
      <c r="AU288" s="3">
        <f>SUM(AO288:AT288)</f>
        <v/>
      </c>
      <c r="AV288" s="7">
        <f>IF(OR(N(W288)&lt;=0,N(BH288)=0),0,N(W288)*IF(N(R288)/N(W288)&gt;=60,N(BH288),1))</f>
        <v/>
      </c>
      <c r="AW288" s="7">
        <f>N(W288)*N(AF288)*N(BI288)</f>
        <v/>
      </c>
      <c r="AX288" s="3">
        <f>IF(N(BH288)=0,0,N(W288)*N(AH288))</f>
        <v/>
      </c>
      <c r="AY288" s="7">
        <f>N(AM288)*(Assumptions!$B$13*N(BK288)-(1-Assumptions!$B$13)*Assumptions!$B$14)+N(AN288)</f>
        <v/>
      </c>
      <c r="AZ288" s="7">
        <f>N(AU288)*N(R288)/90+N(AV288)+N(AW288)+N(AX288)+N(AY288)</f>
        <v/>
      </c>
      <c r="BA288" s="3">
        <f>IF(N(R288)&lt;=0,0,(N(AZ288)-N(AY288))*90/N(R288))</f>
        <v/>
      </c>
      <c r="BB288" s="7">
        <f>IFERROR(AZ288-VLOOKUP($E288,Assumptions!$A$40:$C$43,3,FALSE),"")</f>
        <v/>
      </c>
      <c r="BC288" s="3">
        <f>IFERROR(BB288/H288,"")</f>
        <v/>
      </c>
      <c r="BD288">
        <f>IF(AND($G288=TRUE,$E288="GKP"),AZ288,"")</f>
        <v/>
      </c>
      <c r="BE288">
        <f>IF(AND($G288=TRUE,$E288="DEF"),AZ288,"")</f>
        <v/>
      </c>
      <c r="BF288">
        <f>IF(AND($G288=TRUE,$E288="MID"),AZ288,"")</f>
        <v/>
      </c>
      <c r="BG288">
        <f>IF(AND($G288=TRUE,$E288="FWD"),AZ288,"")</f>
        <v/>
      </c>
      <c r="BH288" t="n">
        <v>2</v>
      </c>
      <c r="BI288" t="n">
        <v>2</v>
      </c>
      <c r="BJ288" t="n">
        <v>1</v>
      </c>
      <c r="BK288" t="n">
        <v>5</v>
      </c>
    </row>
    <row r="289">
      <c r="A289" t="inlineStr">
        <is>
          <t>Rodrigo Muniz</t>
        </is>
      </c>
      <c r="B289" t="inlineStr">
        <is>
          <t>FUL</t>
        </is>
      </c>
      <c r="C289" t="inlineStr">
        <is>
          <t>FUL</t>
        </is>
      </c>
      <c r="D289" t="b">
        <v>0</v>
      </c>
      <c r="E289" t="inlineStr">
        <is>
          <t>FWD</t>
        </is>
      </c>
      <c r="F289" t="inlineStr">
        <is>
          <t>FWD</t>
        </is>
      </c>
      <c r="G289" t="b">
        <v>1</v>
      </c>
      <c r="H289" s="2" t="n">
        <v>5.5</v>
      </c>
      <c r="I289" t="inlineStr">
        <is>
          <t>a</t>
        </is>
      </c>
      <c r="K289" s="2" t="n">
        <v>987</v>
      </c>
      <c r="L289" t="n">
        <v>36</v>
      </c>
      <c r="M289" s="3" t="n">
        <v>540</v>
      </c>
      <c r="N289" s="4" t="n">
        <v>800</v>
      </c>
      <c r="O289" s="4" t="n">
        <v>260</v>
      </c>
      <c r="P289" s="5" t="inlineStr">
        <is>
          <t>medium</t>
        </is>
      </c>
      <c r="Q289" t="inlineStr">
        <is>
          <t>flat</t>
        </is>
      </c>
      <c r="R289" s="6" t="n">
        <v>800</v>
      </c>
      <c r="S289" t="inlineStr">
        <is>
          <t>research</t>
        </is>
      </c>
      <c r="T289" s="5" t="inlineStr">
        <is>
          <t>Raul Jimenez left on a free on 30 Jun 2026, leaving Muniz as the only senior back-up centre-forward behind Gonzalo Garcia (Kusi-Asare is 19 with 49 PL minutes). Muniz scored v Farense on 1 Aug and was reported 'fighting fit and getting pre-season minutes'. Solio's 540 implies Garcia absorbs ~79% of all centre-forward minutes in his first Premier League season, which is a thin allowance for injury and rotation.</t>
        </is>
      </c>
      <c r="U289" s="6" t="n">
        <v>76.40000000000001</v>
      </c>
      <c r="V289" s="2" t="n">
        <v>10</v>
      </c>
      <c r="W289" s="7">
        <f>IF(N(U289)&lt;=0,0,MIN(Assumptions!$B$15,N(R289)/N(U289)))</f>
        <v/>
      </c>
      <c r="X289" s="6" t="n">
        <v>0.214</v>
      </c>
      <c r="Y289" s="3" t="n">
        <v>0.2989</v>
      </c>
      <c r="Z289" t="inlineStr">
        <is>
          <t>adjusted xGOT</t>
        </is>
      </c>
      <c r="AA289" s="3" t="n">
        <v>1</v>
      </c>
      <c r="AB289" s="3" t="n">
        <v>0.994</v>
      </c>
      <c r="AC289" s="3" t="n">
        <v>18</v>
      </c>
      <c r="AD289" s="3" t="n">
        <v>0.0507</v>
      </c>
      <c r="AE289" s="3" t="n">
        <v>4.763</v>
      </c>
      <c r="AF289" s="3" t="n">
        <v>0.001001693696431327</v>
      </c>
      <c r="AG289" s="3" t="n">
        <v>0.155</v>
      </c>
      <c r="AH289" s="3" t="n">
        <v>0.3500377245</v>
      </c>
      <c r="AI289" s="3" t="n">
        <v>30</v>
      </c>
      <c r="AJ289" s="3" t="n">
        <v>3.22</v>
      </c>
      <c r="AK289" s="3" t="n">
        <v>1.6019</v>
      </c>
      <c r="AL289" s="3" t="n">
        <v>-0.1507546754351593</v>
      </c>
      <c r="AM289" s="6" t="n">
        <v>0</v>
      </c>
      <c r="AN289" s="3" t="n">
        <v>0</v>
      </c>
      <c r="AO289" s="3" t="n">
        <v>1.1956</v>
      </c>
      <c r="AP289" s="3" t="n">
        <v>0.200772</v>
      </c>
      <c r="AQ289" s="3">
        <f>N(X289)*N(BJ289)</f>
        <v/>
      </c>
      <c r="AR289" s="3" t="n">
        <v>0</v>
      </c>
      <c r="AS289" s="3" t="n">
        <v>-0</v>
      </c>
      <c r="AT289" s="3" t="n">
        <v>-0.1507546754351593</v>
      </c>
      <c r="AU289" s="3">
        <f>SUM(AO289:AT289)</f>
        <v/>
      </c>
      <c r="AV289" s="7">
        <f>IF(OR(N(W289)&lt;=0,N(BH289)=0),0,N(W289)*IF(N(R289)/N(W289)&gt;=60,N(BH289),1))</f>
        <v/>
      </c>
      <c r="AW289" s="7">
        <f>N(W289)*N(AF289)*N(BI289)</f>
        <v/>
      </c>
      <c r="AX289" s="3">
        <f>IF(N(BH289)=0,0,N(W289)*N(AH289))</f>
        <v/>
      </c>
      <c r="AY289" s="7">
        <f>N(AM289)*(Assumptions!$B$13*N(BK289)-(1-Assumptions!$B$13)*Assumptions!$B$14)+N(AN289)</f>
        <v/>
      </c>
      <c r="AZ289" s="7">
        <f>N(AU289)*N(R289)/90+N(AV289)+N(AW289)+N(AX289)+N(AY289)</f>
        <v/>
      </c>
      <c r="BA289" s="3">
        <f>IF(N(R289)&lt;=0,0,(N(AZ289)-N(AY289))*90/N(R289))</f>
        <v/>
      </c>
      <c r="BB289" s="7">
        <f>IFERROR(AZ289-VLOOKUP($E289,Assumptions!$A$40:$C$43,3,FALSE),"")</f>
        <v/>
      </c>
      <c r="BC289" s="3">
        <f>IFERROR(BB289/H289,"")</f>
        <v/>
      </c>
      <c r="BD289">
        <f>IF(AND($G289=TRUE,$E289="GKP"),AZ289,"")</f>
        <v/>
      </c>
      <c r="BE289">
        <f>IF(AND($G289=TRUE,$E289="DEF"),AZ289,"")</f>
        <v/>
      </c>
      <c r="BF289">
        <f>IF(AND($G289=TRUE,$E289="MID"),AZ289,"")</f>
        <v/>
      </c>
      <c r="BG289">
        <f>IF(AND($G289=TRUE,$E289="FWD"),AZ289,"")</f>
        <v/>
      </c>
      <c r="BH289" t="n">
        <v>2</v>
      </c>
      <c r="BI289" t="n">
        <v>2</v>
      </c>
      <c r="BJ289" t="n">
        <v>0</v>
      </c>
      <c r="BK289" t="n">
        <v>4</v>
      </c>
    </row>
    <row r="290">
      <c r="A290" t="inlineStr">
        <is>
          <t>Kai Havertz</t>
        </is>
      </c>
      <c r="B290" t="inlineStr">
        <is>
          <t>ARS</t>
        </is>
      </c>
      <c r="C290" t="inlineStr">
        <is>
          <t>ARS</t>
        </is>
      </c>
      <c r="D290" t="b">
        <v>0</v>
      </c>
      <c r="E290" t="inlineStr">
        <is>
          <t>FWD</t>
        </is>
      </c>
      <c r="F290" t="inlineStr">
        <is>
          <t>FWD</t>
        </is>
      </c>
      <c r="G290" t="b">
        <v>1</v>
      </c>
      <c r="H290" s="2" t="n">
        <v>7.5</v>
      </c>
      <c r="I290" t="inlineStr">
        <is>
          <t>a</t>
        </is>
      </c>
      <c r="K290" s="2" t="n">
        <v>577</v>
      </c>
      <c r="L290" t="n">
        <v>36</v>
      </c>
      <c r="M290" s="3" t="n">
        <v>2394</v>
      </c>
      <c r="N290" s="8" t="n">
        <v>2394</v>
      </c>
      <c r="O290" s="8" t="n">
        <v>0</v>
      </c>
      <c r="Q290" t="inlineStr">
        <is>
          <t>flat</t>
        </is>
      </c>
      <c r="R290" s="6" t="n">
        <v>2394</v>
      </c>
      <c r="S290" t="inlineStr">
        <is>
          <t>Solio</t>
        </is>
      </c>
      <c r="U290" s="6" t="n">
        <v>71.7</v>
      </c>
      <c r="V290" s="2" t="n">
        <v>7</v>
      </c>
      <c r="W290" s="7">
        <f>IF(N(U290)&lt;=0,0,MIN(Assumptions!$B$15,N(R290)/N(U290)))</f>
        <v/>
      </c>
      <c r="X290" s="6" t="n">
        <v>0.391</v>
      </c>
      <c r="Y290" s="3" t="n">
        <v>0.475</v>
      </c>
      <c r="Z290" t="inlineStr">
        <is>
          <t>adjusted xGOT</t>
        </is>
      </c>
      <c r="AA290" s="3" t="n">
        <v>1</v>
      </c>
      <c r="AB290" s="3" t="n">
        <v>0.92</v>
      </c>
      <c r="AC290" s="3" t="n">
        <v>36.8</v>
      </c>
      <c r="AD290" s="3" t="n">
        <v>0.1635</v>
      </c>
      <c r="AE290" s="3" t="n">
        <v>4.881</v>
      </c>
      <c r="AF290" s="3" t="n">
        <v>0.0007205959611595869</v>
      </c>
      <c r="AG290" s="3" t="n">
        <v>2.148</v>
      </c>
      <c r="AH290" s="3" t="n">
        <v>0.5445321023999999</v>
      </c>
      <c r="AI290" s="3" t="n">
        <v>17</v>
      </c>
      <c r="AJ290" s="3" t="n">
        <v>2.067</v>
      </c>
      <c r="AK290" s="3" t="n">
        <v>0.9838</v>
      </c>
      <c r="AL290" s="3" t="n">
        <v>-0.2480408426132738</v>
      </c>
      <c r="AM290" s="6" t="n">
        <v>0</v>
      </c>
      <c r="AN290" s="3" t="n">
        <v>0</v>
      </c>
      <c r="AO290" s="3" t="n">
        <v>1.9</v>
      </c>
      <c r="AP290" s="3" t="n">
        <v>0.6474600000000001</v>
      </c>
      <c r="AQ290" s="3">
        <f>N(X290)*N(BJ290)</f>
        <v/>
      </c>
      <c r="AR290" s="3" t="n">
        <v>0</v>
      </c>
      <c r="AS290" s="3" t="n">
        <v>-0</v>
      </c>
      <c r="AT290" s="3" t="n">
        <v>-0.2480408426132738</v>
      </c>
      <c r="AU290" s="3">
        <f>SUM(AO290:AT290)</f>
        <v/>
      </c>
      <c r="AV290" s="7">
        <f>IF(OR(N(W290)&lt;=0,N(BH290)=0),0,N(W290)*IF(N(R290)/N(W290)&gt;=60,N(BH290),1))</f>
        <v/>
      </c>
      <c r="AW290" s="7">
        <f>N(W290)*N(AF290)*N(BI290)</f>
        <v/>
      </c>
      <c r="AX290" s="3">
        <f>IF(N(BH290)=0,0,N(W290)*N(AH290))</f>
        <v/>
      </c>
      <c r="AY290" s="7">
        <f>N(AM290)*(Assumptions!$B$13*N(BK290)-(1-Assumptions!$B$13)*Assumptions!$B$14)+N(AN290)</f>
        <v/>
      </c>
      <c r="AZ290" s="7">
        <f>N(AU290)*N(R290)/90+N(AV290)+N(AW290)+N(AX290)+N(AY290)</f>
        <v/>
      </c>
      <c r="BA290" s="3">
        <f>IF(N(R290)&lt;=0,0,(N(AZ290)-N(AY290))*90/N(R290))</f>
        <v/>
      </c>
      <c r="BB290" s="7">
        <f>IFERROR(AZ290-VLOOKUP($E290,Assumptions!$A$40:$C$43,3,FALSE),"")</f>
        <v/>
      </c>
      <c r="BC290" s="3">
        <f>IFERROR(BB290/H290,"")</f>
        <v/>
      </c>
      <c r="BD290">
        <f>IF(AND($G290=TRUE,$E290="GKP"),AZ290,"")</f>
        <v/>
      </c>
      <c r="BE290">
        <f>IF(AND($G290=TRUE,$E290="DEF"),AZ290,"")</f>
        <v/>
      </c>
      <c r="BF290">
        <f>IF(AND($G290=TRUE,$E290="MID"),AZ290,"")</f>
        <v/>
      </c>
      <c r="BG290">
        <f>IF(AND($G290=TRUE,$E290="FWD"),AZ290,"")</f>
        <v/>
      </c>
      <c r="BH290" t="n">
        <v>2</v>
      </c>
      <c r="BI290" t="n">
        <v>2</v>
      </c>
      <c r="BJ290" t="n">
        <v>0</v>
      </c>
      <c r="BK290" t="n">
        <v>4</v>
      </c>
    </row>
    <row r="291">
      <c r="A291" t="inlineStr">
        <is>
          <t>Justin Devenny</t>
        </is>
      </c>
      <c r="B291" t="inlineStr">
        <is>
          <t>CRY</t>
        </is>
      </c>
      <c r="C291" t="inlineStr">
        <is>
          <t>CRY</t>
        </is>
      </c>
      <c r="D291" t="b">
        <v>0</v>
      </c>
      <c r="E291" t="inlineStr">
        <is>
          <t>MID</t>
        </is>
      </c>
      <c r="F291" t="inlineStr">
        <is>
          <t>MID</t>
        </is>
      </c>
      <c r="G291" t="b">
        <v>1</v>
      </c>
      <c r="H291" s="2" t="n">
        <v>5</v>
      </c>
      <c r="I291" t="inlineStr">
        <is>
          <t>a</t>
        </is>
      </c>
      <c r="K291" s="2" t="n">
        <v>785</v>
      </c>
      <c r="L291" t="n">
        <v>36</v>
      </c>
      <c r="M291" s="3" t="n">
        <v>64</v>
      </c>
      <c r="N291" s="8" t="n">
        <v>64</v>
      </c>
      <c r="O291" s="8" t="n">
        <v>0</v>
      </c>
      <c r="Q291" t="inlineStr">
        <is>
          <t>flat</t>
        </is>
      </c>
      <c r="R291" s="6" t="n">
        <v>64</v>
      </c>
      <c r="S291" t="inlineStr">
        <is>
          <t>Solio</t>
        </is>
      </c>
      <c r="U291" s="6" t="n">
        <v>81.8</v>
      </c>
      <c r="V291" s="2" t="n">
        <v>7</v>
      </c>
      <c r="W291" s="7">
        <f>IF(N(U291)&lt;=0,0,MIN(Assumptions!$B$15,N(R291)/N(U291)))</f>
        <v/>
      </c>
      <c r="X291" s="6" t="n">
        <v>0.216</v>
      </c>
      <c r="Y291" s="3" t="n">
        <v>0.1601</v>
      </c>
      <c r="Z291" t="inlineStr">
        <is>
          <t>adjusted xGOT</t>
        </is>
      </c>
      <c r="AA291" s="3" t="n">
        <v>0.661</v>
      </c>
      <c r="AB291" s="3" t="n">
        <v>0.888</v>
      </c>
      <c r="AC291" s="3" t="n">
        <v>3.2</v>
      </c>
      <c r="AD291" s="3" t="n">
        <v>0.0414</v>
      </c>
      <c r="AE291" s="3" t="n">
        <v>8.409000000000001</v>
      </c>
      <c r="AF291" s="3" t="n">
        <v>0.08787993606751288</v>
      </c>
      <c r="AG291" s="3" t="n">
        <v>4.458</v>
      </c>
      <c r="AH291" s="3" t="n">
        <v>0.209542678</v>
      </c>
      <c r="AI291" s="3" t="n">
        <v>28</v>
      </c>
      <c r="AJ291" s="3" t="n">
        <v>3.2035</v>
      </c>
      <c r="AK291" s="3" t="n">
        <v>1.5923</v>
      </c>
      <c r="AL291" s="3" t="n">
        <v>-0.1519359504067924</v>
      </c>
      <c r="AM291" s="6" t="n">
        <v>0.0019378760237209</v>
      </c>
      <c r="AN291" s="3" t="n">
        <v>0</v>
      </c>
      <c r="AO291" s="3" t="n">
        <v>0.8005</v>
      </c>
      <c r="AP291" s="3" t="n">
        <v>0.163944</v>
      </c>
      <c r="AQ291" s="3">
        <f>N(X291)*N(BJ291)</f>
        <v/>
      </c>
      <c r="AR291" s="3" t="n">
        <v>0</v>
      </c>
      <c r="AS291" s="3" t="n">
        <v>-0</v>
      </c>
      <c r="AT291" s="3" t="n">
        <v>-0.1519359504067924</v>
      </c>
      <c r="AU291" s="3">
        <f>SUM(AO291:AT291)</f>
        <v/>
      </c>
      <c r="AV291" s="7">
        <f>IF(OR(N(W291)&lt;=0,N(BH291)=0),0,N(W291)*IF(N(R291)/N(W291)&gt;=60,N(BH291),1))</f>
        <v/>
      </c>
      <c r="AW291" s="7">
        <f>N(W291)*N(AF291)*N(BI291)</f>
        <v/>
      </c>
      <c r="AX291" s="3">
        <f>IF(N(BH291)=0,0,N(W291)*N(AH291))</f>
        <v/>
      </c>
      <c r="AY291" s="7">
        <f>N(AM291)*(Assumptions!$B$13*N(BK291)-(1-Assumptions!$B$13)*Assumptions!$B$14)+N(AN291)</f>
        <v/>
      </c>
      <c r="AZ291" s="7">
        <f>N(AU291)*N(R291)/90+N(AV291)+N(AW291)+N(AX291)+N(AY291)</f>
        <v/>
      </c>
      <c r="BA291" s="3">
        <f>IF(N(R291)&lt;=0,0,(N(AZ291)-N(AY291))*90/N(R291))</f>
        <v/>
      </c>
      <c r="BB291" s="7">
        <f>IFERROR(AZ291-VLOOKUP($E291,Assumptions!$A$40:$C$43,3,FALSE),"")</f>
        <v/>
      </c>
      <c r="BC291" s="3">
        <f>IFERROR(BB291/H291,"")</f>
        <v/>
      </c>
      <c r="BD291">
        <f>IF(AND($G291=TRUE,$E291="GKP"),AZ291,"")</f>
        <v/>
      </c>
      <c r="BE291">
        <f>IF(AND($G291=TRUE,$E291="DEF"),AZ291,"")</f>
        <v/>
      </c>
      <c r="BF291">
        <f>IF(AND($G291=TRUE,$E291="MID"),AZ291,"")</f>
        <v/>
      </c>
      <c r="BG291">
        <f>IF(AND($G291=TRUE,$E291="FWD"),AZ291,"")</f>
        <v/>
      </c>
      <c r="BH291" t="n">
        <v>2</v>
      </c>
      <c r="BI291" t="n">
        <v>2</v>
      </c>
      <c r="BJ291" t="n">
        <v>1</v>
      </c>
      <c r="BK291" t="n">
        <v>5</v>
      </c>
    </row>
    <row r="292">
      <c r="A292" t="inlineStr">
        <is>
          <t>Merlin Röhl</t>
        </is>
      </c>
      <c r="B292" t="inlineStr">
        <is>
          <t>EVE</t>
        </is>
      </c>
      <c r="C292" t="inlineStr">
        <is>
          <t>EVE</t>
        </is>
      </c>
      <c r="D292" t="b">
        <v>0</v>
      </c>
      <c r="E292" t="inlineStr">
        <is>
          <t>MID</t>
        </is>
      </c>
      <c r="F292" t="inlineStr">
        <is>
          <t>MID</t>
        </is>
      </c>
      <c r="G292" t="b">
        <v>1</v>
      </c>
      <c r="H292" s="2" t="n">
        <v>5</v>
      </c>
      <c r="I292" t="inlineStr">
        <is>
          <t>a</t>
        </is>
      </c>
      <c r="K292" s="2" t="n">
        <v>675</v>
      </c>
      <c r="L292" t="n">
        <v>36</v>
      </c>
      <c r="M292" s="3" t="n">
        <v>727</v>
      </c>
      <c r="N292" s="8" t="n">
        <v>727</v>
      </c>
      <c r="O292" s="8" t="n">
        <v>0</v>
      </c>
      <c r="Q292" t="inlineStr">
        <is>
          <t>fade (losing his place)</t>
        </is>
      </c>
      <c r="R292" s="6" t="n">
        <v>727</v>
      </c>
      <c r="S292" t="inlineStr">
        <is>
          <t>Solio</t>
        </is>
      </c>
      <c r="U292" s="6" t="n">
        <v>81.09999999999999</v>
      </c>
      <c r="V292" s="2" t="n">
        <v>6</v>
      </c>
      <c r="W292" s="7">
        <f>IF(N(U292)&lt;=0,0,MIN(Assumptions!$B$15,N(R292)/N(U292)))</f>
        <v/>
      </c>
      <c r="X292" s="6" t="n">
        <v>0.231</v>
      </c>
      <c r="Y292" s="3" t="n">
        <v>0.08550000000000001</v>
      </c>
      <c r="Z292" t="inlineStr">
        <is>
          <t>adjusted xGOT</t>
        </is>
      </c>
      <c r="AA292" s="3" t="n">
        <v>1</v>
      </c>
      <c r="AB292" s="3" t="n">
        <v>0.957</v>
      </c>
      <c r="AC292" s="3" t="n">
        <v>0.7</v>
      </c>
      <c r="AD292" s="3" t="n">
        <v>0.0474</v>
      </c>
      <c r="AE292" s="3" t="n">
        <v>8.814</v>
      </c>
      <c r="AF292" s="3" t="n">
        <v>0.1078103509788256</v>
      </c>
      <c r="AG292" s="3" t="n">
        <v>4.166</v>
      </c>
      <c r="AH292" s="3" t="n">
        <v>0.1123528131</v>
      </c>
      <c r="AI292" s="3" t="n">
        <v>22</v>
      </c>
      <c r="AJ292" s="3" t="n">
        <v>3.0311</v>
      </c>
      <c r="AK292" s="3" t="n">
        <v>1.5252</v>
      </c>
      <c r="AL292" s="3" t="n">
        <v>-0.1524023429982439</v>
      </c>
      <c r="AM292" s="6" t="n">
        <v>0</v>
      </c>
      <c r="AN292" s="3" t="n">
        <v>0</v>
      </c>
      <c r="AO292" s="3" t="n">
        <v>0.4275</v>
      </c>
      <c r="AP292" s="3" t="n">
        <v>0.187704</v>
      </c>
      <c r="AQ292" s="3">
        <f>N(X292)*N(BJ292)</f>
        <v/>
      </c>
      <c r="AR292" s="3" t="n">
        <v>0</v>
      </c>
      <c r="AS292" s="3" t="n">
        <v>-0</v>
      </c>
      <c r="AT292" s="3" t="n">
        <v>-0.1524023429982439</v>
      </c>
      <c r="AU292" s="3">
        <f>SUM(AO292:AT292)</f>
        <v/>
      </c>
      <c r="AV292" s="7">
        <f>IF(OR(N(W292)&lt;=0,N(BH292)=0),0,N(W292)*IF(N(R292)/N(W292)&gt;=60,N(BH292),1))</f>
        <v/>
      </c>
      <c r="AW292" s="7">
        <f>N(W292)*N(AF292)*N(BI292)</f>
        <v/>
      </c>
      <c r="AX292" s="3">
        <f>IF(N(BH292)=0,0,N(W292)*N(AH292))</f>
        <v/>
      </c>
      <c r="AY292" s="7">
        <f>N(AM292)*(Assumptions!$B$13*N(BK292)-(1-Assumptions!$B$13)*Assumptions!$B$14)+N(AN292)</f>
        <v/>
      </c>
      <c r="AZ292" s="7">
        <f>N(AU292)*N(R292)/90+N(AV292)+N(AW292)+N(AX292)+N(AY292)</f>
        <v/>
      </c>
      <c r="BA292" s="3">
        <f>IF(N(R292)&lt;=0,0,(N(AZ292)-N(AY292))*90/N(R292))</f>
        <v/>
      </c>
      <c r="BB292" s="7">
        <f>IFERROR(AZ292-VLOOKUP($E292,Assumptions!$A$40:$C$43,3,FALSE),"")</f>
        <v/>
      </c>
      <c r="BC292" s="3">
        <f>IFERROR(BB292/H292,"")</f>
        <v/>
      </c>
      <c r="BD292">
        <f>IF(AND($G292=TRUE,$E292="GKP"),AZ292,"")</f>
        <v/>
      </c>
      <c r="BE292">
        <f>IF(AND($G292=TRUE,$E292="DEF"),AZ292,"")</f>
        <v/>
      </c>
      <c r="BF292">
        <f>IF(AND($G292=TRUE,$E292="MID"),AZ292,"")</f>
        <v/>
      </c>
      <c r="BG292">
        <f>IF(AND($G292=TRUE,$E292="FWD"),AZ292,"")</f>
        <v/>
      </c>
      <c r="BH292" t="n">
        <v>2</v>
      </c>
      <c r="BI292" t="n">
        <v>2</v>
      </c>
      <c r="BJ292" t="n">
        <v>1</v>
      </c>
      <c r="BK292" t="n">
        <v>5</v>
      </c>
    </row>
    <row r="293">
      <c r="A293" t="inlineStr">
        <is>
          <t>Charalampos Kostoulas</t>
        </is>
      </c>
      <c r="B293" t="inlineStr">
        <is>
          <t>BHA</t>
        </is>
      </c>
      <c r="C293" t="inlineStr">
        <is>
          <t>BHA</t>
        </is>
      </c>
      <c r="D293" t="b">
        <v>0</v>
      </c>
      <c r="E293" t="inlineStr">
        <is>
          <t>FWD</t>
        </is>
      </c>
      <c r="F293" t="inlineStr">
        <is>
          <t>FWD</t>
        </is>
      </c>
      <c r="G293" t="b">
        <v>1</v>
      </c>
      <c r="H293" s="2" t="n">
        <v>5.5</v>
      </c>
      <c r="I293" t="inlineStr">
        <is>
          <t>a</t>
        </is>
      </c>
      <c r="K293" s="2" t="n">
        <v>351</v>
      </c>
      <c r="L293" t="n">
        <v>35</v>
      </c>
      <c r="M293" s="3" t="n">
        <v>821</v>
      </c>
      <c r="N293" s="8" t="n">
        <v>821</v>
      </c>
      <c r="O293" s="8" t="n">
        <v>0</v>
      </c>
      <c r="Q293" t="inlineStr">
        <is>
          <t>fade (losing his place)</t>
        </is>
      </c>
      <c r="R293" s="6" t="n">
        <v>821</v>
      </c>
      <c r="S293" t="inlineStr">
        <is>
          <t>Solio</t>
        </is>
      </c>
      <c r="U293" s="6" t="n">
        <v>78</v>
      </c>
      <c r="V293" s="2" t="n">
        <v>2</v>
      </c>
      <c r="W293" s="7">
        <f>IF(N(U293)&lt;=0,0,MIN(Assumptions!$B$15,N(R293)/N(U293)))</f>
        <v/>
      </c>
      <c r="X293" s="6" t="n">
        <v>0.252</v>
      </c>
      <c r="Y293" s="3" t="n">
        <v>0.5479000000000001</v>
      </c>
      <c r="Z293" t="inlineStr">
        <is>
          <t>adjusted xGOT</t>
        </is>
      </c>
      <c r="AA293" s="3" t="n">
        <v>1</v>
      </c>
      <c r="AB293" s="3" t="n">
        <v>1.008</v>
      </c>
      <c r="AC293" s="3" t="n">
        <v>2.1</v>
      </c>
      <c r="AD293" s="3" t="n">
        <v>0.2333</v>
      </c>
      <c r="AE293" s="3" t="n">
        <v>6.668</v>
      </c>
      <c r="AF293" s="3" t="n">
        <v>0.01555437148041727</v>
      </c>
      <c r="AG293" s="3" t="n">
        <v>3.263</v>
      </c>
      <c r="AH293" s="3" t="n">
        <v>0.7915247724000001</v>
      </c>
      <c r="AI293" s="3" t="n">
        <v>23</v>
      </c>
      <c r="AJ293" s="3" t="n">
        <v>2.8404</v>
      </c>
      <c r="AK293" s="3" t="n">
        <v>1.439</v>
      </c>
      <c r="AL293" s="3" t="n">
        <v>-0.2432363271122691</v>
      </c>
      <c r="AM293" s="6" t="n">
        <v>0</v>
      </c>
      <c r="AN293" s="3" t="n">
        <v>0</v>
      </c>
      <c r="AO293" s="3" t="n">
        <v>2.1916</v>
      </c>
      <c r="AP293" s="3" t="n">
        <v>0.923868</v>
      </c>
      <c r="AQ293" s="3">
        <f>N(X293)*N(BJ293)</f>
        <v/>
      </c>
      <c r="AR293" s="3" t="n">
        <v>0</v>
      </c>
      <c r="AS293" s="3" t="n">
        <v>-0</v>
      </c>
      <c r="AT293" s="3" t="n">
        <v>-0.2432363271122691</v>
      </c>
      <c r="AU293" s="3">
        <f>SUM(AO293:AT293)</f>
        <v/>
      </c>
      <c r="AV293" s="7">
        <f>IF(OR(N(W293)&lt;=0,N(BH293)=0),0,N(W293)*IF(N(R293)/N(W293)&gt;=60,N(BH293),1))</f>
        <v/>
      </c>
      <c r="AW293" s="7">
        <f>N(W293)*N(AF293)*N(BI293)</f>
        <v/>
      </c>
      <c r="AX293" s="3">
        <f>IF(N(BH293)=0,0,N(W293)*N(AH293))</f>
        <v/>
      </c>
      <c r="AY293" s="7">
        <f>N(AM293)*(Assumptions!$B$13*N(BK293)-(1-Assumptions!$B$13)*Assumptions!$B$14)+N(AN293)</f>
        <v/>
      </c>
      <c r="AZ293" s="7">
        <f>N(AU293)*N(R293)/90+N(AV293)+N(AW293)+N(AX293)+N(AY293)</f>
        <v/>
      </c>
      <c r="BA293" s="3">
        <f>IF(N(R293)&lt;=0,0,(N(AZ293)-N(AY293))*90/N(R293))</f>
        <v/>
      </c>
      <c r="BB293" s="7">
        <f>IFERROR(AZ293-VLOOKUP($E293,Assumptions!$A$40:$C$43,3,FALSE),"")</f>
        <v/>
      </c>
      <c r="BC293" s="3">
        <f>IFERROR(BB293/H293,"")</f>
        <v/>
      </c>
      <c r="BD293">
        <f>IF(AND($G293=TRUE,$E293="GKP"),AZ293,"")</f>
        <v/>
      </c>
      <c r="BE293">
        <f>IF(AND($G293=TRUE,$E293="DEF"),AZ293,"")</f>
        <v/>
      </c>
      <c r="BF293">
        <f>IF(AND($G293=TRUE,$E293="MID"),AZ293,"")</f>
        <v/>
      </c>
      <c r="BG293">
        <f>IF(AND($G293=TRUE,$E293="FWD"),AZ293,"")</f>
        <v/>
      </c>
      <c r="BH293" t="n">
        <v>2</v>
      </c>
      <c r="BI293" t="n">
        <v>2</v>
      </c>
      <c r="BJ293" t="n">
        <v>0</v>
      </c>
      <c r="BK293" t="n">
        <v>4</v>
      </c>
    </row>
    <row r="294">
      <c r="A294" t="inlineStr">
        <is>
          <t>Tosin Adarabioyo</t>
        </is>
      </c>
      <c r="B294" t="inlineStr">
        <is>
          <t>CHE</t>
        </is>
      </c>
      <c r="C294" t="inlineStr">
        <is>
          <t>CHE</t>
        </is>
      </c>
      <c r="D294" t="b">
        <v>0</v>
      </c>
      <c r="E294" t="inlineStr">
        <is>
          <t>DEF</t>
        </is>
      </c>
      <c r="F294" t="inlineStr">
        <is>
          <t>DEF</t>
        </is>
      </c>
      <c r="G294" t="b">
        <v>1</v>
      </c>
      <c r="H294" s="2" t="n">
        <v>4.5</v>
      </c>
      <c r="I294" t="inlineStr">
        <is>
          <t>a</t>
        </is>
      </c>
      <c r="K294" s="2" t="n">
        <v>788</v>
      </c>
      <c r="L294" t="n">
        <v>34</v>
      </c>
      <c r="M294" s="3" t="n">
        <v>261</v>
      </c>
      <c r="N294" s="8" t="n">
        <v>261</v>
      </c>
      <c r="O294" s="8" t="n">
        <v>0</v>
      </c>
      <c r="Q294" t="inlineStr">
        <is>
          <t>flat</t>
        </is>
      </c>
      <c r="R294" s="6" t="n">
        <v>261</v>
      </c>
      <c r="S294" t="inlineStr">
        <is>
          <t>Solio</t>
        </is>
      </c>
      <c r="U294" s="6" t="n">
        <v>83.2</v>
      </c>
      <c r="V294" s="2" t="n">
        <v>8</v>
      </c>
      <c r="W294" s="7">
        <f>IF(N(U294)&lt;=0,0,MIN(Assumptions!$B$15,N(R294)/N(U294)))</f>
        <v/>
      </c>
      <c r="X294" s="6" t="n">
        <v>0.322</v>
      </c>
      <c r="Y294" s="3" t="n">
        <v>0.0126</v>
      </c>
      <c r="Z294" t="inlineStr">
        <is>
          <t>adjusted xGOT</t>
        </is>
      </c>
      <c r="AA294" s="3" t="n">
        <v>1</v>
      </c>
      <c r="AB294" s="3" t="n">
        <v>0.997</v>
      </c>
      <c r="AC294" s="3" t="n">
        <v>2.5</v>
      </c>
      <c r="AD294" s="3" t="n">
        <v>0.0466</v>
      </c>
      <c r="AE294" s="3" t="n">
        <v>9.458</v>
      </c>
      <c r="AF294" s="3" t="n">
        <v>0.3788244498363794</v>
      </c>
      <c r="AG294" s="3" t="n">
        <v>9.1</v>
      </c>
      <c r="AH294" s="3" t="n">
        <v>0.2050869748</v>
      </c>
      <c r="AI294" s="3" t="n">
        <v>23</v>
      </c>
      <c r="AJ294" s="3" t="n">
        <v>2.4232</v>
      </c>
      <c r="AK294" s="3" t="n">
        <v>1.1851</v>
      </c>
      <c r="AL294" s="3" t="n">
        <v>-0.2181706796945746</v>
      </c>
      <c r="AM294" s="6" t="n">
        <v>0</v>
      </c>
      <c r="AN294" s="3" t="n">
        <v>0</v>
      </c>
      <c r="AO294" s="3" t="n">
        <v>0.0756</v>
      </c>
      <c r="AP294" s="3" t="n">
        <v>0.184536</v>
      </c>
      <c r="AQ294" s="3">
        <f>N(X294)*N(BJ294)</f>
        <v/>
      </c>
      <c r="AR294" s="3" t="n">
        <v>0</v>
      </c>
      <c r="AS294" s="3" t="n">
        <v>-0.365915508000572</v>
      </c>
      <c r="AT294" s="3" t="n">
        <v>-0.2181706796945746</v>
      </c>
      <c r="AU294" s="3">
        <f>SUM(AO294:AT294)</f>
        <v/>
      </c>
      <c r="AV294" s="7">
        <f>IF(OR(N(W294)&lt;=0,N(BH294)=0),0,N(W294)*IF(N(R294)/N(W294)&gt;=60,N(BH294),1))</f>
        <v/>
      </c>
      <c r="AW294" s="7">
        <f>N(W294)*N(AF294)*N(BI294)</f>
        <v/>
      </c>
      <c r="AX294" s="3">
        <f>IF(N(BH294)=0,0,N(W294)*N(AH294))</f>
        <v/>
      </c>
      <c r="AY294" s="7">
        <f>N(AM294)*(Assumptions!$B$13*N(BK294)-(1-Assumptions!$B$13)*Assumptions!$B$14)+N(AN294)</f>
        <v/>
      </c>
      <c r="AZ294" s="7">
        <f>N(AU294)*N(R294)/90+N(AV294)+N(AW294)+N(AX294)+N(AY294)</f>
        <v/>
      </c>
      <c r="BA294" s="3">
        <f>IF(N(R294)&lt;=0,0,(N(AZ294)-N(AY294))*90/N(R294))</f>
        <v/>
      </c>
      <c r="BB294" s="7">
        <f>IFERROR(AZ294-VLOOKUP($E294,Assumptions!$A$40:$C$43,3,FALSE),"")</f>
        <v/>
      </c>
      <c r="BC294" s="3">
        <f>IFERROR(BB294/H294,"")</f>
        <v/>
      </c>
      <c r="BD294">
        <f>IF(AND($G294=TRUE,$E294="GKP"),AZ294,"")</f>
        <v/>
      </c>
      <c r="BE294">
        <f>IF(AND($G294=TRUE,$E294="DEF"),AZ294,"")</f>
        <v/>
      </c>
      <c r="BF294">
        <f>IF(AND($G294=TRUE,$E294="MID"),AZ294,"")</f>
        <v/>
      </c>
      <c r="BG294">
        <f>IF(AND($G294=TRUE,$E294="FWD"),AZ294,"")</f>
        <v/>
      </c>
      <c r="BH294" t="n">
        <v>2</v>
      </c>
      <c r="BI294" t="n">
        <v>2</v>
      </c>
      <c r="BJ294" t="n">
        <v>4</v>
      </c>
      <c r="BK294" t="n">
        <v>6</v>
      </c>
    </row>
    <row r="295">
      <c r="A295" t="inlineStr">
        <is>
          <t>Giorgi Mamardashvili</t>
        </is>
      </c>
      <c r="B295" t="inlineStr">
        <is>
          <t>LIV</t>
        </is>
      </c>
      <c r="C295" t="inlineStr">
        <is>
          <t>LIV</t>
        </is>
      </c>
      <c r="D295" t="b">
        <v>0</v>
      </c>
      <c r="E295" t="inlineStr">
        <is>
          <t>GKP</t>
        </is>
      </c>
      <c r="F295" t="inlineStr">
        <is>
          <t>GKP</t>
        </is>
      </c>
      <c r="G295" t="b">
        <v>1</v>
      </c>
      <c r="H295" s="2" t="n">
        <v>5</v>
      </c>
      <c r="I295" t="inlineStr">
        <is>
          <t>a</t>
        </is>
      </c>
      <c r="K295" s="2" t="n">
        <v>867</v>
      </c>
      <c r="L295" t="n">
        <v>34</v>
      </c>
      <c r="M295" s="3" t="n">
        <v>35</v>
      </c>
      <c r="N295" s="8" t="n">
        <v>35</v>
      </c>
      <c r="O295" s="8" t="n">
        <v>0</v>
      </c>
      <c r="Q295" t="inlineStr">
        <is>
          <t>flat</t>
        </is>
      </c>
      <c r="R295" s="6" t="n">
        <v>35</v>
      </c>
      <c r="S295" t="inlineStr">
        <is>
          <t>Solio</t>
        </is>
      </c>
      <c r="U295" s="6" t="n">
        <v>88.2</v>
      </c>
      <c r="V295" s="2" t="n">
        <v>10</v>
      </c>
      <c r="W295" s="7">
        <f>IF(N(U295)&lt;=0,0,MIN(Assumptions!$B$15,N(R295)/N(U295)))</f>
        <v/>
      </c>
      <c r="X295" s="6" t="n">
        <v>0.342</v>
      </c>
      <c r="Y295" s="3" t="n">
        <v>0</v>
      </c>
      <c r="Z295" t="inlineStr">
        <is>
          <t>blended xG</t>
        </is>
      </c>
      <c r="AA295" s="3" t="n">
        <v>1</v>
      </c>
      <c r="AB295" s="3" t="n">
        <v>1</v>
      </c>
      <c r="AC295" s="3" t="n">
        <v>0</v>
      </c>
      <c r="AD295" s="3" t="n">
        <v>0</v>
      </c>
      <c r="AE295" s="3" t="n">
        <v>0</v>
      </c>
      <c r="AF295" s="3" t="n">
        <v>0</v>
      </c>
      <c r="AG295" s="3" t="n">
        <v>5.873</v>
      </c>
      <c r="AH295" s="3" t="n">
        <v>0.228234082</v>
      </c>
      <c r="AI295" s="3" t="n">
        <v>19</v>
      </c>
      <c r="AJ295" s="3" t="n">
        <v>2.409</v>
      </c>
      <c r="AK295" s="3" t="n">
        <v>1.1228</v>
      </c>
      <c r="AL295" s="3" t="n">
        <v>-0.0487516886583745</v>
      </c>
      <c r="AM295" s="6" t="n">
        <v>0</v>
      </c>
      <c r="AN295" s="3" t="n">
        <v>0.0245300950350432</v>
      </c>
      <c r="AO295" s="3" t="n">
        <v>0</v>
      </c>
      <c r="AP295" s="3" t="n">
        <v>0</v>
      </c>
      <c r="AQ295" s="3">
        <f>N(X295)*N(BJ295)</f>
        <v/>
      </c>
      <c r="AR295" s="3" t="n">
        <v>0.4697511244203511</v>
      </c>
      <c r="AS295" s="3" t="n">
        <v>-0.3378660007281162</v>
      </c>
      <c r="AT295" s="3" t="n">
        <v>-0.0487516886583745</v>
      </c>
      <c r="AU295" s="3">
        <f>SUM(AO295:AT295)</f>
        <v/>
      </c>
      <c r="AV295" s="7">
        <f>IF(OR(N(W295)&lt;=0,N(BH295)=0),0,N(W295)*IF(N(R295)/N(W295)&gt;=60,N(BH295),1))</f>
        <v/>
      </c>
      <c r="AW295" s="7">
        <f>N(W295)*N(AF295)*N(BI295)</f>
        <v/>
      </c>
      <c r="AX295" s="3">
        <f>IF(N(BH295)=0,0,N(W295)*N(AH295))</f>
        <v/>
      </c>
      <c r="AY295" s="7">
        <f>N(AM295)*(Assumptions!$B$13*N(BK295)-(1-Assumptions!$B$13)*Assumptions!$B$14)+N(AN295)</f>
        <v/>
      </c>
      <c r="AZ295" s="7">
        <f>N(AU295)*N(R295)/90+N(AV295)+N(AW295)+N(AX295)+N(AY295)</f>
        <v/>
      </c>
      <c r="BA295" s="3">
        <f>IF(N(R295)&lt;=0,0,(N(AZ295)-N(AY295))*90/N(R295))</f>
        <v/>
      </c>
      <c r="BB295" s="7">
        <f>IFERROR(AZ295-VLOOKUP($E295,Assumptions!$A$40:$C$43,3,FALSE),"")</f>
        <v/>
      </c>
      <c r="BC295" s="3">
        <f>IFERROR(BB295/H295,"")</f>
        <v/>
      </c>
      <c r="BD295">
        <f>IF(AND($G295=TRUE,$E295="GKP"),AZ295,"")</f>
        <v/>
      </c>
      <c r="BE295">
        <f>IF(AND($G295=TRUE,$E295="DEF"),AZ295,"")</f>
        <v/>
      </c>
      <c r="BF295">
        <f>IF(AND($G295=TRUE,$E295="MID"),AZ295,"")</f>
        <v/>
      </c>
      <c r="BG295">
        <f>IF(AND($G295=TRUE,$E295="FWD"),AZ295,"")</f>
        <v/>
      </c>
      <c r="BH295" t="n">
        <v>2</v>
      </c>
      <c r="BI295" t="n">
        <v>0</v>
      </c>
      <c r="BJ295" t="n">
        <v>4</v>
      </c>
      <c r="BK295" t="n">
        <v>10</v>
      </c>
    </row>
    <row r="296">
      <c r="A296" t="inlineStr">
        <is>
          <t>Simon Adingra</t>
        </is>
      </c>
      <c r="B296" t="inlineStr">
        <is>
          <t>SUN</t>
        </is>
      </c>
      <c r="C296" t="inlineStr">
        <is>
          <t>SUN</t>
        </is>
      </c>
      <c r="D296" t="b">
        <v>0</v>
      </c>
      <c r="E296" t="inlineStr">
        <is>
          <t>MID</t>
        </is>
      </c>
      <c r="F296" t="inlineStr">
        <is>
          <t>MID</t>
        </is>
      </c>
      <c r="G296" t="b">
        <v>1</v>
      </c>
      <c r="H296" s="2" t="n">
        <v>5</v>
      </c>
      <c r="I296" t="inlineStr">
        <is>
          <t>a</t>
        </is>
      </c>
      <c r="K296" s="2" t="n">
        <v>649</v>
      </c>
      <c r="L296" t="n">
        <v>34</v>
      </c>
      <c r="M296" s="3" t="n">
        <v>178</v>
      </c>
      <c r="N296" s="8" t="n">
        <v>178</v>
      </c>
      <c r="O296" s="8" t="n">
        <v>0</v>
      </c>
      <c r="Q296" t="inlineStr">
        <is>
          <t>flat</t>
        </is>
      </c>
      <c r="R296" s="6" t="n">
        <v>178</v>
      </c>
      <c r="S296" t="inlineStr">
        <is>
          <t>Solio</t>
        </is>
      </c>
      <c r="U296" s="6" t="n">
        <v>72.40000000000001</v>
      </c>
      <c r="V296" s="2" t="n">
        <v>9</v>
      </c>
      <c r="W296" s="7">
        <f>IF(N(U296)&lt;=0,0,MIN(Assumptions!$B$15,N(R296)/N(U296)))</f>
        <v/>
      </c>
      <c r="X296" s="6" t="n">
        <v>0.204</v>
      </c>
      <c r="Y296" s="3" t="n">
        <v>0.0553</v>
      </c>
      <c r="Z296" t="inlineStr">
        <is>
          <t>adjusted xGOT</t>
        </is>
      </c>
      <c r="AA296" s="3" t="n">
        <v>1</v>
      </c>
      <c r="AB296" s="3" t="n">
        <v>1.139</v>
      </c>
      <c r="AC296" s="3" t="n">
        <v>7</v>
      </c>
      <c r="AD296" s="3" t="n">
        <v>0.09379999999999999</v>
      </c>
      <c r="AE296" s="3" t="n">
        <v>7.469</v>
      </c>
      <c r="AF296" s="3" t="n">
        <v>0.0202817691895143</v>
      </c>
      <c r="AG296" s="3" t="n">
        <v>3.912</v>
      </c>
      <c r="AH296" s="3" t="n">
        <v>0.0765436132</v>
      </c>
      <c r="AI296" s="3" t="n">
        <v>21</v>
      </c>
      <c r="AJ296" s="3" t="n">
        <v>3.3348</v>
      </c>
      <c r="AK296" s="3" t="n">
        <v>1.6498</v>
      </c>
      <c r="AL296" s="3" t="n">
        <v>-0.1752701242227406</v>
      </c>
      <c r="AM296" s="6" t="n">
        <v>0</v>
      </c>
      <c r="AN296" s="3" t="n">
        <v>0</v>
      </c>
      <c r="AO296" s="3" t="n">
        <v>0.2765</v>
      </c>
      <c r="AP296" s="3" t="n">
        <v>0.371448</v>
      </c>
      <c r="AQ296" s="3">
        <f>N(X296)*N(BJ296)</f>
        <v/>
      </c>
      <c r="AR296" s="3" t="n">
        <v>0</v>
      </c>
      <c r="AS296" s="3" t="n">
        <v>-0</v>
      </c>
      <c r="AT296" s="3" t="n">
        <v>-0.1752701242227406</v>
      </c>
      <c r="AU296" s="3">
        <f>SUM(AO296:AT296)</f>
        <v/>
      </c>
      <c r="AV296" s="7">
        <f>IF(OR(N(W296)&lt;=0,N(BH296)=0),0,N(W296)*IF(N(R296)/N(W296)&gt;=60,N(BH296),1))</f>
        <v/>
      </c>
      <c r="AW296" s="7">
        <f>N(W296)*N(AF296)*N(BI296)</f>
        <v/>
      </c>
      <c r="AX296" s="3">
        <f>IF(N(BH296)=0,0,N(W296)*N(AH296))</f>
        <v/>
      </c>
      <c r="AY296" s="7">
        <f>N(AM296)*(Assumptions!$B$13*N(BK296)-(1-Assumptions!$B$13)*Assumptions!$B$14)+N(AN296)</f>
        <v/>
      </c>
      <c r="AZ296" s="7">
        <f>N(AU296)*N(R296)/90+N(AV296)+N(AW296)+N(AX296)+N(AY296)</f>
        <v/>
      </c>
      <c r="BA296" s="3">
        <f>IF(N(R296)&lt;=0,0,(N(AZ296)-N(AY296))*90/N(R296))</f>
        <v/>
      </c>
      <c r="BB296" s="7">
        <f>IFERROR(AZ296-VLOOKUP($E296,Assumptions!$A$40:$C$43,3,FALSE),"")</f>
        <v/>
      </c>
      <c r="BC296" s="3">
        <f>IFERROR(BB296/H296,"")</f>
        <v/>
      </c>
      <c r="BD296">
        <f>IF(AND($G296=TRUE,$E296="GKP"),AZ296,"")</f>
        <v/>
      </c>
      <c r="BE296">
        <f>IF(AND($G296=TRUE,$E296="DEF"),AZ296,"")</f>
        <v/>
      </c>
      <c r="BF296">
        <f>IF(AND($G296=TRUE,$E296="MID"),AZ296,"")</f>
        <v/>
      </c>
      <c r="BG296">
        <f>IF(AND($G296=TRUE,$E296="FWD"),AZ296,"")</f>
        <v/>
      </c>
      <c r="BH296" t="n">
        <v>2</v>
      </c>
      <c r="BI296" t="n">
        <v>2</v>
      </c>
      <c r="BJ296" t="n">
        <v>1</v>
      </c>
      <c r="BK296" t="n">
        <v>5</v>
      </c>
    </row>
    <row r="297">
      <c r="A297" t="inlineStr">
        <is>
          <t>Joe Gomez</t>
        </is>
      </c>
      <c r="B297" t="inlineStr">
        <is>
          <t>LIV</t>
        </is>
      </c>
      <c r="C297" t="inlineStr">
        <is>
          <t>LIV</t>
        </is>
      </c>
      <c r="D297" t="b">
        <v>0</v>
      </c>
      <c r="E297" t="inlineStr">
        <is>
          <t>DEF</t>
        </is>
      </c>
      <c r="F297" t="inlineStr">
        <is>
          <t>DEF</t>
        </is>
      </c>
      <c r="G297" t="b">
        <v>1</v>
      </c>
      <c r="H297" s="2" t="n">
        <v>5</v>
      </c>
      <c r="I297" t="inlineStr">
        <is>
          <t>i</t>
        </is>
      </c>
      <c r="J297" t="inlineStr">
        <is>
          <t>Muscular injury - Unknown return date</t>
        </is>
      </c>
      <c r="K297" s="2" t="n">
        <v>594</v>
      </c>
      <c r="L297" t="n">
        <v>33</v>
      </c>
      <c r="M297" s="3" t="n">
        <v>442</v>
      </c>
      <c r="N297" s="8" t="n">
        <v>442</v>
      </c>
      <c r="O297" s="8" t="n">
        <v>0</v>
      </c>
      <c r="Q297" t="inlineStr">
        <is>
          <t>flat</t>
        </is>
      </c>
      <c r="R297" s="6" t="n">
        <v>442</v>
      </c>
      <c r="S297" t="inlineStr">
        <is>
          <t>Solio</t>
        </is>
      </c>
      <c r="U297" s="6" t="n">
        <v>76.40000000000001</v>
      </c>
      <c r="V297" s="2" t="n">
        <v>7</v>
      </c>
      <c r="W297" s="7">
        <f>IF(N(U297)&lt;=0,0,MIN(Assumptions!$B$15,N(R297)/N(U297)))</f>
        <v/>
      </c>
      <c r="X297" s="6" t="n">
        <v>0.342</v>
      </c>
      <c r="Y297" s="3" t="n">
        <v>0.0397</v>
      </c>
      <c r="Z297" t="inlineStr">
        <is>
          <t>adjusted xGOT</t>
        </is>
      </c>
      <c r="AA297" s="3" t="n">
        <v>1</v>
      </c>
      <c r="AB297" s="3" t="n">
        <v>0.9360000000000001</v>
      </c>
      <c r="AC297" s="3" t="n">
        <v>1.8</v>
      </c>
      <c r="AD297" s="3" t="n">
        <v>0.1431</v>
      </c>
      <c r="AE297" s="3" t="n">
        <v>7.362</v>
      </c>
      <c r="AF297" s="3" t="n">
        <v>0.1021702212896267</v>
      </c>
      <c r="AG297" s="3" t="n">
        <v>7.271</v>
      </c>
      <c r="AH297" s="3" t="n">
        <v>0.1864049696</v>
      </c>
      <c r="AI297" s="3" t="n">
        <v>26</v>
      </c>
      <c r="AJ297" s="3" t="n">
        <v>2.409</v>
      </c>
      <c r="AK297" s="3" t="n">
        <v>1.1228</v>
      </c>
      <c r="AL297" s="3" t="n">
        <v>-0.3022295023425802</v>
      </c>
      <c r="AM297" s="6" t="n">
        <v>0</v>
      </c>
      <c r="AN297" s="3" t="n">
        <v>0</v>
      </c>
      <c r="AO297" s="3" t="n">
        <v>0.2382</v>
      </c>
      <c r="AP297" s="3" t="n">
        <v>0.5666760000000001</v>
      </c>
      <c r="AQ297" s="3">
        <f>N(X297)*N(BJ297)</f>
        <v/>
      </c>
      <c r="AR297" s="3" t="n">
        <v>0</v>
      </c>
      <c r="AS297" s="3" t="n">
        <v>-0.3378660007281162</v>
      </c>
      <c r="AT297" s="3" t="n">
        <v>-0.3022295023425802</v>
      </c>
      <c r="AU297" s="3">
        <f>SUM(AO297:AT297)</f>
        <v/>
      </c>
      <c r="AV297" s="7">
        <f>IF(OR(N(W297)&lt;=0,N(BH297)=0),0,N(W297)*IF(N(R297)/N(W297)&gt;=60,N(BH297),1))</f>
        <v/>
      </c>
      <c r="AW297" s="7">
        <f>N(W297)*N(AF297)*N(BI297)</f>
        <v/>
      </c>
      <c r="AX297" s="3">
        <f>IF(N(BH297)=0,0,N(W297)*N(AH297))</f>
        <v/>
      </c>
      <c r="AY297" s="7">
        <f>N(AM297)*(Assumptions!$B$13*N(BK297)-(1-Assumptions!$B$13)*Assumptions!$B$14)+N(AN297)</f>
        <v/>
      </c>
      <c r="AZ297" s="7">
        <f>N(AU297)*N(R297)/90+N(AV297)+N(AW297)+N(AX297)+N(AY297)</f>
        <v/>
      </c>
      <c r="BA297" s="3">
        <f>IF(N(R297)&lt;=0,0,(N(AZ297)-N(AY297))*90/N(R297))</f>
        <v/>
      </c>
      <c r="BB297" s="7">
        <f>IFERROR(AZ297-VLOOKUP($E297,Assumptions!$A$40:$C$43,3,FALSE),"")</f>
        <v/>
      </c>
      <c r="BC297" s="3">
        <f>IFERROR(BB297/H297,"")</f>
        <v/>
      </c>
      <c r="BD297">
        <f>IF(AND($G297=TRUE,$E297="GKP"),AZ297,"")</f>
        <v/>
      </c>
      <c r="BE297">
        <f>IF(AND($G297=TRUE,$E297="DEF"),AZ297,"")</f>
        <v/>
      </c>
      <c r="BF297">
        <f>IF(AND($G297=TRUE,$E297="MID"),AZ297,"")</f>
        <v/>
      </c>
      <c r="BG297">
        <f>IF(AND($G297=TRUE,$E297="FWD"),AZ297,"")</f>
        <v/>
      </c>
      <c r="BH297" t="n">
        <v>2</v>
      </c>
      <c r="BI297" t="n">
        <v>2</v>
      </c>
      <c r="BJ297" t="n">
        <v>4</v>
      </c>
      <c r="BK297" t="n">
        <v>6</v>
      </c>
    </row>
    <row r="298">
      <c r="A298" t="inlineStr">
        <is>
          <t>Jarrad Branthwaite</t>
        </is>
      </c>
      <c r="B298" t="inlineStr">
        <is>
          <t>EVE</t>
        </is>
      </c>
      <c r="C298" t="inlineStr">
        <is>
          <t>EVE</t>
        </is>
      </c>
      <c r="D298" t="b">
        <v>0</v>
      </c>
      <c r="E298" t="inlineStr">
        <is>
          <t>DEF</t>
        </is>
      </c>
      <c r="F298" t="inlineStr">
        <is>
          <t>DEF</t>
        </is>
      </c>
      <c r="G298" t="b">
        <v>1</v>
      </c>
      <c r="H298" s="2" t="n">
        <v>5.5</v>
      </c>
      <c r="I298" t="inlineStr">
        <is>
          <t>a</t>
        </is>
      </c>
      <c r="K298" s="2" t="n">
        <v>678</v>
      </c>
      <c r="L298" t="n">
        <v>32</v>
      </c>
      <c r="M298" s="3" t="n">
        <v>3203</v>
      </c>
      <c r="N298" s="4" t="n">
        <v>2850</v>
      </c>
      <c r="O298" s="4" t="n">
        <v>-353</v>
      </c>
      <c r="P298" s="5" t="inlineStr">
        <is>
          <t>medium</t>
        </is>
      </c>
      <c r="Q298" t="inlineStr">
        <is>
          <t>flat</t>
        </is>
      </c>
      <c r="R298" s="6" t="n">
        <v>2850</v>
      </c>
      <c r="S298" t="inlineStr">
        <is>
          <t>research</t>
        </is>
      </c>
      <c r="T298" s="5" t="inlineStr">
        <is>
          <t>Directionally right but too aggressive. Solio projects 94% of the season for a centre-back who managed 678 minutes in 2025/26 across two hamstring operations - a complication requiring surgery confirmed in October 2025, then a further procedure after he was stretchered off in April's Merseyside derby. He is genuinely fit now: Read Everton records him starting against Bolton, Hamburg and Stuttgart (80 minutes, captain), being 'rested as a precaution' for Newcastle, and starting against Lille on 15 August, and he carries no FPL flag. The trim reflects the phased load management Moyes has openly applied all summer, not any current doubt about the opener.</t>
        </is>
      </c>
      <c r="U298" s="6" t="n">
        <v>86.5</v>
      </c>
      <c r="V298" s="2" t="n">
        <v>7</v>
      </c>
      <c r="W298" s="7">
        <f>IF(N(U298)&lt;=0,0,MIN(Assumptions!$B$15,N(R298)/N(U298)))</f>
        <v/>
      </c>
      <c r="X298" s="6" t="n">
        <v>0.231</v>
      </c>
      <c r="Y298" s="3" t="n">
        <v>0.0445</v>
      </c>
      <c r="Z298" t="inlineStr">
        <is>
          <t>adjusted xGOT</t>
        </is>
      </c>
      <c r="AA298" s="3" t="n">
        <v>1</v>
      </c>
      <c r="AB298" s="3" t="n">
        <v>0.986</v>
      </c>
      <c r="AC298" s="3" t="n">
        <v>3.2</v>
      </c>
      <c r="AD298" s="3" t="n">
        <v>0.0321</v>
      </c>
      <c r="AE298" s="3" t="n">
        <v>8.271000000000001</v>
      </c>
      <c r="AF298" s="3" t="n">
        <v>0.2771114751033783</v>
      </c>
      <c r="AG298" s="3" t="n">
        <v>7.549</v>
      </c>
      <c r="AH298" s="3" t="n">
        <v>0.1368799365</v>
      </c>
      <c r="AI298" s="3" t="n">
        <v>17</v>
      </c>
      <c r="AJ298" s="3" t="n">
        <v>3.0311</v>
      </c>
      <c r="AK298" s="3" t="n">
        <v>1.5252</v>
      </c>
      <c r="AL298" s="3" t="n">
        <v>-0.1973841025688087</v>
      </c>
      <c r="AM298" s="6" t="n">
        <v>0</v>
      </c>
      <c r="AN298" s="3" t="n">
        <v>0</v>
      </c>
      <c r="AO298" s="3" t="n">
        <v>0.267</v>
      </c>
      <c r="AP298" s="3" t="n">
        <v>0.127116</v>
      </c>
      <c r="AQ298" s="3">
        <f>N(X298)*N(BJ298)</f>
        <v/>
      </c>
      <c r="AR298" s="3" t="n">
        <v>0</v>
      </c>
      <c r="AS298" s="3" t="n">
        <v>-0.524434996152324</v>
      </c>
      <c r="AT298" s="3" t="n">
        <v>-0.1973841025688087</v>
      </c>
      <c r="AU298" s="3">
        <f>SUM(AO298:AT298)</f>
        <v/>
      </c>
      <c r="AV298" s="7">
        <f>IF(OR(N(W298)&lt;=0,N(BH298)=0),0,N(W298)*IF(N(R298)/N(W298)&gt;=60,N(BH298),1))</f>
        <v/>
      </c>
      <c r="AW298" s="7">
        <f>N(W298)*N(AF298)*N(BI298)</f>
        <v/>
      </c>
      <c r="AX298" s="3">
        <f>IF(N(BH298)=0,0,N(W298)*N(AH298))</f>
        <v/>
      </c>
      <c r="AY298" s="7">
        <f>N(AM298)*(Assumptions!$B$13*N(BK298)-(1-Assumptions!$B$13)*Assumptions!$B$14)+N(AN298)</f>
        <v/>
      </c>
      <c r="AZ298" s="7">
        <f>N(AU298)*N(R298)/90+N(AV298)+N(AW298)+N(AX298)+N(AY298)</f>
        <v/>
      </c>
      <c r="BA298" s="3">
        <f>IF(N(R298)&lt;=0,0,(N(AZ298)-N(AY298))*90/N(R298))</f>
        <v/>
      </c>
      <c r="BB298" s="7">
        <f>IFERROR(AZ298-VLOOKUP($E298,Assumptions!$A$40:$C$43,3,FALSE),"")</f>
        <v/>
      </c>
      <c r="BC298" s="3">
        <f>IFERROR(BB298/H298,"")</f>
        <v/>
      </c>
      <c r="BD298">
        <f>IF(AND($G298=TRUE,$E298="GKP"),AZ298,"")</f>
        <v/>
      </c>
      <c r="BE298">
        <f>IF(AND($G298=TRUE,$E298="DEF"),AZ298,"")</f>
        <v/>
      </c>
      <c r="BF298">
        <f>IF(AND($G298=TRUE,$E298="MID"),AZ298,"")</f>
        <v/>
      </c>
      <c r="BG298">
        <f>IF(AND($G298=TRUE,$E298="FWD"),AZ298,"")</f>
        <v/>
      </c>
      <c r="BH298" t="n">
        <v>2</v>
      </c>
      <c r="BI298" t="n">
        <v>2</v>
      </c>
      <c r="BJ298" t="n">
        <v>4</v>
      </c>
      <c r="BK298" t="n">
        <v>6</v>
      </c>
    </row>
    <row r="299">
      <c r="A299" t="inlineStr">
        <is>
          <t>Wilfried Gnonto</t>
        </is>
      </c>
      <c r="B299" t="inlineStr">
        <is>
          <t>LEE</t>
        </is>
      </c>
      <c r="C299" t="inlineStr">
        <is>
          <t>LEE</t>
        </is>
      </c>
      <c r="D299" t="b">
        <v>0</v>
      </c>
      <c r="E299" t="inlineStr">
        <is>
          <t>MID</t>
        </is>
      </c>
      <c r="F299" t="inlineStr">
        <is>
          <t>MID</t>
        </is>
      </c>
      <c r="G299" t="b">
        <v>1</v>
      </c>
      <c r="H299" s="2" t="n">
        <v>5</v>
      </c>
      <c r="I299" t="inlineStr">
        <is>
          <t>a</t>
        </is>
      </c>
      <c r="K299" s="2" t="n">
        <v>521</v>
      </c>
      <c r="L299" t="n">
        <v>32</v>
      </c>
      <c r="M299" s="3" t="n">
        <v>120</v>
      </c>
      <c r="N299" s="4" t="n">
        <v>60</v>
      </c>
      <c r="O299" s="4" t="n">
        <v>-60</v>
      </c>
      <c r="P299" s="5" t="inlineStr">
        <is>
          <t>medium</t>
        </is>
      </c>
      <c r="Q299" t="inlineStr">
        <is>
          <t>flat</t>
        </is>
      </c>
      <c r="R299" s="6" t="n">
        <v>60</v>
      </c>
      <c r="S299" t="inlineStr">
        <is>
          <t>research</t>
        </is>
      </c>
      <c r="T299" s="5" t="inlineStr">
        <is>
          <t>Hamstring injury with no return timeframe, reported 15 Aug, expected to miss the Nottingham Forest opener. Not carried by the FPL feed yet, so this is another item the brief's data misses. Small absolute change - Solio already had him near zero.</t>
        </is>
      </c>
      <c r="U299" s="6" t="n">
        <v>74</v>
      </c>
      <c r="V299" s="2" t="n">
        <v>4</v>
      </c>
      <c r="W299" s="7">
        <f>IF(N(U299)&lt;=0,0,MIN(Assumptions!$B$15,N(R299)/N(U299)))</f>
        <v/>
      </c>
      <c r="X299" s="6" t="n">
        <v>0.218</v>
      </c>
      <c r="Y299" s="3" t="n">
        <v>0.0672</v>
      </c>
      <c r="Z299" t="inlineStr">
        <is>
          <t>adjusted xGOT</t>
        </is>
      </c>
      <c r="AA299" s="3" t="n">
        <v>1</v>
      </c>
      <c r="AB299" s="3" t="n">
        <v>0.972</v>
      </c>
      <c r="AC299" s="3" t="n">
        <v>2.2</v>
      </c>
      <c r="AD299" s="3" t="n">
        <v>0.1742</v>
      </c>
      <c r="AE299" s="3" t="n">
        <v>9.255000000000001</v>
      </c>
      <c r="AF299" s="3" t="n">
        <v>0.08582354740513853</v>
      </c>
      <c r="AG299" s="3" t="n">
        <v>7.108</v>
      </c>
      <c r="AH299" s="3" t="n">
        <v>0.1659633646</v>
      </c>
      <c r="AI299" s="3" t="n">
        <v>25</v>
      </c>
      <c r="AJ299" s="3" t="n">
        <v>3.0611</v>
      </c>
      <c r="AK299" s="3" t="n">
        <v>1.5875</v>
      </c>
      <c r="AL299" s="3" t="n">
        <v>-0.3007492140094552</v>
      </c>
      <c r="AM299" s="6" t="n">
        <v>0</v>
      </c>
      <c r="AN299" s="3" t="n">
        <v>0</v>
      </c>
      <c r="AO299" s="3" t="n">
        <v>0.336</v>
      </c>
      <c r="AP299" s="3" t="n">
        <v>0.689832</v>
      </c>
      <c r="AQ299" s="3">
        <f>N(X299)*N(BJ299)</f>
        <v/>
      </c>
      <c r="AR299" s="3" t="n">
        <v>0</v>
      </c>
      <c r="AS299" s="3" t="n">
        <v>-0</v>
      </c>
      <c r="AT299" s="3" t="n">
        <v>-0.3007492140094552</v>
      </c>
      <c r="AU299" s="3">
        <f>SUM(AO299:AT299)</f>
        <v/>
      </c>
      <c r="AV299" s="7">
        <f>IF(OR(N(W299)&lt;=0,N(BH299)=0),0,N(W299)*IF(N(R299)/N(W299)&gt;=60,N(BH299),1))</f>
        <v/>
      </c>
      <c r="AW299" s="7">
        <f>N(W299)*N(AF299)*N(BI299)</f>
        <v/>
      </c>
      <c r="AX299" s="3">
        <f>IF(N(BH299)=0,0,N(W299)*N(AH299))</f>
        <v/>
      </c>
      <c r="AY299" s="7">
        <f>N(AM299)*(Assumptions!$B$13*N(BK299)-(1-Assumptions!$B$13)*Assumptions!$B$14)+N(AN299)</f>
        <v/>
      </c>
      <c r="AZ299" s="7">
        <f>N(AU299)*N(R299)/90+N(AV299)+N(AW299)+N(AX299)+N(AY299)</f>
        <v/>
      </c>
      <c r="BA299" s="3">
        <f>IF(N(R299)&lt;=0,0,(N(AZ299)-N(AY299))*90/N(R299))</f>
        <v/>
      </c>
      <c r="BB299" s="7">
        <f>IFERROR(AZ299-VLOOKUP($E299,Assumptions!$A$40:$C$43,3,FALSE),"")</f>
        <v/>
      </c>
      <c r="BC299" s="3">
        <f>IFERROR(BB299/H299,"")</f>
        <v/>
      </c>
      <c r="BD299">
        <f>IF(AND($G299=TRUE,$E299="GKP"),AZ299,"")</f>
        <v/>
      </c>
      <c r="BE299">
        <f>IF(AND($G299=TRUE,$E299="DEF"),AZ299,"")</f>
        <v/>
      </c>
      <c r="BF299">
        <f>IF(AND($G299=TRUE,$E299="MID"),AZ299,"")</f>
        <v/>
      </c>
      <c r="BG299">
        <f>IF(AND($G299=TRUE,$E299="FWD"),AZ299,"")</f>
        <v/>
      </c>
      <c r="BH299" t="n">
        <v>2</v>
      </c>
      <c r="BI299" t="n">
        <v>2</v>
      </c>
      <c r="BJ299" t="n">
        <v>1</v>
      </c>
      <c r="BK299" t="n">
        <v>5</v>
      </c>
    </row>
    <row r="300">
      <c r="A300" s="9" t="inlineStr">
        <is>
          <t>Issa Diop</t>
        </is>
      </c>
      <c r="B300" t="inlineStr">
        <is>
          <t>IPS</t>
        </is>
      </c>
      <c r="C300" s="9" t="inlineStr">
        <is>
          <t>FUL</t>
        </is>
      </c>
      <c r="D300" t="b">
        <v>1</v>
      </c>
      <c r="E300" t="inlineStr">
        <is>
          <t>DEF</t>
        </is>
      </c>
      <c r="F300" t="inlineStr">
        <is>
          <t>DEF</t>
        </is>
      </c>
      <c r="G300" t="b">
        <v>1</v>
      </c>
      <c r="H300" s="2" t="n">
        <v>4</v>
      </c>
      <c r="I300" t="inlineStr">
        <is>
          <t>a</t>
        </is>
      </c>
      <c r="K300" s="2" t="n">
        <v>812</v>
      </c>
      <c r="L300" t="n">
        <v>31</v>
      </c>
      <c r="M300" s="3" t="n">
        <v>2394</v>
      </c>
      <c r="N300" s="8" t="n">
        <v>2394</v>
      </c>
      <c r="O300" s="8" t="n">
        <v>0</v>
      </c>
      <c r="Q300" t="inlineStr">
        <is>
          <t>flat</t>
        </is>
      </c>
      <c r="R300" s="6" t="n">
        <v>2394</v>
      </c>
      <c r="S300" t="inlineStr">
        <is>
          <t>Solio</t>
        </is>
      </c>
      <c r="U300" s="6" t="n">
        <v>86.90000000000001</v>
      </c>
      <c r="V300" s="2" t="n">
        <v>8</v>
      </c>
      <c r="W300" s="7">
        <f>IF(N(U300)&lt;=0,0,MIN(Assumptions!$B$15,N(R300)/N(U300)))</f>
        <v/>
      </c>
      <c r="X300" s="6" t="n">
        <v>0.17</v>
      </c>
      <c r="Y300" s="10" t="n">
        <v>0.09619999999999999</v>
      </c>
      <c r="Z300" t="inlineStr">
        <is>
          <t>adjusted xGOT</t>
        </is>
      </c>
      <c r="AA300" s="3" t="n">
        <v>1</v>
      </c>
      <c r="AB300" s="3" t="n">
        <v>1.085</v>
      </c>
      <c r="AC300" s="3" t="n">
        <v>1.9</v>
      </c>
      <c r="AD300" s="10" t="n">
        <v>0.0028</v>
      </c>
      <c r="AE300" s="3" t="n">
        <v>7.195</v>
      </c>
      <c r="AF300" s="3" t="n">
        <v>0.1641877591817069</v>
      </c>
      <c r="AG300" s="3" t="n">
        <v>7.63</v>
      </c>
      <c r="AH300" s="3" t="n">
        <v>0.1446014075</v>
      </c>
      <c r="AI300" s="3" t="n">
        <v>21</v>
      </c>
      <c r="AJ300" s="3" t="n">
        <v>3.5741</v>
      </c>
      <c r="AK300" s="3" t="n">
        <v>1.8319</v>
      </c>
      <c r="AL300" s="3" t="n">
        <v>-0.1934947122418925</v>
      </c>
      <c r="AM300" s="6" t="n">
        <v>0</v>
      </c>
      <c r="AN300" s="3" t="n">
        <v>0</v>
      </c>
      <c r="AO300" s="10" t="n">
        <v>0.5771999999999999</v>
      </c>
      <c r="AP300" s="10" t="n">
        <v>0.011088</v>
      </c>
      <c r="AQ300" s="3">
        <f>N(X300)*N(BJ300)</f>
        <v/>
      </c>
      <c r="AR300" s="3" t="n">
        <v>0</v>
      </c>
      <c r="AS300" s="3" t="n">
        <v>-0.6723587286814016</v>
      </c>
      <c r="AT300" s="3" t="n">
        <v>-0.1934947122418925</v>
      </c>
      <c r="AU300" s="3">
        <f>SUM(AO300:AT300)</f>
        <v/>
      </c>
      <c r="AV300" s="7">
        <f>IF(OR(N(W300)&lt;=0,N(BH300)=0),0,N(W300)*IF(N(R300)/N(W300)&gt;=60,N(BH300),1))</f>
        <v/>
      </c>
      <c r="AW300" s="7">
        <f>N(W300)*N(AF300)*N(BI300)</f>
        <v/>
      </c>
      <c r="AX300" s="3">
        <f>IF(N(BH300)=0,0,N(W300)*N(AH300))</f>
        <v/>
      </c>
      <c r="AY300" s="7">
        <f>N(AM300)*(Assumptions!$B$13*N(BK300)-(1-Assumptions!$B$13)*Assumptions!$B$14)+N(AN300)</f>
        <v/>
      </c>
      <c r="AZ300" s="7">
        <f>N(AU300)*N(R300)/90+N(AV300)+N(AW300)+N(AX300)+N(AY300)</f>
        <v/>
      </c>
      <c r="BA300" s="3">
        <f>IF(N(R300)&lt;=0,0,(N(AZ300)-N(AY300))*90/N(R300))</f>
        <v/>
      </c>
      <c r="BB300" s="7">
        <f>IFERROR(AZ300-VLOOKUP($E300,Assumptions!$A$40:$C$43,3,FALSE),"")</f>
        <v/>
      </c>
      <c r="BC300" s="3">
        <f>IFERROR(BB300/H300,"")</f>
        <v/>
      </c>
      <c r="BD300">
        <f>IF(AND($G300=TRUE,$E300="GKP"),AZ300,"")</f>
        <v/>
      </c>
      <c r="BE300">
        <f>IF(AND($G300=TRUE,$E300="DEF"),AZ300,"")</f>
        <v/>
      </c>
      <c r="BF300">
        <f>IF(AND($G300=TRUE,$E300="MID"),AZ300,"")</f>
        <v/>
      </c>
      <c r="BG300">
        <f>IF(AND($G300=TRUE,$E300="FWD"),AZ300,"")</f>
        <v/>
      </c>
      <c r="BH300" t="n">
        <v>2</v>
      </c>
      <c r="BI300" t="n">
        <v>2</v>
      </c>
      <c r="BJ300" t="n">
        <v>4</v>
      </c>
      <c r="BK300" t="n">
        <v>6</v>
      </c>
    </row>
    <row r="301">
      <c r="A301" t="inlineStr">
        <is>
          <t>Ryan Yates</t>
        </is>
      </c>
      <c r="B301" t="inlineStr">
        <is>
          <t>NFO</t>
        </is>
      </c>
      <c r="C301" t="inlineStr">
        <is>
          <t>NFO</t>
        </is>
      </c>
      <c r="D301" t="b">
        <v>0</v>
      </c>
      <c r="E301" t="inlineStr">
        <is>
          <t>MID</t>
        </is>
      </c>
      <c r="F301" t="inlineStr">
        <is>
          <t>MID</t>
        </is>
      </c>
      <c r="G301" t="b">
        <v>1</v>
      </c>
      <c r="H301" s="2" t="n">
        <v>4.5</v>
      </c>
      <c r="I301" t="inlineStr">
        <is>
          <t>a</t>
        </is>
      </c>
      <c r="K301" s="2" t="n">
        <v>602</v>
      </c>
      <c r="L301" t="n">
        <v>30</v>
      </c>
      <c r="M301" s="3" t="n">
        <v>340</v>
      </c>
      <c r="N301" s="8" t="n">
        <v>340</v>
      </c>
      <c r="O301" s="8" t="n">
        <v>0</v>
      </c>
      <c r="Q301" t="inlineStr">
        <is>
          <t>flat</t>
        </is>
      </c>
      <c r="R301" s="6" t="n">
        <v>340</v>
      </c>
      <c r="S301" t="inlineStr">
        <is>
          <t>Solio</t>
        </is>
      </c>
      <c r="U301" s="6" t="n">
        <v>79.5</v>
      </c>
      <c r="V301" s="2" t="n">
        <v>2</v>
      </c>
      <c r="W301" s="7">
        <f>IF(N(U301)&lt;=0,0,MIN(Assumptions!$B$15,N(R301)/N(U301)))</f>
        <v/>
      </c>
      <c r="X301" s="6" t="n">
        <v>0.224</v>
      </c>
      <c r="Y301" s="3" t="n">
        <v>0.0646</v>
      </c>
      <c r="Z301" t="inlineStr">
        <is>
          <t>adjusted xGOT</t>
        </is>
      </c>
      <c r="AA301" s="3" t="n">
        <v>1</v>
      </c>
      <c r="AB301" s="3" t="n">
        <v>0.881</v>
      </c>
      <c r="AC301" s="3" t="n">
        <v>7.7</v>
      </c>
      <c r="AD301" s="3" t="n">
        <v>0.0447</v>
      </c>
      <c r="AE301" s="3" t="n">
        <v>9.369</v>
      </c>
      <c r="AF301" s="3" t="n">
        <v>0.1328660169520495</v>
      </c>
      <c r="AG301" s="3" t="n">
        <v>6.599</v>
      </c>
      <c r="AH301" s="3" t="n">
        <v>0.09685903200000001</v>
      </c>
      <c r="AI301" s="3" t="n">
        <v>25</v>
      </c>
      <c r="AJ301" s="3" t="n">
        <v>3.1134</v>
      </c>
      <c r="AK301" s="3" t="n">
        <v>1.5588</v>
      </c>
      <c r="AL301" s="3" t="n">
        <v>-0.3470530485436379</v>
      </c>
      <c r="AM301" s="6" t="n">
        <v>0</v>
      </c>
      <c r="AN301" s="3" t="n">
        <v>0</v>
      </c>
      <c r="AO301" s="3" t="n">
        <v>0.323</v>
      </c>
      <c r="AP301" s="3" t="n">
        <v>0.177012</v>
      </c>
      <c r="AQ301" s="3">
        <f>N(X301)*N(BJ301)</f>
        <v/>
      </c>
      <c r="AR301" s="3" t="n">
        <v>0</v>
      </c>
      <c r="AS301" s="3" t="n">
        <v>-0</v>
      </c>
      <c r="AT301" s="3" t="n">
        <v>-0.3470530485436379</v>
      </c>
      <c r="AU301" s="3">
        <f>SUM(AO301:AT301)</f>
        <v/>
      </c>
      <c r="AV301" s="7">
        <f>IF(OR(N(W301)&lt;=0,N(BH301)=0),0,N(W301)*IF(N(R301)/N(W301)&gt;=60,N(BH301),1))</f>
        <v/>
      </c>
      <c r="AW301" s="7">
        <f>N(W301)*N(AF301)*N(BI301)</f>
        <v/>
      </c>
      <c r="AX301" s="3">
        <f>IF(N(BH301)=0,0,N(W301)*N(AH301))</f>
        <v/>
      </c>
      <c r="AY301" s="7">
        <f>N(AM301)*(Assumptions!$B$13*N(BK301)-(1-Assumptions!$B$13)*Assumptions!$B$14)+N(AN301)</f>
        <v/>
      </c>
      <c r="AZ301" s="7">
        <f>N(AU301)*N(R301)/90+N(AV301)+N(AW301)+N(AX301)+N(AY301)</f>
        <v/>
      </c>
      <c r="BA301" s="3">
        <f>IF(N(R301)&lt;=0,0,(N(AZ301)-N(AY301))*90/N(R301))</f>
        <v/>
      </c>
      <c r="BB301" s="7">
        <f>IFERROR(AZ301-VLOOKUP($E301,Assumptions!$A$40:$C$43,3,FALSE),"")</f>
        <v/>
      </c>
      <c r="BC301" s="3">
        <f>IFERROR(BB301/H301,"")</f>
        <v/>
      </c>
      <c r="BD301">
        <f>IF(AND($G301=TRUE,$E301="GKP"),AZ301,"")</f>
        <v/>
      </c>
      <c r="BE301">
        <f>IF(AND($G301=TRUE,$E301="DEF"),AZ301,"")</f>
        <v/>
      </c>
      <c r="BF301">
        <f>IF(AND($G301=TRUE,$E301="MID"),AZ301,"")</f>
        <v/>
      </c>
      <c r="BG301">
        <f>IF(AND($G301=TRUE,$E301="FWD"),AZ301,"")</f>
        <v/>
      </c>
      <c r="BH301" t="n">
        <v>2</v>
      </c>
      <c r="BI301" t="n">
        <v>2</v>
      </c>
      <c r="BJ301" t="n">
        <v>1</v>
      </c>
      <c r="BK301" t="n">
        <v>5</v>
      </c>
    </row>
    <row r="302">
      <c r="A302" t="inlineStr">
        <is>
          <t>Destiny Udogie</t>
        </is>
      </c>
      <c r="B302" t="inlineStr">
        <is>
          <t>TOT</t>
        </is>
      </c>
      <c r="C302" t="inlineStr">
        <is>
          <t>TOT</t>
        </is>
      </c>
      <c r="D302" t="b">
        <v>0</v>
      </c>
      <c r="E302" t="inlineStr">
        <is>
          <t>DEF</t>
        </is>
      </c>
      <c r="F302" t="inlineStr">
        <is>
          <t>DEF</t>
        </is>
      </c>
      <c r="G302" t="b">
        <v>1</v>
      </c>
      <c r="H302" s="2" t="n">
        <v>4.5</v>
      </c>
      <c r="I302" t="inlineStr">
        <is>
          <t>a</t>
        </is>
      </c>
      <c r="K302" s="2" t="n">
        <v>1335</v>
      </c>
      <c r="L302" t="n">
        <v>29</v>
      </c>
      <c r="M302" s="3" t="n">
        <v>685</v>
      </c>
      <c r="N302" s="4" t="n">
        <v>1550</v>
      </c>
      <c r="O302" s="4" t="n">
        <v>865</v>
      </c>
      <c r="P302" s="5" t="inlineStr">
        <is>
          <t>medium</t>
        </is>
      </c>
      <c r="Q302" t="inlineStr">
        <is>
          <t>flat</t>
        </is>
      </c>
      <c r="R302" s="6" t="n">
        <v>1550</v>
      </c>
      <c r="S302" t="inlineStr">
        <is>
          <t>research</t>
        </is>
      </c>
      <c r="T302" s="5" t="inlineStr">
        <is>
          <t>Same structural reason as Robertson: with Spence sold there is roughly a full left-back slot to share between two players, and Solio's Robertson-plus-Udogie total of 1,403 is far short of it. Udogie is confirmed fully fit with his workload managed and Gold expects him available 'potentially within the next eight days'. Held below Robertson because he has not started a pre-season game, missed 180 days last season, and Roma have opened talks.</t>
        </is>
      </c>
      <c r="U302" s="6" t="n">
        <v>84.2</v>
      </c>
      <c r="V302" s="2" t="n">
        <v>14</v>
      </c>
      <c r="W302" s="7">
        <f>IF(N(U302)&lt;=0,0,MIN(Assumptions!$B$15,N(R302)/N(U302)))</f>
        <v/>
      </c>
      <c r="X302" s="6" t="n">
        <v>0.286</v>
      </c>
      <c r="Y302" s="3" t="n">
        <v>0.0132</v>
      </c>
      <c r="Z302" t="inlineStr">
        <is>
          <t>adjusted xGOT</t>
        </is>
      </c>
      <c r="AA302" s="3" t="n">
        <v>1</v>
      </c>
      <c r="AB302" s="3" t="n">
        <v>1.091</v>
      </c>
      <c r="AC302" s="3" t="n">
        <v>2.9</v>
      </c>
      <c r="AD302" s="3" t="n">
        <v>0.0621</v>
      </c>
      <c r="AE302" s="3" t="n">
        <v>5.671</v>
      </c>
      <c r="AF302" s="3" t="n">
        <v>0.04430803645344139</v>
      </c>
      <c r="AG302" s="3" t="n">
        <v>7.633</v>
      </c>
      <c r="AH302" s="3" t="n">
        <v>0.1487895792</v>
      </c>
      <c r="AI302" s="3" t="n">
        <v>33</v>
      </c>
      <c r="AJ302" s="3" t="n">
        <v>2.5739</v>
      </c>
      <c r="AK302" s="3" t="n">
        <v>1.3096</v>
      </c>
      <c r="AL302" s="3" t="n">
        <v>-0.2078824957100245</v>
      </c>
      <c r="AM302" s="6" t="n">
        <v>0</v>
      </c>
      <c r="AN302" s="3" t="n">
        <v>0</v>
      </c>
      <c r="AO302" s="3" t="n">
        <v>0.07919999999999999</v>
      </c>
      <c r="AP302" s="3" t="n">
        <v>0.2459160000000001</v>
      </c>
      <c r="AQ302" s="3">
        <f>N(X302)*N(BJ302)</f>
        <v/>
      </c>
      <c r="AR302" s="3" t="n">
        <v>0</v>
      </c>
      <c r="AS302" s="3" t="n">
        <v>-0.4230152821052008</v>
      </c>
      <c r="AT302" s="3" t="n">
        <v>-0.2078824957100245</v>
      </c>
      <c r="AU302" s="3">
        <f>SUM(AO302:AT302)</f>
        <v/>
      </c>
      <c r="AV302" s="7">
        <f>IF(OR(N(W302)&lt;=0,N(BH302)=0),0,N(W302)*IF(N(R302)/N(W302)&gt;=60,N(BH302),1))</f>
        <v/>
      </c>
      <c r="AW302" s="7">
        <f>N(W302)*N(AF302)*N(BI302)</f>
        <v/>
      </c>
      <c r="AX302" s="3">
        <f>IF(N(BH302)=0,0,N(W302)*N(AH302))</f>
        <v/>
      </c>
      <c r="AY302" s="7">
        <f>N(AM302)*(Assumptions!$B$13*N(BK302)-(1-Assumptions!$B$13)*Assumptions!$B$14)+N(AN302)</f>
        <v/>
      </c>
      <c r="AZ302" s="7">
        <f>N(AU302)*N(R302)/90+N(AV302)+N(AW302)+N(AX302)+N(AY302)</f>
        <v/>
      </c>
      <c r="BA302" s="3">
        <f>IF(N(R302)&lt;=0,0,(N(AZ302)-N(AY302))*90/N(R302))</f>
        <v/>
      </c>
      <c r="BB302" s="7">
        <f>IFERROR(AZ302-VLOOKUP($E302,Assumptions!$A$40:$C$43,3,FALSE),"")</f>
        <v/>
      </c>
      <c r="BC302" s="3">
        <f>IFERROR(BB302/H302,"")</f>
        <v/>
      </c>
      <c r="BD302">
        <f>IF(AND($G302=TRUE,$E302="GKP"),AZ302,"")</f>
        <v/>
      </c>
      <c r="BE302">
        <f>IF(AND($G302=TRUE,$E302="DEF"),AZ302,"")</f>
        <v/>
      </c>
      <c r="BF302">
        <f>IF(AND($G302=TRUE,$E302="MID"),AZ302,"")</f>
        <v/>
      </c>
      <c r="BG302">
        <f>IF(AND($G302=TRUE,$E302="FWD"),AZ302,"")</f>
        <v/>
      </c>
      <c r="BH302" t="n">
        <v>2</v>
      </c>
      <c r="BI302" t="n">
        <v>2</v>
      </c>
      <c r="BJ302" t="n">
        <v>4</v>
      </c>
      <c r="BK302" t="n">
        <v>6</v>
      </c>
    </row>
    <row r="303">
      <c r="A303" t="inlineStr">
        <is>
          <t>Myles Lewis-Skelly</t>
        </is>
      </c>
      <c r="B303" t="inlineStr">
        <is>
          <t>ARS</t>
        </is>
      </c>
      <c r="C303" t="inlineStr">
        <is>
          <t>ARS</t>
        </is>
      </c>
      <c r="D303" t="b">
        <v>0</v>
      </c>
      <c r="E303" t="inlineStr">
        <is>
          <t>MID</t>
        </is>
      </c>
      <c r="F303" t="inlineStr">
        <is>
          <t>DEF</t>
        </is>
      </c>
      <c r="G303" t="b">
        <v>1</v>
      </c>
      <c r="H303" s="2" t="n">
        <v>5.5</v>
      </c>
      <c r="I303" t="inlineStr">
        <is>
          <t>a</t>
        </is>
      </c>
      <c r="K303" s="2" t="n">
        <v>697</v>
      </c>
      <c r="L303" t="n">
        <v>29</v>
      </c>
      <c r="M303" s="3" t="n">
        <v>394</v>
      </c>
      <c r="N303" s="8" t="n">
        <v>394</v>
      </c>
      <c r="O303" s="8" t="n">
        <v>0</v>
      </c>
      <c r="Q303" t="inlineStr">
        <is>
          <t>flat</t>
        </is>
      </c>
      <c r="R303" s="6" t="n">
        <v>394</v>
      </c>
      <c r="S303" t="inlineStr">
        <is>
          <t>Solio</t>
        </is>
      </c>
      <c r="U303" s="6" t="n">
        <v>85.7</v>
      </c>
      <c r="V303" s="2" t="n">
        <v>5</v>
      </c>
      <c r="W303" s="7">
        <f>IF(N(U303)&lt;=0,0,MIN(Assumptions!$B$15,N(R303)/N(U303)))</f>
        <v/>
      </c>
      <c r="X303" s="6" t="n">
        <v>0.391</v>
      </c>
      <c r="Y303" s="3" t="n">
        <v>0.0128</v>
      </c>
      <c r="Z303" t="inlineStr">
        <is>
          <t>adjusted xGOT</t>
        </is>
      </c>
      <c r="AA303" s="3" t="n">
        <v>1</v>
      </c>
      <c r="AB303" s="3" t="n">
        <v>0.993</v>
      </c>
      <c r="AC303" s="3" t="n">
        <v>0.3</v>
      </c>
      <c r="AD303" s="3" t="n">
        <v>0.0244</v>
      </c>
      <c r="AE303" s="3" t="n">
        <v>5.493</v>
      </c>
      <c r="AF303" s="3" t="n">
        <v>0.007633382218670826</v>
      </c>
      <c r="AG303" s="3" t="n">
        <v>7.914</v>
      </c>
      <c r="AH303" s="3" t="n">
        <v>0.0425526896</v>
      </c>
      <c r="AI303" s="3" t="n">
        <v>25</v>
      </c>
      <c r="AJ303" s="3" t="n">
        <v>2.067</v>
      </c>
      <c r="AK303" s="3" t="n">
        <v>0.9838</v>
      </c>
      <c r="AL303" s="3" t="n">
        <v>-0.26006729803636</v>
      </c>
      <c r="AM303" s="6" t="n">
        <v>0</v>
      </c>
      <c r="AN303" s="3" t="n">
        <v>0</v>
      </c>
      <c r="AO303" s="3" t="n">
        <v>0.064</v>
      </c>
      <c r="AP303" s="3" t="n">
        <v>0.096624</v>
      </c>
      <c r="AQ303" s="3">
        <f>N(X303)*N(BJ303)</f>
        <v/>
      </c>
      <c r="AR303" s="3" t="n">
        <v>0</v>
      </c>
      <c r="AS303" s="3" t="n">
        <v>-0</v>
      </c>
      <c r="AT303" s="3" t="n">
        <v>-0.26006729803636</v>
      </c>
      <c r="AU303" s="3">
        <f>SUM(AO303:AT303)</f>
        <v/>
      </c>
      <c r="AV303" s="7">
        <f>IF(OR(N(W303)&lt;=0,N(BH303)=0),0,N(W303)*IF(N(R303)/N(W303)&gt;=60,N(BH303),1))</f>
        <v/>
      </c>
      <c r="AW303" s="7">
        <f>N(W303)*N(AF303)*N(BI303)</f>
        <v/>
      </c>
      <c r="AX303" s="3">
        <f>IF(N(BH303)=0,0,N(W303)*N(AH303))</f>
        <v/>
      </c>
      <c r="AY303" s="7">
        <f>N(AM303)*(Assumptions!$B$13*N(BK303)-(1-Assumptions!$B$13)*Assumptions!$B$14)+N(AN303)</f>
        <v/>
      </c>
      <c r="AZ303" s="7">
        <f>N(AU303)*N(R303)/90+N(AV303)+N(AW303)+N(AX303)+N(AY303)</f>
        <v/>
      </c>
      <c r="BA303" s="3">
        <f>IF(N(R303)&lt;=0,0,(N(AZ303)-N(AY303))*90/N(R303))</f>
        <v/>
      </c>
      <c r="BB303" s="7">
        <f>IFERROR(AZ303-VLOOKUP($E303,Assumptions!$A$40:$C$43,3,FALSE),"")</f>
        <v/>
      </c>
      <c r="BC303" s="3">
        <f>IFERROR(BB303/H303,"")</f>
        <v/>
      </c>
      <c r="BD303">
        <f>IF(AND($G303=TRUE,$E303="GKP"),AZ303,"")</f>
        <v/>
      </c>
      <c r="BE303">
        <f>IF(AND($G303=TRUE,$E303="DEF"),AZ303,"")</f>
        <v/>
      </c>
      <c r="BF303">
        <f>IF(AND($G303=TRUE,$E303="MID"),AZ303,"")</f>
        <v/>
      </c>
      <c r="BG303">
        <f>IF(AND($G303=TRUE,$E303="FWD"),AZ303,"")</f>
        <v/>
      </c>
      <c r="BH303" t="n">
        <v>2</v>
      </c>
      <c r="BI303" t="n">
        <v>2</v>
      </c>
      <c r="BJ303" t="n">
        <v>1</v>
      </c>
      <c r="BK303" t="n">
        <v>5</v>
      </c>
    </row>
    <row r="304">
      <c r="A304" t="inlineStr">
        <is>
          <t>Victor Lindelöf</t>
        </is>
      </c>
      <c r="B304" t="inlineStr">
        <is>
          <t>AVL</t>
        </is>
      </c>
      <c r="C304" t="inlineStr">
        <is>
          <t>AVL</t>
        </is>
      </c>
      <c r="D304" t="b">
        <v>0</v>
      </c>
      <c r="E304" t="inlineStr">
        <is>
          <t>DEF</t>
        </is>
      </c>
      <c r="F304" t="inlineStr">
        <is>
          <t>DEF</t>
        </is>
      </c>
      <c r="G304" t="b">
        <v>1</v>
      </c>
      <c r="H304" s="2" t="n">
        <v>4.5</v>
      </c>
      <c r="I304" t="inlineStr">
        <is>
          <t>a</t>
        </is>
      </c>
      <c r="K304" s="2" t="n">
        <v>942</v>
      </c>
      <c r="L304" t="n">
        <v>29</v>
      </c>
      <c r="M304" s="3" t="n">
        <v>884</v>
      </c>
      <c r="N304" s="4" t="n">
        <v>1150</v>
      </c>
      <c r="O304" s="4" t="n">
        <v>266</v>
      </c>
      <c r="P304" s="5" t="inlineStr">
        <is>
          <t>medium</t>
        </is>
      </c>
      <c r="Q304" t="inlineStr">
        <is>
          <t>fade (losing his place)</t>
        </is>
      </c>
      <c r="R304" s="6" t="n">
        <v>1150</v>
      </c>
      <c r="S304" t="inlineStr">
        <is>
          <t>research</t>
        </is>
      </c>
      <c r="T304" s="5" t="inlineStr">
        <is>
          <t>Solio flags 'fade (losing his place)', but Emery picked him to start the UEFA Super Cup final at centre-back and he started again against Monchengladbach. Raised only modestly because both those starts came while Konsa was away on post-World Cup rest, so they overstate his standing when the squad is whole.</t>
        </is>
      </c>
      <c r="U304" s="6" t="n">
        <v>84</v>
      </c>
      <c r="V304" s="2" t="n">
        <v>11</v>
      </c>
      <c r="W304" s="7">
        <f>IF(N(U304)&lt;=0,0,MIN(Assumptions!$B$15,N(R304)/N(U304)))</f>
        <v/>
      </c>
      <c r="X304" s="6" t="n">
        <v>0.273</v>
      </c>
      <c r="Y304" s="3" t="n">
        <v>0.0261</v>
      </c>
      <c r="Z304" t="inlineStr">
        <is>
          <t>adjusted xGOT</t>
        </is>
      </c>
      <c r="AA304" s="3" t="n">
        <v>1</v>
      </c>
      <c r="AB304" s="3" t="n">
        <v>0.976</v>
      </c>
      <c r="AC304" s="3" t="n">
        <v>1.2</v>
      </c>
      <c r="AD304" s="3" t="n">
        <v>0.0333</v>
      </c>
      <c r="AE304" s="3" t="n">
        <v>6.253</v>
      </c>
      <c r="AF304" s="3" t="n">
        <v>0.07310545644779953</v>
      </c>
      <c r="AG304" s="3" t="n">
        <v>7.643</v>
      </c>
      <c r="AH304" s="3" t="n">
        <v>0.136902156</v>
      </c>
      <c r="AI304" s="3" t="n">
        <v>27</v>
      </c>
      <c r="AJ304" s="3" t="n">
        <v>2.7451</v>
      </c>
      <c r="AK304" s="3" t="n">
        <v>1.3575</v>
      </c>
      <c r="AL304" s="3" t="n">
        <v>-0.1383049207274015</v>
      </c>
      <c r="AM304" s="6" t="n">
        <v>0</v>
      </c>
      <c r="AN304" s="3" t="n">
        <v>0</v>
      </c>
      <c r="AO304" s="3" t="n">
        <v>0.1566</v>
      </c>
      <c r="AP304" s="3" t="n">
        <v>0.131868</v>
      </c>
      <c r="AQ304" s="3">
        <f>N(X304)*N(BJ304)</f>
        <v/>
      </c>
      <c r="AR304" s="3" t="n">
        <v>0</v>
      </c>
      <c r="AS304" s="3" t="n">
        <v>-0.4453012382517575</v>
      </c>
      <c r="AT304" s="3" t="n">
        <v>-0.1383049207274015</v>
      </c>
      <c r="AU304" s="3">
        <f>SUM(AO304:AT304)</f>
        <v/>
      </c>
      <c r="AV304" s="7">
        <f>IF(OR(N(W304)&lt;=0,N(BH304)=0),0,N(W304)*IF(N(R304)/N(W304)&gt;=60,N(BH304),1))</f>
        <v/>
      </c>
      <c r="AW304" s="7">
        <f>N(W304)*N(AF304)*N(BI304)</f>
        <v/>
      </c>
      <c r="AX304" s="3">
        <f>IF(N(BH304)=0,0,N(W304)*N(AH304))</f>
        <v/>
      </c>
      <c r="AY304" s="7">
        <f>N(AM304)*(Assumptions!$B$13*N(BK304)-(1-Assumptions!$B$13)*Assumptions!$B$14)+N(AN304)</f>
        <v/>
      </c>
      <c r="AZ304" s="7">
        <f>N(AU304)*N(R304)/90+N(AV304)+N(AW304)+N(AX304)+N(AY304)</f>
        <v/>
      </c>
      <c r="BA304" s="3">
        <f>IF(N(R304)&lt;=0,0,(N(AZ304)-N(AY304))*90/N(R304))</f>
        <v/>
      </c>
      <c r="BB304" s="7">
        <f>IFERROR(AZ304-VLOOKUP($E304,Assumptions!$A$40:$C$43,3,FALSE),"")</f>
        <v/>
      </c>
      <c r="BC304" s="3">
        <f>IFERROR(BB304/H304,"")</f>
        <v/>
      </c>
      <c r="BD304">
        <f>IF(AND($G304=TRUE,$E304="GKP"),AZ304,"")</f>
        <v/>
      </c>
      <c r="BE304">
        <f>IF(AND($G304=TRUE,$E304="DEF"),AZ304,"")</f>
        <v/>
      </c>
      <c r="BF304">
        <f>IF(AND($G304=TRUE,$E304="MID"),AZ304,"")</f>
        <v/>
      </c>
      <c r="BG304">
        <f>IF(AND($G304=TRUE,$E304="FWD"),AZ304,"")</f>
        <v/>
      </c>
      <c r="BH304" t="n">
        <v>2</v>
      </c>
      <c r="BI304" t="n">
        <v>2</v>
      </c>
      <c r="BJ304" t="n">
        <v>4</v>
      </c>
      <c r="BK304" t="n">
        <v>6</v>
      </c>
    </row>
    <row r="305">
      <c r="A305" t="inlineStr">
        <is>
          <t>Charly Alcaraz</t>
        </is>
      </c>
      <c r="B305" t="inlineStr">
        <is>
          <t>EVE</t>
        </is>
      </c>
      <c r="C305" t="inlineStr">
        <is>
          <t>EVE</t>
        </is>
      </c>
      <c r="D305" t="b">
        <v>0</v>
      </c>
      <c r="E305" t="inlineStr">
        <is>
          <t>MID</t>
        </is>
      </c>
      <c r="F305" t="inlineStr">
        <is>
          <t>MID</t>
        </is>
      </c>
      <c r="G305" t="b">
        <v>1</v>
      </c>
      <c r="H305" s="2" t="n">
        <v>5</v>
      </c>
      <c r="I305" t="inlineStr">
        <is>
          <t>a</t>
        </is>
      </c>
      <c r="K305" s="2" t="n">
        <v>679</v>
      </c>
      <c r="L305" t="n">
        <v>29</v>
      </c>
      <c r="M305" s="3" t="n">
        <v>191</v>
      </c>
      <c r="N305" s="8" t="n">
        <v>191</v>
      </c>
      <c r="O305" s="8" t="n">
        <v>0</v>
      </c>
      <c r="Q305" t="inlineStr">
        <is>
          <t>flat</t>
        </is>
      </c>
      <c r="R305" s="6" t="n">
        <v>191</v>
      </c>
      <c r="S305" t="inlineStr">
        <is>
          <t>Solio</t>
        </is>
      </c>
      <c r="U305" s="6" t="n">
        <v>78</v>
      </c>
      <c r="V305" s="2" t="n">
        <v>6</v>
      </c>
      <c r="W305" s="7">
        <f>IF(N(U305)&lt;=0,0,MIN(Assumptions!$B$15,N(R305)/N(U305)))</f>
        <v/>
      </c>
      <c r="X305" s="6" t="n">
        <v>0.231</v>
      </c>
      <c r="Y305" s="3" t="n">
        <v>0.1671</v>
      </c>
      <c r="Z305" t="inlineStr">
        <is>
          <t>adjusted xGOT</t>
        </is>
      </c>
      <c r="AA305" s="3" t="n">
        <v>1</v>
      </c>
      <c r="AB305" s="3" t="n">
        <v>1.078</v>
      </c>
      <c r="AC305" s="3" t="n">
        <v>4.7</v>
      </c>
      <c r="AD305" s="3" t="n">
        <v>0.1162</v>
      </c>
      <c r="AE305" s="3" t="n">
        <v>8.917</v>
      </c>
      <c r="AF305" s="3" t="n">
        <v>0.093299955205703</v>
      </c>
      <c r="AG305" s="3" t="n">
        <v>6.843</v>
      </c>
      <c r="AH305" s="3" t="n">
        <v>0.2993351185</v>
      </c>
      <c r="AI305" s="3" t="n">
        <v>27</v>
      </c>
      <c r="AJ305" s="3" t="n">
        <v>3.0311</v>
      </c>
      <c r="AK305" s="3" t="n">
        <v>1.5252</v>
      </c>
      <c r="AL305" s="3" t="n">
        <v>-0.3513700501428538</v>
      </c>
      <c r="AM305" s="6" t="n">
        <v>0</v>
      </c>
      <c r="AN305" s="3" t="n">
        <v>0</v>
      </c>
      <c r="AO305" s="3" t="n">
        <v>0.8355</v>
      </c>
      <c r="AP305" s="3" t="n">
        <v>0.4601520000000001</v>
      </c>
      <c r="AQ305" s="3">
        <f>N(X305)*N(BJ305)</f>
        <v/>
      </c>
      <c r="AR305" s="3" t="n">
        <v>0</v>
      </c>
      <c r="AS305" s="3" t="n">
        <v>-0</v>
      </c>
      <c r="AT305" s="3" t="n">
        <v>-0.3513700501428538</v>
      </c>
      <c r="AU305" s="3">
        <f>SUM(AO305:AT305)</f>
        <v/>
      </c>
      <c r="AV305" s="7">
        <f>IF(OR(N(W305)&lt;=0,N(BH305)=0),0,N(W305)*IF(N(R305)/N(W305)&gt;=60,N(BH305),1))</f>
        <v/>
      </c>
      <c r="AW305" s="7">
        <f>N(W305)*N(AF305)*N(BI305)</f>
        <v/>
      </c>
      <c r="AX305" s="3">
        <f>IF(N(BH305)=0,0,N(W305)*N(AH305))</f>
        <v/>
      </c>
      <c r="AY305" s="7">
        <f>N(AM305)*(Assumptions!$B$13*N(BK305)-(1-Assumptions!$B$13)*Assumptions!$B$14)+N(AN305)</f>
        <v/>
      </c>
      <c r="AZ305" s="7">
        <f>N(AU305)*N(R305)/90+N(AV305)+N(AW305)+N(AX305)+N(AY305)</f>
        <v/>
      </c>
      <c r="BA305" s="3">
        <f>IF(N(R305)&lt;=0,0,(N(AZ305)-N(AY305))*90/N(R305))</f>
        <v/>
      </c>
      <c r="BB305" s="7">
        <f>IFERROR(AZ305-VLOOKUP($E305,Assumptions!$A$40:$C$43,3,FALSE),"")</f>
        <v/>
      </c>
      <c r="BC305" s="3">
        <f>IFERROR(BB305/H305,"")</f>
        <v/>
      </c>
      <c r="BD305">
        <f>IF(AND($G305=TRUE,$E305="GKP"),AZ305,"")</f>
        <v/>
      </c>
      <c r="BE305">
        <f>IF(AND($G305=TRUE,$E305="DEF"),AZ305,"")</f>
        <v/>
      </c>
      <c r="BF305">
        <f>IF(AND($G305=TRUE,$E305="MID"),AZ305,"")</f>
        <v/>
      </c>
      <c r="BG305">
        <f>IF(AND($G305=TRUE,$E305="FWD"),AZ305,"")</f>
        <v/>
      </c>
      <c r="BH305" t="n">
        <v>2</v>
      </c>
      <c r="BI305" t="n">
        <v>2</v>
      </c>
      <c r="BJ305" t="n">
        <v>1</v>
      </c>
      <c r="BK305" t="n">
        <v>5</v>
      </c>
    </row>
    <row r="306">
      <c r="A306" t="inlineStr">
        <is>
          <t>Yoane Wissa</t>
        </is>
      </c>
      <c r="B306" t="inlineStr">
        <is>
          <t>NEW</t>
        </is>
      </c>
      <c r="C306" t="inlineStr">
        <is>
          <t>NEW</t>
        </is>
      </c>
      <c r="D306" t="b">
        <v>0</v>
      </c>
      <c r="E306" t="inlineStr">
        <is>
          <t>FWD</t>
        </is>
      </c>
      <c r="F306" t="inlineStr">
        <is>
          <t>FWD</t>
        </is>
      </c>
      <c r="G306" t="b">
        <v>1</v>
      </c>
      <c r="H306" s="2" t="n">
        <v>6</v>
      </c>
      <c r="I306" t="inlineStr">
        <is>
          <t>a</t>
        </is>
      </c>
      <c r="K306" s="2" t="n">
        <v>517</v>
      </c>
      <c r="L306" t="n">
        <v>27</v>
      </c>
      <c r="M306" s="3" t="n">
        <v>1277</v>
      </c>
      <c r="N306" s="4" t="n">
        <v>1900</v>
      </c>
      <c r="O306" s="4" t="n">
        <v>623</v>
      </c>
      <c r="P306" s="5" t="inlineStr">
        <is>
          <t>high</t>
        </is>
      </c>
      <c r="Q306" t="inlineStr">
        <is>
          <t>flat</t>
        </is>
      </c>
      <c r="R306" s="6" t="n">
        <v>1900</v>
      </c>
      <c r="S306" t="inlineStr">
        <is>
          <t>research</t>
        </is>
      </c>
      <c r="T306" s="5" t="inlineStr">
        <is>
          <t>Solio's 1,277 anchors on his injury-wrecked 517 minutes in 2025/26. He has started all three of Jaissle's pre-season matches (as the No.10 behind Osula v Everton, as the No.9 v Leverkusen) and scored twice after coming on at Valencia. The Athletic reported the club explored selling him but decided the loss was too large, and expects a World Cup plus a full pre-season to lift his output. The Mag's predicted XI has him leading the line v Liverpool.</t>
        </is>
      </c>
      <c r="U306" s="6" t="n">
        <v>76.09999999999999</v>
      </c>
      <c r="V306" s="2" t="n">
        <v>4</v>
      </c>
      <c r="W306" s="7">
        <f>IF(N(U306)&lt;=0,0,MIN(Assumptions!$B$15,N(R306)/N(U306)))</f>
        <v/>
      </c>
      <c r="X306" s="6" t="n">
        <v>0.248</v>
      </c>
      <c r="Y306" s="3" t="n">
        <v>0.5092</v>
      </c>
      <c r="Z306" t="inlineStr">
        <is>
          <t>adjusted xGOT</t>
        </is>
      </c>
      <c r="AA306" s="3" t="n">
        <v>1</v>
      </c>
      <c r="AB306" s="3" t="n">
        <v>0.9350000000000001</v>
      </c>
      <c r="AC306" s="3" t="n">
        <v>37.9</v>
      </c>
      <c r="AD306" s="3" t="n">
        <v>0.0618</v>
      </c>
      <c r="AE306" s="3" t="n">
        <v>4.39</v>
      </c>
      <c r="AF306" s="3" t="n">
        <v>0.000483569870980638</v>
      </c>
      <c r="AG306" s="3" t="n">
        <v>0.089</v>
      </c>
      <c r="AH306" s="3" t="n">
        <v>0.5994689838</v>
      </c>
      <c r="AI306" s="3" t="n">
        <v>23</v>
      </c>
      <c r="AJ306" s="3" t="n">
        <v>3.0912</v>
      </c>
      <c r="AK306" s="3" t="n">
        <v>1.4534</v>
      </c>
      <c r="AL306" s="3" t="n">
        <v>-0.229874323940444</v>
      </c>
      <c r="AM306" s="6" t="n">
        <v>0.2172485302400686</v>
      </c>
      <c r="AN306" s="3" t="n">
        <v>0</v>
      </c>
      <c r="AO306" s="3" t="n">
        <v>2.0368</v>
      </c>
      <c r="AP306" s="3" t="n">
        <v>0.244728</v>
      </c>
      <c r="AQ306" s="3">
        <f>N(X306)*N(BJ306)</f>
        <v/>
      </c>
      <c r="AR306" s="3" t="n">
        <v>0</v>
      </c>
      <c r="AS306" s="3" t="n">
        <v>-0</v>
      </c>
      <c r="AT306" s="3" t="n">
        <v>-0.229874323940444</v>
      </c>
      <c r="AU306" s="3">
        <f>SUM(AO306:AT306)</f>
        <v/>
      </c>
      <c r="AV306" s="7">
        <f>IF(OR(N(W306)&lt;=0,N(BH306)=0),0,N(W306)*IF(N(R306)/N(W306)&gt;=60,N(BH306),1))</f>
        <v/>
      </c>
      <c r="AW306" s="7">
        <f>N(W306)*N(AF306)*N(BI306)</f>
        <v/>
      </c>
      <c r="AX306" s="3">
        <f>IF(N(BH306)=0,0,N(W306)*N(AH306))</f>
        <v/>
      </c>
      <c r="AY306" s="7">
        <f>N(AM306)*(Assumptions!$B$13*N(BK306)-(1-Assumptions!$B$13)*Assumptions!$B$14)+N(AN306)</f>
        <v/>
      </c>
      <c r="AZ306" s="7">
        <f>N(AU306)*N(R306)/90+N(AV306)+N(AW306)+N(AX306)+N(AY306)</f>
        <v/>
      </c>
      <c r="BA306" s="3">
        <f>IF(N(R306)&lt;=0,0,(N(AZ306)-N(AY306))*90/N(R306))</f>
        <v/>
      </c>
      <c r="BB306" s="7">
        <f>IFERROR(AZ306-VLOOKUP($E306,Assumptions!$A$40:$C$43,3,FALSE),"")</f>
        <v/>
      </c>
      <c r="BC306" s="3">
        <f>IFERROR(BB306/H306,"")</f>
        <v/>
      </c>
      <c r="BD306">
        <f>IF(AND($G306=TRUE,$E306="GKP"),AZ306,"")</f>
        <v/>
      </c>
      <c r="BE306">
        <f>IF(AND($G306=TRUE,$E306="DEF"),AZ306,"")</f>
        <v/>
      </c>
      <c r="BF306">
        <f>IF(AND($G306=TRUE,$E306="MID"),AZ306,"")</f>
        <v/>
      </c>
      <c r="BG306">
        <f>IF(AND($G306=TRUE,$E306="FWD"),AZ306,"")</f>
        <v/>
      </c>
      <c r="BH306" t="n">
        <v>2</v>
      </c>
      <c r="BI306" t="n">
        <v>2</v>
      </c>
      <c r="BJ306" t="n">
        <v>0</v>
      </c>
      <c r="BK306" t="n">
        <v>4</v>
      </c>
    </row>
    <row r="307">
      <c r="A307" t="inlineStr">
        <is>
          <t>Enes Ünal</t>
        </is>
      </c>
      <c r="B307" t="inlineStr">
        <is>
          <t>BOU</t>
        </is>
      </c>
      <c r="C307" t="inlineStr">
        <is>
          <t>BOU</t>
        </is>
      </c>
      <c r="D307" t="b">
        <v>0</v>
      </c>
      <c r="E307" t="inlineStr">
        <is>
          <t>FWD</t>
        </is>
      </c>
      <c r="F307" t="inlineStr">
        <is>
          <t>FWD</t>
        </is>
      </c>
      <c r="G307" t="b">
        <v>1</v>
      </c>
      <c r="H307" s="2" t="n">
        <v>5.5</v>
      </c>
      <c r="I307" t="inlineStr">
        <is>
          <t>u</t>
        </is>
      </c>
      <c r="J307" t="inlineStr">
        <is>
          <t>Has joined Getafe permanently</t>
        </is>
      </c>
      <c r="K307" s="2" t="n">
        <v>214</v>
      </c>
      <c r="L307" t="n">
        <v>27</v>
      </c>
      <c r="M307" s="3" t="n"/>
      <c r="N307" s="4" t="n">
        <v>0</v>
      </c>
      <c r="O307" s="4" t="n">
        <v>-214</v>
      </c>
      <c r="P307" s="5" t="inlineStr">
        <is>
          <t>high</t>
        </is>
      </c>
      <c r="R307" s="6" t="n">
        <v>0</v>
      </c>
      <c r="S307" t="inlineStr">
        <is>
          <t>research</t>
        </is>
      </c>
      <c r="T307" s="5" t="inlineStr">
        <is>
          <t>Joined Getafe permanently on 13 Aug 2026, after Solio's data cutoff. He is no longer a Bournemouth player and cannot record a Premier League minute for them. The FPL bootstrap independently flags him status 'u' with the news string 'Has joined Getafe permanently'.</t>
        </is>
      </c>
      <c r="U307" s="6" t="n">
        <v>78.5</v>
      </c>
      <c r="V307" s="2" t="n">
        <v>0</v>
      </c>
      <c r="W307" s="7">
        <f>IF(N(U307)&lt;=0,0,MIN(Assumptions!$B$15,N(R307)/N(U307)))</f>
        <v/>
      </c>
      <c r="X307" s="6" t="n">
        <v>0.23</v>
      </c>
      <c r="Y307" s="3" t="n">
        <v>0.7023</v>
      </c>
      <c r="Z307" t="inlineStr">
        <is>
          <t>adjusted xGOT</t>
        </is>
      </c>
      <c r="AA307" s="3" t="n">
        <v>1</v>
      </c>
      <c r="AB307" s="3" t="n">
        <v>0.835</v>
      </c>
      <c r="AC307" s="3" t="n">
        <v>7.6</v>
      </c>
      <c r="AD307" s="3" t="n">
        <v>0.0745</v>
      </c>
      <c r="AE307" s="3" t="n">
        <v>5.911</v>
      </c>
      <c r="AF307" s="3" t="n">
        <v>0.006861587310216022</v>
      </c>
      <c r="AG307" s="3" t="n">
        <v>1.273</v>
      </c>
      <c r="AH307" s="3" t="n">
        <v>0.93656682</v>
      </c>
      <c r="AI307" s="3" t="n">
        <v>23</v>
      </c>
      <c r="AJ307" s="3" t="n">
        <v>3.0957</v>
      </c>
      <c r="AK307" s="3" t="n">
        <v>1.53</v>
      </c>
      <c r="AL307" s="3" t="n">
        <v>-0.2485444029356791</v>
      </c>
      <c r="AM307" s="6" t="n">
        <v>0</v>
      </c>
      <c r="AN307" s="3" t="n">
        <v>0</v>
      </c>
      <c r="AO307" s="3" t="n">
        <v>2.8092</v>
      </c>
      <c r="AP307" s="3" t="n">
        <v>0.29502</v>
      </c>
      <c r="AQ307" s="3">
        <f>N(X307)*N(BJ307)</f>
        <v/>
      </c>
      <c r="AR307" s="3" t="n">
        <v>0</v>
      </c>
      <c r="AS307" s="3" t="n">
        <v>-0</v>
      </c>
      <c r="AT307" s="3" t="n">
        <v>-0.2485444029356791</v>
      </c>
      <c r="AU307" s="3">
        <f>SUM(AO307:AT307)</f>
        <v/>
      </c>
      <c r="AV307" s="7">
        <f>IF(OR(N(W307)&lt;=0,N(BH307)=0),0,N(W307)*IF(N(R307)/N(W307)&gt;=60,N(BH307),1))</f>
        <v/>
      </c>
      <c r="AW307" s="7">
        <f>N(W307)*N(AF307)*N(BI307)</f>
        <v/>
      </c>
      <c r="AX307" s="3">
        <f>IF(N(BH307)=0,0,N(W307)*N(AH307))</f>
        <v/>
      </c>
      <c r="AY307" s="7">
        <f>N(AM307)*(Assumptions!$B$13*N(BK307)-(1-Assumptions!$B$13)*Assumptions!$B$14)+N(AN307)</f>
        <v/>
      </c>
      <c r="AZ307" s="7">
        <f>N(AU307)*N(R307)/90+N(AV307)+N(AW307)+N(AX307)+N(AY307)</f>
        <v/>
      </c>
      <c r="BA307" s="3">
        <f>IF(N(R307)&lt;=0,0,(N(AZ307)-N(AY307))*90/N(R307))</f>
        <v/>
      </c>
      <c r="BB307" s="7">
        <f>IFERROR(AZ307-VLOOKUP($E307,Assumptions!$A$40:$C$43,3,FALSE),"")</f>
        <v/>
      </c>
      <c r="BC307" s="3">
        <f>IFERROR(BB307/H307,"")</f>
        <v/>
      </c>
      <c r="BD307">
        <f>IF(AND($G307=TRUE,$E307="GKP"),AZ307,"")</f>
        <v/>
      </c>
      <c r="BE307">
        <f>IF(AND($G307=TRUE,$E307="DEF"),AZ307,"")</f>
        <v/>
      </c>
      <c r="BF307">
        <f>IF(AND($G307=TRUE,$E307="MID"),AZ307,"")</f>
        <v/>
      </c>
      <c r="BG307">
        <f>IF(AND($G307=TRUE,$E307="FWD"),AZ307,"")</f>
        <v/>
      </c>
      <c r="BH307" t="n">
        <v>2</v>
      </c>
      <c r="BI307" t="n">
        <v>2</v>
      </c>
      <c r="BJ307" t="n">
        <v>0</v>
      </c>
      <c r="BK307" t="n">
        <v>4</v>
      </c>
    </row>
    <row r="308">
      <c r="A308" t="inlineStr">
        <is>
          <t>Luke O'Nien</t>
        </is>
      </c>
      <c r="B308" t="inlineStr">
        <is>
          <t>SUN</t>
        </is>
      </c>
      <c r="C308" t="inlineStr">
        <is>
          <t>SUN</t>
        </is>
      </c>
      <c r="D308" t="b">
        <v>0</v>
      </c>
      <c r="E308" t="inlineStr">
        <is>
          <t>DEF</t>
        </is>
      </c>
      <c r="F308" t="inlineStr">
        <is>
          <t>DEF</t>
        </is>
      </c>
      <c r="G308" t="b">
        <v>1</v>
      </c>
      <c r="H308" s="2" t="n">
        <v>4</v>
      </c>
      <c r="I308" t="inlineStr">
        <is>
          <t>a</t>
        </is>
      </c>
      <c r="K308" s="2" t="n">
        <v>565</v>
      </c>
      <c r="L308" t="n">
        <v>26</v>
      </c>
      <c r="M308" s="3" t="n">
        <v>406</v>
      </c>
      <c r="N308" s="4" t="n">
        <v>1050</v>
      </c>
      <c r="O308" s="4" t="n">
        <v>644</v>
      </c>
      <c r="P308" s="5" t="inlineStr">
        <is>
          <t>medium</t>
        </is>
      </c>
      <c r="Q308" t="inlineStr">
        <is>
          <t>flat</t>
        </is>
      </c>
      <c r="R308" s="6" t="n">
        <v>1050</v>
      </c>
      <c r="S308" t="inlineStr">
        <is>
          <t>research</t>
        </is>
      </c>
      <c r="T308" s="5" t="inlineStr">
        <is>
          <t>Solio has O'Nien at 406 minutes, a deep-squad number. He started both August friendlies at centre-back, and both the 11 Aug Echo preview and follow-up analysis have him starting the opener, with Le Bris quoted that 'we know he's ready to be competitive in that league'. Deliberately not raised further: the opening is created by Mukiele's and Alderete's knocks, both of which Le Bris expects to clear within weeks, and O'Nien is 31 with 565 Premier League minutes last season. The proposed figure treats him as a genuine rotation defender who starts the season in the XI, not as a new nailed-on starter.</t>
        </is>
      </c>
      <c r="U308" s="6" t="n">
        <v>87</v>
      </c>
      <c r="V308" s="2" t="n">
        <v>5</v>
      </c>
      <c r="W308" s="7">
        <f>IF(N(U308)&lt;=0,0,MIN(Assumptions!$B$15,N(R308)/N(U308)))</f>
        <v/>
      </c>
      <c r="X308" s="6" t="n">
        <v>0.204</v>
      </c>
      <c r="Y308" s="3" t="n">
        <v>0.0237</v>
      </c>
      <c r="Z308" t="inlineStr">
        <is>
          <t>adjusted xGOT</t>
        </is>
      </c>
      <c r="AA308" s="3" t="n">
        <v>1</v>
      </c>
      <c r="AB308" s="3" t="n">
        <v>0.994</v>
      </c>
      <c r="AC308" s="3" t="n">
        <v>0.2</v>
      </c>
      <c r="AD308" s="3" t="n">
        <v>0.0188</v>
      </c>
      <c r="AE308" s="3" t="n">
        <v>7.318</v>
      </c>
      <c r="AF308" s="3" t="n">
        <v>0.1770935280343157</v>
      </c>
      <c r="AG308" s="3" t="n">
        <v>7.447</v>
      </c>
      <c r="AH308" s="3" t="n">
        <v>0.1151938462</v>
      </c>
      <c r="AI308" s="3" t="n">
        <v>18</v>
      </c>
      <c r="AJ308" s="3" t="n">
        <v>3.3348</v>
      </c>
      <c r="AK308" s="3" t="n">
        <v>1.6498</v>
      </c>
      <c r="AL308" s="3" t="n">
        <v>-0.1977506570608021</v>
      </c>
      <c r="AM308" s="6" t="n">
        <v>0</v>
      </c>
      <c r="AN308" s="3" t="n">
        <v>0</v>
      </c>
      <c r="AO308" s="3" t="n">
        <v>0.1422</v>
      </c>
      <c r="AP308" s="3" t="n">
        <v>0.07444800000000001</v>
      </c>
      <c r="AQ308" s="3">
        <f>N(X308)*N(BJ308)</f>
        <v/>
      </c>
      <c r="AR308" s="3" t="n">
        <v>0</v>
      </c>
      <c r="AS308" s="3" t="n">
        <v>-0.5841244809045405</v>
      </c>
      <c r="AT308" s="3" t="n">
        <v>-0.1977506570608021</v>
      </c>
      <c r="AU308" s="3">
        <f>SUM(AO308:AT308)</f>
        <v/>
      </c>
      <c r="AV308" s="7">
        <f>IF(OR(N(W308)&lt;=0,N(BH308)=0),0,N(W308)*IF(N(R308)/N(W308)&gt;=60,N(BH308),1))</f>
        <v/>
      </c>
      <c r="AW308" s="7">
        <f>N(W308)*N(AF308)*N(BI308)</f>
        <v/>
      </c>
      <c r="AX308" s="3">
        <f>IF(N(BH308)=0,0,N(W308)*N(AH308))</f>
        <v/>
      </c>
      <c r="AY308" s="7">
        <f>N(AM308)*(Assumptions!$B$13*N(BK308)-(1-Assumptions!$B$13)*Assumptions!$B$14)+N(AN308)</f>
        <v/>
      </c>
      <c r="AZ308" s="7">
        <f>N(AU308)*N(R308)/90+N(AV308)+N(AW308)+N(AX308)+N(AY308)</f>
        <v/>
      </c>
      <c r="BA308" s="3">
        <f>IF(N(R308)&lt;=0,0,(N(AZ308)-N(AY308))*90/N(R308))</f>
        <v/>
      </c>
      <c r="BB308" s="7">
        <f>IFERROR(AZ308-VLOOKUP($E308,Assumptions!$A$40:$C$43,3,FALSE),"")</f>
        <v/>
      </c>
      <c r="BC308" s="3">
        <f>IFERROR(BB308/H308,"")</f>
        <v/>
      </c>
      <c r="BD308">
        <f>IF(AND($G308=TRUE,$E308="GKP"),AZ308,"")</f>
        <v/>
      </c>
      <c r="BE308">
        <f>IF(AND($G308=TRUE,$E308="DEF"),AZ308,"")</f>
        <v/>
      </c>
      <c r="BF308">
        <f>IF(AND($G308=TRUE,$E308="MID"),AZ308,"")</f>
        <v/>
      </c>
      <c r="BG308">
        <f>IF(AND($G308=TRUE,$E308="FWD"),AZ308,"")</f>
        <v/>
      </c>
      <c r="BH308" t="n">
        <v>2</v>
      </c>
      <c r="BI308" t="n">
        <v>2</v>
      </c>
      <c r="BJ308" t="n">
        <v>4</v>
      </c>
      <c r="BK308" t="n">
        <v>6</v>
      </c>
    </row>
    <row r="309">
      <c r="A309" t="inlineStr">
        <is>
          <t>Dilane Bakwa</t>
        </is>
      </c>
      <c r="B309" t="inlineStr">
        <is>
          <t>NFO</t>
        </is>
      </c>
      <c r="C309" t="inlineStr">
        <is>
          <t>NFO</t>
        </is>
      </c>
      <c r="D309" t="b">
        <v>0</v>
      </c>
      <c r="E309" t="inlineStr">
        <is>
          <t>MID</t>
        </is>
      </c>
      <c r="F309" t="inlineStr">
        <is>
          <t>MID</t>
        </is>
      </c>
      <c r="G309" t="b">
        <v>1</v>
      </c>
      <c r="H309" s="2" t="n">
        <v>5.5</v>
      </c>
      <c r="I309" t="inlineStr">
        <is>
          <t>a</t>
        </is>
      </c>
      <c r="K309" s="2" t="n">
        <v>549</v>
      </c>
      <c r="L309" t="n">
        <v>26</v>
      </c>
      <c r="M309" s="3" t="n">
        <v>164</v>
      </c>
      <c r="N309" s="8" t="n">
        <v>164</v>
      </c>
      <c r="O309" s="8" t="n">
        <v>0</v>
      </c>
      <c r="Q309" t="inlineStr">
        <is>
          <t>flat</t>
        </is>
      </c>
      <c r="R309" s="6" t="n">
        <v>164</v>
      </c>
      <c r="S309" t="inlineStr">
        <is>
          <t>Solio</t>
        </is>
      </c>
      <c r="U309" s="6" t="n">
        <v>74.09999999999999</v>
      </c>
      <c r="V309" s="2" t="n">
        <v>6</v>
      </c>
      <c r="W309" s="7">
        <f>IF(N(U309)&lt;=0,0,MIN(Assumptions!$B$15,N(R309)/N(U309)))</f>
        <v/>
      </c>
      <c r="X309" s="6" t="n">
        <v>0.224</v>
      </c>
      <c r="Y309" s="3" t="n">
        <v>0.0851</v>
      </c>
      <c r="Z309" t="inlineStr">
        <is>
          <t>adjusted xGOT</t>
        </is>
      </c>
      <c r="AA309" s="3" t="n">
        <v>1</v>
      </c>
      <c r="AB309" s="3" t="n">
        <v>0.96</v>
      </c>
      <c r="AC309" s="3" t="n">
        <v>0.5</v>
      </c>
      <c r="AD309" s="3" t="n">
        <v>0.1825</v>
      </c>
      <c r="AE309" s="3" t="n">
        <v>7.349</v>
      </c>
      <c r="AF309" s="3" t="n">
        <v>0.02125795280200315</v>
      </c>
      <c r="AG309" s="3" t="n">
        <v>6.377</v>
      </c>
      <c r="AH309" s="3" t="n">
        <v>0.182025688</v>
      </c>
      <c r="AI309" s="3" t="n">
        <v>18</v>
      </c>
      <c r="AJ309" s="3" t="n">
        <v>3.1134</v>
      </c>
      <c r="AK309" s="3" t="n">
        <v>1.5588</v>
      </c>
      <c r="AL309" s="3" t="n">
        <v>-0.2062518757226311</v>
      </c>
      <c r="AM309" s="6" t="n">
        <v>0</v>
      </c>
      <c r="AN309" s="3" t="n">
        <v>0</v>
      </c>
      <c r="AO309" s="3" t="n">
        <v>0.4255</v>
      </c>
      <c r="AP309" s="3" t="n">
        <v>0.7227</v>
      </c>
      <c r="AQ309" s="3">
        <f>N(X309)*N(BJ309)</f>
        <v/>
      </c>
      <c r="AR309" s="3" t="n">
        <v>0</v>
      </c>
      <c r="AS309" s="3" t="n">
        <v>-0</v>
      </c>
      <c r="AT309" s="3" t="n">
        <v>-0.2062518757226311</v>
      </c>
      <c r="AU309" s="3">
        <f>SUM(AO309:AT309)</f>
        <v/>
      </c>
      <c r="AV309" s="7">
        <f>IF(OR(N(W309)&lt;=0,N(BH309)=0),0,N(W309)*IF(N(R309)/N(W309)&gt;=60,N(BH309),1))</f>
        <v/>
      </c>
      <c r="AW309" s="7">
        <f>N(W309)*N(AF309)*N(BI309)</f>
        <v/>
      </c>
      <c r="AX309" s="3">
        <f>IF(N(BH309)=0,0,N(W309)*N(AH309))</f>
        <v/>
      </c>
      <c r="AY309" s="7">
        <f>N(AM309)*(Assumptions!$B$13*N(BK309)-(1-Assumptions!$B$13)*Assumptions!$B$14)+N(AN309)</f>
        <v/>
      </c>
      <c r="AZ309" s="7">
        <f>N(AU309)*N(R309)/90+N(AV309)+N(AW309)+N(AX309)+N(AY309)</f>
        <v/>
      </c>
      <c r="BA309" s="3">
        <f>IF(N(R309)&lt;=0,0,(N(AZ309)-N(AY309))*90/N(R309))</f>
        <v/>
      </c>
      <c r="BB309" s="7">
        <f>IFERROR(AZ309-VLOOKUP($E309,Assumptions!$A$40:$C$43,3,FALSE),"")</f>
        <v/>
      </c>
      <c r="BC309" s="3">
        <f>IFERROR(BB309/H309,"")</f>
        <v/>
      </c>
      <c r="BD309">
        <f>IF(AND($G309=TRUE,$E309="GKP"),AZ309,"")</f>
        <v/>
      </c>
      <c r="BE309">
        <f>IF(AND($G309=TRUE,$E309="DEF"),AZ309,"")</f>
        <v/>
      </c>
      <c r="BF309">
        <f>IF(AND($G309=TRUE,$E309="MID"),AZ309,"")</f>
        <v/>
      </c>
      <c r="BG309">
        <f>IF(AND($G309=TRUE,$E309="FWD"),AZ309,"")</f>
        <v/>
      </c>
      <c r="BH309" t="n">
        <v>2</v>
      </c>
      <c r="BI309" t="n">
        <v>2</v>
      </c>
      <c r="BJ309" t="n">
        <v>1</v>
      </c>
      <c r="BK309" t="n">
        <v>5</v>
      </c>
    </row>
    <row r="310">
      <c r="A310" t="inlineStr">
        <is>
          <t>Jamie Gittens</t>
        </is>
      </c>
      <c r="B310" t="inlineStr">
        <is>
          <t>CHE</t>
        </is>
      </c>
      <c r="C310" t="inlineStr">
        <is>
          <t>CHE</t>
        </is>
      </c>
      <c r="D310" t="b">
        <v>0</v>
      </c>
      <c r="E310" t="inlineStr">
        <is>
          <t>MID</t>
        </is>
      </c>
      <c r="F310" t="inlineStr">
        <is>
          <t>MID</t>
        </is>
      </c>
      <c r="G310" t="b">
        <v>1</v>
      </c>
      <c r="H310" s="2" t="n">
        <v>6</v>
      </c>
      <c r="I310" t="inlineStr">
        <is>
          <t>a</t>
        </is>
      </c>
      <c r="K310" s="2" t="n">
        <v>486</v>
      </c>
      <c r="L310" t="n">
        <v>25</v>
      </c>
      <c r="M310" s="3" t="n">
        <v>464</v>
      </c>
      <c r="N310" s="8" t="n">
        <v>464</v>
      </c>
      <c r="O310" s="8" t="n">
        <v>0</v>
      </c>
      <c r="Q310" t="inlineStr">
        <is>
          <t>flat</t>
        </is>
      </c>
      <c r="R310" s="6" t="n">
        <v>464</v>
      </c>
      <c r="S310" t="inlineStr">
        <is>
          <t>Solio</t>
        </is>
      </c>
      <c r="U310" s="6" t="n">
        <v>72.3</v>
      </c>
      <c r="V310" s="2" t="n">
        <v>5</v>
      </c>
      <c r="W310" s="7">
        <f>IF(N(U310)&lt;=0,0,MIN(Assumptions!$B$15,N(R310)/N(U310)))</f>
        <v/>
      </c>
      <c r="X310" s="6" t="n">
        <v>0.322</v>
      </c>
      <c r="Y310" s="3" t="n">
        <v>0.138</v>
      </c>
      <c r="Z310" t="inlineStr">
        <is>
          <t>adjusted xGOT</t>
        </is>
      </c>
      <c r="AA310" s="3" t="n">
        <v>1</v>
      </c>
      <c r="AB310" s="3" t="n">
        <v>0.919</v>
      </c>
      <c r="AC310" s="3" t="n">
        <v>0.8</v>
      </c>
      <c r="AD310" s="3" t="n">
        <v>0.1776</v>
      </c>
      <c r="AE310" s="3" t="n">
        <v>7.285</v>
      </c>
      <c r="AF310" s="3" t="n">
        <v>0.01696414758920628</v>
      </c>
      <c r="AG310" s="3" t="n">
        <v>6.433</v>
      </c>
      <c r="AH310" s="3" t="n">
        <v>0.2147149104</v>
      </c>
      <c r="AI310" s="3" t="n">
        <v>18</v>
      </c>
      <c r="AJ310" s="3" t="n">
        <v>2.4232</v>
      </c>
      <c r="AK310" s="3" t="n">
        <v>1.1851</v>
      </c>
      <c r="AL310" s="3" t="n">
        <v>-0.1657253341110213</v>
      </c>
      <c r="AM310" s="6" t="n">
        <v>0</v>
      </c>
      <c r="AN310" s="3" t="n">
        <v>0</v>
      </c>
      <c r="AO310" s="3" t="n">
        <v>0.6900000000000001</v>
      </c>
      <c r="AP310" s="3" t="n">
        <v>0.7032960000000001</v>
      </c>
      <c r="AQ310" s="3">
        <f>N(X310)*N(BJ310)</f>
        <v/>
      </c>
      <c r="AR310" s="3" t="n">
        <v>0</v>
      </c>
      <c r="AS310" s="3" t="n">
        <v>-0</v>
      </c>
      <c r="AT310" s="3" t="n">
        <v>-0.1657253341110213</v>
      </c>
      <c r="AU310" s="3">
        <f>SUM(AO310:AT310)</f>
        <v/>
      </c>
      <c r="AV310" s="7">
        <f>IF(OR(N(W310)&lt;=0,N(BH310)=0),0,N(W310)*IF(N(R310)/N(W310)&gt;=60,N(BH310),1))</f>
        <v/>
      </c>
      <c r="AW310" s="7">
        <f>N(W310)*N(AF310)*N(BI310)</f>
        <v/>
      </c>
      <c r="AX310" s="3">
        <f>IF(N(BH310)=0,0,N(W310)*N(AH310))</f>
        <v/>
      </c>
      <c r="AY310" s="7">
        <f>N(AM310)*(Assumptions!$B$13*N(BK310)-(1-Assumptions!$B$13)*Assumptions!$B$14)+N(AN310)</f>
        <v/>
      </c>
      <c r="AZ310" s="7">
        <f>N(AU310)*N(R310)/90+N(AV310)+N(AW310)+N(AX310)+N(AY310)</f>
        <v/>
      </c>
      <c r="BA310" s="3">
        <f>IF(N(R310)&lt;=0,0,(N(AZ310)-N(AY310))*90/N(R310))</f>
        <v/>
      </c>
      <c r="BB310" s="7">
        <f>IFERROR(AZ310-VLOOKUP($E310,Assumptions!$A$40:$C$43,3,FALSE),"")</f>
        <v/>
      </c>
      <c r="BC310" s="3">
        <f>IFERROR(BB310/H310,"")</f>
        <v/>
      </c>
      <c r="BD310">
        <f>IF(AND($G310=TRUE,$E310="GKP"),AZ310,"")</f>
        <v/>
      </c>
      <c r="BE310">
        <f>IF(AND($G310=TRUE,$E310="DEF"),AZ310,"")</f>
        <v/>
      </c>
      <c r="BF310">
        <f>IF(AND($G310=TRUE,$E310="MID"),AZ310,"")</f>
        <v/>
      </c>
      <c r="BG310">
        <f>IF(AND($G310=TRUE,$E310="FWD"),AZ310,"")</f>
        <v/>
      </c>
      <c r="BH310" t="n">
        <v>2</v>
      </c>
      <c r="BI310" t="n">
        <v>2</v>
      </c>
      <c r="BJ310" t="n">
        <v>1</v>
      </c>
      <c r="BK310" t="n">
        <v>5</v>
      </c>
    </row>
    <row r="311">
      <c r="A311" t="inlineStr">
        <is>
          <t>Sebastiaan Bornauw</t>
        </is>
      </c>
      <c r="B311" t="inlineStr">
        <is>
          <t>LEE</t>
        </is>
      </c>
      <c r="C311" t="inlineStr">
        <is>
          <t>LEE</t>
        </is>
      </c>
      <c r="D311" t="b">
        <v>0</v>
      </c>
      <c r="E311" t="inlineStr">
        <is>
          <t>DEF</t>
        </is>
      </c>
      <c r="F311" t="inlineStr">
        <is>
          <t>DEF</t>
        </is>
      </c>
      <c r="G311" t="b">
        <v>1</v>
      </c>
      <c r="H311" s="2" t="n">
        <v>4.5</v>
      </c>
      <c r="I311" t="inlineStr">
        <is>
          <t>a</t>
        </is>
      </c>
      <c r="K311" s="2" t="n">
        <v>429</v>
      </c>
      <c r="L311" t="n">
        <v>25</v>
      </c>
      <c r="M311" s="3" t="n">
        <v>345</v>
      </c>
      <c r="N311" s="4" t="n">
        <v>150</v>
      </c>
      <c r="O311" s="4" t="n">
        <v>-195</v>
      </c>
      <c r="P311" s="5" t="inlineStr">
        <is>
          <t>low</t>
        </is>
      </c>
      <c r="Q311" t="inlineStr">
        <is>
          <t>flat</t>
        </is>
      </c>
      <c r="R311" s="6" t="n">
        <v>150</v>
      </c>
      <c r="S311" t="inlineStr">
        <is>
          <t>research</t>
        </is>
      </c>
      <c r="T311" s="5" t="inlineStr">
        <is>
          <t>Likely departure. He was an unused substitute in the final friendly, local press on 15 Aug reported HSV 'closing in on a deal', and Farke confirmed on 13 Aug that Leeds are 'in very open, honest discussions also with him' about his future while saying 'I could live very, very good if he stays'. Separately, the Nico Elvedi deal is reported to be contingent on Bornauw leaving. Cut only partway rather than to zero because Farke has publicly said he would be happy to keep him and nothing is signed.</t>
        </is>
      </c>
      <c r="U311" s="6" t="n">
        <v>82.90000000000001</v>
      </c>
      <c r="V311" s="2" t="n">
        <v>5</v>
      </c>
      <c r="W311" s="7">
        <f>IF(N(U311)&lt;=0,0,MIN(Assumptions!$B$15,N(R311)/N(U311)))</f>
        <v/>
      </c>
      <c r="X311" s="6" t="n">
        <v>0.218</v>
      </c>
      <c r="Y311" s="3" t="n">
        <v>0.0409</v>
      </c>
      <c r="Z311" t="inlineStr">
        <is>
          <t>adjusted xGOT</t>
        </is>
      </c>
      <c r="AA311" s="3" t="n">
        <v>1</v>
      </c>
      <c r="AB311" s="3" t="n">
        <v>0.976</v>
      </c>
      <c r="AC311" s="3" t="n">
        <v>0.2</v>
      </c>
      <c r="AD311" s="3" t="n">
        <v>0.001</v>
      </c>
      <c r="AE311" s="3" t="n">
        <v>8.654</v>
      </c>
      <c r="AF311" s="3" t="n">
        <v>0.279820632909718</v>
      </c>
      <c r="AG311" s="3" t="n">
        <v>6.861</v>
      </c>
      <c r="AH311" s="3" t="n">
        <v>0.09379858520000001</v>
      </c>
      <c r="AI311" s="3" t="n">
        <v>16</v>
      </c>
      <c r="AJ311" s="3" t="n">
        <v>3.0611</v>
      </c>
      <c r="AK311" s="3" t="n">
        <v>1.5875</v>
      </c>
      <c r="AL311" s="3" t="n">
        <v>-0.2105976440646309</v>
      </c>
      <c r="AM311" s="6" t="n">
        <v>0</v>
      </c>
      <c r="AN311" s="3" t="n">
        <v>0</v>
      </c>
      <c r="AO311" s="3" t="n">
        <v>0.2454</v>
      </c>
      <c r="AP311" s="3" t="n">
        <v>0.00396</v>
      </c>
      <c r="AQ311" s="3">
        <f>N(X311)*N(BJ311)</f>
        <v/>
      </c>
      <c r="AR311" s="3" t="n">
        <v>0</v>
      </c>
      <c r="AS311" s="3" t="n">
        <v>-0.5541985260210861</v>
      </c>
      <c r="AT311" s="3" t="n">
        <v>-0.2105976440646309</v>
      </c>
      <c r="AU311" s="3">
        <f>SUM(AO311:AT311)</f>
        <v/>
      </c>
      <c r="AV311" s="7">
        <f>IF(OR(N(W311)&lt;=0,N(BH311)=0),0,N(W311)*IF(N(R311)/N(W311)&gt;=60,N(BH311),1))</f>
        <v/>
      </c>
      <c r="AW311" s="7">
        <f>N(W311)*N(AF311)*N(BI311)</f>
        <v/>
      </c>
      <c r="AX311" s="3">
        <f>IF(N(BH311)=0,0,N(W311)*N(AH311))</f>
        <v/>
      </c>
      <c r="AY311" s="7">
        <f>N(AM311)*(Assumptions!$B$13*N(BK311)-(1-Assumptions!$B$13)*Assumptions!$B$14)+N(AN311)</f>
        <v/>
      </c>
      <c r="AZ311" s="7">
        <f>N(AU311)*N(R311)/90+N(AV311)+N(AW311)+N(AX311)+N(AY311)</f>
        <v/>
      </c>
      <c r="BA311" s="3">
        <f>IF(N(R311)&lt;=0,0,(N(AZ311)-N(AY311))*90/N(R311))</f>
        <v/>
      </c>
      <c r="BB311" s="7">
        <f>IFERROR(AZ311-VLOOKUP($E311,Assumptions!$A$40:$C$43,3,FALSE),"")</f>
        <v/>
      </c>
      <c r="BC311" s="3">
        <f>IFERROR(BB311/H311,"")</f>
        <v/>
      </c>
      <c r="BD311">
        <f>IF(AND($G311=TRUE,$E311="GKP"),AZ311,"")</f>
        <v/>
      </c>
      <c r="BE311">
        <f>IF(AND($G311=TRUE,$E311="DEF"),AZ311,"")</f>
        <v/>
      </c>
      <c r="BF311">
        <f>IF(AND($G311=TRUE,$E311="MID"),AZ311,"")</f>
        <v/>
      </c>
      <c r="BG311">
        <f>IF(AND($G311=TRUE,$E311="FWD"),AZ311,"")</f>
        <v/>
      </c>
      <c r="BH311" t="n">
        <v>2</v>
      </c>
      <c r="BI311" t="n">
        <v>2</v>
      </c>
      <c r="BJ311" t="n">
        <v>4</v>
      </c>
      <c r="BK311" t="n">
        <v>6</v>
      </c>
    </row>
    <row r="312">
      <c r="A312" t="inlineStr">
        <is>
          <t>Gabriel Jesus</t>
        </is>
      </c>
      <c r="B312" t="inlineStr">
        <is>
          <t>ARS</t>
        </is>
      </c>
      <c r="C312" t="inlineStr">
        <is>
          <t>ARS</t>
        </is>
      </c>
      <c r="D312" t="b">
        <v>0</v>
      </c>
      <c r="E312" t="inlineStr">
        <is>
          <t>FWD</t>
        </is>
      </c>
      <c r="F312" t="inlineStr">
        <is>
          <t>FWD</t>
        </is>
      </c>
      <c r="G312" t="b">
        <v>1</v>
      </c>
      <c r="H312" s="2" t="n">
        <v>6</v>
      </c>
      <c r="I312" t="inlineStr">
        <is>
          <t>a</t>
        </is>
      </c>
      <c r="K312" s="2" t="n">
        <v>418</v>
      </c>
      <c r="L312" t="n">
        <v>24</v>
      </c>
      <c r="M312" s="3" t="n">
        <v>86</v>
      </c>
      <c r="N312" s="4" t="n">
        <v>0</v>
      </c>
      <c r="O312" s="4" t="n">
        <v>-86</v>
      </c>
      <c r="P312" s="5" t="inlineStr">
        <is>
          <t>medium</t>
        </is>
      </c>
      <c r="Q312" t="inlineStr">
        <is>
          <t>flat</t>
        </is>
      </c>
      <c r="R312" s="6" t="n">
        <v>0</v>
      </c>
      <c r="S312" t="inlineStr">
        <is>
          <t>research</t>
        </is>
      </c>
      <c r="T312" s="5" t="inlineStr">
        <is>
          <t>Arseblog News on 13 August: 'Napoli continue to be linked with Gabriel Jesus', and lists him among the players expected to move on before the window shuts. Behind Havertz, Gyokeres and Havertz-Gyokeres rotation he has no route to league minutes if he stays either.</t>
        </is>
      </c>
      <c r="U312" s="6" t="n">
        <v>75</v>
      </c>
      <c r="V312" s="2" t="n">
        <v>3</v>
      </c>
      <c r="W312" s="7">
        <f>IF(N(U312)&lt;=0,0,MIN(Assumptions!$B$15,N(R312)/N(U312)))</f>
        <v/>
      </c>
      <c r="X312" s="6" t="n">
        <v>0.391</v>
      </c>
      <c r="Y312" s="3" t="n">
        <v>0.509</v>
      </c>
      <c r="Z312" t="inlineStr">
        <is>
          <t>adjusted xGOT</t>
        </is>
      </c>
      <c r="AA312" s="3" t="n">
        <v>1</v>
      </c>
      <c r="AB312" s="3" t="n">
        <v>0.872</v>
      </c>
      <c r="AC312" s="3" t="n">
        <v>26.3</v>
      </c>
      <c r="AD312" s="3" t="n">
        <v>0.0504</v>
      </c>
      <c r="AE312" s="3" t="n">
        <v>5.405</v>
      </c>
      <c r="AF312" s="3" t="n">
        <v>0.002422105407343556</v>
      </c>
      <c r="AG312" s="3" t="n">
        <v>0.27</v>
      </c>
      <c r="AH312" s="3" t="n">
        <v>0.5183908624</v>
      </c>
      <c r="AI312" s="3" t="n">
        <v>15</v>
      </c>
      <c r="AJ312" s="3" t="n">
        <v>2.067</v>
      </c>
      <c r="AK312" s="3" t="n">
        <v>0.9838</v>
      </c>
      <c r="AL312" s="3" t="n">
        <v>-0.3454871230750396</v>
      </c>
      <c r="AM312" s="6" t="n">
        <v>0</v>
      </c>
      <c r="AN312" s="3" t="n">
        <v>0</v>
      </c>
      <c r="AO312" s="3" t="n">
        <v>2.036</v>
      </c>
      <c r="AP312" s="3" t="n">
        <v>0.199584</v>
      </c>
      <c r="AQ312" s="3">
        <f>N(X312)*N(BJ312)</f>
        <v/>
      </c>
      <c r="AR312" s="3" t="n">
        <v>0</v>
      </c>
      <c r="AS312" s="3" t="n">
        <v>-0</v>
      </c>
      <c r="AT312" s="3" t="n">
        <v>-0.3454871230750396</v>
      </c>
      <c r="AU312" s="3">
        <f>SUM(AO312:AT312)</f>
        <v/>
      </c>
      <c r="AV312" s="7">
        <f>IF(OR(N(W312)&lt;=0,N(BH312)=0),0,N(W312)*IF(N(R312)/N(W312)&gt;=60,N(BH312),1))</f>
        <v/>
      </c>
      <c r="AW312" s="7">
        <f>N(W312)*N(AF312)*N(BI312)</f>
        <v/>
      </c>
      <c r="AX312" s="3">
        <f>IF(N(BH312)=0,0,N(W312)*N(AH312))</f>
        <v/>
      </c>
      <c r="AY312" s="7">
        <f>N(AM312)*(Assumptions!$B$13*N(BK312)-(1-Assumptions!$B$13)*Assumptions!$B$14)+N(AN312)</f>
        <v/>
      </c>
      <c r="AZ312" s="7">
        <f>N(AU312)*N(R312)/90+N(AV312)+N(AW312)+N(AX312)+N(AY312)</f>
        <v/>
      </c>
      <c r="BA312" s="3">
        <f>IF(N(R312)&lt;=0,0,(N(AZ312)-N(AY312))*90/N(R312))</f>
        <v/>
      </c>
      <c r="BB312" s="7">
        <f>IFERROR(AZ312-VLOOKUP($E312,Assumptions!$A$40:$C$43,3,FALSE),"")</f>
        <v/>
      </c>
      <c r="BC312" s="3">
        <f>IFERROR(BB312/H312,"")</f>
        <v/>
      </c>
      <c r="BD312">
        <f>IF(AND($G312=TRUE,$E312="GKP"),AZ312,"")</f>
        <v/>
      </c>
      <c r="BE312">
        <f>IF(AND($G312=TRUE,$E312="DEF"),AZ312,"")</f>
        <v/>
      </c>
      <c r="BF312">
        <f>IF(AND($G312=TRUE,$E312="MID"),AZ312,"")</f>
        <v/>
      </c>
      <c r="BG312">
        <f>IF(AND($G312=TRUE,$E312="FWD"),AZ312,"")</f>
        <v/>
      </c>
      <c r="BH312" t="n">
        <v>2</v>
      </c>
      <c r="BI312" t="n">
        <v>2</v>
      </c>
      <c r="BJ312" t="n">
        <v>0</v>
      </c>
      <c r="BK312" t="n">
        <v>4</v>
      </c>
    </row>
    <row r="313">
      <c r="A313" t="inlineStr">
        <is>
          <t>Daniel James</t>
        </is>
      </c>
      <c r="B313" t="inlineStr">
        <is>
          <t>LEE</t>
        </is>
      </c>
      <c r="C313" t="inlineStr">
        <is>
          <t>LEE</t>
        </is>
      </c>
      <c r="D313" t="b">
        <v>0</v>
      </c>
      <c r="E313" t="inlineStr">
        <is>
          <t>MID</t>
        </is>
      </c>
      <c r="F313" t="inlineStr">
        <is>
          <t>MID</t>
        </is>
      </c>
      <c r="G313" t="b">
        <v>1</v>
      </c>
      <c r="H313" s="2" t="n">
        <v>5</v>
      </c>
      <c r="I313" t="inlineStr">
        <is>
          <t>a</t>
        </is>
      </c>
      <c r="K313" s="2" t="n">
        <v>547</v>
      </c>
      <c r="L313" t="n">
        <v>23</v>
      </c>
      <c r="M313" s="3" t="n">
        <v>429</v>
      </c>
      <c r="N313" s="8" t="n">
        <v>429</v>
      </c>
      <c r="O313" s="8" t="n">
        <v>0</v>
      </c>
      <c r="Q313" t="inlineStr">
        <is>
          <t>flat</t>
        </is>
      </c>
      <c r="R313" s="6" t="n">
        <v>429</v>
      </c>
      <c r="S313" t="inlineStr">
        <is>
          <t>Solio</t>
        </is>
      </c>
      <c r="U313" s="6" t="n">
        <v>73</v>
      </c>
      <c r="V313" s="2" t="n">
        <v>6</v>
      </c>
      <c r="W313" s="7">
        <f>IF(N(U313)&lt;=0,0,MIN(Assumptions!$B$15,N(R313)/N(U313)))</f>
        <v/>
      </c>
      <c r="X313" s="6" t="n">
        <v>0.218</v>
      </c>
      <c r="Y313" s="3" t="n">
        <v>0.1466</v>
      </c>
      <c r="Z313" t="inlineStr">
        <is>
          <t>adjusted xGOT</t>
        </is>
      </c>
      <c r="AA313" s="3" t="n">
        <v>1</v>
      </c>
      <c r="AB313" s="3" t="n">
        <v>0.979</v>
      </c>
      <c r="AC313" s="3" t="n">
        <v>2.9</v>
      </c>
      <c r="AD313" s="3" t="n">
        <v>0.0987</v>
      </c>
      <c r="AE313" s="3" t="n">
        <v>7.36</v>
      </c>
      <c r="AF313" s="3" t="n">
        <v>0.01941962191453017</v>
      </c>
      <c r="AG313" s="3" t="n">
        <v>6.559</v>
      </c>
      <c r="AH313" s="3" t="n">
        <v>0.2219249529</v>
      </c>
      <c r="AI313" s="3" t="n">
        <v>22</v>
      </c>
      <c r="AJ313" s="3" t="n">
        <v>3.0611</v>
      </c>
      <c r="AK313" s="3" t="n">
        <v>1.5875</v>
      </c>
      <c r="AL313" s="3" t="n">
        <v>-0.1611483197653539</v>
      </c>
      <c r="AM313" s="6" t="n">
        <v>0</v>
      </c>
      <c r="AN313" s="3" t="n">
        <v>0</v>
      </c>
      <c r="AO313" s="3" t="n">
        <v>0.7330000000000001</v>
      </c>
      <c r="AP313" s="3" t="n">
        <v>0.390852</v>
      </c>
      <c r="AQ313" s="3">
        <f>N(X313)*N(BJ313)</f>
        <v/>
      </c>
      <c r="AR313" s="3" t="n">
        <v>0</v>
      </c>
      <c r="AS313" s="3" t="n">
        <v>-0</v>
      </c>
      <c r="AT313" s="3" t="n">
        <v>-0.1611483197653539</v>
      </c>
      <c r="AU313" s="3">
        <f>SUM(AO313:AT313)</f>
        <v/>
      </c>
      <c r="AV313" s="7">
        <f>IF(OR(N(W313)&lt;=0,N(BH313)=0),0,N(W313)*IF(N(R313)/N(W313)&gt;=60,N(BH313),1))</f>
        <v/>
      </c>
      <c r="AW313" s="7">
        <f>N(W313)*N(AF313)*N(BI313)</f>
        <v/>
      </c>
      <c r="AX313" s="3">
        <f>IF(N(BH313)=0,0,N(W313)*N(AH313))</f>
        <v/>
      </c>
      <c r="AY313" s="7">
        <f>N(AM313)*(Assumptions!$B$13*N(BK313)-(1-Assumptions!$B$13)*Assumptions!$B$14)+N(AN313)</f>
        <v/>
      </c>
      <c r="AZ313" s="7">
        <f>N(AU313)*N(R313)/90+N(AV313)+N(AW313)+N(AX313)+N(AY313)</f>
        <v/>
      </c>
      <c r="BA313" s="3">
        <f>IF(N(R313)&lt;=0,0,(N(AZ313)-N(AY313))*90/N(R313))</f>
        <v/>
      </c>
      <c r="BB313" s="7">
        <f>IFERROR(AZ313-VLOOKUP($E313,Assumptions!$A$40:$C$43,3,FALSE),"")</f>
        <v/>
      </c>
      <c r="BC313" s="3">
        <f>IFERROR(BB313/H313,"")</f>
        <v/>
      </c>
      <c r="BD313">
        <f>IF(AND($G313=TRUE,$E313="GKP"),AZ313,"")</f>
        <v/>
      </c>
      <c r="BE313">
        <f>IF(AND($G313=TRUE,$E313="DEF"),AZ313,"")</f>
        <v/>
      </c>
      <c r="BF313">
        <f>IF(AND($G313=TRUE,$E313="MID"),AZ313,"")</f>
        <v/>
      </c>
      <c r="BG313">
        <f>IF(AND($G313=TRUE,$E313="FWD"),AZ313,"")</f>
        <v/>
      </c>
      <c r="BH313" t="n">
        <v>2</v>
      </c>
      <c r="BI313" t="n">
        <v>2</v>
      </c>
      <c r="BJ313" t="n">
        <v>1</v>
      </c>
      <c r="BK313" t="n">
        <v>5</v>
      </c>
    </row>
    <row r="314">
      <c r="A314" t="inlineStr">
        <is>
          <t>Eddie Nketiah</t>
        </is>
      </c>
      <c r="B314" t="inlineStr">
        <is>
          <t>CRY</t>
        </is>
      </c>
      <c r="C314" t="inlineStr">
        <is>
          <t>CRY</t>
        </is>
      </c>
      <c r="D314" t="b">
        <v>0</v>
      </c>
      <c r="E314" t="inlineStr">
        <is>
          <t>FWD</t>
        </is>
      </c>
      <c r="F314" t="inlineStr">
        <is>
          <t>FWD</t>
        </is>
      </c>
      <c r="G314" t="b">
        <v>1</v>
      </c>
      <c r="H314" s="2" t="n">
        <v>5.5</v>
      </c>
      <c r="I314" t="inlineStr">
        <is>
          <t>a</t>
        </is>
      </c>
      <c r="K314" s="2" t="n">
        <v>414</v>
      </c>
      <c r="L314" t="n">
        <v>23</v>
      </c>
      <c r="M314" s="3" t="n">
        <v>266</v>
      </c>
      <c r="N314" s="4" t="n">
        <v>400</v>
      </c>
      <c r="O314" s="4" t="n">
        <v>134</v>
      </c>
      <c r="P314" s="5" t="inlineStr">
        <is>
          <t>low</t>
        </is>
      </c>
      <c r="Q314" t="inlineStr">
        <is>
          <t>flat</t>
        </is>
      </c>
      <c r="R314" s="6" t="n">
        <v>400</v>
      </c>
      <c r="S314" t="inlineStr">
        <is>
          <t>research</t>
        </is>
      </c>
      <c r="T314" s="5" t="inlineStr">
        <is>
          <t>Small uplift. He scored twice against Swindon in July, scored again in the Como Cup against Al-Ula, and came on for Sarr at Freiburg, so he is fit and being used. Kept low because he is third in a three-way striker queue and is a candidate to be moved on before 1 September.</t>
        </is>
      </c>
      <c r="U314" s="6" t="n">
        <v>77.09999999999999</v>
      </c>
      <c r="V314" s="2" t="n">
        <v>2</v>
      </c>
      <c r="W314" s="7">
        <f>IF(N(U314)&lt;=0,0,MIN(Assumptions!$B$15,N(R314)/N(U314)))</f>
        <v/>
      </c>
      <c r="X314" s="6" t="n">
        <v>0.216</v>
      </c>
      <c r="Y314" s="3" t="n">
        <v>0.335</v>
      </c>
      <c r="Z314" t="inlineStr">
        <is>
          <t>adjusted xGOT</t>
        </is>
      </c>
      <c r="AA314" s="3" t="n">
        <v>1</v>
      </c>
      <c r="AB314" s="3" t="n">
        <v>0.871</v>
      </c>
      <c r="AC314" s="3" t="n">
        <v>20.2</v>
      </c>
      <c r="AD314" s="3" t="n">
        <v>0.1544</v>
      </c>
      <c r="AE314" s="3" t="n">
        <v>6.059</v>
      </c>
      <c r="AF314" s="3" t="n">
        <v>0.007212772624840658</v>
      </c>
      <c r="AG314" s="3" t="n">
        <v>2.322</v>
      </c>
      <c r="AH314" s="3" t="n">
        <v>0.4906900235</v>
      </c>
      <c r="AI314" s="3" t="n">
        <v>14</v>
      </c>
      <c r="AJ314" s="3" t="n">
        <v>3.2035</v>
      </c>
      <c r="AK314" s="3" t="n">
        <v>1.5923</v>
      </c>
      <c r="AL314" s="3" t="n">
        <v>-0.2672003494368691</v>
      </c>
      <c r="AM314" s="6" t="n">
        <v>0</v>
      </c>
      <c r="AN314" s="3" t="n">
        <v>0</v>
      </c>
      <c r="AO314" s="3" t="n">
        <v>1.34</v>
      </c>
      <c r="AP314" s="3" t="n">
        <v>0.6114240000000001</v>
      </c>
      <c r="AQ314" s="3">
        <f>N(X314)*N(BJ314)</f>
        <v/>
      </c>
      <c r="AR314" s="3" t="n">
        <v>0</v>
      </c>
      <c r="AS314" s="3" t="n">
        <v>-0</v>
      </c>
      <c r="AT314" s="3" t="n">
        <v>-0.2672003494368691</v>
      </c>
      <c r="AU314" s="3">
        <f>SUM(AO314:AT314)</f>
        <v/>
      </c>
      <c r="AV314" s="7">
        <f>IF(OR(N(W314)&lt;=0,N(BH314)=0),0,N(W314)*IF(N(R314)/N(W314)&gt;=60,N(BH314),1))</f>
        <v/>
      </c>
      <c r="AW314" s="7">
        <f>N(W314)*N(AF314)*N(BI314)</f>
        <v/>
      </c>
      <c r="AX314" s="3">
        <f>IF(N(BH314)=0,0,N(W314)*N(AH314))</f>
        <v/>
      </c>
      <c r="AY314" s="7">
        <f>N(AM314)*(Assumptions!$B$13*N(BK314)-(1-Assumptions!$B$13)*Assumptions!$B$14)+N(AN314)</f>
        <v/>
      </c>
      <c r="AZ314" s="7">
        <f>N(AU314)*N(R314)/90+N(AV314)+N(AW314)+N(AX314)+N(AY314)</f>
        <v/>
      </c>
      <c r="BA314" s="3">
        <f>IF(N(R314)&lt;=0,0,(N(AZ314)-N(AY314))*90/N(R314))</f>
        <v/>
      </c>
      <c r="BB314" s="7">
        <f>IFERROR(AZ314-VLOOKUP($E314,Assumptions!$A$40:$C$43,3,FALSE),"")</f>
        <v/>
      </c>
      <c r="BC314" s="3">
        <f>IFERROR(BB314/H314,"")</f>
        <v/>
      </c>
      <c r="BD314">
        <f>IF(AND($G314=TRUE,$E314="GKP"),AZ314,"")</f>
        <v/>
      </c>
      <c r="BE314">
        <f>IF(AND($G314=TRUE,$E314="DEF"),AZ314,"")</f>
        <v/>
      </c>
      <c r="BF314">
        <f>IF(AND($G314=TRUE,$E314="MID"),AZ314,"")</f>
        <v/>
      </c>
      <c r="BG314">
        <f>IF(AND($G314=TRUE,$E314="FWD"),AZ314,"")</f>
        <v/>
      </c>
      <c r="BH314" t="n">
        <v>2</v>
      </c>
      <c r="BI314" t="n">
        <v>2</v>
      </c>
      <c r="BJ314" t="n">
        <v>0</v>
      </c>
      <c r="BK314" t="n">
        <v>4</v>
      </c>
    </row>
    <row r="315">
      <c r="A315" t="inlineStr">
        <is>
          <t>Tammy Abraham</t>
        </is>
      </c>
      <c r="B315" t="inlineStr">
        <is>
          <t>AVL</t>
        </is>
      </c>
      <c r="C315" t="inlineStr">
        <is>
          <t>AVL</t>
        </is>
      </c>
      <c r="D315" t="b">
        <v>0</v>
      </c>
      <c r="E315" t="inlineStr">
        <is>
          <t>FWD</t>
        </is>
      </c>
      <c r="F315" t="inlineStr">
        <is>
          <t>FWD</t>
        </is>
      </c>
      <c r="G315" t="b">
        <v>1</v>
      </c>
      <c r="H315" s="2" t="n">
        <v>5.5</v>
      </c>
      <c r="I315" t="inlineStr">
        <is>
          <t>a</t>
        </is>
      </c>
      <c r="K315" s="2" t="n">
        <v>278</v>
      </c>
      <c r="L315" t="n">
        <v>23</v>
      </c>
      <c r="M315" s="3" t="n">
        <v>280</v>
      </c>
      <c r="N315" s="4" t="n">
        <v>600</v>
      </c>
      <c r="O315" s="4" t="n">
        <v>320</v>
      </c>
      <c r="P315" s="5" t="inlineStr">
        <is>
          <t>medium</t>
        </is>
      </c>
      <c r="Q315" t="inlineStr">
        <is>
          <t>flat</t>
        </is>
      </c>
      <c r="R315" s="6" t="n">
        <v>600</v>
      </c>
      <c r="S315" t="inlineStr">
        <is>
          <t>research</t>
        </is>
      </c>
      <c r="T315" s="5" t="inlineStr">
        <is>
          <t>The backup-striker depth chart has emptied out. Malen was sold to Roma on 29 June, Guessand has been loaned to Crystal Palace, and Madjo is injured until at least September, leaving Abraham as Villa's only senior alternative to Watkins. He came off the bench in the Super Cup and started against Monchengladbach. Held to 600 rather than higher because he left the Monchengladbach pitch after slipping awkwardly.</t>
        </is>
      </c>
      <c r="U315" s="6" t="n">
        <v>77.8</v>
      </c>
      <c r="V315" s="2" t="n">
        <v>2</v>
      </c>
      <c r="W315" s="7">
        <f>IF(N(U315)&lt;=0,0,MIN(Assumptions!$B$15,N(R315)/N(U315)))</f>
        <v/>
      </c>
      <c r="X315" s="6" t="n">
        <v>0.273</v>
      </c>
      <c r="Y315" s="3" t="n">
        <v>0.6604</v>
      </c>
      <c r="Z315" t="inlineStr">
        <is>
          <t>adjusted xGOT</t>
        </is>
      </c>
      <c r="AA315" s="3" t="n">
        <v>1</v>
      </c>
      <c r="AB315" s="3" t="n">
        <v>0.995</v>
      </c>
      <c r="AC315" s="3" t="n">
        <v>2</v>
      </c>
      <c r="AD315" s="3" t="n">
        <v>0.07920000000000001</v>
      </c>
      <c r="AE315" s="3" t="n">
        <v>4.63</v>
      </c>
      <c r="AF315" s="3" t="n">
        <v>0.0009198147996386519</v>
      </c>
      <c r="AG315" s="3" t="n">
        <v>1.894</v>
      </c>
      <c r="AH315" s="3" t="n">
        <v>0.8397710860000001</v>
      </c>
      <c r="AI315" s="3" t="n">
        <v>13</v>
      </c>
      <c r="AJ315" s="3" t="n">
        <v>2.7451</v>
      </c>
      <c r="AK315" s="3" t="n">
        <v>1.3575</v>
      </c>
      <c r="AL315" s="3" t="n">
        <v>-0.1483047429334944</v>
      </c>
      <c r="AM315" s="6" t="n">
        <v>0</v>
      </c>
      <c r="AN315" s="3" t="n">
        <v>0</v>
      </c>
      <c r="AO315" s="3" t="n">
        <v>2.6416</v>
      </c>
      <c r="AP315" s="3" t="n">
        <v>0.3136320000000001</v>
      </c>
      <c r="AQ315" s="3">
        <f>N(X315)*N(BJ315)</f>
        <v/>
      </c>
      <c r="AR315" s="3" t="n">
        <v>0</v>
      </c>
      <c r="AS315" s="3" t="n">
        <v>-0</v>
      </c>
      <c r="AT315" s="3" t="n">
        <v>-0.1483047429334944</v>
      </c>
      <c r="AU315" s="3">
        <f>SUM(AO315:AT315)</f>
        <v/>
      </c>
      <c r="AV315" s="7">
        <f>IF(OR(N(W315)&lt;=0,N(BH315)=0),0,N(W315)*IF(N(R315)/N(W315)&gt;=60,N(BH315),1))</f>
        <v/>
      </c>
      <c r="AW315" s="7">
        <f>N(W315)*N(AF315)*N(BI315)</f>
        <v/>
      </c>
      <c r="AX315" s="3">
        <f>IF(N(BH315)=0,0,N(W315)*N(AH315))</f>
        <v/>
      </c>
      <c r="AY315" s="7">
        <f>N(AM315)*(Assumptions!$B$13*N(BK315)-(1-Assumptions!$B$13)*Assumptions!$B$14)+N(AN315)</f>
        <v/>
      </c>
      <c r="AZ315" s="7">
        <f>N(AU315)*N(R315)/90+N(AV315)+N(AW315)+N(AX315)+N(AY315)</f>
        <v/>
      </c>
      <c r="BA315" s="3">
        <f>IF(N(R315)&lt;=0,0,(N(AZ315)-N(AY315))*90/N(R315))</f>
        <v/>
      </c>
      <c r="BB315" s="7">
        <f>IFERROR(AZ315-VLOOKUP($E315,Assumptions!$A$40:$C$43,3,FALSE),"")</f>
        <v/>
      </c>
      <c r="BC315" s="3">
        <f>IFERROR(BB315/H315,"")</f>
        <v/>
      </c>
      <c r="BD315">
        <f>IF(AND($G315=TRUE,$E315="GKP"),AZ315,"")</f>
        <v/>
      </c>
      <c r="BE315">
        <f>IF(AND($G315=TRUE,$E315="DEF"),AZ315,"")</f>
        <v/>
      </c>
      <c r="BF315">
        <f>IF(AND($G315=TRUE,$E315="MID"),AZ315,"")</f>
        <v/>
      </c>
      <c r="BG315">
        <f>IF(AND($G315=TRUE,$E315="FWD"),AZ315,"")</f>
        <v/>
      </c>
      <c r="BH315" t="n">
        <v>2</v>
      </c>
      <c r="BI315" t="n">
        <v>2</v>
      </c>
      <c r="BJ315" t="n">
        <v>0</v>
      </c>
      <c r="BK315" t="n">
        <v>4</v>
      </c>
    </row>
    <row r="316">
      <c r="A316" t="inlineStr">
        <is>
          <t>Nathan Patterson</t>
        </is>
      </c>
      <c r="B316" t="inlineStr">
        <is>
          <t>EVE</t>
        </is>
      </c>
      <c r="C316" t="inlineStr">
        <is>
          <t>EVE</t>
        </is>
      </c>
      <c r="D316" t="b">
        <v>0</v>
      </c>
      <c r="E316" t="inlineStr">
        <is>
          <t>DEF</t>
        </is>
      </c>
      <c r="F316" t="inlineStr">
        <is>
          <t>DEF</t>
        </is>
      </c>
      <c r="G316" t="b">
        <v>1</v>
      </c>
      <c r="H316" s="2" t="n">
        <v>4.5</v>
      </c>
      <c r="I316" t="inlineStr">
        <is>
          <t>a</t>
        </is>
      </c>
      <c r="K316" s="2" t="n">
        <v>238</v>
      </c>
      <c r="L316" t="n">
        <v>22</v>
      </c>
      <c r="M316" s="3" t="n">
        <v>140</v>
      </c>
      <c r="N316" s="4" t="n">
        <v>420</v>
      </c>
      <c r="O316" s="4" t="n">
        <v>280</v>
      </c>
      <c r="P316" s="5" t="inlineStr">
        <is>
          <t>low</t>
        </is>
      </c>
      <c r="Q316" t="inlineStr">
        <is>
          <t>flat</t>
        </is>
      </c>
      <c r="R316" s="6" t="n">
        <v>420</v>
      </c>
      <c r="S316" t="inlineStr">
        <is>
          <t>research</t>
        </is>
      </c>
      <c r="T316" s="5" t="inlineStr">
        <is>
          <t>Beneficiary of the unresolved right-back situation. Read Everton's 15 August preview says to 'expect another audition at the position - Nathan Patterson and Jake O'Brien have both featured there across pre-season, with Merlin Röhl also an option'. Patterson started at right-back against Newcastle on 12 August and was a substitute against Lille. Everton have failed to sign a specialist right-back all summer, so 140 minutes for the only recognised right-back on the books is too low - even if one of Fort, Munoz, Molina or Johnston arrives before 1 September.</t>
        </is>
      </c>
      <c r="U316" s="6" t="n">
        <v>83.5</v>
      </c>
      <c r="V316" s="2" t="n">
        <v>3</v>
      </c>
      <c r="W316" s="7">
        <f>IF(N(U316)&lt;=0,0,MIN(Assumptions!$B$15,N(R316)/N(U316)))</f>
        <v/>
      </c>
      <c r="X316" s="6" t="n">
        <v>0.231</v>
      </c>
      <c r="Y316" s="3" t="n">
        <v>0.0106</v>
      </c>
      <c r="Z316" t="inlineStr">
        <is>
          <t>adjusted xGOT</t>
        </is>
      </c>
      <c r="AA316" s="3" t="n">
        <v>1</v>
      </c>
      <c r="AB316" s="3" t="n">
        <v>0.93</v>
      </c>
      <c r="AC316" s="3" t="n">
        <v>0.9</v>
      </c>
      <c r="AD316" s="3" t="n">
        <v>0.0076</v>
      </c>
      <c r="AE316" s="3" t="n">
        <v>8.688000000000001</v>
      </c>
      <c r="AF316" s="3" t="n">
        <v>0.2909143720759721</v>
      </c>
      <c r="AG316" s="3" t="n">
        <v>7.875</v>
      </c>
      <c r="AH316" s="3" t="n">
        <v>0.1134459353</v>
      </c>
      <c r="AI316" s="3" t="n">
        <v>10</v>
      </c>
      <c r="AJ316" s="3" t="n">
        <v>3.0311</v>
      </c>
      <c r="AK316" s="3" t="n">
        <v>1.5252</v>
      </c>
      <c r="AL316" s="3" t="n">
        <v>-0.2235404882666001</v>
      </c>
      <c r="AM316" s="6" t="n">
        <v>0</v>
      </c>
      <c r="AN316" s="3" t="n">
        <v>0</v>
      </c>
      <c r="AO316" s="3" t="n">
        <v>0.0636</v>
      </c>
      <c r="AP316" s="3" t="n">
        <v>0.030096</v>
      </c>
      <c r="AQ316" s="3">
        <f>N(X316)*N(BJ316)</f>
        <v/>
      </c>
      <c r="AR316" s="3" t="n">
        <v>0</v>
      </c>
      <c r="AS316" s="3" t="n">
        <v>-0.524434996152324</v>
      </c>
      <c r="AT316" s="3" t="n">
        <v>-0.2235404882666001</v>
      </c>
      <c r="AU316" s="3">
        <f>SUM(AO316:AT316)</f>
        <v/>
      </c>
      <c r="AV316" s="7">
        <f>IF(OR(N(W316)&lt;=0,N(BH316)=0),0,N(W316)*IF(N(R316)/N(W316)&gt;=60,N(BH316),1))</f>
        <v/>
      </c>
      <c r="AW316" s="7">
        <f>N(W316)*N(AF316)*N(BI316)</f>
        <v/>
      </c>
      <c r="AX316" s="3">
        <f>IF(N(BH316)=0,0,N(W316)*N(AH316))</f>
        <v/>
      </c>
      <c r="AY316" s="7">
        <f>N(AM316)*(Assumptions!$B$13*N(BK316)-(1-Assumptions!$B$13)*Assumptions!$B$14)+N(AN316)</f>
        <v/>
      </c>
      <c r="AZ316" s="7">
        <f>N(AU316)*N(R316)/90+N(AV316)+N(AW316)+N(AX316)+N(AY316)</f>
        <v/>
      </c>
      <c r="BA316" s="3">
        <f>IF(N(R316)&lt;=0,0,(N(AZ316)-N(AY316))*90/N(R316))</f>
        <v/>
      </c>
      <c r="BB316" s="7">
        <f>IFERROR(AZ316-VLOOKUP($E316,Assumptions!$A$40:$C$43,3,FALSE),"")</f>
        <v/>
      </c>
      <c r="BC316" s="3">
        <f>IFERROR(BB316/H316,"")</f>
        <v/>
      </c>
      <c r="BD316">
        <f>IF(AND($G316=TRUE,$E316="GKP"),AZ316,"")</f>
        <v/>
      </c>
      <c r="BE316">
        <f>IF(AND($G316=TRUE,$E316="DEF"),AZ316,"")</f>
        <v/>
      </c>
      <c r="BF316">
        <f>IF(AND($G316=TRUE,$E316="MID"),AZ316,"")</f>
        <v/>
      </c>
      <c r="BG316">
        <f>IF(AND($G316=TRUE,$E316="FWD"),AZ316,"")</f>
        <v/>
      </c>
      <c r="BH316" t="n">
        <v>2</v>
      </c>
      <c r="BI316" t="n">
        <v>2</v>
      </c>
      <c r="BJ316" t="n">
        <v>4</v>
      </c>
      <c r="BK316" t="n">
        <v>6</v>
      </c>
    </row>
    <row r="317">
      <c r="A317" t="inlineStr">
        <is>
          <t>Leon Bailey</t>
        </is>
      </c>
      <c r="B317" t="inlineStr">
        <is>
          <t>AVL</t>
        </is>
      </c>
      <c r="C317" t="inlineStr">
        <is>
          <t>AVL</t>
        </is>
      </c>
      <c r="D317" t="b">
        <v>0</v>
      </c>
      <c r="E317" t="inlineStr">
        <is>
          <t>MID</t>
        </is>
      </c>
      <c r="F317" t="inlineStr">
        <is>
          <t>MID</t>
        </is>
      </c>
      <c r="G317" t="b">
        <v>1</v>
      </c>
      <c r="H317" s="2" t="n">
        <v>5.5</v>
      </c>
      <c r="I317" t="inlineStr">
        <is>
          <t>a</t>
        </is>
      </c>
      <c r="K317" s="2" t="n">
        <v>450</v>
      </c>
      <c r="L317" t="n">
        <v>21</v>
      </c>
      <c r="M317" s="3" t="n">
        <v>111</v>
      </c>
      <c r="N317" s="4" t="n">
        <v>50</v>
      </c>
      <c r="O317" s="4" t="n">
        <v>-61</v>
      </c>
      <c r="P317" s="5" t="inlineStr">
        <is>
          <t>low</t>
        </is>
      </c>
      <c r="Q317" t="inlineStr">
        <is>
          <t>flat</t>
        </is>
      </c>
      <c r="R317" s="6" t="n">
        <v>50</v>
      </c>
      <c r="S317" t="inlineStr">
        <is>
          <t>research</t>
        </is>
      </c>
      <c r="T317" s="5" t="inlineStr">
        <is>
          <t>Out with a muscle injury and deemed surplus to requirements, with Villa actively trying to move him on before the 1 September deadline. Not zeroed because the move has stalled once already and he may still be at the club in September.</t>
        </is>
      </c>
      <c r="U317" s="6" t="n">
        <v>77.90000000000001</v>
      </c>
      <c r="V317" s="2" t="n">
        <v>3</v>
      </c>
      <c r="W317" s="7">
        <f>IF(N(U317)&lt;=0,0,MIN(Assumptions!$B$15,N(R317)/N(U317)))</f>
        <v/>
      </c>
      <c r="X317" s="6" t="n">
        <v>0.273</v>
      </c>
      <c r="Y317" s="3" t="n">
        <v>0.081</v>
      </c>
      <c r="Z317" t="inlineStr">
        <is>
          <t>adjusted xGOT</t>
        </is>
      </c>
      <c r="AA317" s="3" t="n">
        <v>1</v>
      </c>
      <c r="AB317" s="3" t="n">
        <v>0.8100000000000001</v>
      </c>
      <c r="AC317" s="3" t="n">
        <v>13.9</v>
      </c>
      <c r="AD317" s="3" t="n">
        <v>0.2577</v>
      </c>
      <c r="AE317" s="3" t="n">
        <v>8.970000000000001</v>
      </c>
      <c r="AF317" s="3" t="n">
        <v>0.09564721303099855</v>
      </c>
      <c r="AG317" s="3" t="n">
        <v>5.101</v>
      </c>
      <c r="AH317" s="3" t="n">
        <v>0.19147839</v>
      </c>
      <c r="AI317" s="3" t="n">
        <v>16</v>
      </c>
      <c r="AJ317" s="3" t="n">
        <v>2.7451</v>
      </c>
      <c r="AK317" s="3" t="n">
        <v>1.3575</v>
      </c>
      <c r="AL317" s="3" t="n">
        <v>-0.2284979422828767</v>
      </c>
      <c r="AM317" s="6" t="n">
        <v>0</v>
      </c>
      <c r="AN317" s="3" t="n">
        <v>0</v>
      </c>
      <c r="AO317" s="3" t="n">
        <v>0.405</v>
      </c>
      <c r="AP317" s="3" t="n">
        <v>1.020492</v>
      </c>
      <c r="AQ317" s="3">
        <f>N(X317)*N(BJ317)</f>
        <v/>
      </c>
      <c r="AR317" s="3" t="n">
        <v>0</v>
      </c>
      <c r="AS317" s="3" t="n">
        <v>-0</v>
      </c>
      <c r="AT317" s="3" t="n">
        <v>-0.2284979422828767</v>
      </c>
      <c r="AU317" s="3">
        <f>SUM(AO317:AT317)</f>
        <v/>
      </c>
      <c r="AV317" s="7">
        <f>IF(OR(N(W317)&lt;=0,N(BH317)=0),0,N(W317)*IF(N(R317)/N(W317)&gt;=60,N(BH317),1))</f>
        <v/>
      </c>
      <c r="AW317" s="7">
        <f>N(W317)*N(AF317)*N(BI317)</f>
        <v/>
      </c>
      <c r="AX317" s="3">
        <f>IF(N(BH317)=0,0,N(W317)*N(AH317))</f>
        <v/>
      </c>
      <c r="AY317" s="7">
        <f>N(AM317)*(Assumptions!$B$13*N(BK317)-(1-Assumptions!$B$13)*Assumptions!$B$14)+N(AN317)</f>
        <v/>
      </c>
      <c r="AZ317" s="7">
        <f>N(AU317)*N(R317)/90+N(AV317)+N(AW317)+N(AX317)+N(AY317)</f>
        <v/>
      </c>
      <c r="BA317" s="3">
        <f>IF(N(R317)&lt;=0,0,(N(AZ317)-N(AY317))*90/N(R317))</f>
        <v/>
      </c>
      <c r="BB317" s="7">
        <f>IFERROR(AZ317-VLOOKUP($E317,Assumptions!$A$40:$C$43,3,FALSE),"")</f>
        <v/>
      </c>
      <c r="BC317" s="3">
        <f>IFERROR(BB317/H317,"")</f>
        <v/>
      </c>
      <c r="BD317">
        <f>IF(AND($G317=TRUE,$E317="GKP"),AZ317,"")</f>
        <v/>
      </c>
      <c r="BE317">
        <f>IF(AND($G317=TRUE,$E317="DEF"),AZ317,"")</f>
        <v/>
      </c>
      <c r="BF317">
        <f>IF(AND($G317=TRUE,$E317="MID"),AZ317,"")</f>
        <v/>
      </c>
      <c r="BG317">
        <f>IF(AND($G317=TRUE,$E317="FWD"),AZ317,"")</f>
        <v/>
      </c>
      <c r="BH317" t="n">
        <v>2</v>
      </c>
      <c r="BI317" t="n">
        <v>2</v>
      </c>
      <c r="BJ317" t="n">
        <v>1</v>
      </c>
      <c r="BK317" t="n">
        <v>5</v>
      </c>
    </row>
    <row r="318">
      <c r="A318" t="inlineStr">
        <is>
          <t>Harrison Armstrong</t>
        </is>
      </c>
      <c r="B318" t="inlineStr">
        <is>
          <t>EVE</t>
        </is>
      </c>
      <c r="C318" t="inlineStr">
        <is>
          <t>EVE</t>
        </is>
      </c>
      <c r="D318" t="b">
        <v>0</v>
      </c>
      <c r="E318" t="inlineStr">
        <is>
          <t>MID</t>
        </is>
      </c>
      <c r="F318" t="inlineStr">
        <is>
          <t>MID</t>
        </is>
      </c>
      <c r="G318" t="b">
        <v>1</v>
      </c>
      <c r="H318" s="2" t="n">
        <v>5</v>
      </c>
      <c r="I318" t="inlineStr">
        <is>
          <t>a</t>
        </is>
      </c>
      <c r="K318" s="2" t="n">
        <v>524</v>
      </c>
      <c r="L318" t="n">
        <v>21</v>
      </c>
      <c r="M318" s="3" t="n">
        <v>357</v>
      </c>
      <c r="N318" s="8" t="n">
        <v>357</v>
      </c>
      <c r="O318" s="8" t="n">
        <v>0</v>
      </c>
      <c r="Q318" t="inlineStr">
        <is>
          <t>flat</t>
        </is>
      </c>
      <c r="R318" s="6" t="n">
        <v>357</v>
      </c>
      <c r="S318" t="inlineStr">
        <is>
          <t>Solio</t>
        </is>
      </c>
      <c r="U318" s="6" t="n">
        <v>77.59999999999999</v>
      </c>
      <c r="V318" s="2" t="n">
        <v>6</v>
      </c>
      <c r="W318" s="7">
        <f>IF(N(U318)&lt;=0,0,MIN(Assumptions!$B$15,N(R318)/N(U318)))</f>
        <v/>
      </c>
      <c r="X318" s="6" t="n">
        <v>0.231</v>
      </c>
      <c r="Y318" s="3" t="n">
        <v>0.1304</v>
      </c>
      <c r="Z318" t="inlineStr">
        <is>
          <t>adjusted xGOT</t>
        </is>
      </c>
      <c r="AA318" s="3" t="n">
        <v>1</v>
      </c>
      <c r="AB318" s="3" t="n">
        <v>0.961</v>
      </c>
      <c r="AC318" s="3" t="n">
        <v>1.2</v>
      </c>
      <c r="AD318" s="3" t="n">
        <v>0.0293</v>
      </c>
      <c r="AE318" s="3" t="n">
        <v>8.582000000000001</v>
      </c>
      <c r="AF318" s="3" t="n">
        <v>0.07350272849416184</v>
      </c>
      <c r="AG318" s="3" t="n">
        <v>6.497</v>
      </c>
      <c r="AH318" s="3" t="n">
        <v>0.1849938305</v>
      </c>
      <c r="AI318" s="3" t="n">
        <v>18</v>
      </c>
      <c r="AJ318" s="3" t="n">
        <v>3.0311</v>
      </c>
      <c r="AK318" s="3" t="n">
        <v>1.5252</v>
      </c>
      <c r="AL318" s="3" t="n">
        <v>-0.1878768255767501</v>
      </c>
      <c r="AM318" s="6" t="n">
        <v>0</v>
      </c>
      <c r="AN318" s="3" t="n">
        <v>0</v>
      </c>
      <c r="AO318" s="3" t="n">
        <v>0.6519999999999999</v>
      </c>
      <c r="AP318" s="3" t="n">
        <v>0.116028</v>
      </c>
      <c r="AQ318" s="3">
        <f>N(X318)*N(BJ318)</f>
        <v/>
      </c>
      <c r="AR318" s="3" t="n">
        <v>0</v>
      </c>
      <c r="AS318" s="3" t="n">
        <v>-0</v>
      </c>
      <c r="AT318" s="3" t="n">
        <v>-0.1878768255767501</v>
      </c>
      <c r="AU318" s="3">
        <f>SUM(AO318:AT318)</f>
        <v/>
      </c>
      <c r="AV318" s="7">
        <f>IF(OR(N(W318)&lt;=0,N(BH318)=0),0,N(W318)*IF(N(R318)/N(W318)&gt;=60,N(BH318),1))</f>
        <v/>
      </c>
      <c r="AW318" s="7">
        <f>N(W318)*N(AF318)*N(BI318)</f>
        <v/>
      </c>
      <c r="AX318" s="3">
        <f>IF(N(BH318)=0,0,N(W318)*N(AH318))</f>
        <v/>
      </c>
      <c r="AY318" s="7">
        <f>N(AM318)*(Assumptions!$B$13*N(BK318)-(1-Assumptions!$B$13)*Assumptions!$B$14)+N(AN318)</f>
        <v/>
      </c>
      <c r="AZ318" s="7">
        <f>N(AU318)*N(R318)/90+N(AV318)+N(AW318)+N(AX318)+N(AY318)</f>
        <v/>
      </c>
      <c r="BA318" s="3">
        <f>IF(N(R318)&lt;=0,0,(N(AZ318)-N(AY318))*90/N(R318))</f>
        <v/>
      </c>
      <c r="BB318" s="7">
        <f>IFERROR(AZ318-VLOOKUP($E318,Assumptions!$A$40:$C$43,3,FALSE),"")</f>
        <v/>
      </c>
      <c r="BC318" s="3">
        <f>IFERROR(BB318/H318,"")</f>
        <v/>
      </c>
      <c r="BD318">
        <f>IF(AND($G318=TRUE,$E318="GKP"),AZ318,"")</f>
        <v/>
      </c>
      <c r="BE318">
        <f>IF(AND($G318=TRUE,$E318="DEF"),AZ318,"")</f>
        <v/>
      </c>
      <c r="BF318">
        <f>IF(AND($G318=TRUE,$E318="MID"),AZ318,"")</f>
        <v/>
      </c>
      <c r="BG318">
        <f>IF(AND($G318=TRUE,$E318="FWD"),AZ318,"")</f>
        <v/>
      </c>
      <c r="BH318" t="n">
        <v>2</v>
      </c>
      <c r="BI318" t="n">
        <v>2</v>
      </c>
      <c r="BJ318" t="n">
        <v>1</v>
      </c>
      <c r="BK318" t="n">
        <v>5</v>
      </c>
    </row>
    <row r="319">
      <c r="A319" t="inlineStr">
        <is>
          <t>Antonín Kinsky</t>
        </is>
      </c>
      <c r="B319" t="inlineStr">
        <is>
          <t>TOT</t>
        </is>
      </c>
      <c r="C319" t="inlineStr">
        <is>
          <t>TOT</t>
        </is>
      </c>
      <c r="D319" t="b">
        <v>0</v>
      </c>
      <c r="E319" t="inlineStr">
        <is>
          <t>GKP</t>
        </is>
      </c>
      <c r="F319" t="inlineStr">
        <is>
          <t>GKP</t>
        </is>
      </c>
      <c r="G319" t="b">
        <v>1</v>
      </c>
      <c r="H319" s="2" t="n">
        <v>4.5</v>
      </c>
      <c r="I319" t="inlineStr">
        <is>
          <t>a</t>
        </is>
      </c>
      <c r="K319" s="2" t="n">
        <v>630</v>
      </c>
      <c r="L319" t="n">
        <v>20</v>
      </c>
      <c r="M319" s="3" t="n">
        <v>3385</v>
      </c>
      <c r="N319" s="8" t="n">
        <v>3385</v>
      </c>
      <c r="O319" s="8" t="n">
        <v>0</v>
      </c>
      <c r="Q319" t="inlineStr">
        <is>
          <t>flat</t>
        </is>
      </c>
      <c r="R319" s="6" t="n">
        <v>3385</v>
      </c>
      <c r="S319" t="inlineStr">
        <is>
          <t>Solio</t>
        </is>
      </c>
      <c r="U319" s="6" t="n">
        <v>89.90000000000001</v>
      </c>
      <c r="V319" s="2" t="n">
        <v>7</v>
      </c>
      <c r="W319" s="7">
        <f>IF(N(U319)&lt;=0,0,MIN(Assumptions!$B$15,N(R319)/N(U319)))</f>
        <v/>
      </c>
      <c r="X319" s="6" t="n">
        <v>0.286</v>
      </c>
      <c r="Y319" s="3" t="n">
        <v>0</v>
      </c>
      <c r="Z319" t="inlineStr">
        <is>
          <t>blended xG</t>
        </is>
      </c>
      <c r="AA319" s="3" t="n">
        <v>1</v>
      </c>
      <c r="AB319" s="3" t="n">
        <v>1</v>
      </c>
      <c r="AC319" s="3" t="n">
        <v>0</v>
      </c>
      <c r="AD319" s="3" t="n">
        <v>0</v>
      </c>
      <c r="AE319" s="3" t="n">
        <v>0</v>
      </c>
      <c r="AF319" s="3" t="n">
        <v>0</v>
      </c>
      <c r="AG319" s="3" t="n">
        <v>4.712</v>
      </c>
      <c r="AH319" s="3" t="n">
        <v>0.1618695072</v>
      </c>
      <c r="AI319" s="3" t="n">
        <v>14</v>
      </c>
      <c r="AJ319" s="3" t="n">
        <v>2.5739</v>
      </c>
      <c r="AK319" s="3" t="n">
        <v>1.3096</v>
      </c>
      <c r="AL319" s="3" t="n">
        <v>-0.08468159201970139</v>
      </c>
      <c r="AM319" s="6" t="n">
        <v>0</v>
      </c>
      <c r="AN319" s="3" t="n">
        <v>2.767265601918447</v>
      </c>
      <c r="AO319" s="3" t="n">
        <v>0</v>
      </c>
      <c r="AP319" s="3" t="n">
        <v>0</v>
      </c>
      <c r="AQ319" s="3">
        <f>N(X319)*N(BJ319)</f>
        <v/>
      </c>
      <c r="AR319" s="3" t="n">
        <v>0.5235455255089686</v>
      </c>
      <c r="AS319" s="3" t="n">
        <v>-0.4230152821052008</v>
      </c>
      <c r="AT319" s="3" t="n">
        <v>-0.08468159201970139</v>
      </c>
      <c r="AU319" s="3">
        <f>SUM(AO319:AT319)</f>
        <v/>
      </c>
      <c r="AV319" s="7">
        <f>IF(OR(N(W319)&lt;=0,N(BH319)=0),0,N(W319)*IF(N(R319)/N(W319)&gt;=60,N(BH319),1))</f>
        <v/>
      </c>
      <c r="AW319" s="7">
        <f>N(W319)*N(AF319)*N(BI319)</f>
        <v/>
      </c>
      <c r="AX319" s="3">
        <f>IF(N(BH319)=0,0,N(W319)*N(AH319))</f>
        <v/>
      </c>
      <c r="AY319" s="7">
        <f>N(AM319)*(Assumptions!$B$13*N(BK319)-(1-Assumptions!$B$13)*Assumptions!$B$14)+N(AN319)</f>
        <v/>
      </c>
      <c r="AZ319" s="7">
        <f>N(AU319)*N(R319)/90+N(AV319)+N(AW319)+N(AX319)+N(AY319)</f>
        <v/>
      </c>
      <c r="BA319" s="3">
        <f>IF(N(R319)&lt;=0,0,(N(AZ319)-N(AY319))*90/N(R319))</f>
        <v/>
      </c>
      <c r="BB319" s="7">
        <f>IFERROR(AZ319-VLOOKUP($E319,Assumptions!$A$40:$C$43,3,FALSE),"")</f>
        <v/>
      </c>
      <c r="BC319" s="3">
        <f>IFERROR(BB319/H319,"")</f>
        <v/>
      </c>
      <c r="BD319">
        <f>IF(AND($G319=TRUE,$E319="GKP"),AZ319,"")</f>
        <v/>
      </c>
      <c r="BE319">
        <f>IF(AND($G319=TRUE,$E319="DEF"),AZ319,"")</f>
        <v/>
      </c>
      <c r="BF319">
        <f>IF(AND($G319=TRUE,$E319="MID"),AZ319,"")</f>
        <v/>
      </c>
      <c r="BG319">
        <f>IF(AND($G319=TRUE,$E319="FWD"),AZ319,"")</f>
        <v/>
      </c>
      <c r="BH319" t="n">
        <v>2</v>
      </c>
      <c r="BI319" t="n">
        <v>0</v>
      </c>
      <c r="BJ319" t="n">
        <v>4</v>
      </c>
      <c r="BK319" t="n">
        <v>10</v>
      </c>
    </row>
    <row r="320">
      <c r="A320" t="inlineStr">
        <is>
          <t>Chadi Riad</t>
        </is>
      </c>
      <c r="B320" t="inlineStr">
        <is>
          <t>CRY</t>
        </is>
      </c>
      <c r="C320" t="inlineStr">
        <is>
          <t>CRY</t>
        </is>
      </c>
      <c r="D320" t="b">
        <v>0</v>
      </c>
      <c r="E320" t="inlineStr">
        <is>
          <t>DEF</t>
        </is>
      </c>
      <c r="F320" t="inlineStr">
        <is>
          <t>DEF</t>
        </is>
      </c>
      <c r="G320" t="b">
        <v>1</v>
      </c>
      <c r="H320" s="2" t="n">
        <v>4.5</v>
      </c>
      <c r="I320" t="inlineStr">
        <is>
          <t>a</t>
        </is>
      </c>
      <c r="K320" s="2" t="n">
        <v>550</v>
      </c>
      <c r="L320" t="n">
        <v>20</v>
      </c>
      <c r="M320" s="3" t="n">
        <v>356</v>
      </c>
      <c r="N320" s="4" t="n">
        <v>1500</v>
      </c>
      <c r="O320" s="4" t="n">
        <v>1144</v>
      </c>
      <c r="P320" s="5" t="inlineStr">
        <is>
          <t>medium</t>
        </is>
      </c>
      <c r="Q320" t="inlineStr">
        <is>
          <t>flat</t>
        </is>
      </c>
      <c r="R320" s="6" t="n">
        <v>1500</v>
      </c>
      <c r="S320" t="inlineStr">
        <is>
          <t>research</t>
        </is>
      </c>
      <c r="T320" s="5" t="inlineStr">
        <is>
          <t>Solio has him at four matches' worth, which reflects his ACL-shortened 550 minutes in 2025/26 rather than his current standing. Lacroix was sold to Chelsea for GBP 52m on 30 July, opening a back-three slot, and Riad started the final pre-season friendly in that back three, with Tomiyasu introduced as his replacement. He also scored in the Como Cup friendly against Al-Ula.</t>
        </is>
      </c>
      <c r="U320" s="6" t="n">
        <v>82.09999999999999</v>
      </c>
      <c r="V320" s="2" t="n">
        <v>6</v>
      </c>
      <c r="W320" s="7">
        <f>IF(N(U320)&lt;=0,0,MIN(Assumptions!$B$15,N(R320)/N(U320)))</f>
        <v/>
      </c>
      <c r="X320" s="6" t="n">
        <v>0.216</v>
      </c>
      <c r="Y320" s="3" t="n">
        <v>0.0532</v>
      </c>
      <c r="Z320" t="inlineStr">
        <is>
          <t>adjusted xGOT</t>
        </is>
      </c>
      <c r="AA320" s="3" t="n">
        <v>1</v>
      </c>
      <c r="AB320" s="3" t="n">
        <v>0.984</v>
      </c>
      <c r="AC320" s="3" t="n">
        <v>0.3</v>
      </c>
      <c r="AD320" s="3" t="n">
        <v>0.0456</v>
      </c>
      <c r="AE320" s="3" t="n">
        <v>7.546</v>
      </c>
      <c r="AF320" s="3" t="n">
        <v>0.1579023202369128</v>
      </c>
      <c r="AG320" s="3" t="n">
        <v>8.112</v>
      </c>
      <c r="AH320" s="3" t="n">
        <v>0.143290708</v>
      </c>
      <c r="AI320" s="3" t="n">
        <v>15</v>
      </c>
      <c r="AJ320" s="3" t="n">
        <v>3.2035</v>
      </c>
      <c r="AK320" s="3" t="n">
        <v>1.5923</v>
      </c>
      <c r="AL320" s="3" t="n">
        <v>-0.2384133220713924</v>
      </c>
      <c r="AM320" s="6" t="n">
        <v>0</v>
      </c>
      <c r="AN320" s="3" t="n">
        <v>0</v>
      </c>
      <c r="AO320" s="3" t="n">
        <v>0.3192</v>
      </c>
      <c r="AP320" s="3" t="n">
        <v>0.180576</v>
      </c>
      <c r="AQ320" s="3">
        <f>N(X320)*N(BJ320)</f>
        <v/>
      </c>
      <c r="AR320" s="3" t="n">
        <v>0</v>
      </c>
      <c r="AS320" s="3" t="n">
        <v>-0.5564987001023466</v>
      </c>
      <c r="AT320" s="3" t="n">
        <v>-0.2384133220713924</v>
      </c>
      <c r="AU320" s="3">
        <f>SUM(AO320:AT320)</f>
        <v/>
      </c>
      <c r="AV320" s="7">
        <f>IF(OR(N(W320)&lt;=0,N(BH320)=0),0,N(W320)*IF(N(R320)/N(W320)&gt;=60,N(BH320),1))</f>
        <v/>
      </c>
      <c r="AW320" s="7">
        <f>N(W320)*N(AF320)*N(BI320)</f>
        <v/>
      </c>
      <c r="AX320" s="3">
        <f>IF(N(BH320)=0,0,N(W320)*N(AH320))</f>
        <v/>
      </c>
      <c r="AY320" s="7">
        <f>N(AM320)*(Assumptions!$B$13*N(BK320)-(1-Assumptions!$B$13)*Assumptions!$B$14)+N(AN320)</f>
        <v/>
      </c>
      <c r="AZ320" s="7">
        <f>N(AU320)*N(R320)/90+N(AV320)+N(AW320)+N(AX320)+N(AY320)</f>
        <v/>
      </c>
      <c r="BA320" s="3">
        <f>IF(N(R320)&lt;=0,0,(N(AZ320)-N(AY320))*90/N(R320))</f>
        <v/>
      </c>
      <c r="BB320" s="7">
        <f>IFERROR(AZ320-VLOOKUP($E320,Assumptions!$A$40:$C$43,3,FALSE),"")</f>
        <v/>
      </c>
      <c r="BC320" s="3">
        <f>IFERROR(BB320/H320,"")</f>
        <v/>
      </c>
      <c r="BD320">
        <f>IF(AND($G320=TRUE,$E320="GKP"),AZ320,"")</f>
        <v/>
      </c>
      <c r="BE320">
        <f>IF(AND($G320=TRUE,$E320="DEF"),AZ320,"")</f>
        <v/>
      </c>
      <c r="BF320">
        <f>IF(AND($G320=TRUE,$E320="MID"),AZ320,"")</f>
        <v/>
      </c>
      <c r="BG320">
        <f>IF(AND($G320=TRUE,$E320="FWD"),AZ320,"")</f>
        <v/>
      </c>
      <c r="BH320" t="n">
        <v>2</v>
      </c>
      <c r="BI320" t="n">
        <v>2</v>
      </c>
      <c r="BJ320" t="n">
        <v>4</v>
      </c>
      <c r="BK320" t="n">
        <v>6</v>
      </c>
    </row>
    <row r="321">
      <c r="A321" t="inlineStr">
        <is>
          <t>Jorrel Hato</t>
        </is>
      </c>
      <c r="B321" t="inlineStr">
        <is>
          <t>CHE</t>
        </is>
      </c>
      <c r="C321" t="inlineStr">
        <is>
          <t>CHE</t>
        </is>
      </c>
      <c r="D321" t="b">
        <v>0</v>
      </c>
      <c r="E321" t="inlineStr">
        <is>
          <t>DEF</t>
        </is>
      </c>
      <c r="F321" t="inlineStr">
        <is>
          <t>DEF</t>
        </is>
      </c>
      <c r="G321" t="b">
        <v>1</v>
      </c>
      <c r="H321" s="2" t="n">
        <v>4.5</v>
      </c>
      <c r="I321" t="inlineStr">
        <is>
          <t>a</t>
        </is>
      </c>
      <c r="K321" s="2" t="n">
        <v>1139</v>
      </c>
      <c r="L321" t="n">
        <v>19</v>
      </c>
      <c r="M321" s="3" t="n">
        <v>1151</v>
      </c>
      <c r="N321" s="8" t="n">
        <v>1151</v>
      </c>
      <c r="O321" s="8" t="n">
        <v>0</v>
      </c>
      <c r="Q321" t="inlineStr">
        <is>
          <t>flat</t>
        </is>
      </c>
      <c r="R321" s="6" t="n">
        <v>1151</v>
      </c>
      <c r="S321" t="inlineStr">
        <is>
          <t>Solio</t>
        </is>
      </c>
      <c r="U321" s="6" t="n">
        <v>80.8</v>
      </c>
      <c r="V321" s="2" t="n">
        <v>12</v>
      </c>
      <c r="W321" s="7">
        <f>IF(N(U321)&lt;=0,0,MIN(Assumptions!$B$15,N(R321)/N(U321)))</f>
        <v/>
      </c>
      <c r="X321" s="6" t="n">
        <v>0.322</v>
      </c>
      <c r="Y321" s="3" t="n">
        <v>0.0228</v>
      </c>
      <c r="Z321" t="inlineStr">
        <is>
          <t>adjusted xGOT</t>
        </is>
      </c>
      <c r="AA321" s="3" t="n">
        <v>1</v>
      </c>
      <c r="AB321" s="3" t="n">
        <v>0.964</v>
      </c>
      <c r="AC321" s="3" t="n">
        <v>0.3</v>
      </c>
      <c r="AD321" s="3" t="n">
        <v>0.0521</v>
      </c>
      <c r="AE321" s="3" t="n">
        <v>7.769</v>
      </c>
      <c r="AF321" s="3" t="n">
        <v>0.166961471422465</v>
      </c>
      <c r="AG321" s="3" t="n">
        <v>8.981999999999999</v>
      </c>
      <c r="AH321" s="3" t="n">
        <v>0.2195496338</v>
      </c>
      <c r="AI321" s="3" t="n">
        <v>32</v>
      </c>
      <c r="AJ321" s="3" t="n">
        <v>2.4232</v>
      </c>
      <c r="AK321" s="3" t="n">
        <v>1.1851</v>
      </c>
      <c r="AL321" s="3" t="n">
        <v>-0.3678395973145783</v>
      </c>
      <c r="AM321" s="6" t="n">
        <v>0</v>
      </c>
      <c r="AN321" s="3" t="n">
        <v>0</v>
      </c>
      <c r="AO321" s="3" t="n">
        <v>0.1368</v>
      </c>
      <c r="AP321" s="3" t="n">
        <v>0.206316</v>
      </c>
      <c r="AQ321" s="3">
        <f>N(X321)*N(BJ321)</f>
        <v/>
      </c>
      <c r="AR321" s="3" t="n">
        <v>0</v>
      </c>
      <c r="AS321" s="3" t="n">
        <v>-0.365915508000572</v>
      </c>
      <c r="AT321" s="3" t="n">
        <v>-0.3678395973145783</v>
      </c>
      <c r="AU321" s="3">
        <f>SUM(AO321:AT321)</f>
        <v/>
      </c>
      <c r="AV321" s="7">
        <f>IF(OR(N(W321)&lt;=0,N(BH321)=0),0,N(W321)*IF(N(R321)/N(W321)&gt;=60,N(BH321),1))</f>
        <v/>
      </c>
      <c r="AW321" s="7">
        <f>N(W321)*N(AF321)*N(BI321)</f>
        <v/>
      </c>
      <c r="AX321" s="3">
        <f>IF(N(BH321)=0,0,N(W321)*N(AH321))</f>
        <v/>
      </c>
      <c r="AY321" s="7">
        <f>N(AM321)*(Assumptions!$B$13*N(BK321)-(1-Assumptions!$B$13)*Assumptions!$B$14)+N(AN321)</f>
        <v/>
      </c>
      <c r="AZ321" s="7">
        <f>N(AU321)*N(R321)/90+N(AV321)+N(AW321)+N(AX321)+N(AY321)</f>
        <v/>
      </c>
      <c r="BA321" s="3">
        <f>IF(N(R321)&lt;=0,0,(N(AZ321)-N(AY321))*90/N(R321))</f>
        <v/>
      </c>
      <c r="BB321" s="7">
        <f>IFERROR(AZ321-VLOOKUP($E321,Assumptions!$A$40:$C$43,3,FALSE),"")</f>
        <v/>
      </c>
      <c r="BC321" s="3">
        <f>IFERROR(BB321/H321,"")</f>
        <v/>
      </c>
      <c r="BD321">
        <f>IF(AND($G321=TRUE,$E321="GKP"),AZ321,"")</f>
        <v/>
      </c>
      <c r="BE321">
        <f>IF(AND($G321=TRUE,$E321="DEF"),AZ321,"")</f>
        <v/>
      </c>
      <c r="BF321">
        <f>IF(AND($G321=TRUE,$E321="MID"),AZ321,"")</f>
        <v/>
      </c>
      <c r="BG321">
        <f>IF(AND($G321=TRUE,$E321="FWD"),AZ321,"")</f>
        <v/>
      </c>
      <c r="BH321" t="n">
        <v>2</v>
      </c>
      <c r="BI321" t="n">
        <v>2</v>
      </c>
      <c r="BJ321" t="n">
        <v>4</v>
      </c>
      <c r="BK321" t="n">
        <v>6</v>
      </c>
    </row>
    <row r="322">
      <c r="A322" t="inlineStr">
        <is>
          <t>Rico Lewis</t>
        </is>
      </c>
      <c r="B322" t="inlineStr">
        <is>
          <t>MCI</t>
        </is>
      </c>
      <c r="C322" t="inlineStr">
        <is>
          <t>MCI</t>
        </is>
      </c>
      <c r="D322" t="b">
        <v>0</v>
      </c>
      <c r="E322" t="inlineStr">
        <is>
          <t>DEF</t>
        </is>
      </c>
      <c r="F322" t="inlineStr">
        <is>
          <t>DEF</t>
        </is>
      </c>
      <c r="G322" t="b">
        <v>1</v>
      </c>
      <c r="H322" s="2" t="n">
        <v>4.5</v>
      </c>
      <c r="I322" t="inlineStr">
        <is>
          <t>a</t>
        </is>
      </c>
      <c r="K322" s="2" t="n">
        <v>401</v>
      </c>
      <c r="L322" t="n">
        <v>19</v>
      </c>
      <c r="M322" s="3" t="n">
        <v>50</v>
      </c>
      <c r="N322" s="8" t="n">
        <v>50</v>
      </c>
      <c r="O322" s="8" t="n">
        <v>0</v>
      </c>
      <c r="Q322" t="inlineStr">
        <is>
          <t>flat</t>
        </is>
      </c>
      <c r="R322" s="6" t="n">
        <v>50</v>
      </c>
      <c r="S322" t="inlineStr">
        <is>
          <t>Solio</t>
        </is>
      </c>
      <c r="U322" s="6" t="n">
        <v>85</v>
      </c>
      <c r="V322" s="2" t="n">
        <v>4</v>
      </c>
      <c r="W322" s="7">
        <f>IF(N(U322)&lt;=0,0,MIN(Assumptions!$B$15,N(R322)/N(U322)))</f>
        <v/>
      </c>
      <c r="X322" s="6" t="n">
        <v>0.371</v>
      </c>
      <c r="Y322" s="3" t="n">
        <v>0.0462</v>
      </c>
      <c r="Z322" t="inlineStr">
        <is>
          <t>adjusted xGOT</t>
        </is>
      </c>
      <c r="AA322" s="3" t="n">
        <v>1</v>
      </c>
      <c r="AB322" s="3" t="n">
        <v>1.082</v>
      </c>
      <c r="AC322" s="3" t="n">
        <v>2.4</v>
      </c>
      <c r="AD322" s="3" t="n">
        <v>0.3304</v>
      </c>
      <c r="AE322" s="3" t="n">
        <v>6.461</v>
      </c>
      <c r="AF322" s="3" t="n">
        <v>0.09112855939489939</v>
      </c>
      <c r="AG322" s="3" t="n">
        <v>8.316000000000001</v>
      </c>
      <c r="AH322" s="3" t="n">
        <v>0.4468801824</v>
      </c>
      <c r="AI322" s="3" t="n">
        <v>15</v>
      </c>
      <c r="AJ322" s="3" t="n">
        <v>1.9737</v>
      </c>
      <c r="AK322" s="3" t="n">
        <v>1.0365</v>
      </c>
      <c r="AL322" s="3" t="n">
        <v>-0.2160118104341646</v>
      </c>
      <c r="AM322" s="6" t="n">
        <v>0</v>
      </c>
      <c r="AN322" s="3" t="n">
        <v>0</v>
      </c>
      <c r="AO322" s="3" t="n">
        <v>0.2772</v>
      </c>
      <c r="AP322" s="3" t="n">
        <v>1.308384</v>
      </c>
      <c r="AQ322" s="3">
        <f>N(X322)*N(BJ322)</f>
        <v/>
      </c>
      <c r="AR322" s="3" t="n">
        <v>0</v>
      </c>
      <c r="AS322" s="3" t="n">
        <v>-0.2997019479071323</v>
      </c>
      <c r="AT322" s="3" t="n">
        <v>-0.2160118104341646</v>
      </c>
      <c r="AU322" s="3">
        <f>SUM(AO322:AT322)</f>
        <v/>
      </c>
      <c r="AV322" s="7">
        <f>IF(OR(N(W322)&lt;=0,N(BH322)=0),0,N(W322)*IF(N(R322)/N(W322)&gt;=60,N(BH322),1))</f>
        <v/>
      </c>
      <c r="AW322" s="7">
        <f>N(W322)*N(AF322)*N(BI322)</f>
        <v/>
      </c>
      <c r="AX322" s="3">
        <f>IF(N(BH322)=0,0,N(W322)*N(AH322))</f>
        <v/>
      </c>
      <c r="AY322" s="7">
        <f>N(AM322)*(Assumptions!$B$13*N(BK322)-(1-Assumptions!$B$13)*Assumptions!$B$14)+N(AN322)</f>
        <v/>
      </c>
      <c r="AZ322" s="7">
        <f>N(AU322)*N(R322)/90+N(AV322)+N(AW322)+N(AX322)+N(AY322)</f>
        <v/>
      </c>
      <c r="BA322" s="3">
        <f>IF(N(R322)&lt;=0,0,(N(AZ322)-N(AY322))*90/N(R322))</f>
        <v/>
      </c>
      <c r="BB322" s="7">
        <f>IFERROR(AZ322-VLOOKUP($E322,Assumptions!$A$40:$C$43,3,FALSE),"")</f>
        <v/>
      </c>
      <c r="BC322" s="3">
        <f>IFERROR(BB322/H322,"")</f>
        <v/>
      </c>
      <c r="BD322">
        <f>IF(AND($G322=TRUE,$E322="GKP"),AZ322,"")</f>
        <v/>
      </c>
      <c r="BE322">
        <f>IF(AND($G322=TRUE,$E322="DEF"),AZ322,"")</f>
        <v/>
      </c>
      <c r="BF322">
        <f>IF(AND($G322=TRUE,$E322="MID"),AZ322,"")</f>
        <v/>
      </c>
      <c r="BG322">
        <f>IF(AND($G322=TRUE,$E322="FWD"),AZ322,"")</f>
        <v/>
      </c>
      <c r="BH322" t="n">
        <v>2</v>
      </c>
      <c r="BI322" t="n">
        <v>2</v>
      </c>
      <c r="BJ322" t="n">
        <v>4</v>
      </c>
      <c r="BK322" t="n">
        <v>6</v>
      </c>
    </row>
    <row r="323">
      <c r="A323" t="inlineStr">
        <is>
          <t>Veljko Milosavljevic</t>
        </is>
      </c>
      <c r="B323" t="inlineStr">
        <is>
          <t>BOU</t>
        </is>
      </c>
      <c r="C323" t="inlineStr">
        <is>
          <t>BOU</t>
        </is>
      </c>
      <c r="D323" t="b">
        <v>0</v>
      </c>
      <c r="E323" t="inlineStr">
        <is>
          <t>DEF</t>
        </is>
      </c>
      <c r="F323" t="inlineStr">
        <is>
          <t>DEF</t>
        </is>
      </c>
      <c r="G323" t="b">
        <v>1</v>
      </c>
      <c r="H323" s="2" t="n">
        <v>5</v>
      </c>
      <c r="I323" t="inlineStr">
        <is>
          <t>i</t>
        </is>
      </c>
      <c r="J323" t="inlineStr">
        <is>
          <t>Unspecified injury - Unknown return date</t>
        </is>
      </c>
      <c r="K323" s="2" t="n">
        <v>367</v>
      </c>
      <c r="L323" t="n">
        <v>19</v>
      </c>
      <c r="M323" s="3" t="n">
        <v>101</v>
      </c>
      <c r="N323" s="8" t="n">
        <v>101</v>
      </c>
      <c r="O323" s="8" t="n">
        <v>0</v>
      </c>
      <c r="Q323" t="inlineStr">
        <is>
          <t>flat</t>
        </is>
      </c>
      <c r="R323" s="6" t="n">
        <v>101</v>
      </c>
      <c r="S323" t="inlineStr">
        <is>
          <t>Solio</t>
        </is>
      </c>
      <c r="U323" s="6" t="n">
        <v>86.8</v>
      </c>
      <c r="V323" s="2" t="n">
        <v>4</v>
      </c>
      <c r="W323" s="7">
        <f>IF(N(U323)&lt;=0,0,MIN(Assumptions!$B$15,N(R323)/N(U323)))</f>
        <v/>
      </c>
      <c r="X323" s="6" t="n">
        <v>0.23</v>
      </c>
      <c r="Y323" s="3" t="n">
        <v>0.036</v>
      </c>
      <c r="Z323" t="inlineStr">
        <is>
          <t>adjusted xGOT</t>
        </is>
      </c>
      <c r="AA323" s="3" t="n">
        <v>1</v>
      </c>
      <c r="AB323" s="3" t="n">
        <v>0.982</v>
      </c>
      <c r="AC323" s="3" t="n">
        <v>0.2</v>
      </c>
      <c r="AD323" s="3" t="n">
        <v>0.0315</v>
      </c>
      <c r="AE323" s="3" t="n">
        <v>8.319000000000001</v>
      </c>
      <c r="AF323" s="3" t="n">
        <v>0.286260126502204</v>
      </c>
      <c r="AG323" s="3" t="n">
        <v>8.348000000000001</v>
      </c>
      <c r="AH323" s="3" t="n">
        <v>0.1589004023</v>
      </c>
      <c r="AI323" s="3" t="n">
        <v>11</v>
      </c>
      <c r="AJ323" s="3" t="n">
        <v>3.0957</v>
      </c>
      <c r="AK323" s="3" t="n">
        <v>1.53</v>
      </c>
      <c r="AL323" s="3" t="n">
        <v>-0.1672897928750006</v>
      </c>
      <c r="AM323" s="6" t="n">
        <v>0</v>
      </c>
      <c r="AN323" s="3" t="n">
        <v>0</v>
      </c>
      <c r="AO323" s="3" t="n">
        <v>0.216</v>
      </c>
      <c r="AP323" s="3" t="n">
        <v>0.12474</v>
      </c>
      <c r="AQ323" s="3">
        <f>N(X323)*N(BJ323)</f>
        <v/>
      </c>
      <c r="AR323" s="3" t="n">
        <v>0</v>
      </c>
      <c r="AS323" s="3" t="n">
        <v>-0.5267219238049191</v>
      </c>
      <c r="AT323" s="3" t="n">
        <v>-0.1672897928750006</v>
      </c>
      <c r="AU323" s="3">
        <f>SUM(AO323:AT323)</f>
        <v/>
      </c>
      <c r="AV323" s="7">
        <f>IF(OR(N(W323)&lt;=0,N(BH323)=0),0,N(W323)*IF(N(R323)/N(W323)&gt;=60,N(BH323),1))</f>
        <v/>
      </c>
      <c r="AW323" s="7">
        <f>N(W323)*N(AF323)*N(BI323)</f>
        <v/>
      </c>
      <c r="AX323" s="3">
        <f>IF(N(BH323)=0,0,N(W323)*N(AH323))</f>
        <v/>
      </c>
      <c r="AY323" s="7">
        <f>N(AM323)*(Assumptions!$B$13*N(BK323)-(1-Assumptions!$B$13)*Assumptions!$B$14)+N(AN323)</f>
        <v/>
      </c>
      <c r="AZ323" s="7">
        <f>N(AU323)*N(R323)/90+N(AV323)+N(AW323)+N(AX323)+N(AY323)</f>
        <v/>
      </c>
      <c r="BA323" s="3">
        <f>IF(N(R323)&lt;=0,0,(N(AZ323)-N(AY323))*90/N(R323))</f>
        <v/>
      </c>
      <c r="BB323" s="7">
        <f>IFERROR(AZ323-VLOOKUP($E323,Assumptions!$A$40:$C$43,3,FALSE),"")</f>
        <v/>
      </c>
      <c r="BC323" s="3">
        <f>IFERROR(BB323/H323,"")</f>
        <v/>
      </c>
      <c r="BD323">
        <f>IF(AND($G323=TRUE,$E323="GKP"),AZ323,"")</f>
        <v/>
      </c>
      <c r="BE323">
        <f>IF(AND($G323=TRUE,$E323="DEF"),AZ323,"")</f>
        <v/>
      </c>
      <c r="BF323">
        <f>IF(AND($G323=TRUE,$E323="MID"),AZ323,"")</f>
        <v/>
      </c>
      <c r="BG323">
        <f>IF(AND($G323=TRUE,$E323="FWD"),AZ323,"")</f>
        <v/>
      </c>
      <c r="BH323" t="n">
        <v>2</v>
      </c>
      <c r="BI323" t="n">
        <v>2</v>
      </c>
      <c r="BJ323" t="n">
        <v>4</v>
      </c>
      <c r="BK323" t="n">
        <v>6</v>
      </c>
    </row>
    <row r="324">
      <c r="A324" t="inlineStr">
        <is>
          <t>Tyler Dibling</t>
        </is>
      </c>
      <c r="B324" t="inlineStr">
        <is>
          <t>EVE</t>
        </is>
      </c>
      <c r="C324" t="inlineStr">
        <is>
          <t>EVE</t>
        </is>
      </c>
      <c r="D324" t="b">
        <v>0</v>
      </c>
      <c r="E324" t="inlineStr">
        <is>
          <t>MID</t>
        </is>
      </c>
      <c r="F324" t="inlineStr">
        <is>
          <t>MID</t>
        </is>
      </c>
      <c r="G324" t="b">
        <v>1</v>
      </c>
      <c r="H324" s="2" t="n">
        <v>5.5</v>
      </c>
      <c r="I324" t="inlineStr">
        <is>
          <t>a</t>
        </is>
      </c>
      <c r="K324" s="2" t="n">
        <v>349</v>
      </c>
      <c r="L324" t="n">
        <v>18</v>
      </c>
      <c r="M324" s="3" t="n">
        <v>274</v>
      </c>
      <c r="N324" s="8" t="n">
        <v>274</v>
      </c>
      <c r="O324" s="8" t="n">
        <v>0</v>
      </c>
      <c r="Q324" t="inlineStr">
        <is>
          <t>flat</t>
        </is>
      </c>
      <c r="R324" s="6" t="n">
        <v>274</v>
      </c>
      <c r="S324" t="inlineStr">
        <is>
          <t>Solio</t>
        </is>
      </c>
      <c r="U324" s="6" t="n">
        <v>76.3</v>
      </c>
      <c r="V324" s="2" t="n">
        <v>4</v>
      </c>
      <c r="W324" s="7">
        <f>IF(N(U324)&lt;=0,0,MIN(Assumptions!$B$15,N(R324)/N(U324)))</f>
        <v/>
      </c>
      <c r="X324" s="6" t="n">
        <v>0.231</v>
      </c>
      <c r="Y324" s="3" t="n">
        <v>0.05</v>
      </c>
      <c r="Z324" t="inlineStr">
        <is>
          <t>adjusted xGOT</t>
        </is>
      </c>
      <c r="AA324" s="3" t="n">
        <v>1</v>
      </c>
      <c r="AB324" s="3" t="n">
        <v>0.972</v>
      </c>
      <c r="AC324" s="3" t="n">
        <v>2.8</v>
      </c>
      <c r="AD324" s="3" t="n">
        <v>0.0455</v>
      </c>
      <c r="AE324" s="3" t="n">
        <v>9.144</v>
      </c>
      <c r="AF324" s="3" t="n">
        <v>0.09486317972344482</v>
      </c>
      <c r="AG324" s="3" t="n">
        <v>5.964</v>
      </c>
      <c r="AH324" s="3" t="n">
        <v>0.083677661</v>
      </c>
      <c r="AI324" s="3" t="n">
        <v>16</v>
      </c>
      <c r="AJ324" s="3" t="n">
        <v>3.0311</v>
      </c>
      <c r="AK324" s="3" t="n">
        <v>1.5252</v>
      </c>
      <c r="AL324" s="3" t="n">
        <v>-0.2888063596275141</v>
      </c>
      <c r="AM324" s="6" t="n">
        <v>0</v>
      </c>
      <c r="AN324" s="3" t="n">
        <v>0</v>
      </c>
      <c r="AO324" s="3" t="n">
        <v>0.25</v>
      </c>
      <c r="AP324" s="3" t="n">
        <v>0.18018</v>
      </c>
      <c r="AQ324" s="3">
        <f>N(X324)*N(BJ324)</f>
        <v/>
      </c>
      <c r="AR324" s="3" t="n">
        <v>0</v>
      </c>
      <c r="AS324" s="3" t="n">
        <v>-0</v>
      </c>
      <c r="AT324" s="3" t="n">
        <v>-0.2888063596275141</v>
      </c>
      <c r="AU324" s="3">
        <f>SUM(AO324:AT324)</f>
        <v/>
      </c>
      <c r="AV324" s="7">
        <f>IF(OR(N(W324)&lt;=0,N(BH324)=0),0,N(W324)*IF(N(R324)/N(W324)&gt;=60,N(BH324),1))</f>
        <v/>
      </c>
      <c r="AW324" s="7">
        <f>N(W324)*N(AF324)*N(BI324)</f>
        <v/>
      </c>
      <c r="AX324" s="3">
        <f>IF(N(BH324)=0,0,N(W324)*N(AH324))</f>
        <v/>
      </c>
      <c r="AY324" s="7">
        <f>N(AM324)*(Assumptions!$B$13*N(BK324)-(1-Assumptions!$B$13)*Assumptions!$B$14)+N(AN324)</f>
        <v/>
      </c>
      <c r="AZ324" s="7">
        <f>N(AU324)*N(R324)/90+N(AV324)+N(AW324)+N(AX324)+N(AY324)</f>
        <v/>
      </c>
      <c r="BA324" s="3">
        <f>IF(N(R324)&lt;=0,0,(N(AZ324)-N(AY324))*90/N(R324))</f>
        <v/>
      </c>
      <c r="BB324" s="7">
        <f>IFERROR(AZ324-VLOOKUP($E324,Assumptions!$A$40:$C$43,3,FALSE),"")</f>
        <v/>
      </c>
      <c r="BC324" s="3">
        <f>IFERROR(BB324/H324,"")</f>
        <v/>
      </c>
      <c r="BD324">
        <f>IF(AND($G324=TRUE,$E324="GKP"),AZ324,"")</f>
        <v/>
      </c>
      <c r="BE324">
        <f>IF(AND($G324=TRUE,$E324="DEF"),AZ324,"")</f>
        <v/>
      </c>
      <c r="BF324">
        <f>IF(AND($G324=TRUE,$E324="MID"),AZ324,"")</f>
        <v/>
      </c>
      <c r="BG324">
        <f>IF(AND($G324=TRUE,$E324="FWD"),AZ324,"")</f>
        <v/>
      </c>
      <c r="BH324" t="n">
        <v>2</v>
      </c>
      <c r="BI324" t="n">
        <v>2</v>
      </c>
      <c r="BJ324" t="n">
        <v>1</v>
      </c>
      <c r="BK324" t="n">
        <v>5</v>
      </c>
    </row>
    <row r="325">
      <c r="A325" t="inlineStr">
        <is>
          <t>Christantus Uche</t>
        </is>
      </c>
      <c r="B325" t="inlineStr">
        <is>
          <t>CRY</t>
        </is>
      </c>
      <c r="C325" t="inlineStr">
        <is>
          <t>CRY</t>
        </is>
      </c>
      <c r="D325" t="b">
        <v>0</v>
      </c>
      <c r="E325" t="inlineStr">
        <is>
          <t>FWD</t>
        </is>
      </c>
      <c r="F325" t="inlineStr">
        <is>
          <t>FWD</t>
        </is>
      </c>
      <c r="G325" t="b">
        <v>1</v>
      </c>
      <c r="H325" s="2" t="n">
        <v>5</v>
      </c>
      <c r="I325" t="inlineStr">
        <is>
          <t>u</t>
        </is>
      </c>
      <c r="J325" t="inlineStr">
        <is>
          <t>has returned to Getafe CF</t>
        </is>
      </c>
      <c r="K325" s="2" t="n">
        <v>159</v>
      </c>
      <c r="L325" t="n">
        <v>17</v>
      </c>
      <c r="M325" s="3" t="n"/>
      <c r="N325" s="4" t="n">
        <v>0</v>
      </c>
      <c r="O325" s="4" t="n">
        <v>-159</v>
      </c>
      <c r="P325" s="5" t="inlineStr">
        <is>
          <t>high</t>
        </is>
      </c>
      <c r="R325" s="6" t="n">
        <v>0</v>
      </c>
      <c r="S325" t="inlineStr">
        <is>
          <t>research</t>
        </is>
      </c>
      <c r="T325" s="5" t="inlineStr">
        <is>
          <t>Loan ended and he has returned to Getafe CF. FPL status is 'u' with chance_of_playing 0, news dated 2026-07-23. He will play no Premier League minutes for Palace.</t>
        </is>
      </c>
      <c r="U325" s="6" t="n">
        <v>78.5</v>
      </c>
      <c r="V325" s="2" t="n">
        <v>0</v>
      </c>
      <c r="W325" s="7">
        <f>IF(N(U325)&lt;=0,0,MIN(Assumptions!$B$15,N(R325)/N(U325)))</f>
        <v/>
      </c>
      <c r="X325" s="6" t="n">
        <v>0.216</v>
      </c>
      <c r="Y325" s="3" t="n">
        <v>0.2745</v>
      </c>
      <c r="Z325" t="inlineStr">
        <is>
          <t>adjusted xGOT</t>
        </is>
      </c>
      <c r="AA325" s="3" t="n">
        <v>1</v>
      </c>
      <c r="AB325" s="3" t="n">
        <v>0.989</v>
      </c>
      <c r="AC325" s="3" t="n">
        <v>0.5</v>
      </c>
      <c r="AD325" s="3" t="n">
        <v>0.0028</v>
      </c>
      <c r="AE325" s="3" t="n">
        <v>5.257</v>
      </c>
      <c r="AF325" s="3" t="n">
        <v>0.00279100051185055</v>
      </c>
      <c r="AG325" s="3" t="n">
        <v>0.883</v>
      </c>
      <c r="AH325" s="3" t="n">
        <v>0.352626178</v>
      </c>
      <c r="AI325" s="3" t="n">
        <v>14</v>
      </c>
      <c r="AJ325" s="3" t="n">
        <v>3.2035</v>
      </c>
      <c r="AK325" s="3" t="n">
        <v>1.5923</v>
      </c>
      <c r="AL325" s="3" t="n">
        <v>-0.1584765660383624</v>
      </c>
      <c r="AM325" s="6" t="n">
        <v>0</v>
      </c>
      <c r="AN325" s="3" t="n">
        <v>0</v>
      </c>
      <c r="AO325" s="3" t="n">
        <v>1.098</v>
      </c>
      <c r="AP325" s="3" t="n">
        <v>0.011088</v>
      </c>
      <c r="AQ325" s="3">
        <f>N(X325)*N(BJ325)</f>
        <v/>
      </c>
      <c r="AR325" s="3" t="n">
        <v>0</v>
      </c>
      <c r="AS325" s="3" t="n">
        <v>-0</v>
      </c>
      <c r="AT325" s="3" t="n">
        <v>-0.1584765660383624</v>
      </c>
      <c r="AU325" s="3">
        <f>SUM(AO325:AT325)</f>
        <v/>
      </c>
      <c r="AV325" s="7">
        <f>IF(OR(N(W325)&lt;=0,N(BH325)=0),0,N(W325)*IF(N(R325)/N(W325)&gt;=60,N(BH325),1))</f>
        <v/>
      </c>
      <c r="AW325" s="7">
        <f>N(W325)*N(AF325)*N(BI325)</f>
        <v/>
      </c>
      <c r="AX325" s="3">
        <f>IF(N(BH325)=0,0,N(W325)*N(AH325))</f>
        <v/>
      </c>
      <c r="AY325" s="7">
        <f>N(AM325)*(Assumptions!$B$13*N(BK325)-(1-Assumptions!$B$13)*Assumptions!$B$14)+N(AN325)</f>
        <v/>
      </c>
      <c r="AZ325" s="7">
        <f>N(AU325)*N(R325)/90+N(AV325)+N(AW325)+N(AX325)+N(AY325)</f>
        <v/>
      </c>
      <c r="BA325" s="3">
        <f>IF(N(R325)&lt;=0,0,(N(AZ325)-N(AY325))*90/N(R325))</f>
        <v/>
      </c>
      <c r="BB325" s="7">
        <f>IFERROR(AZ325-VLOOKUP($E325,Assumptions!$A$40:$C$43,3,FALSE),"")</f>
        <v/>
      </c>
      <c r="BC325" s="3">
        <f>IFERROR(BB325/H325,"")</f>
        <v/>
      </c>
      <c r="BD325">
        <f>IF(AND($G325=TRUE,$E325="GKP"),AZ325,"")</f>
        <v/>
      </c>
      <c r="BE325">
        <f>IF(AND($G325=TRUE,$E325="DEF"),AZ325,"")</f>
        <v/>
      </c>
      <c r="BF325">
        <f>IF(AND($G325=TRUE,$E325="MID"),AZ325,"")</f>
        <v/>
      </c>
      <c r="BG325">
        <f>IF(AND($G325=TRUE,$E325="FWD"),AZ325,"")</f>
        <v/>
      </c>
      <c r="BH325" t="n">
        <v>2</v>
      </c>
      <c r="BI325" t="n">
        <v>2</v>
      </c>
      <c r="BJ325" t="n">
        <v>0</v>
      </c>
      <c r="BK325" t="n">
        <v>4</v>
      </c>
    </row>
    <row r="326">
      <c r="A326" t="inlineStr">
        <is>
          <t>Joël Piroe</t>
        </is>
      </c>
      <c r="B326" t="inlineStr">
        <is>
          <t>LEE</t>
        </is>
      </c>
      <c r="C326" t="inlineStr">
        <is>
          <t>LEE</t>
        </is>
      </c>
      <c r="D326" t="b">
        <v>0</v>
      </c>
      <c r="E326" t="inlineStr">
        <is>
          <t>FWD</t>
        </is>
      </c>
      <c r="F326" t="inlineStr">
        <is>
          <t>FWD</t>
        </is>
      </c>
      <c r="G326" t="b">
        <v>1</v>
      </c>
      <c r="H326" s="2" t="n">
        <v>5</v>
      </c>
      <c r="I326" t="inlineStr">
        <is>
          <t>a</t>
        </is>
      </c>
      <c r="K326" s="2" t="n">
        <v>244</v>
      </c>
      <c r="L326" t="n">
        <v>17</v>
      </c>
      <c r="M326" s="3" t="n">
        <v>15</v>
      </c>
      <c r="N326" s="8" t="n">
        <v>15</v>
      </c>
      <c r="O326" s="8" t="n">
        <v>0</v>
      </c>
      <c r="Q326" t="inlineStr">
        <is>
          <t>flat</t>
        </is>
      </c>
      <c r="R326" s="6" t="n">
        <v>15</v>
      </c>
      <c r="S326" t="inlineStr">
        <is>
          <t>Solio</t>
        </is>
      </c>
      <c r="U326" s="6" t="n">
        <v>76.59999999999999</v>
      </c>
      <c r="V326" s="2" t="n">
        <v>2</v>
      </c>
      <c r="W326" s="7">
        <f>IF(N(U326)&lt;=0,0,MIN(Assumptions!$B$15,N(R326)/N(U326)))</f>
        <v/>
      </c>
      <c r="X326" s="6" t="n">
        <v>0.218</v>
      </c>
      <c r="Y326" s="3" t="n">
        <v>0.3172</v>
      </c>
      <c r="Z326" t="inlineStr">
        <is>
          <t>adjusted xGOT</t>
        </is>
      </c>
      <c r="AA326" s="3" t="n">
        <v>1</v>
      </c>
      <c r="AB326" s="3" t="n">
        <v>0.955</v>
      </c>
      <c r="AC326" s="3" t="n">
        <v>0.9</v>
      </c>
      <c r="AD326" s="3" t="n">
        <v>0.0398</v>
      </c>
      <c r="AE326" s="3" t="n">
        <v>4.887</v>
      </c>
      <c r="AF326" s="3" t="n">
        <v>0.001267930977892684</v>
      </c>
      <c r="AG326" s="3" t="n">
        <v>0.916</v>
      </c>
      <c r="AH326" s="3" t="n">
        <v>0.3931581529</v>
      </c>
      <c r="AI326" s="3" t="n">
        <v>17</v>
      </c>
      <c r="AJ326" s="3" t="n">
        <v>3.0611</v>
      </c>
      <c r="AK326" s="3" t="n">
        <v>1.5875</v>
      </c>
      <c r="AL326" s="3" t="n">
        <v>-0.1510642857133865</v>
      </c>
      <c r="AM326" s="6" t="n">
        <v>0.0016985847943565</v>
      </c>
      <c r="AN326" s="3" t="n">
        <v>0</v>
      </c>
      <c r="AO326" s="3" t="n">
        <v>1.2688</v>
      </c>
      <c r="AP326" s="3" t="n">
        <v>0.157608</v>
      </c>
      <c r="AQ326" s="3">
        <f>N(X326)*N(BJ326)</f>
        <v/>
      </c>
      <c r="AR326" s="3" t="n">
        <v>0</v>
      </c>
      <c r="AS326" s="3" t="n">
        <v>-0</v>
      </c>
      <c r="AT326" s="3" t="n">
        <v>-0.1510642857133865</v>
      </c>
      <c r="AU326" s="3">
        <f>SUM(AO326:AT326)</f>
        <v/>
      </c>
      <c r="AV326" s="7">
        <f>IF(OR(N(W326)&lt;=0,N(BH326)=0),0,N(W326)*IF(N(R326)/N(W326)&gt;=60,N(BH326),1))</f>
        <v/>
      </c>
      <c r="AW326" s="7">
        <f>N(W326)*N(AF326)*N(BI326)</f>
        <v/>
      </c>
      <c r="AX326" s="3">
        <f>IF(N(BH326)=0,0,N(W326)*N(AH326))</f>
        <v/>
      </c>
      <c r="AY326" s="7">
        <f>N(AM326)*(Assumptions!$B$13*N(BK326)-(1-Assumptions!$B$13)*Assumptions!$B$14)+N(AN326)</f>
        <v/>
      </c>
      <c r="AZ326" s="7">
        <f>N(AU326)*N(R326)/90+N(AV326)+N(AW326)+N(AX326)+N(AY326)</f>
        <v/>
      </c>
      <c r="BA326" s="3">
        <f>IF(N(R326)&lt;=0,0,(N(AZ326)-N(AY326))*90/N(R326))</f>
        <v/>
      </c>
      <c r="BB326" s="7">
        <f>IFERROR(AZ326-VLOOKUP($E326,Assumptions!$A$40:$C$43,3,FALSE),"")</f>
        <v/>
      </c>
      <c r="BC326" s="3">
        <f>IFERROR(BB326/H326,"")</f>
        <v/>
      </c>
      <c r="BD326">
        <f>IF(AND($G326=TRUE,$E326="GKP"),AZ326,"")</f>
        <v/>
      </c>
      <c r="BE326">
        <f>IF(AND($G326=TRUE,$E326="DEF"),AZ326,"")</f>
        <v/>
      </c>
      <c r="BF326">
        <f>IF(AND($G326=TRUE,$E326="MID"),AZ326,"")</f>
        <v/>
      </c>
      <c r="BG326">
        <f>IF(AND($G326=TRUE,$E326="FWD"),AZ326,"")</f>
        <v/>
      </c>
      <c r="BH326" t="n">
        <v>2</v>
      </c>
      <c r="BI326" t="n">
        <v>2</v>
      </c>
      <c r="BJ326" t="n">
        <v>0</v>
      </c>
      <c r="BK326" t="n">
        <v>4</v>
      </c>
    </row>
    <row r="327">
      <c r="A327" t="inlineStr">
        <is>
          <t>James McAtee</t>
        </is>
      </c>
      <c r="B327" t="inlineStr">
        <is>
          <t>NFO</t>
        </is>
      </c>
      <c r="C327" t="inlineStr">
        <is>
          <t>NFO</t>
        </is>
      </c>
      <c r="D327" t="b">
        <v>0</v>
      </c>
      <c r="E327" t="inlineStr">
        <is>
          <t>MID</t>
        </is>
      </c>
      <c r="F327" t="inlineStr">
        <is>
          <t>MID</t>
        </is>
      </c>
      <c r="G327" t="b">
        <v>1</v>
      </c>
      <c r="H327" s="2" t="n">
        <v>5.5</v>
      </c>
      <c r="I327" t="inlineStr">
        <is>
          <t>a</t>
        </is>
      </c>
      <c r="K327" s="2" t="n">
        <v>288</v>
      </c>
      <c r="L327" t="n">
        <v>17</v>
      </c>
      <c r="M327" s="3" t="n">
        <v>633</v>
      </c>
      <c r="N327" s="4" t="n">
        <v>790</v>
      </c>
      <c r="O327" s="4" t="n">
        <v>157</v>
      </c>
      <c r="P327" s="5" t="inlineStr">
        <is>
          <t>low</t>
        </is>
      </c>
      <c r="Q327" t="inlineStr">
        <is>
          <t>flat</t>
        </is>
      </c>
      <c r="R327" s="6" t="n">
        <v>790</v>
      </c>
      <c r="S327" t="inlineStr">
        <is>
          <t>research</t>
        </is>
      </c>
      <c r="T327" s="5" t="inlineStr">
        <is>
          <t>Started Glasner's first pre-season XI. His 288 league minutes in 2025-26 came under previous managers, and a coaching change plus Elliot Anderson's departure both work in his favour for the contested central and ten roles.</t>
        </is>
      </c>
      <c r="U327" s="6" t="n">
        <v>79.2</v>
      </c>
      <c r="V327" s="2" t="n">
        <v>2</v>
      </c>
      <c r="W327" s="7">
        <f>IF(N(U327)&lt;=0,0,MIN(Assumptions!$B$15,N(R327)/N(U327)))</f>
        <v/>
      </c>
      <c r="X327" s="6" t="n">
        <v>0.224</v>
      </c>
      <c r="Y327" s="3" t="n">
        <v>0.0572</v>
      </c>
      <c r="Z327" t="inlineStr">
        <is>
          <t>adjusted xGOT</t>
        </is>
      </c>
      <c r="AA327" s="3" t="n">
        <v>1</v>
      </c>
      <c r="AB327" s="3" t="n">
        <v>1.017</v>
      </c>
      <c r="AC327" s="3" t="n">
        <v>6</v>
      </c>
      <c r="AD327" s="3" t="n">
        <v>0.1925</v>
      </c>
      <c r="AE327" s="3" t="n">
        <v>8.984</v>
      </c>
      <c r="AF327" s="3" t="n">
        <v>0.1052524412148426</v>
      </c>
      <c r="AG327" s="3" t="n">
        <v>6.356</v>
      </c>
      <c r="AH327" s="3" t="n">
        <v>0.17944316</v>
      </c>
      <c r="AI327" s="3" t="n">
        <v>15</v>
      </c>
      <c r="AJ327" s="3" t="n">
        <v>3.1134</v>
      </c>
      <c r="AK327" s="3" t="n">
        <v>1.5588</v>
      </c>
      <c r="AL327" s="3" t="n">
        <v>-0.2059306275428898</v>
      </c>
      <c r="AM327" s="6" t="n">
        <v>0</v>
      </c>
      <c r="AN327" s="3" t="n">
        <v>0</v>
      </c>
      <c r="AO327" s="3" t="n">
        <v>0.286</v>
      </c>
      <c r="AP327" s="3" t="n">
        <v>0.7623000000000001</v>
      </c>
      <c r="AQ327" s="3">
        <f>N(X327)*N(BJ327)</f>
        <v/>
      </c>
      <c r="AR327" s="3" t="n">
        <v>0</v>
      </c>
      <c r="AS327" s="3" t="n">
        <v>-0</v>
      </c>
      <c r="AT327" s="3" t="n">
        <v>-0.2059306275428898</v>
      </c>
      <c r="AU327" s="3">
        <f>SUM(AO327:AT327)</f>
        <v/>
      </c>
      <c r="AV327" s="7">
        <f>IF(OR(N(W327)&lt;=0,N(BH327)=0),0,N(W327)*IF(N(R327)/N(W327)&gt;=60,N(BH327),1))</f>
        <v/>
      </c>
      <c r="AW327" s="7">
        <f>N(W327)*N(AF327)*N(BI327)</f>
        <v/>
      </c>
      <c r="AX327" s="3">
        <f>IF(N(BH327)=0,0,N(W327)*N(AH327))</f>
        <v/>
      </c>
      <c r="AY327" s="7">
        <f>N(AM327)*(Assumptions!$B$13*N(BK327)-(1-Assumptions!$B$13)*Assumptions!$B$14)+N(AN327)</f>
        <v/>
      </c>
      <c r="AZ327" s="7">
        <f>N(AU327)*N(R327)/90+N(AV327)+N(AW327)+N(AX327)+N(AY327)</f>
        <v/>
      </c>
      <c r="BA327" s="3">
        <f>IF(N(R327)&lt;=0,0,(N(AZ327)-N(AY327))*90/N(R327))</f>
        <v/>
      </c>
      <c r="BB327" s="7">
        <f>IFERROR(AZ327-VLOOKUP($E327,Assumptions!$A$40:$C$43,3,FALSE),"")</f>
        <v/>
      </c>
      <c r="BC327" s="3">
        <f>IFERROR(BB327/H327,"")</f>
        <v/>
      </c>
      <c r="BD327">
        <f>IF(AND($G327=TRUE,$E327="GKP"),AZ327,"")</f>
        <v/>
      </c>
      <c r="BE327">
        <f>IF(AND($G327=TRUE,$E327="DEF"),AZ327,"")</f>
        <v/>
      </c>
      <c r="BF327">
        <f>IF(AND($G327=TRUE,$E327="MID"),AZ327,"")</f>
        <v/>
      </c>
      <c r="BG327">
        <f>IF(AND($G327=TRUE,$E327="FWD"),AZ327,"")</f>
        <v/>
      </c>
      <c r="BH327" t="n">
        <v>2</v>
      </c>
      <c r="BI327" t="n">
        <v>2</v>
      </c>
      <c r="BJ327" t="n">
        <v>1</v>
      </c>
      <c r="BK327" t="n">
        <v>5</v>
      </c>
    </row>
    <row r="328">
      <c r="A328" t="inlineStr">
        <is>
          <t>Stefanos Tzimas</t>
        </is>
      </c>
      <c r="B328" t="inlineStr">
        <is>
          <t>BHA</t>
        </is>
      </c>
      <c r="C328" t="inlineStr">
        <is>
          <t>BHA</t>
        </is>
      </c>
      <c r="D328" t="b">
        <v>0</v>
      </c>
      <c r="E328" t="inlineStr">
        <is>
          <t>FWD</t>
        </is>
      </c>
      <c r="F328" t="inlineStr">
        <is>
          <t>FWD</t>
        </is>
      </c>
      <c r="G328" t="b">
        <v>1</v>
      </c>
      <c r="H328" s="2" t="n">
        <v>5.5</v>
      </c>
      <c r="I328" t="inlineStr">
        <is>
          <t>d</t>
        </is>
      </c>
      <c r="J328" t="inlineStr">
        <is>
          <t>Knee injury - 75% chance of playing</t>
        </is>
      </c>
      <c r="K328" s="2" t="n">
        <v>132</v>
      </c>
      <c r="L328" t="n">
        <v>16</v>
      </c>
      <c r="M328" s="3" t="n">
        <v>268</v>
      </c>
      <c r="N328" s="8" t="n">
        <v>268</v>
      </c>
      <c r="O328" s="8" t="n">
        <v>0</v>
      </c>
      <c r="Q328" t="inlineStr">
        <is>
          <t>flat</t>
        </is>
      </c>
      <c r="R328" s="6" t="n">
        <v>268</v>
      </c>
      <c r="S328" t="inlineStr">
        <is>
          <t>Solio</t>
        </is>
      </c>
      <c r="U328" s="6" t="n">
        <v>73.5</v>
      </c>
      <c r="V328" s="2" t="n">
        <v>1</v>
      </c>
      <c r="W328" s="7">
        <f>IF(N(U328)&lt;=0,0,MIN(Assumptions!$B$15,N(R328)/N(U328)))</f>
        <v/>
      </c>
      <c r="X328" s="6" t="n">
        <v>0.252</v>
      </c>
      <c r="Y328" s="3" t="n">
        <v>0.3055</v>
      </c>
      <c r="Z328" t="inlineStr">
        <is>
          <t>adjusted xGOT</t>
        </is>
      </c>
      <c r="AA328" s="3" t="n">
        <v>1</v>
      </c>
      <c r="AB328" s="3" t="n">
        <v>1.019</v>
      </c>
      <c r="AC328" s="3" t="n">
        <v>0.4</v>
      </c>
      <c r="AD328" s="3" t="n">
        <v>0.1685</v>
      </c>
      <c r="AE328" s="3" t="n">
        <v>5.635</v>
      </c>
      <c r="AF328" s="3" t="n">
        <v>0.002872064348191428</v>
      </c>
      <c r="AG328" s="3" t="n">
        <v>1.014</v>
      </c>
      <c r="AH328" s="3" t="n">
        <v>0.3990259281</v>
      </c>
      <c r="AI328" s="3" t="n">
        <v>9</v>
      </c>
      <c r="AJ328" s="3" t="n">
        <v>2.8404</v>
      </c>
      <c r="AK328" s="3" t="n">
        <v>1.439</v>
      </c>
      <c r="AL328" s="3" t="n">
        <v>-0.1609988049383475</v>
      </c>
      <c r="AM328" s="6" t="n">
        <v>0</v>
      </c>
      <c r="AN328" s="3" t="n">
        <v>0</v>
      </c>
      <c r="AO328" s="3" t="n">
        <v>1.222</v>
      </c>
      <c r="AP328" s="3" t="n">
        <v>0.6672600000000001</v>
      </c>
      <c r="AQ328" s="3">
        <f>N(X328)*N(BJ328)</f>
        <v/>
      </c>
      <c r="AR328" s="3" t="n">
        <v>0</v>
      </c>
      <c r="AS328" s="3" t="n">
        <v>-0</v>
      </c>
      <c r="AT328" s="3" t="n">
        <v>-0.1609988049383475</v>
      </c>
      <c r="AU328" s="3">
        <f>SUM(AO328:AT328)</f>
        <v/>
      </c>
      <c r="AV328" s="7">
        <f>IF(OR(N(W328)&lt;=0,N(BH328)=0),0,N(W328)*IF(N(R328)/N(W328)&gt;=60,N(BH328),1))</f>
        <v/>
      </c>
      <c r="AW328" s="7">
        <f>N(W328)*N(AF328)*N(BI328)</f>
        <v/>
      </c>
      <c r="AX328" s="3">
        <f>IF(N(BH328)=0,0,N(W328)*N(AH328))</f>
        <v/>
      </c>
      <c r="AY328" s="7">
        <f>N(AM328)*(Assumptions!$B$13*N(BK328)-(1-Assumptions!$B$13)*Assumptions!$B$14)+N(AN328)</f>
        <v/>
      </c>
      <c r="AZ328" s="7">
        <f>N(AU328)*N(R328)/90+N(AV328)+N(AW328)+N(AX328)+N(AY328)</f>
        <v/>
      </c>
      <c r="BA328" s="3">
        <f>IF(N(R328)&lt;=0,0,(N(AZ328)-N(AY328))*90/N(R328))</f>
        <v/>
      </c>
      <c r="BB328" s="7">
        <f>IFERROR(AZ328-VLOOKUP($E328,Assumptions!$A$40:$C$43,3,FALSE),"")</f>
        <v/>
      </c>
      <c r="BC328" s="3">
        <f>IFERROR(BB328/H328,"")</f>
        <v/>
      </c>
      <c r="BD328">
        <f>IF(AND($G328=TRUE,$E328="GKP"),AZ328,"")</f>
        <v/>
      </c>
      <c r="BE328">
        <f>IF(AND($G328=TRUE,$E328="DEF"),AZ328,"")</f>
        <v/>
      </c>
      <c r="BF328">
        <f>IF(AND($G328=TRUE,$E328="MID"),AZ328,"")</f>
        <v/>
      </c>
      <c r="BG328">
        <f>IF(AND($G328=TRUE,$E328="FWD"),AZ328,"")</f>
        <v/>
      </c>
      <c r="BH328" t="n">
        <v>2</v>
      </c>
      <c r="BI328" t="n">
        <v>2</v>
      </c>
      <c r="BJ328" t="n">
        <v>0</v>
      </c>
      <c r="BK328" t="n">
        <v>4</v>
      </c>
    </row>
    <row r="329">
      <c r="A329" t="inlineStr">
        <is>
          <t>Melker Ellborg</t>
        </is>
      </c>
      <c r="B329" t="inlineStr">
        <is>
          <t>SUN</t>
        </is>
      </c>
      <c r="C329" t="inlineStr">
        <is>
          <t>SUN</t>
        </is>
      </c>
      <c r="D329" t="b">
        <v>0</v>
      </c>
      <c r="E329" t="inlineStr">
        <is>
          <t>GKP</t>
        </is>
      </c>
      <c r="F329" t="inlineStr">
        <is>
          <t>GKP</t>
        </is>
      </c>
      <c r="G329" t="b">
        <v>1</v>
      </c>
      <c r="H329" s="2" t="n">
        <v>4.5</v>
      </c>
      <c r="I329" t="inlineStr">
        <is>
          <t>a</t>
        </is>
      </c>
      <c r="K329" s="2" t="n">
        <v>270</v>
      </c>
      <c r="L329" t="n">
        <v>16</v>
      </c>
      <c r="M329" s="3" t="n">
        <v>0</v>
      </c>
      <c r="N329" s="8" t="n">
        <v>0</v>
      </c>
      <c r="O329" s="8" t="n">
        <v>0</v>
      </c>
      <c r="Q329" t="inlineStr">
        <is>
          <t>flat</t>
        </is>
      </c>
      <c r="R329" s="6" t="n">
        <v>0</v>
      </c>
      <c r="S329" t="inlineStr">
        <is>
          <t>Solio</t>
        </is>
      </c>
      <c r="U329" s="6" t="n">
        <v>89.8</v>
      </c>
      <c r="V329" s="2" t="n">
        <v>3</v>
      </c>
      <c r="W329" s="7">
        <f>IF(N(U329)&lt;=0,0,MIN(Assumptions!$B$15,N(R329)/N(U329)))</f>
        <v/>
      </c>
      <c r="X329" s="6" t="n">
        <v>0.204</v>
      </c>
      <c r="Y329" s="3" t="n">
        <v>0</v>
      </c>
      <c r="Z329" t="inlineStr">
        <is>
          <t>blended xG</t>
        </is>
      </c>
      <c r="AA329" s="3" t="n">
        <v>1</v>
      </c>
      <c r="AB329" s="3" t="n">
        <v>1</v>
      </c>
      <c r="AC329" s="3" t="n">
        <v>0</v>
      </c>
      <c r="AD329" s="3" t="n">
        <v>0.0033</v>
      </c>
      <c r="AE329" s="3" t="n">
        <v>0</v>
      </c>
      <c r="AF329" s="3" t="n">
        <v>0</v>
      </c>
      <c r="AG329" s="3" t="n">
        <v>5.87</v>
      </c>
      <c r="AH329" s="3" t="n">
        <v>0.2331319874</v>
      </c>
      <c r="AI329" s="3" t="n">
        <v>6</v>
      </c>
      <c r="AJ329" s="3" t="n">
        <v>3.3348</v>
      </c>
      <c r="AK329" s="3" t="n">
        <v>1.6498</v>
      </c>
      <c r="AL329" s="3" t="n">
        <v>-0.06473834845356891</v>
      </c>
      <c r="AM329" s="6" t="n">
        <v>0</v>
      </c>
      <c r="AN329" s="3" t="n">
        <v>0</v>
      </c>
      <c r="AO329" s="3" t="n">
        <v>0</v>
      </c>
      <c r="AP329" s="3" t="n">
        <v>0.013068</v>
      </c>
      <c r="AQ329" s="3">
        <f>N(X329)*N(BJ329)</f>
        <v/>
      </c>
      <c r="AR329" s="3" t="n">
        <v>0.7764218657798218</v>
      </c>
      <c r="AS329" s="3" t="n">
        <v>-0.5841244809045405</v>
      </c>
      <c r="AT329" s="3" t="n">
        <v>-0.06473834845356891</v>
      </c>
      <c r="AU329" s="3">
        <f>SUM(AO329:AT329)</f>
        <v/>
      </c>
      <c r="AV329" s="7">
        <f>IF(OR(N(W329)&lt;=0,N(BH329)=0),0,N(W329)*IF(N(R329)/N(W329)&gt;=60,N(BH329),1))</f>
        <v/>
      </c>
      <c r="AW329" s="7">
        <f>N(W329)*N(AF329)*N(BI329)</f>
        <v/>
      </c>
      <c r="AX329" s="3">
        <f>IF(N(BH329)=0,0,N(W329)*N(AH329))</f>
        <v/>
      </c>
      <c r="AY329" s="7">
        <f>N(AM329)*(Assumptions!$B$13*N(BK329)-(1-Assumptions!$B$13)*Assumptions!$B$14)+N(AN329)</f>
        <v/>
      </c>
      <c r="AZ329" s="7">
        <f>N(AU329)*N(R329)/90+N(AV329)+N(AW329)+N(AX329)+N(AY329)</f>
        <v/>
      </c>
      <c r="BA329" s="3">
        <f>IF(N(R329)&lt;=0,0,(N(AZ329)-N(AY329))*90/N(R329))</f>
        <v/>
      </c>
      <c r="BB329" s="7">
        <f>IFERROR(AZ329-VLOOKUP($E329,Assumptions!$A$40:$C$43,3,FALSE),"")</f>
        <v/>
      </c>
      <c r="BC329" s="3">
        <f>IFERROR(BB329/H329,"")</f>
        <v/>
      </c>
      <c r="BD329">
        <f>IF(AND($G329=TRUE,$E329="GKP"),AZ329,"")</f>
        <v/>
      </c>
      <c r="BE329">
        <f>IF(AND($G329=TRUE,$E329="DEF"),AZ329,"")</f>
        <v/>
      </c>
      <c r="BF329">
        <f>IF(AND($G329=TRUE,$E329="MID"),AZ329,"")</f>
        <v/>
      </c>
      <c r="BG329">
        <f>IF(AND($G329=TRUE,$E329="FWD"),AZ329,"")</f>
        <v/>
      </c>
      <c r="BH329" t="n">
        <v>2</v>
      </c>
      <c r="BI329" t="n">
        <v>0</v>
      </c>
      <c r="BJ329" t="n">
        <v>4</v>
      </c>
      <c r="BK329" t="n">
        <v>10</v>
      </c>
    </row>
    <row r="330">
      <c r="A330" t="inlineStr">
        <is>
          <t>Matt O'Riley</t>
        </is>
      </c>
      <c r="B330" t="inlineStr">
        <is>
          <t>BHA</t>
        </is>
      </c>
      <c r="C330" t="inlineStr">
        <is>
          <t>BHA</t>
        </is>
      </c>
      <c r="D330" t="b">
        <v>0</v>
      </c>
      <c r="E330" t="inlineStr">
        <is>
          <t>MID</t>
        </is>
      </c>
      <c r="F330" t="inlineStr">
        <is>
          <t>MID</t>
        </is>
      </c>
      <c r="G330" t="b">
        <v>1</v>
      </c>
      <c r="H330" s="2" t="n">
        <v>5.5</v>
      </c>
      <c r="I330" t="inlineStr">
        <is>
          <t>a</t>
        </is>
      </c>
      <c r="K330" s="2" t="n">
        <v>202</v>
      </c>
      <c r="L330" t="n">
        <v>16</v>
      </c>
      <c r="M330" s="3" t="n">
        <v>0</v>
      </c>
      <c r="N330" s="8" t="n">
        <v>0</v>
      </c>
      <c r="O330" s="8" t="n">
        <v>0</v>
      </c>
      <c r="Q330" t="inlineStr">
        <is>
          <t>flat</t>
        </is>
      </c>
      <c r="R330" s="6" t="n">
        <v>0</v>
      </c>
      <c r="S330" t="inlineStr">
        <is>
          <t>Solio</t>
        </is>
      </c>
      <c r="U330" s="6" t="n">
        <v>81.5</v>
      </c>
      <c r="V330" s="2" t="n">
        <v>2</v>
      </c>
      <c r="W330" s="7">
        <f>IF(N(U330)&lt;=0,0,MIN(Assumptions!$B$15,N(R330)/N(U330)))</f>
        <v/>
      </c>
      <c r="X330" s="6" t="n">
        <v>0.252</v>
      </c>
      <c r="Y330" s="3" t="n">
        <v>0.1705</v>
      </c>
      <c r="Z330" t="inlineStr">
        <is>
          <t>adjusted xGOT</t>
        </is>
      </c>
      <c r="AA330" s="3" t="n">
        <v>0.332</v>
      </c>
      <c r="AB330" s="3" t="n">
        <v>0.952</v>
      </c>
      <c r="AC330" s="3" t="n">
        <v>4</v>
      </c>
      <c r="AD330" s="3" t="n">
        <v>0.07340000000000001</v>
      </c>
      <c r="AE330" s="3" t="n">
        <v>7.674</v>
      </c>
      <c r="AF330" s="3" t="n">
        <v>0.05108959336326291</v>
      </c>
      <c r="AG330" s="3" t="n">
        <v>6.231</v>
      </c>
      <c r="AH330" s="3" t="n">
        <v>0.2584306669</v>
      </c>
      <c r="AI330" s="3" t="n">
        <v>8</v>
      </c>
      <c r="AJ330" s="3" t="n">
        <v>2.8404</v>
      </c>
      <c r="AK330" s="3" t="n">
        <v>1.439</v>
      </c>
      <c r="AL330" s="3" t="n">
        <v>-0.1717445329400345</v>
      </c>
      <c r="AM330" s="6" t="n">
        <v>0</v>
      </c>
      <c r="AN330" s="3" t="n">
        <v>0</v>
      </c>
      <c r="AO330" s="3" t="n">
        <v>0.8525</v>
      </c>
      <c r="AP330" s="3" t="n">
        <v>0.290664</v>
      </c>
      <c r="AQ330" s="3">
        <f>N(X330)*N(BJ330)</f>
        <v/>
      </c>
      <c r="AR330" s="3" t="n">
        <v>0</v>
      </c>
      <c r="AS330" s="3" t="n">
        <v>-0</v>
      </c>
      <c r="AT330" s="3" t="n">
        <v>-0.1717445329400345</v>
      </c>
      <c r="AU330" s="3">
        <f>SUM(AO330:AT330)</f>
        <v/>
      </c>
      <c r="AV330" s="7">
        <f>IF(OR(N(W330)&lt;=0,N(BH330)=0),0,N(W330)*IF(N(R330)/N(W330)&gt;=60,N(BH330),1))</f>
        <v/>
      </c>
      <c r="AW330" s="7">
        <f>N(W330)*N(AF330)*N(BI330)</f>
        <v/>
      </c>
      <c r="AX330" s="3">
        <f>IF(N(BH330)=0,0,N(W330)*N(AH330))</f>
        <v/>
      </c>
      <c r="AY330" s="7">
        <f>N(AM330)*(Assumptions!$B$13*N(BK330)-(1-Assumptions!$B$13)*Assumptions!$B$14)+N(AN330)</f>
        <v/>
      </c>
      <c r="AZ330" s="7">
        <f>N(AU330)*N(R330)/90+N(AV330)+N(AW330)+N(AX330)+N(AY330)</f>
        <v/>
      </c>
      <c r="BA330" s="3">
        <f>IF(N(R330)&lt;=0,0,(N(AZ330)-N(AY330))*90/N(R330))</f>
        <v/>
      </c>
      <c r="BB330" s="7">
        <f>IFERROR(AZ330-VLOOKUP($E330,Assumptions!$A$40:$C$43,3,FALSE),"")</f>
        <v/>
      </c>
      <c r="BC330" s="3">
        <f>IFERROR(BB330/H330,"")</f>
        <v/>
      </c>
      <c r="BD330">
        <f>IF(AND($G330=TRUE,$E330="GKP"),AZ330,"")</f>
        <v/>
      </c>
      <c r="BE330">
        <f>IF(AND($G330=TRUE,$E330="DEF"),AZ330,"")</f>
        <v/>
      </c>
      <c r="BF330">
        <f>IF(AND($G330=TRUE,$E330="MID"),AZ330,"")</f>
        <v/>
      </c>
      <c r="BG330">
        <f>IF(AND($G330=TRUE,$E330="FWD"),AZ330,"")</f>
        <v/>
      </c>
      <c r="BH330" t="n">
        <v>2</v>
      </c>
      <c r="BI330" t="n">
        <v>2</v>
      </c>
      <c r="BJ330" t="n">
        <v>1</v>
      </c>
      <c r="BK330" t="n">
        <v>5</v>
      </c>
    </row>
    <row r="331">
      <c r="A331" t="inlineStr">
        <is>
          <t>Tyrique George</t>
        </is>
      </c>
      <c r="B331" t="inlineStr">
        <is>
          <t>EVE</t>
        </is>
      </c>
      <c r="C331" t="inlineStr">
        <is>
          <t>EVE</t>
        </is>
      </c>
      <c r="D331" t="b">
        <v>0</v>
      </c>
      <c r="E331" t="inlineStr">
        <is>
          <t>MID</t>
        </is>
      </c>
      <c r="F331" t="inlineStr">
        <is>
          <t>MID</t>
        </is>
      </c>
      <c r="G331" t="b">
        <v>1</v>
      </c>
      <c r="H331" s="2" t="n">
        <v>5.5</v>
      </c>
      <c r="I331" t="inlineStr">
        <is>
          <t>a</t>
        </is>
      </c>
      <c r="K331" s="2" t="n">
        <v>351</v>
      </c>
      <c r="L331" t="n">
        <v>16</v>
      </c>
      <c r="M331" s="3" t="n">
        <v>885</v>
      </c>
      <c r="N331" s="8" t="n">
        <v>885</v>
      </c>
      <c r="O331" s="8" t="n">
        <v>0</v>
      </c>
      <c r="Q331" t="inlineStr">
        <is>
          <t>flat</t>
        </is>
      </c>
      <c r="R331" s="6" t="n">
        <v>885</v>
      </c>
      <c r="S331" t="inlineStr">
        <is>
          <t>Solio</t>
        </is>
      </c>
      <c r="U331" s="6" t="n">
        <v>78.40000000000001</v>
      </c>
      <c r="V331" s="2" t="n">
        <v>1</v>
      </c>
      <c r="W331" s="7">
        <f>IF(N(U331)&lt;=0,0,MIN(Assumptions!$B$15,N(R331)/N(U331)))</f>
        <v/>
      </c>
      <c r="X331" s="6" t="n">
        <v>0.231</v>
      </c>
      <c r="Y331" s="3" t="n">
        <v>0.1821</v>
      </c>
      <c r="Z331" t="inlineStr">
        <is>
          <t>adjusted xGOT</t>
        </is>
      </c>
      <c r="AA331" s="3" t="n">
        <v>1</v>
      </c>
      <c r="AB331" s="3" t="n">
        <v>1.109</v>
      </c>
      <c r="AC331" s="3" t="n">
        <v>0.8</v>
      </c>
      <c r="AD331" s="3" t="n">
        <v>0.3246</v>
      </c>
      <c r="AE331" s="3" t="n">
        <v>7.699</v>
      </c>
      <c r="AF331" s="3" t="n">
        <v>0.04118937526389166</v>
      </c>
      <c r="AG331" s="3" t="n">
        <v>6.411</v>
      </c>
      <c r="AH331" s="3" t="n">
        <v>0.4229108139</v>
      </c>
      <c r="AI331" s="3" t="n">
        <v>17</v>
      </c>
      <c r="AJ331" s="3" t="n">
        <v>3.0311</v>
      </c>
      <c r="AK331" s="3" t="n">
        <v>1.5252</v>
      </c>
      <c r="AL331" s="3" t="n">
        <v>-0.291328227694831</v>
      </c>
      <c r="AM331" s="6" t="n">
        <v>0</v>
      </c>
      <c r="AN331" s="3" t="n">
        <v>0</v>
      </c>
      <c r="AO331" s="3" t="n">
        <v>0.9105000000000001</v>
      </c>
      <c r="AP331" s="3" t="n">
        <v>1.285416</v>
      </c>
      <c r="AQ331" s="3">
        <f>N(X331)*N(BJ331)</f>
        <v/>
      </c>
      <c r="AR331" s="3" t="n">
        <v>0</v>
      </c>
      <c r="AS331" s="3" t="n">
        <v>-0</v>
      </c>
      <c r="AT331" s="3" t="n">
        <v>-0.291328227694831</v>
      </c>
      <c r="AU331" s="3">
        <f>SUM(AO331:AT331)</f>
        <v/>
      </c>
      <c r="AV331" s="7">
        <f>IF(OR(N(W331)&lt;=0,N(BH331)=0),0,N(W331)*IF(N(R331)/N(W331)&gt;=60,N(BH331),1))</f>
        <v/>
      </c>
      <c r="AW331" s="7">
        <f>N(W331)*N(AF331)*N(BI331)</f>
        <v/>
      </c>
      <c r="AX331" s="3">
        <f>IF(N(BH331)=0,0,N(W331)*N(AH331))</f>
        <v/>
      </c>
      <c r="AY331" s="7">
        <f>N(AM331)*(Assumptions!$B$13*N(BK331)-(1-Assumptions!$B$13)*Assumptions!$B$14)+N(AN331)</f>
        <v/>
      </c>
      <c r="AZ331" s="7">
        <f>N(AU331)*N(R331)/90+N(AV331)+N(AW331)+N(AX331)+N(AY331)</f>
        <v/>
      </c>
      <c r="BA331" s="3">
        <f>IF(N(R331)&lt;=0,0,(N(AZ331)-N(AY331))*90/N(R331))</f>
        <v/>
      </c>
      <c r="BB331" s="7">
        <f>IFERROR(AZ331-VLOOKUP($E331,Assumptions!$A$40:$C$43,3,FALSE),"")</f>
        <v/>
      </c>
      <c r="BC331" s="3">
        <f>IFERROR(BB331/H331,"")</f>
        <v/>
      </c>
      <c r="BD331">
        <f>IF(AND($G331=TRUE,$E331="GKP"),AZ331,"")</f>
        <v/>
      </c>
      <c r="BE331">
        <f>IF(AND($G331=TRUE,$E331="DEF"),AZ331,"")</f>
        <v/>
      </c>
      <c r="BF331">
        <f>IF(AND($G331=TRUE,$E331="MID"),AZ331,"")</f>
        <v/>
      </c>
      <c r="BG331">
        <f>IF(AND($G331=TRUE,$E331="FWD"),AZ331,"")</f>
        <v/>
      </c>
      <c r="BH331" t="n">
        <v>2</v>
      </c>
      <c r="BI331" t="n">
        <v>2</v>
      </c>
      <c r="BJ331" t="n">
        <v>1</v>
      </c>
      <c r="BK331" t="n">
        <v>5</v>
      </c>
    </row>
    <row r="332">
      <c r="A332" t="inlineStr">
        <is>
          <t>Marco Bizot</t>
        </is>
      </c>
      <c r="B332" t="inlineStr">
        <is>
          <t>AVL</t>
        </is>
      </c>
      <c r="C332" t="inlineStr">
        <is>
          <t>AVL</t>
        </is>
      </c>
      <c r="D332" t="b">
        <v>0</v>
      </c>
      <c r="E332" t="inlineStr">
        <is>
          <t>GKP</t>
        </is>
      </c>
      <c r="F332" t="inlineStr">
        <is>
          <t>GKP</t>
        </is>
      </c>
      <c r="G332" t="b">
        <v>1</v>
      </c>
      <c r="H332" s="2" t="n">
        <v>4.5</v>
      </c>
      <c r="I332" t="inlineStr">
        <is>
          <t>a</t>
        </is>
      </c>
      <c r="K332" s="2" t="n">
        <v>585</v>
      </c>
      <c r="L332" t="n">
        <v>16</v>
      </c>
      <c r="M332" s="3" t="n">
        <v>35</v>
      </c>
      <c r="N332" s="4" t="n">
        <v>320</v>
      </c>
      <c r="O332" s="4" t="n">
        <v>285</v>
      </c>
      <c r="P332" s="5" t="inlineStr">
        <is>
          <t>low</t>
        </is>
      </c>
      <c r="Q332" t="inlineStr">
        <is>
          <t>flat</t>
        </is>
      </c>
      <c r="R332" s="6" t="n">
        <v>320</v>
      </c>
      <c r="S332" t="inlineStr">
        <is>
          <t>research</t>
        </is>
      </c>
      <c r="T332" s="5" t="inlineStr">
        <is>
          <t>The exact counterpart to the Martinez adjustment - the goalkeeper block still totals 3,420. Bizot started the UEFA Super Cup final and the Monchengladbach friendly, so he is a trusted deputy rather than an emergency option, and Martinez's late start plus exit speculation gives him a realistic path to a few league starts.</t>
        </is>
      </c>
      <c r="U332" s="6" t="n">
        <v>89.90000000000001</v>
      </c>
      <c r="V332" s="2" t="n">
        <v>6</v>
      </c>
      <c r="W332" s="7">
        <f>IF(N(U332)&lt;=0,0,MIN(Assumptions!$B$15,N(R332)/N(U332)))</f>
        <v/>
      </c>
      <c r="X332" s="6" t="n">
        <v>0.273</v>
      </c>
      <c r="Y332" s="3" t="n">
        <v>0</v>
      </c>
      <c r="Z332" t="inlineStr">
        <is>
          <t>blended xG</t>
        </is>
      </c>
      <c r="AA332" s="3" t="n">
        <v>1</v>
      </c>
      <c r="AB332" s="3" t="n">
        <v>1</v>
      </c>
      <c r="AC332" s="3" t="n">
        <v>0</v>
      </c>
      <c r="AD332" s="3" t="n">
        <v>0</v>
      </c>
      <c r="AE332" s="3" t="n">
        <v>0</v>
      </c>
      <c r="AF332" s="3" t="n">
        <v>0</v>
      </c>
      <c r="AG332" s="3" t="n">
        <v>5.666</v>
      </c>
      <c r="AH332" s="3" t="n">
        <v>0.23337794</v>
      </c>
      <c r="AI332" s="3" t="n">
        <v>13</v>
      </c>
      <c r="AJ332" s="3" t="n">
        <v>2.7451</v>
      </c>
      <c r="AK332" s="3" t="n">
        <v>1.3575</v>
      </c>
      <c r="AL332" s="3" t="n">
        <v>-0.1440173892489311</v>
      </c>
      <c r="AM332" s="6" t="n">
        <v>0</v>
      </c>
      <c r="AN332" s="3" t="n">
        <v>0.0296591933078106</v>
      </c>
      <c r="AO332" s="3" t="n">
        <v>0</v>
      </c>
      <c r="AP332" s="3" t="n">
        <v>0</v>
      </c>
      <c r="AQ332" s="3">
        <f>N(X332)*N(BJ332)</f>
        <v/>
      </c>
      <c r="AR332" s="3" t="n">
        <v>0.5799503685565225</v>
      </c>
      <c r="AS332" s="3" t="n">
        <v>-0.4453012382517575</v>
      </c>
      <c r="AT332" s="3" t="n">
        <v>-0.1440173892489311</v>
      </c>
      <c r="AU332" s="3">
        <f>SUM(AO332:AT332)</f>
        <v/>
      </c>
      <c r="AV332" s="7">
        <f>IF(OR(N(W332)&lt;=0,N(BH332)=0),0,N(W332)*IF(N(R332)/N(W332)&gt;=60,N(BH332),1))</f>
        <v/>
      </c>
      <c r="AW332" s="7">
        <f>N(W332)*N(AF332)*N(BI332)</f>
        <v/>
      </c>
      <c r="AX332" s="3">
        <f>IF(N(BH332)=0,0,N(W332)*N(AH332))</f>
        <v/>
      </c>
      <c r="AY332" s="7">
        <f>N(AM332)*(Assumptions!$B$13*N(BK332)-(1-Assumptions!$B$13)*Assumptions!$B$14)+N(AN332)</f>
        <v/>
      </c>
      <c r="AZ332" s="7">
        <f>N(AU332)*N(R332)/90+N(AV332)+N(AW332)+N(AX332)+N(AY332)</f>
        <v/>
      </c>
      <c r="BA332" s="3">
        <f>IF(N(R332)&lt;=0,0,(N(AZ332)-N(AY332))*90/N(R332))</f>
        <v/>
      </c>
      <c r="BB332" s="7">
        <f>IFERROR(AZ332-VLOOKUP($E332,Assumptions!$A$40:$C$43,3,FALSE),"")</f>
        <v/>
      </c>
      <c r="BC332" s="3">
        <f>IFERROR(BB332/H332,"")</f>
        <v/>
      </c>
      <c r="BD332">
        <f>IF(AND($G332=TRUE,$E332="GKP"),AZ332,"")</f>
        <v/>
      </c>
      <c r="BE332">
        <f>IF(AND($G332=TRUE,$E332="DEF"),AZ332,"")</f>
        <v/>
      </c>
      <c r="BF332">
        <f>IF(AND($G332=TRUE,$E332="MID"),AZ332,"")</f>
        <v/>
      </c>
      <c r="BG332">
        <f>IF(AND($G332=TRUE,$E332="FWD"),AZ332,"")</f>
        <v/>
      </c>
      <c r="BH332" t="n">
        <v>2</v>
      </c>
      <c r="BI332" t="n">
        <v>0</v>
      </c>
      <c r="BJ332" t="n">
        <v>4</v>
      </c>
      <c r="BK332" t="n">
        <v>10</v>
      </c>
    </row>
    <row r="333">
      <c r="A333" t="inlineStr">
        <is>
          <t>Max Dowman</t>
        </is>
      </c>
      <c r="B333" t="inlineStr">
        <is>
          <t>ARS</t>
        </is>
      </c>
      <c r="C333" t="inlineStr">
        <is>
          <t>ARS</t>
        </is>
      </c>
      <c r="D333" t="b">
        <v>0</v>
      </c>
      <c r="E333" t="inlineStr">
        <is>
          <t>MID</t>
        </is>
      </c>
      <c r="F333" t="inlineStr">
        <is>
          <t>MID</t>
        </is>
      </c>
      <c r="G333" t="b">
        <v>1</v>
      </c>
      <c r="H333" s="2" t="n">
        <v>5.5</v>
      </c>
      <c r="I333" t="inlineStr">
        <is>
          <t>a</t>
        </is>
      </c>
      <c r="K333" s="2" t="n">
        <v>152</v>
      </c>
      <c r="L333" t="n">
        <v>16</v>
      </c>
      <c r="M333" s="3" t="n">
        <v>85</v>
      </c>
      <c r="N333" s="8" t="n">
        <v>85</v>
      </c>
      <c r="O333" s="8" t="n">
        <v>0</v>
      </c>
      <c r="Q333" t="inlineStr">
        <is>
          <t>flat</t>
        </is>
      </c>
      <c r="R333" s="6" t="n">
        <v>85</v>
      </c>
      <c r="S333" t="inlineStr">
        <is>
          <t>Solio</t>
        </is>
      </c>
      <c r="U333" s="6" t="n">
        <v>78.40000000000001</v>
      </c>
      <c r="V333" s="2" t="n">
        <v>1</v>
      </c>
      <c r="W333" s="7">
        <f>IF(N(U333)&lt;=0,0,MIN(Assumptions!$B$15,N(R333)/N(U333)))</f>
        <v/>
      </c>
      <c r="X333" s="6" t="n">
        <v>0.391</v>
      </c>
      <c r="Y333" s="3" t="n">
        <v>0.6898</v>
      </c>
      <c r="Z333" t="inlineStr">
        <is>
          <t>adjusted xGOT</t>
        </is>
      </c>
      <c r="AA333" s="3" t="n">
        <v>1</v>
      </c>
      <c r="AB333" s="3" t="n">
        <v>0.979</v>
      </c>
      <c r="AC333" s="3" t="n">
        <v>1.2</v>
      </c>
      <c r="AD333" s="3" t="n">
        <v>0.2764</v>
      </c>
      <c r="AE333" s="3" t="n">
        <v>8.733000000000001</v>
      </c>
      <c r="AF333" s="3" t="n">
        <v>0.08568498755775111</v>
      </c>
      <c r="AG333" s="3" t="n">
        <v>6.032</v>
      </c>
      <c r="AH333" s="3" t="n">
        <v>1.0181530272</v>
      </c>
      <c r="AI333" s="3" t="n">
        <v>7</v>
      </c>
      <c r="AJ333" s="3" t="n">
        <v>2.067</v>
      </c>
      <c r="AK333" s="3" t="n">
        <v>0.9838</v>
      </c>
      <c r="AL333" s="3" t="n">
        <v>-0.1970043952632675</v>
      </c>
      <c r="AM333" s="6" t="n">
        <v>0</v>
      </c>
      <c r="AN333" s="3" t="n">
        <v>0</v>
      </c>
      <c r="AO333" s="3" t="n">
        <v>3.449</v>
      </c>
      <c r="AP333" s="3" t="n">
        <v>1.094544</v>
      </c>
      <c r="AQ333" s="3">
        <f>N(X333)*N(BJ333)</f>
        <v/>
      </c>
      <c r="AR333" s="3" t="n">
        <v>0</v>
      </c>
      <c r="AS333" s="3" t="n">
        <v>-0</v>
      </c>
      <c r="AT333" s="3" t="n">
        <v>-0.1970043952632675</v>
      </c>
      <c r="AU333" s="3">
        <f>SUM(AO333:AT333)</f>
        <v/>
      </c>
      <c r="AV333" s="7">
        <f>IF(OR(N(W333)&lt;=0,N(BH333)=0),0,N(W333)*IF(N(R333)/N(W333)&gt;=60,N(BH333),1))</f>
        <v/>
      </c>
      <c r="AW333" s="7">
        <f>N(W333)*N(AF333)*N(BI333)</f>
        <v/>
      </c>
      <c r="AX333" s="3">
        <f>IF(N(BH333)=0,0,N(W333)*N(AH333))</f>
        <v/>
      </c>
      <c r="AY333" s="7">
        <f>N(AM333)*(Assumptions!$B$13*N(BK333)-(1-Assumptions!$B$13)*Assumptions!$B$14)+N(AN333)</f>
        <v/>
      </c>
      <c r="AZ333" s="7">
        <f>N(AU333)*N(R333)/90+N(AV333)+N(AW333)+N(AX333)+N(AY333)</f>
        <v/>
      </c>
      <c r="BA333" s="3">
        <f>IF(N(R333)&lt;=0,0,(N(AZ333)-N(AY333))*90/N(R333))</f>
        <v/>
      </c>
      <c r="BB333" s="7">
        <f>IFERROR(AZ333-VLOOKUP($E333,Assumptions!$A$40:$C$43,3,FALSE),"")</f>
        <v/>
      </c>
      <c r="BC333" s="3">
        <f>IFERROR(BB333/H333,"")</f>
        <v/>
      </c>
      <c r="BD333">
        <f>IF(AND($G333=TRUE,$E333="GKP"),AZ333,"")</f>
        <v/>
      </c>
      <c r="BE333">
        <f>IF(AND($G333=TRUE,$E333="DEF"),AZ333,"")</f>
        <v/>
      </c>
      <c r="BF333">
        <f>IF(AND($G333=TRUE,$E333="MID"),AZ333,"")</f>
        <v/>
      </c>
      <c r="BG333">
        <f>IF(AND($G333=TRUE,$E333="FWD"),AZ333,"")</f>
        <v/>
      </c>
      <c r="BH333" t="n">
        <v>2</v>
      </c>
      <c r="BI333" t="n">
        <v>2</v>
      </c>
      <c r="BJ333" t="n">
        <v>1</v>
      </c>
      <c r="BK333" t="n">
        <v>5</v>
      </c>
    </row>
    <row r="334">
      <c r="A334" t="inlineStr">
        <is>
          <t>Harrison Reed</t>
        </is>
      </c>
      <c r="B334" t="inlineStr">
        <is>
          <t>FUL</t>
        </is>
      </c>
      <c r="C334" t="inlineStr">
        <is>
          <t>FUL</t>
        </is>
      </c>
      <c r="D334" t="b">
        <v>0</v>
      </c>
      <c r="E334" t="inlineStr">
        <is>
          <t>MID</t>
        </is>
      </c>
      <c r="F334" t="inlineStr">
        <is>
          <t>MID</t>
        </is>
      </c>
      <c r="G334" t="b">
        <v>1</v>
      </c>
      <c r="H334" s="2" t="n">
        <v>4.5</v>
      </c>
      <c r="I334" t="inlineStr">
        <is>
          <t>a</t>
        </is>
      </c>
      <c r="K334" s="2" t="n">
        <v>89</v>
      </c>
      <c r="L334" t="n">
        <v>15</v>
      </c>
      <c r="M334" s="3" t="n">
        <v>46</v>
      </c>
      <c r="N334" s="8" t="n">
        <v>46</v>
      </c>
      <c r="O334" s="8" t="n">
        <v>0</v>
      </c>
      <c r="Q334" t="inlineStr">
        <is>
          <t>flat</t>
        </is>
      </c>
      <c r="R334" s="6" t="n">
        <v>46</v>
      </c>
      <c r="S334" t="inlineStr">
        <is>
          <t>Solio</t>
        </is>
      </c>
      <c r="U334" s="6" t="n">
        <v>78.5</v>
      </c>
      <c r="V334" s="2" t="n">
        <v>1</v>
      </c>
      <c r="W334" s="7">
        <f>IF(N(U334)&lt;=0,0,MIN(Assumptions!$B$15,N(R334)/N(U334)))</f>
        <v/>
      </c>
      <c r="X334" s="6" t="n">
        <v>0.214</v>
      </c>
      <c r="Y334" s="3" t="n">
        <v>0.1547</v>
      </c>
      <c r="Z334" t="inlineStr">
        <is>
          <t>adjusted xGOT</t>
        </is>
      </c>
      <c r="AA334" s="3" t="n">
        <v>1</v>
      </c>
      <c r="AB334" s="3" t="n">
        <v>1.179</v>
      </c>
      <c r="AC334" s="3" t="n">
        <v>2.6</v>
      </c>
      <c r="AD334" s="3" t="n">
        <v>0.4313</v>
      </c>
      <c r="AE334" s="3" t="n">
        <v>8.301</v>
      </c>
      <c r="AF334" s="3" t="n">
        <v>0.0649601618255804</v>
      </c>
      <c r="AG334" s="3" t="n">
        <v>7.064</v>
      </c>
      <c r="AH334" s="3" t="n">
        <v>0.5030094208</v>
      </c>
      <c r="AI334" s="3" t="n">
        <v>8</v>
      </c>
      <c r="AJ334" s="3" t="n">
        <v>3.22</v>
      </c>
      <c r="AK334" s="3" t="n">
        <v>1.6019</v>
      </c>
      <c r="AL334" s="3" t="n">
        <v>-0.3054845747314056</v>
      </c>
      <c r="AM334" s="6" t="n">
        <v>0</v>
      </c>
      <c r="AN334" s="3" t="n">
        <v>0</v>
      </c>
      <c r="AO334" s="3" t="n">
        <v>0.7735000000000001</v>
      </c>
      <c r="AP334" s="3" t="n">
        <v>1.707948</v>
      </c>
      <c r="AQ334" s="3">
        <f>N(X334)*N(BJ334)</f>
        <v/>
      </c>
      <c r="AR334" s="3" t="n">
        <v>0</v>
      </c>
      <c r="AS334" s="3" t="n">
        <v>-0</v>
      </c>
      <c r="AT334" s="3" t="n">
        <v>-0.3054845747314056</v>
      </c>
      <c r="AU334" s="3">
        <f>SUM(AO334:AT334)</f>
        <v/>
      </c>
      <c r="AV334" s="7">
        <f>IF(OR(N(W334)&lt;=0,N(BH334)=0),0,N(W334)*IF(N(R334)/N(W334)&gt;=60,N(BH334),1))</f>
        <v/>
      </c>
      <c r="AW334" s="7">
        <f>N(W334)*N(AF334)*N(BI334)</f>
        <v/>
      </c>
      <c r="AX334" s="3">
        <f>IF(N(BH334)=0,0,N(W334)*N(AH334))</f>
        <v/>
      </c>
      <c r="AY334" s="7">
        <f>N(AM334)*(Assumptions!$B$13*N(BK334)-(1-Assumptions!$B$13)*Assumptions!$B$14)+N(AN334)</f>
        <v/>
      </c>
      <c r="AZ334" s="7">
        <f>N(AU334)*N(R334)/90+N(AV334)+N(AW334)+N(AX334)+N(AY334)</f>
        <v/>
      </c>
      <c r="BA334" s="3">
        <f>IF(N(R334)&lt;=0,0,(N(AZ334)-N(AY334))*90/N(R334))</f>
        <v/>
      </c>
      <c r="BB334" s="7">
        <f>IFERROR(AZ334-VLOOKUP($E334,Assumptions!$A$40:$C$43,3,FALSE),"")</f>
        <v/>
      </c>
      <c r="BC334" s="3">
        <f>IFERROR(BB334/H334,"")</f>
        <v/>
      </c>
      <c r="BD334">
        <f>IF(AND($G334=TRUE,$E334="GKP"),AZ334,"")</f>
        <v/>
      </c>
      <c r="BE334">
        <f>IF(AND($G334=TRUE,$E334="DEF"),AZ334,"")</f>
        <v/>
      </c>
      <c r="BF334">
        <f>IF(AND($G334=TRUE,$E334="MID"),AZ334,"")</f>
        <v/>
      </c>
      <c r="BG334">
        <f>IF(AND($G334=TRUE,$E334="FWD"),AZ334,"")</f>
        <v/>
      </c>
      <c r="BH334" t="n">
        <v>2</v>
      </c>
      <c r="BI334" t="n">
        <v>2</v>
      </c>
      <c r="BJ334" t="n">
        <v>1</v>
      </c>
      <c r="BK334" t="n">
        <v>5</v>
      </c>
    </row>
    <row r="335">
      <c r="A335" t="inlineStr">
        <is>
          <t>Romaine Mundle</t>
        </is>
      </c>
      <c r="B335" t="inlineStr">
        <is>
          <t>SUN</t>
        </is>
      </c>
      <c r="C335" t="inlineStr">
        <is>
          <t>SUN</t>
        </is>
      </c>
      <c r="D335" t="b">
        <v>0</v>
      </c>
      <c r="E335" t="inlineStr">
        <is>
          <t>MID</t>
        </is>
      </c>
      <c r="F335" t="inlineStr">
        <is>
          <t>MID</t>
        </is>
      </c>
      <c r="G335" t="b">
        <v>1</v>
      </c>
      <c r="H335" s="2" t="n">
        <v>5</v>
      </c>
      <c r="I335" t="inlineStr">
        <is>
          <t>a</t>
        </is>
      </c>
      <c r="K335" s="2" t="n">
        <v>399</v>
      </c>
      <c r="L335" t="n">
        <v>14</v>
      </c>
      <c r="M335" s="3" t="n">
        <v>52</v>
      </c>
      <c r="N335" s="4" t="n">
        <v>300</v>
      </c>
      <c r="O335" s="4" t="n">
        <v>248</v>
      </c>
      <c r="P335" s="5" t="inlineStr">
        <is>
          <t>low</t>
        </is>
      </c>
      <c r="Q335" t="inlineStr">
        <is>
          <t>flat</t>
        </is>
      </c>
      <c r="R335" s="6" t="n">
        <v>300</v>
      </c>
      <c r="S335" t="inlineStr">
        <is>
          <t>research</t>
        </is>
      </c>
      <c r="T335" s="5" t="inlineStr">
        <is>
          <t>Solio's 52 minutes is effectively an exit assumption, but Mundle is still at the club, recovered from the minor knock that kept him out of the Lens friendly, and came off the bench on 64' against Rennes a week before the opener. He played 399 Premier League minutes last season. With Adingra in a walking boot and possibly leaving on loan, Mundle is the fourth wide option in a squad playing at least 46 fixtures. Small delta and low confidence — he could still be moved before 31 Aug.</t>
        </is>
      </c>
      <c r="U335" s="6" t="n">
        <v>77.8</v>
      </c>
      <c r="V335" s="2" t="n">
        <v>2</v>
      </c>
      <c r="W335" s="7">
        <f>IF(N(U335)&lt;=0,0,MIN(Assumptions!$B$15,N(R335)/N(U335)))</f>
        <v/>
      </c>
      <c r="X335" s="6" t="n">
        <v>0.204</v>
      </c>
      <c r="Y335" s="3" t="n">
        <v>0.1791</v>
      </c>
      <c r="Z335" t="inlineStr">
        <is>
          <t>adjusted xGOT</t>
        </is>
      </c>
      <c r="AA335" s="3" t="n">
        <v>1</v>
      </c>
      <c r="AB335" s="3" t="n">
        <v>0.913</v>
      </c>
      <c r="AC335" s="3" t="n">
        <v>0.9</v>
      </c>
      <c r="AD335" s="3" t="n">
        <v>0.0561</v>
      </c>
      <c r="AE335" s="3" t="n">
        <v>8.173</v>
      </c>
      <c r="AF335" s="3" t="n">
        <v>0.05634537800256501</v>
      </c>
      <c r="AG335" s="3" t="n">
        <v>5.382</v>
      </c>
      <c r="AH335" s="3" t="n">
        <v>0.2357608067</v>
      </c>
      <c r="AI335" s="3" t="n">
        <v>15</v>
      </c>
      <c r="AJ335" s="3" t="n">
        <v>3.3348</v>
      </c>
      <c r="AK335" s="3" t="n">
        <v>1.6498</v>
      </c>
      <c r="AL335" s="3" t="n">
        <v>-0.2217182016969436</v>
      </c>
      <c r="AM335" s="6" t="n">
        <v>0</v>
      </c>
      <c r="AN335" s="3" t="n">
        <v>0</v>
      </c>
      <c r="AO335" s="3" t="n">
        <v>0.8955000000000001</v>
      </c>
      <c r="AP335" s="3" t="n">
        <v>0.222156</v>
      </c>
      <c r="AQ335" s="3">
        <f>N(X335)*N(BJ335)</f>
        <v/>
      </c>
      <c r="AR335" s="3" t="n">
        <v>0</v>
      </c>
      <c r="AS335" s="3" t="n">
        <v>-0</v>
      </c>
      <c r="AT335" s="3" t="n">
        <v>-0.2217182016969436</v>
      </c>
      <c r="AU335" s="3">
        <f>SUM(AO335:AT335)</f>
        <v/>
      </c>
      <c r="AV335" s="7">
        <f>IF(OR(N(W335)&lt;=0,N(BH335)=0),0,N(W335)*IF(N(R335)/N(W335)&gt;=60,N(BH335),1))</f>
        <v/>
      </c>
      <c r="AW335" s="7">
        <f>N(W335)*N(AF335)*N(BI335)</f>
        <v/>
      </c>
      <c r="AX335" s="3">
        <f>IF(N(BH335)=0,0,N(W335)*N(AH335))</f>
        <v/>
      </c>
      <c r="AY335" s="7">
        <f>N(AM335)*(Assumptions!$B$13*N(BK335)-(1-Assumptions!$B$13)*Assumptions!$B$14)+N(AN335)</f>
        <v/>
      </c>
      <c r="AZ335" s="7">
        <f>N(AU335)*N(R335)/90+N(AV335)+N(AW335)+N(AX335)+N(AY335)</f>
        <v/>
      </c>
      <c r="BA335" s="3">
        <f>IF(N(R335)&lt;=0,0,(N(AZ335)-N(AY335))*90/N(R335))</f>
        <v/>
      </c>
      <c r="BB335" s="7">
        <f>IFERROR(AZ335-VLOOKUP($E335,Assumptions!$A$40:$C$43,3,FALSE),"")</f>
        <v/>
      </c>
      <c r="BC335" s="3">
        <f>IFERROR(BB335/H335,"")</f>
        <v/>
      </c>
      <c r="BD335">
        <f>IF(AND($G335=TRUE,$E335="GKP"),AZ335,"")</f>
        <v/>
      </c>
      <c r="BE335">
        <f>IF(AND($G335=TRUE,$E335="DEF"),AZ335,"")</f>
        <v/>
      </c>
      <c r="BF335">
        <f>IF(AND($G335=TRUE,$E335="MID"),AZ335,"")</f>
        <v/>
      </c>
      <c r="BG335">
        <f>IF(AND($G335=TRUE,$E335="FWD"),AZ335,"")</f>
        <v/>
      </c>
      <c r="BH335" t="n">
        <v>2</v>
      </c>
      <c r="BI335" t="n">
        <v>2</v>
      </c>
      <c r="BJ335" t="n">
        <v>1</v>
      </c>
      <c r="BK335" t="n">
        <v>5</v>
      </c>
    </row>
    <row r="336">
      <c r="A336" t="inlineStr">
        <is>
          <t>Ethan Pinnock</t>
        </is>
      </c>
      <c r="B336" t="inlineStr">
        <is>
          <t>BRE</t>
        </is>
      </c>
      <c r="C336" t="inlineStr">
        <is>
          <t>BRE</t>
        </is>
      </c>
      <c r="D336" t="b">
        <v>0</v>
      </c>
      <c r="E336" t="inlineStr">
        <is>
          <t>DEF</t>
        </is>
      </c>
      <c r="F336" t="inlineStr">
        <is>
          <t>DEF</t>
        </is>
      </c>
      <c r="G336" t="b">
        <v>1</v>
      </c>
      <c r="H336" s="2" t="n">
        <v>4.5</v>
      </c>
      <c r="I336" t="inlineStr">
        <is>
          <t>a</t>
        </is>
      </c>
      <c r="K336" s="2" t="n">
        <v>318</v>
      </c>
      <c r="L336" t="n">
        <v>14</v>
      </c>
      <c r="M336" s="3" t="n">
        <v>0</v>
      </c>
      <c r="N336" s="8" t="n">
        <v>0</v>
      </c>
      <c r="O336" s="8" t="n">
        <v>0</v>
      </c>
      <c r="Q336" t="inlineStr">
        <is>
          <t>flat</t>
        </is>
      </c>
      <c r="R336" s="6" t="n">
        <v>0</v>
      </c>
      <c r="S336" t="inlineStr">
        <is>
          <t>Solio</t>
        </is>
      </c>
      <c r="U336" s="6" t="n">
        <v>83.8</v>
      </c>
      <c r="V336" s="2" t="n">
        <v>4</v>
      </c>
      <c r="W336" s="7">
        <f>IF(N(U336)&lt;=0,0,MIN(Assumptions!$B$15,N(R336)/N(U336)))</f>
        <v/>
      </c>
      <c r="X336" s="6" t="n">
        <v>0.228</v>
      </c>
      <c r="Y336" s="3" t="n">
        <v>0.0028</v>
      </c>
      <c r="Z336" t="inlineStr">
        <is>
          <t>adjusted xGOT</t>
        </is>
      </c>
      <c r="AA336" s="3" t="n">
        <v>1</v>
      </c>
      <c r="AB336" s="3" t="n">
        <v>1.034</v>
      </c>
      <c r="AC336" s="3" t="n">
        <v>5.8</v>
      </c>
      <c r="AD336" s="3" t="n">
        <v>0.008500000000000001</v>
      </c>
      <c r="AE336" s="3" t="n">
        <v>8.972</v>
      </c>
      <c r="AF336" s="3" t="n">
        <v>0.3281459741394295</v>
      </c>
      <c r="AG336" s="3" t="n">
        <v>8.992000000000001</v>
      </c>
      <c r="AH336" s="3" t="n">
        <v>0.1318671349</v>
      </c>
      <c r="AI336" s="3" t="n">
        <v>8</v>
      </c>
      <c r="AJ336" s="3" t="n">
        <v>3.2371</v>
      </c>
      <c r="AK336" s="3" t="n">
        <v>1.5396</v>
      </c>
      <c r="AL336" s="3" t="n">
        <v>-0.1484440341714589</v>
      </c>
      <c r="AM336" s="6" t="n">
        <v>0</v>
      </c>
      <c r="AN336" s="3" t="n">
        <v>0</v>
      </c>
      <c r="AO336" s="3" t="n">
        <v>0.0168</v>
      </c>
      <c r="AP336" s="3" t="n">
        <v>0.03366</v>
      </c>
      <c r="AQ336" s="3">
        <f>N(X336)*N(BJ336)</f>
        <v/>
      </c>
      <c r="AR336" s="3" t="n">
        <v>0</v>
      </c>
      <c r="AS336" s="3" t="n">
        <v>-0.5312990096912251</v>
      </c>
      <c r="AT336" s="3" t="n">
        <v>-0.1484440341714589</v>
      </c>
      <c r="AU336" s="3">
        <f>SUM(AO336:AT336)</f>
        <v/>
      </c>
      <c r="AV336" s="7">
        <f>IF(OR(N(W336)&lt;=0,N(BH336)=0),0,N(W336)*IF(N(R336)/N(W336)&gt;=60,N(BH336),1))</f>
        <v/>
      </c>
      <c r="AW336" s="7">
        <f>N(W336)*N(AF336)*N(BI336)</f>
        <v/>
      </c>
      <c r="AX336" s="3">
        <f>IF(N(BH336)=0,0,N(W336)*N(AH336))</f>
        <v/>
      </c>
      <c r="AY336" s="7">
        <f>N(AM336)*(Assumptions!$B$13*N(BK336)-(1-Assumptions!$B$13)*Assumptions!$B$14)+N(AN336)</f>
        <v/>
      </c>
      <c r="AZ336" s="7">
        <f>N(AU336)*N(R336)/90+N(AV336)+N(AW336)+N(AX336)+N(AY336)</f>
        <v/>
      </c>
      <c r="BA336" s="3">
        <f>IF(N(R336)&lt;=0,0,(N(AZ336)-N(AY336))*90/N(R336))</f>
        <v/>
      </c>
      <c r="BB336" s="7">
        <f>IFERROR(AZ336-VLOOKUP($E336,Assumptions!$A$40:$C$43,3,FALSE),"")</f>
        <v/>
      </c>
      <c r="BC336" s="3">
        <f>IFERROR(BB336/H336,"")</f>
        <v/>
      </c>
      <c r="BD336">
        <f>IF(AND($G336=TRUE,$E336="GKP"),AZ336,"")</f>
        <v/>
      </c>
      <c r="BE336">
        <f>IF(AND($G336=TRUE,$E336="DEF"),AZ336,"")</f>
        <v/>
      </c>
      <c r="BF336">
        <f>IF(AND($G336=TRUE,$E336="MID"),AZ336,"")</f>
        <v/>
      </c>
      <c r="BG336">
        <f>IF(AND($G336=TRUE,$E336="FWD"),AZ336,"")</f>
        <v/>
      </c>
      <c r="BH336" t="n">
        <v>2</v>
      </c>
      <c r="BI336" t="n">
        <v>2</v>
      </c>
      <c r="BJ336" t="n">
        <v>4</v>
      </c>
      <c r="BK336" t="n">
        <v>6</v>
      </c>
    </row>
    <row r="337">
      <c r="A337" t="inlineStr">
        <is>
          <t>Marc Guiu</t>
        </is>
      </c>
      <c r="B337" t="inlineStr">
        <is>
          <t>CHE</t>
        </is>
      </c>
      <c r="C337" t="inlineStr">
        <is>
          <t>CHE</t>
        </is>
      </c>
      <c r="D337" t="b">
        <v>0</v>
      </c>
      <c r="E337" t="inlineStr">
        <is>
          <t>FWD</t>
        </is>
      </c>
      <c r="F337" t="inlineStr">
        <is>
          <t>FWD</t>
        </is>
      </c>
      <c r="G337" t="b">
        <v>1</v>
      </c>
      <c r="H337" s="2" t="n">
        <v>5</v>
      </c>
      <c r="I337" t="inlineStr">
        <is>
          <t>a</t>
        </is>
      </c>
      <c r="K337" s="2" t="n">
        <v>265</v>
      </c>
      <c r="L337" t="n">
        <v>13</v>
      </c>
      <c r="M337" s="3" t="n">
        <v>0</v>
      </c>
      <c r="N337" s="8" t="n">
        <v>0</v>
      </c>
      <c r="O337" s="8" t="n">
        <v>0</v>
      </c>
      <c r="Q337" t="inlineStr">
        <is>
          <t>flat</t>
        </is>
      </c>
      <c r="R337" s="6" t="n">
        <v>0</v>
      </c>
      <c r="S337" t="inlineStr">
        <is>
          <t>Solio</t>
        </is>
      </c>
      <c r="U337" s="6" t="n">
        <v>78.2</v>
      </c>
      <c r="V337" s="2" t="n">
        <v>1</v>
      </c>
      <c r="W337" s="7">
        <f>IF(N(U337)&lt;=0,0,MIN(Assumptions!$B$15,N(R337)/N(U337)))</f>
        <v/>
      </c>
      <c r="X337" s="6" t="n">
        <v>0.322</v>
      </c>
      <c r="Y337" s="3" t="n">
        <v>0.4442</v>
      </c>
      <c r="Z337" t="inlineStr">
        <is>
          <t>adjusted xGOT</t>
        </is>
      </c>
      <c r="AA337" s="3" t="n">
        <v>1</v>
      </c>
      <c r="AB337" s="3" t="n">
        <v>0.849</v>
      </c>
      <c r="AC337" s="3" t="n">
        <v>1.5</v>
      </c>
      <c r="AD337" s="3" t="n">
        <v>0.1781</v>
      </c>
      <c r="AE337" s="3" t="n">
        <v>4.234</v>
      </c>
      <c r="AF337" s="3" t="n">
        <v>0.0004474021992010302</v>
      </c>
      <c r="AG337" s="3" t="n">
        <v>-0.27</v>
      </c>
      <c r="AH337" s="3" t="n">
        <v>0.5152350786</v>
      </c>
      <c r="AI337" s="3" t="n">
        <v>11</v>
      </c>
      <c r="AJ337" s="3" t="n">
        <v>2.4232</v>
      </c>
      <c r="AK337" s="3" t="n">
        <v>1.1851</v>
      </c>
      <c r="AL337" s="3" t="n">
        <v>-0.197488947267108</v>
      </c>
      <c r="AM337" s="6" t="n">
        <v>0</v>
      </c>
      <c r="AN337" s="3" t="n">
        <v>0</v>
      </c>
      <c r="AO337" s="3" t="n">
        <v>1.7768</v>
      </c>
      <c r="AP337" s="3" t="n">
        <v>0.705276</v>
      </c>
      <c r="AQ337" s="3">
        <f>N(X337)*N(BJ337)</f>
        <v/>
      </c>
      <c r="AR337" s="3" t="n">
        <v>0</v>
      </c>
      <c r="AS337" s="3" t="n">
        <v>-0</v>
      </c>
      <c r="AT337" s="3" t="n">
        <v>-0.197488947267108</v>
      </c>
      <c r="AU337" s="3">
        <f>SUM(AO337:AT337)</f>
        <v/>
      </c>
      <c r="AV337" s="7">
        <f>IF(OR(N(W337)&lt;=0,N(BH337)=0),0,N(W337)*IF(N(R337)/N(W337)&gt;=60,N(BH337),1))</f>
        <v/>
      </c>
      <c r="AW337" s="7">
        <f>N(W337)*N(AF337)*N(BI337)</f>
        <v/>
      </c>
      <c r="AX337" s="3">
        <f>IF(N(BH337)=0,0,N(W337)*N(AH337))</f>
        <v/>
      </c>
      <c r="AY337" s="7">
        <f>N(AM337)*(Assumptions!$B$13*N(BK337)-(1-Assumptions!$B$13)*Assumptions!$B$14)+N(AN337)</f>
        <v/>
      </c>
      <c r="AZ337" s="7">
        <f>N(AU337)*N(R337)/90+N(AV337)+N(AW337)+N(AX337)+N(AY337)</f>
        <v/>
      </c>
      <c r="BA337" s="3">
        <f>IF(N(R337)&lt;=0,0,(N(AZ337)-N(AY337))*90/N(R337))</f>
        <v/>
      </c>
      <c r="BB337" s="7">
        <f>IFERROR(AZ337-VLOOKUP($E337,Assumptions!$A$40:$C$43,3,FALSE),"")</f>
        <v/>
      </c>
      <c r="BC337" s="3">
        <f>IFERROR(BB337/H337,"")</f>
        <v/>
      </c>
      <c r="BD337">
        <f>IF(AND($G337=TRUE,$E337="GKP"),AZ337,"")</f>
        <v/>
      </c>
      <c r="BE337">
        <f>IF(AND($G337=TRUE,$E337="DEF"),AZ337,"")</f>
        <v/>
      </c>
      <c r="BF337">
        <f>IF(AND($G337=TRUE,$E337="MID"),AZ337,"")</f>
        <v/>
      </c>
      <c r="BG337">
        <f>IF(AND($G337=TRUE,$E337="FWD"),AZ337,"")</f>
        <v/>
      </c>
      <c r="BH337" t="n">
        <v>2</v>
      </c>
      <c r="BI337" t="n">
        <v>2</v>
      </c>
      <c r="BJ337" t="n">
        <v>0</v>
      </c>
      <c r="BK337" t="n">
        <v>4</v>
      </c>
    </row>
    <row r="338">
      <c r="A338" t="inlineStr">
        <is>
          <t>Jair Cunha</t>
        </is>
      </c>
      <c r="B338" t="inlineStr">
        <is>
          <t>NFO</t>
        </is>
      </c>
      <c r="C338" t="inlineStr">
        <is>
          <t>NFO</t>
        </is>
      </c>
      <c r="D338" t="b">
        <v>0</v>
      </c>
      <c r="E338" t="inlineStr">
        <is>
          <t>DEF</t>
        </is>
      </c>
      <c r="F338" t="inlineStr">
        <is>
          <t>DEF</t>
        </is>
      </c>
      <c r="G338" t="b">
        <v>1</v>
      </c>
      <c r="H338" s="2" t="n">
        <v>4.5</v>
      </c>
      <c r="I338" t="inlineStr">
        <is>
          <t>a</t>
        </is>
      </c>
      <c r="K338" s="2" t="n">
        <v>514</v>
      </c>
      <c r="L338" t="n">
        <v>13</v>
      </c>
      <c r="M338" s="3" t="n">
        <v>249</v>
      </c>
      <c r="N338" s="4" t="n">
        <v>540</v>
      </c>
      <c r="O338" s="4" t="n">
        <v>291</v>
      </c>
      <c r="P338" s="5" t="inlineStr">
        <is>
          <t>low</t>
        </is>
      </c>
      <c r="Q338" t="inlineStr">
        <is>
          <t>flat</t>
        </is>
      </c>
      <c r="R338" s="6" t="n">
        <v>540</v>
      </c>
      <c r="S338" t="inlineStr">
        <is>
          <t>research</t>
        </is>
      </c>
      <c r="T338" s="5" t="inlineStr">
        <is>
          <t>Same structural point as Morato. Cunha started in the back three in Glasner's first pre-season match at Notts County and is one of five senior centre-backs for three slots in a system that plays three all season.</t>
        </is>
      </c>
      <c r="U338" s="6" t="n">
        <v>80.09999999999999</v>
      </c>
      <c r="V338" s="2" t="n">
        <v>6</v>
      </c>
      <c r="W338" s="7">
        <f>IF(N(U338)&lt;=0,0,MIN(Assumptions!$B$15,N(R338)/N(U338)))</f>
        <v/>
      </c>
      <c r="X338" s="6" t="n">
        <v>0.224</v>
      </c>
      <c r="Y338" s="3" t="n">
        <v>0.0462</v>
      </c>
      <c r="Z338" t="inlineStr">
        <is>
          <t>adjusted xGOT</t>
        </is>
      </c>
      <c r="AA338" s="3" t="n">
        <v>1</v>
      </c>
      <c r="AB338" s="3" t="n">
        <v>0.979</v>
      </c>
      <c r="AC338" s="3" t="n">
        <v>0.3</v>
      </c>
      <c r="AD338" s="3" t="n">
        <v>0.0122</v>
      </c>
      <c r="AE338" s="3" t="n">
        <v>7.912</v>
      </c>
      <c r="AF338" s="3" t="n">
        <v>0.1737556495456569</v>
      </c>
      <c r="AG338" s="3" t="n">
        <v>7.291</v>
      </c>
      <c r="AH338" s="3" t="n">
        <v>0.1201112</v>
      </c>
      <c r="AI338" s="3" t="n">
        <v>13</v>
      </c>
      <c r="AJ338" s="3" t="n">
        <v>3.1134</v>
      </c>
      <c r="AK338" s="3" t="n">
        <v>1.5588</v>
      </c>
      <c r="AL338" s="3" t="n">
        <v>-0.1562993428419221</v>
      </c>
      <c r="AM338" s="6" t="n">
        <v>0</v>
      </c>
      <c r="AN338" s="3" t="n">
        <v>0</v>
      </c>
      <c r="AO338" s="3" t="n">
        <v>0.2772</v>
      </c>
      <c r="AP338" s="3" t="n">
        <v>0.048312</v>
      </c>
      <c r="AQ338" s="3">
        <f>N(X338)*N(BJ338)</f>
        <v/>
      </c>
      <c r="AR338" s="3" t="n">
        <v>0</v>
      </c>
      <c r="AS338" s="3" t="n">
        <v>-0.5404658182244797</v>
      </c>
      <c r="AT338" s="3" t="n">
        <v>-0.1562993428419221</v>
      </c>
      <c r="AU338" s="3">
        <f>SUM(AO338:AT338)</f>
        <v/>
      </c>
      <c r="AV338" s="7">
        <f>IF(OR(N(W338)&lt;=0,N(BH338)=0),0,N(W338)*IF(N(R338)/N(W338)&gt;=60,N(BH338),1))</f>
        <v/>
      </c>
      <c r="AW338" s="7">
        <f>N(W338)*N(AF338)*N(BI338)</f>
        <v/>
      </c>
      <c r="AX338" s="3">
        <f>IF(N(BH338)=0,0,N(W338)*N(AH338))</f>
        <v/>
      </c>
      <c r="AY338" s="7">
        <f>N(AM338)*(Assumptions!$B$13*N(BK338)-(1-Assumptions!$B$13)*Assumptions!$B$14)+N(AN338)</f>
        <v/>
      </c>
      <c r="AZ338" s="7">
        <f>N(AU338)*N(R338)/90+N(AV338)+N(AW338)+N(AX338)+N(AY338)</f>
        <v/>
      </c>
      <c r="BA338" s="3">
        <f>IF(N(R338)&lt;=0,0,(N(AZ338)-N(AY338))*90/N(R338))</f>
        <v/>
      </c>
      <c r="BB338" s="7">
        <f>IFERROR(AZ338-VLOOKUP($E338,Assumptions!$A$40:$C$43,3,FALSE),"")</f>
        <v/>
      </c>
      <c r="BC338" s="3">
        <f>IFERROR(BB338/H338,"")</f>
        <v/>
      </c>
      <c r="BD338">
        <f>IF(AND($G338=TRUE,$E338="GKP"),AZ338,"")</f>
        <v/>
      </c>
      <c r="BE338">
        <f>IF(AND($G338=TRUE,$E338="DEF"),AZ338,"")</f>
        <v/>
      </c>
      <c r="BF338">
        <f>IF(AND($G338=TRUE,$E338="MID"),AZ338,"")</f>
        <v/>
      </c>
      <c r="BG338">
        <f>IF(AND($G338=TRUE,$E338="FWD"),AZ338,"")</f>
        <v/>
      </c>
      <c r="BH338" t="n">
        <v>2</v>
      </c>
      <c r="BI338" t="n">
        <v>2</v>
      </c>
      <c r="BJ338" t="n">
        <v>4</v>
      </c>
      <c r="BK338" t="n">
        <v>6</v>
      </c>
    </row>
    <row r="339">
      <c r="A339" t="inlineStr">
        <is>
          <t>Roméo Lavia</t>
        </is>
      </c>
      <c r="B339" t="inlineStr">
        <is>
          <t>CHE</t>
        </is>
      </c>
      <c r="C339" t="inlineStr">
        <is>
          <t>CHE</t>
        </is>
      </c>
      <c r="D339" t="b">
        <v>0</v>
      </c>
      <c r="E339" t="inlineStr">
        <is>
          <t>MID</t>
        </is>
      </c>
      <c r="F339" t="inlineStr">
        <is>
          <t>MID</t>
        </is>
      </c>
      <c r="G339" t="b">
        <v>1</v>
      </c>
      <c r="H339" s="2" t="n">
        <v>5</v>
      </c>
      <c r="I339" t="inlineStr">
        <is>
          <t>a</t>
        </is>
      </c>
      <c r="K339" s="2" t="n">
        <v>374</v>
      </c>
      <c r="L339" t="n">
        <v>13</v>
      </c>
      <c r="M339" s="3" t="n">
        <v>128</v>
      </c>
      <c r="N339" s="8" t="n">
        <v>128</v>
      </c>
      <c r="O339" s="8" t="n">
        <v>0</v>
      </c>
      <c r="Q339" t="inlineStr">
        <is>
          <t>flat</t>
        </is>
      </c>
      <c r="R339" s="6" t="n">
        <v>128</v>
      </c>
      <c r="S339" t="inlineStr">
        <is>
          <t>Solio</t>
        </is>
      </c>
      <c r="U339" s="6" t="n">
        <v>73.59999999999999</v>
      </c>
      <c r="V339" s="2" t="n">
        <v>4</v>
      </c>
      <c r="W339" s="7">
        <f>IF(N(U339)&lt;=0,0,MIN(Assumptions!$B$15,N(R339)/N(U339)))</f>
        <v/>
      </c>
      <c r="X339" s="6" t="n">
        <v>0.322</v>
      </c>
      <c r="Y339" s="3" t="n">
        <v>0.0484</v>
      </c>
      <c r="Z339" t="inlineStr">
        <is>
          <t>adjusted xGOT</t>
        </is>
      </c>
      <c r="AA339" s="3" t="n">
        <v>1</v>
      </c>
      <c r="AB339" s="3" t="n">
        <v>0.957</v>
      </c>
      <c r="AC339" s="3" t="n">
        <v>0.9</v>
      </c>
      <c r="AD339" s="3" t="n">
        <v>0.1161</v>
      </c>
      <c r="AE339" s="3" t="n">
        <v>8.689</v>
      </c>
      <c r="AF339" s="3" t="n">
        <v>0.05826789956131262</v>
      </c>
      <c r="AG339" s="3" t="n">
        <v>8.259</v>
      </c>
      <c r="AH339" s="3" t="n">
        <v>0.1106646134</v>
      </c>
      <c r="AI339" s="3" t="n">
        <v>13</v>
      </c>
      <c r="AJ339" s="3" t="n">
        <v>2.4232</v>
      </c>
      <c r="AK339" s="3" t="n">
        <v>1.1851</v>
      </c>
      <c r="AL339" s="3" t="n">
        <v>-0.2352048861625498</v>
      </c>
      <c r="AM339" s="6" t="n">
        <v>0</v>
      </c>
      <c r="AN339" s="3" t="n">
        <v>0</v>
      </c>
      <c r="AO339" s="3" t="n">
        <v>0.242</v>
      </c>
      <c r="AP339" s="3" t="n">
        <v>0.459756</v>
      </c>
      <c r="AQ339" s="3">
        <f>N(X339)*N(BJ339)</f>
        <v/>
      </c>
      <c r="AR339" s="3" t="n">
        <v>0</v>
      </c>
      <c r="AS339" s="3" t="n">
        <v>-0</v>
      </c>
      <c r="AT339" s="3" t="n">
        <v>-0.2352048861625498</v>
      </c>
      <c r="AU339" s="3">
        <f>SUM(AO339:AT339)</f>
        <v/>
      </c>
      <c r="AV339" s="7">
        <f>IF(OR(N(W339)&lt;=0,N(BH339)=0),0,N(W339)*IF(N(R339)/N(W339)&gt;=60,N(BH339),1))</f>
        <v/>
      </c>
      <c r="AW339" s="7">
        <f>N(W339)*N(AF339)*N(BI339)</f>
        <v/>
      </c>
      <c r="AX339" s="3">
        <f>IF(N(BH339)=0,0,N(W339)*N(AH339))</f>
        <v/>
      </c>
      <c r="AY339" s="7">
        <f>N(AM339)*(Assumptions!$B$13*N(BK339)-(1-Assumptions!$B$13)*Assumptions!$B$14)+N(AN339)</f>
        <v/>
      </c>
      <c r="AZ339" s="7">
        <f>N(AU339)*N(R339)/90+N(AV339)+N(AW339)+N(AX339)+N(AY339)</f>
        <v/>
      </c>
      <c r="BA339" s="3">
        <f>IF(N(R339)&lt;=0,0,(N(AZ339)-N(AY339))*90/N(R339))</f>
        <v/>
      </c>
      <c r="BB339" s="7">
        <f>IFERROR(AZ339-VLOOKUP($E339,Assumptions!$A$40:$C$43,3,FALSE),"")</f>
        <v/>
      </c>
      <c r="BC339" s="3">
        <f>IFERROR(BB339/H339,"")</f>
        <v/>
      </c>
      <c r="BD339">
        <f>IF(AND($G339=TRUE,$E339="GKP"),AZ339,"")</f>
        <v/>
      </c>
      <c r="BE339">
        <f>IF(AND($G339=TRUE,$E339="DEF"),AZ339,"")</f>
        <v/>
      </c>
      <c r="BF339">
        <f>IF(AND($G339=TRUE,$E339="MID"),AZ339,"")</f>
        <v/>
      </c>
      <c r="BG339">
        <f>IF(AND($G339=TRUE,$E339="FWD"),AZ339,"")</f>
        <v/>
      </c>
      <c r="BH339" t="n">
        <v>2</v>
      </c>
      <c r="BI339" t="n">
        <v>2</v>
      </c>
      <c r="BJ339" t="n">
        <v>1</v>
      </c>
      <c r="BK339" t="n">
        <v>5</v>
      </c>
    </row>
    <row r="340">
      <c r="A340" t="inlineStr">
        <is>
          <t>Nilson Angulo</t>
        </is>
      </c>
      <c r="B340" t="inlineStr">
        <is>
          <t>SUN</t>
        </is>
      </c>
      <c r="C340" t="inlineStr">
        <is>
          <t>SUN</t>
        </is>
      </c>
      <c r="D340" t="b">
        <v>0</v>
      </c>
      <c r="E340" t="inlineStr">
        <is>
          <t>MID</t>
        </is>
      </c>
      <c r="F340" t="inlineStr">
        <is>
          <t>MID</t>
        </is>
      </c>
      <c r="G340" t="b">
        <v>1</v>
      </c>
      <c r="H340" s="2" t="n">
        <v>5</v>
      </c>
      <c r="I340" t="inlineStr">
        <is>
          <t>a</t>
        </is>
      </c>
      <c r="K340" s="2" t="n">
        <v>401</v>
      </c>
      <c r="L340" t="n">
        <v>13</v>
      </c>
      <c r="M340" s="3" t="n">
        <v>648</v>
      </c>
      <c r="N340" s="4" t="n">
        <v>1500</v>
      </c>
      <c r="O340" s="4" t="n">
        <v>852</v>
      </c>
      <c r="P340" s="5" t="inlineStr">
        <is>
          <t>medium</t>
        </is>
      </c>
      <c r="Q340" t="inlineStr">
        <is>
          <t>flat</t>
        </is>
      </c>
      <c r="R340" s="6" t="n">
        <v>1500</v>
      </c>
      <c r="S340" t="inlineStr">
        <is>
          <t>research</t>
        </is>
      </c>
      <c r="T340" s="5" t="inlineStr">
        <is>
          <t>Solio's 648 extrapolates from a stop-start 401-minute half-season after his January arrival from Anderlecht for around GBP15m, during which injuries limited him to eight appearances. That is a bad base rate for 2026/27. He started the final pre-season friendly on the left of the front three, the Echo names him as pushing for the one 'up for grabs' starting spot, and beat coverage expects him to share the left flank with Talbi across four competitions. Set below Talbi because Talbi has the Premier League experience the Echo says 'might count' in the opener, and because Sunderland may still sign a wide attacker.</t>
        </is>
      </c>
      <c r="U340" s="6" t="n">
        <v>78.09999999999999</v>
      </c>
      <c r="V340" s="2" t="n">
        <v>5</v>
      </c>
      <c r="W340" s="7">
        <f>IF(N(U340)&lt;=0,0,MIN(Assumptions!$B$15,N(R340)/N(U340)))</f>
        <v/>
      </c>
      <c r="X340" s="6" t="n">
        <v>0.204</v>
      </c>
      <c r="Y340" s="3" t="n">
        <v>0.1674</v>
      </c>
      <c r="Z340" t="inlineStr">
        <is>
          <t>adjusted xGOT</t>
        </is>
      </c>
      <c r="AA340" s="3" t="n">
        <v>1</v>
      </c>
      <c r="AB340" s="3" t="n">
        <v>0.969</v>
      </c>
      <c r="AC340" s="3" t="n">
        <v>0.8</v>
      </c>
      <c r="AD340" s="3" t="n">
        <v>0.0194</v>
      </c>
      <c r="AE340" s="3" t="n">
        <v>8.319000000000001</v>
      </c>
      <c r="AF340" s="3" t="n">
        <v>0.06387078025033821</v>
      </c>
      <c r="AG340" s="3" t="n">
        <v>5.416</v>
      </c>
      <c r="AH340" s="3" t="n">
        <v>0.2106379566</v>
      </c>
      <c r="AI340" s="3" t="n">
        <v>13</v>
      </c>
      <c r="AJ340" s="3" t="n">
        <v>3.3348</v>
      </c>
      <c r="AK340" s="3" t="n">
        <v>1.6498</v>
      </c>
      <c r="AL340" s="3" t="n">
        <v>-0.2214954059528704</v>
      </c>
      <c r="AM340" s="6" t="n">
        <v>0</v>
      </c>
      <c r="AN340" s="3" t="n">
        <v>0</v>
      </c>
      <c r="AO340" s="3" t="n">
        <v>0.837</v>
      </c>
      <c r="AP340" s="3" t="n">
        <v>0.076824</v>
      </c>
      <c r="AQ340" s="3">
        <f>N(X340)*N(BJ340)</f>
        <v/>
      </c>
      <c r="AR340" s="3" t="n">
        <v>0</v>
      </c>
      <c r="AS340" s="3" t="n">
        <v>-0</v>
      </c>
      <c r="AT340" s="3" t="n">
        <v>-0.2214954059528704</v>
      </c>
      <c r="AU340" s="3">
        <f>SUM(AO340:AT340)</f>
        <v/>
      </c>
      <c r="AV340" s="7">
        <f>IF(OR(N(W340)&lt;=0,N(BH340)=0),0,N(W340)*IF(N(R340)/N(W340)&gt;=60,N(BH340),1))</f>
        <v/>
      </c>
      <c r="AW340" s="7">
        <f>N(W340)*N(AF340)*N(BI340)</f>
        <v/>
      </c>
      <c r="AX340" s="3">
        <f>IF(N(BH340)=0,0,N(W340)*N(AH340))</f>
        <v/>
      </c>
      <c r="AY340" s="7">
        <f>N(AM340)*(Assumptions!$B$13*N(BK340)-(1-Assumptions!$B$13)*Assumptions!$B$14)+N(AN340)</f>
        <v/>
      </c>
      <c r="AZ340" s="7">
        <f>N(AU340)*N(R340)/90+N(AV340)+N(AW340)+N(AX340)+N(AY340)</f>
        <v/>
      </c>
      <c r="BA340" s="3">
        <f>IF(N(R340)&lt;=0,0,(N(AZ340)-N(AY340))*90/N(R340))</f>
        <v/>
      </c>
      <c r="BB340" s="7">
        <f>IFERROR(AZ340-VLOOKUP($E340,Assumptions!$A$40:$C$43,3,FALSE),"")</f>
        <v/>
      </c>
      <c r="BC340" s="3">
        <f>IFERROR(BB340/H340,"")</f>
        <v/>
      </c>
      <c r="BD340">
        <f>IF(AND($G340=TRUE,$E340="GKP"),AZ340,"")</f>
        <v/>
      </c>
      <c r="BE340">
        <f>IF(AND($G340=TRUE,$E340="DEF"),AZ340,"")</f>
        <v/>
      </c>
      <c r="BF340">
        <f>IF(AND($G340=TRUE,$E340="MID"),AZ340,"")</f>
        <v/>
      </c>
      <c r="BG340">
        <f>IF(AND($G340=TRUE,$E340="FWD"),AZ340,"")</f>
        <v/>
      </c>
      <c r="BH340" t="n">
        <v>2</v>
      </c>
      <c r="BI340" t="n">
        <v>2</v>
      </c>
      <c r="BJ340" t="n">
        <v>1</v>
      </c>
      <c r="BK340" t="n">
        <v>5</v>
      </c>
    </row>
    <row r="341">
      <c r="A341" t="inlineStr">
        <is>
          <t>Fábio Carvalho</t>
        </is>
      </c>
      <c r="B341" t="inlineStr">
        <is>
          <t>BRE</t>
        </is>
      </c>
      <c r="C341" t="inlineStr">
        <is>
          <t>BRE</t>
        </is>
      </c>
      <c r="D341" t="b">
        <v>0</v>
      </c>
      <c r="E341" t="inlineStr">
        <is>
          <t>MID</t>
        </is>
      </c>
      <c r="F341" t="inlineStr">
        <is>
          <t>MID</t>
        </is>
      </c>
      <c r="G341" t="b">
        <v>1</v>
      </c>
      <c r="H341" s="2" t="n">
        <v>5</v>
      </c>
      <c r="I341" t="inlineStr">
        <is>
          <t>a</t>
        </is>
      </c>
      <c r="K341" s="2" t="n">
        <v>100</v>
      </c>
      <c r="L341" t="n">
        <v>13</v>
      </c>
      <c r="M341" s="3" t="n">
        <v>10</v>
      </c>
      <c r="N341" s="8" t="n">
        <v>10</v>
      </c>
      <c r="O341" s="8" t="n">
        <v>0</v>
      </c>
      <c r="Q341" t="inlineStr">
        <is>
          <t>flat</t>
        </is>
      </c>
      <c r="R341" s="6" t="n">
        <v>10</v>
      </c>
      <c r="S341" t="inlineStr">
        <is>
          <t>Solio</t>
        </is>
      </c>
      <c r="U341" s="6" t="n">
        <v>81</v>
      </c>
      <c r="V341" s="2" t="n">
        <v>1</v>
      </c>
      <c r="W341" s="7">
        <f>IF(N(U341)&lt;=0,0,MIN(Assumptions!$B$15,N(R341)/N(U341)))</f>
        <v/>
      </c>
      <c r="X341" s="6" t="n">
        <v>0.228</v>
      </c>
      <c r="Y341" s="3" t="n">
        <v>0.63</v>
      </c>
      <c r="Z341" t="inlineStr">
        <is>
          <t>adjusted xGOT</t>
        </is>
      </c>
      <c r="AA341" s="3" t="n">
        <v>1</v>
      </c>
      <c r="AB341" s="3" t="n">
        <v>1</v>
      </c>
      <c r="AC341" s="3" t="n">
        <v>4.3</v>
      </c>
      <c r="AD341" s="3" t="n">
        <v>0.0135</v>
      </c>
      <c r="AE341" s="3" t="n">
        <v>8.409000000000001</v>
      </c>
      <c r="AF341" s="3" t="n">
        <v>0.08328995755939095</v>
      </c>
      <c r="AG341" s="3" t="n">
        <v>6.662</v>
      </c>
      <c r="AH341" s="3" t="n">
        <v>0.9174765511</v>
      </c>
      <c r="AI341" s="3" t="n">
        <v>7</v>
      </c>
      <c r="AJ341" s="3" t="n">
        <v>3.2371</v>
      </c>
      <c r="AK341" s="3" t="n">
        <v>1.5396</v>
      </c>
      <c r="AL341" s="3" t="n">
        <v>-0.205552940658248</v>
      </c>
      <c r="AM341" s="6" t="n">
        <v>0</v>
      </c>
      <c r="AN341" s="3" t="n">
        <v>0</v>
      </c>
      <c r="AO341" s="3" t="n">
        <v>3.15</v>
      </c>
      <c r="AP341" s="3" t="n">
        <v>0.05346000000000001</v>
      </c>
      <c r="AQ341" s="3">
        <f>N(X341)*N(BJ341)</f>
        <v/>
      </c>
      <c r="AR341" s="3" t="n">
        <v>0</v>
      </c>
      <c r="AS341" s="3" t="n">
        <v>-0</v>
      </c>
      <c r="AT341" s="3" t="n">
        <v>-0.205552940658248</v>
      </c>
      <c r="AU341" s="3">
        <f>SUM(AO341:AT341)</f>
        <v/>
      </c>
      <c r="AV341" s="7">
        <f>IF(OR(N(W341)&lt;=0,N(BH341)=0),0,N(W341)*IF(N(R341)/N(W341)&gt;=60,N(BH341),1))</f>
        <v/>
      </c>
      <c r="AW341" s="7">
        <f>N(W341)*N(AF341)*N(BI341)</f>
        <v/>
      </c>
      <c r="AX341" s="3">
        <f>IF(N(BH341)=0,0,N(W341)*N(AH341))</f>
        <v/>
      </c>
      <c r="AY341" s="7">
        <f>N(AM341)*(Assumptions!$B$13*N(BK341)-(1-Assumptions!$B$13)*Assumptions!$B$14)+N(AN341)</f>
        <v/>
      </c>
      <c r="AZ341" s="7">
        <f>N(AU341)*N(R341)/90+N(AV341)+N(AW341)+N(AX341)+N(AY341)</f>
        <v/>
      </c>
      <c r="BA341" s="3">
        <f>IF(N(R341)&lt;=0,0,(N(AZ341)-N(AY341))*90/N(R341))</f>
        <v/>
      </c>
      <c r="BB341" s="7">
        <f>IFERROR(AZ341-VLOOKUP($E341,Assumptions!$A$40:$C$43,3,FALSE),"")</f>
        <v/>
      </c>
      <c r="BC341" s="3">
        <f>IFERROR(BB341/H341,"")</f>
        <v/>
      </c>
      <c r="BD341">
        <f>IF(AND($G341=TRUE,$E341="GKP"),AZ341,"")</f>
        <v/>
      </c>
      <c r="BE341">
        <f>IF(AND($G341=TRUE,$E341="DEF"),AZ341,"")</f>
        <v/>
      </c>
      <c r="BF341">
        <f>IF(AND($G341=TRUE,$E341="MID"),AZ341,"")</f>
        <v/>
      </c>
      <c r="BG341">
        <f>IF(AND($G341=TRUE,$E341="FWD"),AZ341,"")</f>
        <v/>
      </c>
      <c r="BH341" t="n">
        <v>2</v>
      </c>
      <c r="BI341" t="n">
        <v>2</v>
      </c>
      <c r="BJ341" t="n">
        <v>1</v>
      </c>
      <c r="BK341" t="n">
        <v>5</v>
      </c>
    </row>
    <row r="342">
      <c r="A342" s="9" t="inlineStr">
        <is>
          <t>Reiss Nelson</t>
        </is>
      </c>
      <c r="B342" t="inlineStr">
        <is>
          <t>ARS</t>
        </is>
      </c>
      <c r="C342" s="9" t="inlineStr">
        <is>
          <t>BRE</t>
        </is>
      </c>
      <c r="D342" t="b">
        <v>1</v>
      </c>
      <c r="E342" t="inlineStr">
        <is>
          <t>MID</t>
        </is>
      </c>
      <c r="F342" t="inlineStr">
        <is>
          <t>MID</t>
        </is>
      </c>
      <c r="G342" t="b">
        <v>1</v>
      </c>
      <c r="H342" s="2" t="n">
        <v>5.5</v>
      </c>
      <c r="I342" t="inlineStr">
        <is>
          <t>a</t>
        </is>
      </c>
      <c r="K342" s="2" t="n">
        <v>118</v>
      </c>
      <c r="L342" t="n">
        <v>13</v>
      </c>
      <c r="M342" s="3" t="n">
        <v>0</v>
      </c>
      <c r="N342" s="8" t="n">
        <v>0</v>
      </c>
      <c r="O342" s="8" t="n">
        <v>0</v>
      </c>
      <c r="Q342" t="inlineStr">
        <is>
          <t>flat</t>
        </is>
      </c>
      <c r="R342" s="6" t="n">
        <v>0</v>
      </c>
      <c r="S342" t="inlineStr">
        <is>
          <t>Solio</t>
        </is>
      </c>
      <c r="U342" s="6" t="n">
        <v>80.09999999999999</v>
      </c>
      <c r="V342" s="2" t="n">
        <v>0</v>
      </c>
      <c r="W342" s="7">
        <f>IF(N(U342)&lt;=0,0,MIN(Assumptions!$B$15,N(R342)/N(U342)))</f>
        <v/>
      </c>
      <c r="X342" s="6" t="n">
        <v>0.391</v>
      </c>
      <c r="Y342" s="10" t="n">
        <v>0.6079</v>
      </c>
      <c r="Z342" t="inlineStr">
        <is>
          <t>adjusted xGOT</t>
        </is>
      </c>
      <c r="AA342" s="3" t="n">
        <v>1</v>
      </c>
      <c r="AB342" s="3" t="n">
        <v>1.122</v>
      </c>
      <c r="AC342" s="3" t="n">
        <v>3</v>
      </c>
      <c r="AD342" s="10" t="n">
        <v>0.0645</v>
      </c>
      <c r="AE342" s="3" t="n">
        <v>9.839</v>
      </c>
      <c r="AF342" s="3" t="n">
        <v>0.1740450759616596</v>
      </c>
      <c r="AG342" s="3" t="n">
        <v>6.357</v>
      </c>
      <c r="AH342" s="3" t="n">
        <v>0.8119622496000001</v>
      </c>
      <c r="AI342" s="3" t="n">
        <v>10</v>
      </c>
      <c r="AJ342" s="3" t="n">
        <v>2.067</v>
      </c>
      <c r="AK342" s="3" t="n">
        <v>0.9838</v>
      </c>
      <c r="AL342" s="3" t="n">
        <v>-0.2100243840141236</v>
      </c>
      <c r="AM342" s="6" t="n">
        <v>0</v>
      </c>
      <c r="AN342" s="3" t="n">
        <v>0</v>
      </c>
      <c r="AO342" s="10" t="n">
        <v>3.0395</v>
      </c>
      <c r="AP342" s="10" t="n">
        <v>0.25542</v>
      </c>
      <c r="AQ342" s="3">
        <f>N(X342)*N(BJ342)</f>
        <v/>
      </c>
      <c r="AR342" s="3" t="n">
        <v>0</v>
      </c>
      <c r="AS342" s="3" t="n">
        <v>-0</v>
      </c>
      <c r="AT342" s="3" t="n">
        <v>-0.2100243840141236</v>
      </c>
      <c r="AU342" s="3">
        <f>SUM(AO342:AT342)</f>
        <v/>
      </c>
      <c r="AV342" s="7">
        <f>IF(OR(N(W342)&lt;=0,N(BH342)=0),0,N(W342)*IF(N(R342)/N(W342)&gt;=60,N(BH342),1))</f>
        <v/>
      </c>
      <c r="AW342" s="7">
        <f>N(W342)*N(AF342)*N(BI342)</f>
        <v/>
      </c>
      <c r="AX342" s="3">
        <f>IF(N(BH342)=0,0,N(W342)*N(AH342))</f>
        <v/>
      </c>
      <c r="AY342" s="7">
        <f>N(AM342)*(Assumptions!$B$13*N(BK342)-(1-Assumptions!$B$13)*Assumptions!$B$14)+N(AN342)</f>
        <v/>
      </c>
      <c r="AZ342" s="7">
        <f>N(AU342)*N(R342)/90+N(AV342)+N(AW342)+N(AX342)+N(AY342)</f>
        <v/>
      </c>
      <c r="BA342" s="3">
        <f>IF(N(R342)&lt;=0,0,(N(AZ342)-N(AY342))*90/N(R342))</f>
        <v/>
      </c>
      <c r="BB342" s="7">
        <f>IFERROR(AZ342-VLOOKUP($E342,Assumptions!$A$40:$C$43,3,FALSE),"")</f>
        <v/>
      </c>
      <c r="BC342" s="3">
        <f>IFERROR(BB342/H342,"")</f>
        <v/>
      </c>
      <c r="BD342">
        <f>IF(AND($G342=TRUE,$E342="GKP"),AZ342,"")</f>
        <v/>
      </c>
      <c r="BE342">
        <f>IF(AND($G342=TRUE,$E342="DEF"),AZ342,"")</f>
        <v/>
      </c>
      <c r="BF342">
        <f>IF(AND($G342=TRUE,$E342="MID"),AZ342,"")</f>
        <v/>
      </c>
      <c r="BG342">
        <f>IF(AND($G342=TRUE,$E342="FWD"),AZ342,"")</f>
        <v/>
      </c>
      <c r="BH342" t="n">
        <v>2</v>
      </c>
      <c r="BI342" t="n">
        <v>2</v>
      </c>
      <c r="BJ342" t="n">
        <v>1</v>
      </c>
      <c r="BK342" t="n">
        <v>5</v>
      </c>
    </row>
    <row r="343">
      <c r="A343" s="9" t="inlineStr">
        <is>
          <t>James Trafford</t>
        </is>
      </c>
      <c r="B343" t="inlineStr">
        <is>
          <t>LEE</t>
        </is>
      </c>
      <c r="C343" s="9" t="inlineStr">
        <is>
          <t>MCI</t>
        </is>
      </c>
      <c r="D343" t="b">
        <v>1</v>
      </c>
      <c r="E343" t="inlineStr">
        <is>
          <t>GKP</t>
        </is>
      </c>
      <c r="F343" t="inlineStr">
        <is>
          <t>GKP</t>
        </is>
      </c>
      <c r="G343" t="b">
        <v>1</v>
      </c>
      <c r="H343" s="2" t="n">
        <v>5</v>
      </c>
      <c r="I343" t="inlineStr">
        <is>
          <t>a</t>
        </is>
      </c>
      <c r="K343" s="2" t="n">
        <v>360</v>
      </c>
      <c r="L343" t="n">
        <v>13</v>
      </c>
      <c r="M343" s="3" t="n">
        <v>3385</v>
      </c>
      <c r="N343" s="8" t="n">
        <v>3385</v>
      </c>
      <c r="O343" s="8" t="n">
        <v>0</v>
      </c>
      <c r="Q343" t="inlineStr">
        <is>
          <t>flat</t>
        </is>
      </c>
      <c r="R343" s="6" t="n">
        <v>3385</v>
      </c>
      <c r="S343" t="inlineStr">
        <is>
          <t>Solio</t>
        </is>
      </c>
      <c r="U343" s="6" t="n">
        <v>89.90000000000001</v>
      </c>
      <c r="V343" s="2" t="n">
        <v>4</v>
      </c>
      <c r="W343" s="7">
        <f>IF(N(U343)&lt;=0,0,MIN(Assumptions!$B$15,N(R343)/N(U343)))</f>
        <v/>
      </c>
      <c r="X343" s="6" t="n">
        <v>0.218</v>
      </c>
      <c r="Y343" s="10" t="n">
        <v>0</v>
      </c>
      <c r="Z343" t="inlineStr">
        <is>
          <t>blended xG</t>
        </is>
      </c>
      <c r="AA343" s="3" t="n">
        <v>1</v>
      </c>
      <c r="AB343" s="3" t="n">
        <v>1</v>
      </c>
      <c r="AC343" s="3" t="n">
        <v>0</v>
      </c>
      <c r="AD343" s="10" t="n">
        <v>0</v>
      </c>
      <c r="AE343" s="3" t="n">
        <v>0</v>
      </c>
      <c r="AF343" s="3" t="n">
        <v>0</v>
      </c>
      <c r="AG343" s="3" t="n">
        <v>6.084</v>
      </c>
      <c r="AH343" s="3" t="n">
        <v>0.2226943968</v>
      </c>
      <c r="AI343" s="3" t="n">
        <v>8</v>
      </c>
      <c r="AJ343" s="3" t="n">
        <v>3.0611</v>
      </c>
      <c r="AK343" s="3" t="n">
        <v>1.5875</v>
      </c>
      <c r="AL343" s="3" t="n">
        <v>-0.0662227504528997</v>
      </c>
      <c r="AM343" s="6" t="n">
        <v>0</v>
      </c>
      <c r="AN343" s="3" t="n">
        <v>3.354460167611065</v>
      </c>
      <c r="AO343" s="10" t="n">
        <v>0</v>
      </c>
      <c r="AP343" s="10" t="n">
        <v>0</v>
      </c>
      <c r="AQ343" s="3">
        <f>N(X343)*N(BJ343)</f>
        <v/>
      </c>
      <c r="AR343" s="3" t="n">
        <v>0.684972232751521</v>
      </c>
      <c r="AS343" s="3" t="n">
        <v>-0.5541985260210861</v>
      </c>
      <c r="AT343" s="3" t="n">
        <v>-0.0662227504528997</v>
      </c>
      <c r="AU343" s="3">
        <f>SUM(AO343:AT343)</f>
        <v/>
      </c>
      <c r="AV343" s="7">
        <f>IF(OR(N(W343)&lt;=0,N(BH343)=0),0,N(W343)*IF(N(R343)/N(W343)&gt;=60,N(BH343),1))</f>
        <v/>
      </c>
      <c r="AW343" s="7">
        <f>N(W343)*N(AF343)*N(BI343)</f>
        <v/>
      </c>
      <c r="AX343" s="3">
        <f>IF(N(BH343)=0,0,N(W343)*N(AH343))</f>
        <v/>
      </c>
      <c r="AY343" s="7">
        <f>N(AM343)*(Assumptions!$B$13*N(BK343)-(1-Assumptions!$B$13)*Assumptions!$B$14)+N(AN343)</f>
        <v/>
      </c>
      <c r="AZ343" s="7">
        <f>N(AU343)*N(R343)/90+N(AV343)+N(AW343)+N(AX343)+N(AY343)</f>
        <v/>
      </c>
      <c r="BA343" s="3">
        <f>IF(N(R343)&lt;=0,0,(N(AZ343)-N(AY343))*90/N(R343))</f>
        <v/>
      </c>
      <c r="BB343" s="7">
        <f>IFERROR(AZ343-VLOOKUP($E343,Assumptions!$A$40:$C$43,3,FALSE),"")</f>
        <v/>
      </c>
      <c r="BC343" s="3">
        <f>IFERROR(BB343/H343,"")</f>
        <v/>
      </c>
      <c r="BD343">
        <f>IF(AND($G343=TRUE,$E343="GKP"),AZ343,"")</f>
        <v/>
      </c>
      <c r="BE343">
        <f>IF(AND($G343=TRUE,$E343="DEF"),AZ343,"")</f>
        <v/>
      </c>
      <c r="BF343">
        <f>IF(AND($G343=TRUE,$E343="MID"),AZ343,"")</f>
        <v/>
      </c>
      <c r="BG343">
        <f>IF(AND($G343=TRUE,$E343="FWD"),AZ343,"")</f>
        <v/>
      </c>
      <c r="BH343" t="n">
        <v>2</v>
      </c>
      <c r="BI343" t="n">
        <v>0</v>
      </c>
      <c r="BJ343" t="n">
        <v>4</v>
      </c>
      <c r="BK343" t="n">
        <v>10</v>
      </c>
    </row>
    <row r="344">
      <c r="A344" t="inlineStr">
        <is>
          <t>Jack Harrison</t>
        </is>
      </c>
      <c r="B344" t="inlineStr">
        <is>
          <t>LEE</t>
        </is>
      </c>
      <c r="C344" t="inlineStr">
        <is>
          <t>LEE</t>
        </is>
      </c>
      <c r="D344" t="b">
        <v>0</v>
      </c>
      <c r="E344" t="inlineStr">
        <is>
          <t>MID</t>
        </is>
      </c>
      <c r="F344" t="inlineStr">
        <is>
          <t>MID</t>
        </is>
      </c>
      <c r="G344" t="b">
        <v>1</v>
      </c>
      <c r="H344" s="2" t="n">
        <v>5</v>
      </c>
      <c r="I344" t="inlineStr">
        <is>
          <t>u</t>
        </is>
      </c>
      <c r="J344" t="inlineStr">
        <is>
          <t>Has joined New England Revolution permanently</t>
        </is>
      </c>
      <c r="K344" s="2" t="n">
        <v>262</v>
      </c>
      <c r="L344" t="n">
        <v>12</v>
      </c>
      <c r="M344" s="3" t="n"/>
      <c r="N344" s="4" t="n">
        <v>0</v>
      </c>
      <c r="O344" s="4" t="n">
        <v>-262</v>
      </c>
      <c r="P344" s="5" t="inlineStr">
        <is>
          <t>high</t>
        </is>
      </c>
      <c r="R344" s="6" t="n">
        <v>0</v>
      </c>
      <c r="S344" t="inlineStr">
        <is>
          <t>research</t>
        </is>
      </c>
      <c r="T344" s="5" t="inlineStr">
        <is>
          <t>Sold. Permanent transfer to New England Revolution - FPL flagged him status 'u' with the news string 'Has joined New England Revolution permanently' added 2026-07-28, and both Transfermarkt and the Wikipedia season page list him under departures. He cannot play a Premier League minute for Leeds in 2026/27. This is the Chelsea-style stale-departure case the brief asked me to look for.</t>
        </is>
      </c>
      <c r="U344" s="6" t="n">
        <v>78.7</v>
      </c>
      <c r="V344" s="2" t="n">
        <v>1</v>
      </c>
      <c r="W344" s="7">
        <f>IF(N(U344)&lt;=0,0,MIN(Assumptions!$B$15,N(R344)/N(U344)))</f>
        <v/>
      </c>
      <c r="X344" s="6" t="n">
        <v>0.218</v>
      </c>
      <c r="Y344" s="3" t="n">
        <v>0.0814</v>
      </c>
      <c r="Z344" t="inlineStr">
        <is>
          <t>adjusted xGOT</t>
        </is>
      </c>
      <c r="AA344" s="3" t="n">
        <v>1</v>
      </c>
      <c r="AB344" s="3" t="n">
        <v>0.845</v>
      </c>
      <c r="AC344" s="3" t="n">
        <v>12.9</v>
      </c>
      <c r="AD344" s="3" t="n">
        <v>0.09760000000000001</v>
      </c>
      <c r="AE344" s="3" t="n">
        <v>8.488</v>
      </c>
      <c r="AF344" s="3" t="n">
        <v>0.07477569901752035</v>
      </c>
      <c r="AG344" s="3" t="n">
        <v>6.994</v>
      </c>
      <c r="AH344" s="3" t="n">
        <v>0.1482085284</v>
      </c>
      <c r="AI344" s="3" t="n">
        <v>12</v>
      </c>
      <c r="AJ344" s="3" t="n">
        <v>3.0611</v>
      </c>
      <c r="AK344" s="3" t="n">
        <v>1.5875</v>
      </c>
      <c r="AL344" s="3" t="n">
        <v>-0.1010606060393028</v>
      </c>
      <c r="AM344" s="6" t="n">
        <v>0</v>
      </c>
      <c r="AN344" s="3" t="n">
        <v>0</v>
      </c>
      <c r="AO344" s="3" t="n">
        <v>0.407</v>
      </c>
      <c r="AP344" s="3" t="n">
        <v>0.386496</v>
      </c>
      <c r="AQ344" s="3">
        <f>N(X344)*N(BJ344)</f>
        <v/>
      </c>
      <c r="AR344" s="3" t="n">
        <v>0</v>
      </c>
      <c r="AS344" s="3" t="n">
        <v>-0</v>
      </c>
      <c r="AT344" s="3" t="n">
        <v>-0.1010606060393028</v>
      </c>
      <c r="AU344" s="3">
        <f>SUM(AO344:AT344)</f>
        <v/>
      </c>
      <c r="AV344" s="7">
        <f>IF(OR(N(W344)&lt;=0,N(BH344)=0),0,N(W344)*IF(N(R344)/N(W344)&gt;=60,N(BH344),1))</f>
        <v/>
      </c>
      <c r="AW344" s="7">
        <f>N(W344)*N(AF344)*N(BI344)</f>
        <v/>
      </c>
      <c r="AX344" s="3">
        <f>IF(N(BH344)=0,0,N(W344)*N(AH344))</f>
        <v/>
      </c>
      <c r="AY344" s="7">
        <f>N(AM344)*(Assumptions!$B$13*N(BK344)-(1-Assumptions!$B$13)*Assumptions!$B$14)+N(AN344)</f>
        <v/>
      </c>
      <c r="AZ344" s="7">
        <f>N(AU344)*N(R344)/90+N(AV344)+N(AW344)+N(AX344)+N(AY344)</f>
        <v/>
      </c>
      <c r="BA344" s="3">
        <f>IF(N(R344)&lt;=0,0,(N(AZ344)-N(AY344))*90/N(R344))</f>
        <v/>
      </c>
      <c r="BB344" s="7">
        <f>IFERROR(AZ344-VLOOKUP($E344,Assumptions!$A$40:$C$43,3,FALSE),"")</f>
        <v/>
      </c>
      <c r="BC344" s="3">
        <f>IFERROR(BB344/H344,"")</f>
        <v/>
      </c>
      <c r="BD344">
        <f>IF(AND($G344=TRUE,$E344="GKP"),AZ344,"")</f>
        <v/>
      </c>
      <c r="BE344">
        <f>IF(AND($G344=TRUE,$E344="DEF"),AZ344,"")</f>
        <v/>
      </c>
      <c r="BF344">
        <f>IF(AND($G344=TRUE,$E344="MID"),AZ344,"")</f>
        <v/>
      </c>
      <c r="BG344">
        <f>IF(AND($G344=TRUE,$E344="FWD"),AZ344,"")</f>
        <v/>
      </c>
      <c r="BH344" t="n">
        <v>2</v>
      </c>
      <c r="BI344" t="n">
        <v>2</v>
      </c>
      <c r="BJ344" t="n">
        <v>1</v>
      </c>
      <c r="BK344" t="n">
        <v>5</v>
      </c>
    </row>
    <row r="345">
      <c r="A345" t="inlineStr">
        <is>
          <t>Wataru Endo</t>
        </is>
      </c>
      <c r="B345" t="inlineStr">
        <is>
          <t>LIV</t>
        </is>
      </c>
      <c r="C345" t="inlineStr">
        <is>
          <t>LIV</t>
        </is>
      </c>
      <c r="D345" t="b">
        <v>0</v>
      </c>
      <c r="E345" t="inlineStr">
        <is>
          <t>MID</t>
        </is>
      </c>
      <c r="F345" t="inlineStr">
        <is>
          <t>MID</t>
        </is>
      </c>
      <c r="G345" t="b">
        <v>1</v>
      </c>
      <c r="H345" s="2" t="n">
        <v>5</v>
      </c>
      <c r="I345" t="inlineStr">
        <is>
          <t>a</t>
        </is>
      </c>
      <c r="K345" s="2" t="n">
        <v>170</v>
      </c>
      <c r="L345" t="n">
        <v>12</v>
      </c>
      <c r="M345" s="3" t="n">
        <v>76</v>
      </c>
      <c r="N345" s="8" t="n">
        <v>76</v>
      </c>
      <c r="O345" s="8" t="n">
        <v>0</v>
      </c>
      <c r="Q345" t="inlineStr">
        <is>
          <t>flat</t>
        </is>
      </c>
      <c r="R345" s="6" t="n">
        <v>76</v>
      </c>
      <c r="S345" t="inlineStr">
        <is>
          <t>Solio</t>
        </is>
      </c>
      <c r="U345" s="6" t="n">
        <v>79</v>
      </c>
      <c r="V345" s="2" t="n">
        <v>1</v>
      </c>
      <c r="W345" s="7">
        <f>IF(N(U345)&lt;=0,0,MIN(Assumptions!$B$15,N(R345)/N(U345)))</f>
        <v/>
      </c>
      <c r="X345" s="6" t="n">
        <v>0.342</v>
      </c>
      <c r="Y345" s="3" t="n">
        <v>0.0222</v>
      </c>
      <c r="Z345" t="inlineStr">
        <is>
          <t>adjusted xGOT</t>
        </is>
      </c>
      <c r="AA345" s="3" t="n">
        <v>1</v>
      </c>
      <c r="AB345" s="3" t="n">
        <v>1.041</v>
      </c>
      <c r="AC345" s="3" t="n">
        <v>0.6</v>
      </c>
      <c r="AD345" s="3" t="n">
        <v>0.05</v>
      </c>
      <c r="AE345" s="3" t="n">
        <v>9.265000000000001</v>
      </c>
      <c r="AF345" s="3" t="n">
        <v>0.1217342913566316</v>
      </c>
      <c r="AG345" s="3" t="n">
        <v>7.192</v>
      </c>
      <c r="AH345" s="3" t="n">
        <v>0.0493960014</v>
      </c>
      <c r="AI345" s="3" t="n">
        <v>9</v>
      </c>
      <c r="AJ345" s="3" t="n">
        <v>2.409</v>
      </c>
      <c r="AK345" s="3" t="n">
        <v>1.1228</v>
      </c>
      <c r="AL345" s="3" t="n">
        <v>-0.3173889111050779</v>
      </c>
      <c r="AM345" s="6" t="n">
        <v>0</v>
      </c>
      <c r="AN345" s="3" t="n">
        <v>0</v>
      </c>
      <c r="AO345" s="3" t="n">
        <v>0.111</v>
      </c>
      <c r="AP345" s="3" t="n">
        <v>0.198</v>
      </c>
      <c r="AQ345" s="3">
        <f>N(X345)*N(BJ345)</f>
        <v/>
      </c>
      <c r="AR345" s="3" t="n">
        <v>0</v>
      </c>
      <c r="AS345" s="3" t="n">
        <v>-0</v>
      </c>
      <c r="AT345" s="3" t="n">
        <v>-0.3173889111050779</v>
      </c>
      <c r="AU345" s="3">
        <f>SUM(AO345:AT345)</f>
        <v/>
      </c>
      <c r="AV345" s="7">
        <f>IF(OR(N(W345)&lt;=0,N(BH345)=0),0,N(W345)*IF(N(R345)/N(W345)&gt;=60,N(BH345),1))</f>
        <v/>
      </c>
      <c r="AW345" s="7">
        <f>N(W345)*N(AF345)*N(BI345)</f>
        <v/>
      </c>
      <c r="AX345" s="3">
        <f>IF(N(BH345)=0,0,N(W345)*N(AH345))</f>
        <v/>
      </c>
      <c r="AY345" s="7">
        <f>N(AM345)*(Assumptions!$B$13*N(BK345)-(1-Assumptions!$B$13)*Assumptions!$B$14)+N(AN345)</f>
        <v/>
      </c>
      <c r="AZ345" s="7">
        <f>N(AU345)*N(R345)/90+N(AV345)+N(AW345)+N(AX345)+N(AY345)</f>
        <v/>
      </c>
      <c r="BA345" s="3">
        <f>IF(N(R345)&lt;=0,0,(N(AZ345)-N(AY345))*90/N(R345))</f>
        <v/>
      </c>
      <c r="BB345" s="7">
        <f>IFERROR(AZ345-VLOOKUP($E345,Assumptions!$A$40:$C$43,3,FALSE),"")</f>
        <v/>
      </c>
      <c r="BC345" s="3">
        <f>IFERROR(BB345/H345,"")</f>
        <v/>
      </c>
      <c r="BD345">
        <f>IF(AND($G345=TRUE,$E345="GKP"),AZ345,"")</f>
        <v/>
      </c>
      <c r="BE345">
        <f>IF(AND($G345=TRUE,$E345="DEF"),AZ345,"")</f>
        <v/>
      </c>
      <c r="BF345">
        <f>IF(AND($G345=TRUE,$E345="MID"),AZ345,"")</f>
        <v/>
      </c>
      <c r="BG345">
        <f>IF(AND($G345=TRUE,$E345="FWD"),AZ345,"")</f>
        <v/>
      </c>
      <c r="BH345" t="n">
        <v>2</v>
      </c>
      <c r="BI345" t="n">
        <v>2</v>
      </c>
      <c r="BJ345" t="n">
        <v>1</v>
      </c>
      <c r="BK345" t="n">
        <v>5</v>
      </c>
    </row>
    <row r="346">
      <c r="A346" s="9" t="inlineStr">
        <is>
          <t>Frank Onyeka</t>
        </is>
      </c>
      <c r="B346" t="inlineStr">
        <is>
          <t>COV</t>
        </is>
      </c>
      <c r="C346" s="9" t="inlineStr">
        <is>
          <t>BRE</t>
        </is>
      </c>
      <c r="D346" t="b">
        <v>1</v>
      </c>
      <c r="E346" t="inlineStr">
        <is>
          <t>MID</t>
        </is>
      </c>
      <c r="F346" t="inlineStr">
        <is>
          <t>MID</t>
        </is>
      </c>
      <c r="G346" t="b">
        <v>1</v>
      </c>
      <c r="H346" s="2" t="n">
        <v>5</v>
      </c>
      <c r="I346" t="inlineStr">
        <is>
          <t>a</t>
        </is>
      </c>
      <c r="K346" s="2" t="n">
        <v>88</v>
      </c>
      <c r="L346" t="n">
        <v>12</v>
      </c>
      <c r="M346" s="3" t="n">
        <v>480</v>
      </c>
      <c r="N346" s="8" t="n">
        <v>480</v>
      </c>
      <c r="O346" s="8" t="n">
        <v>0</v>
      </c>
      <c r="Q346" t="inlineStr">
        <is>
          <t>flat</t>
        </is>
      </c>
      <c r="R346" s="6" t="n">
        <v>480</v>
      </c>
      <c r="S346" t="inlineStr">
        <is>
          <t>Solio</t>
        </is>
      </c>
      <c r="U346" s="6" t="n">
        <v>80.09999999999999</v>
      </c>
      <c r="V346" s="2" t="n">
        <v>0</v>
      </c>
      <c r="W346" s="7">
        <f>IF(N(U346)&lt;=0,0,MIN(Assumptions!$B$15,N(R346)/N(U346)))</f>
        <v/>
      </c>
      <c r="X346" s="6" t="n">
        <v>0.17</v>
      </c>
      <c r="Y346" s="10" t="n">
        <v>0</v>
      </c>
      <c r="Z346" t="inlineStr">
        <is>
          <t>adjusted xGOT</t>
        </is>
      </c>
      <c r="AA346" s="3" t="n">
        <v>1</v>
      </c>
      <c r="AB346" s="3" t="n">
        <v>0.908</v>
      </c>
      <c r="AC346" s="3" t="n">
        <v>3.1</v>
      </c>
      <c r="AD346" s="10" t="n">
        <v>0.3736</v>
      </c>
      <c r="AE346" s="3" t="n">
        <v>8.757</v>
      </c>
      <c r="AF346" s="3" t="n">
        <v>0.09761199902347195</v>
      </c>
      <c r="AG346" s="3" t="n">
        <v>6.53</v>
      </c>
      <c r="AH346" s="3" t="n">
        <v>0.1991681664</v>
      </c>
      <c r="AI346" s="3" t="n">
        <v>6</v>
      </c>
      <c r="AJ346" s="3" t="n">
        <v>3.6194</v>
      </c>
      <c r="AK346" s="3" t="n">
        <v>1.8271</v>
      </c>
      <c r="AL346" s="3" t="n">
        <v>-0.3041227349574793</v>
      </c>
      <c r="AM346" s="6" t="n">
        <v>0</v>
      </c>
      <c r="AN346" s="3" t="n">
        <v>0</v>
      </c>
      <c r="AO346" s="10" t="n">
        <v>0</v>
      </c>
      <c r="AP346" s="10" t="n">
        <v>1.479456</v>
      </c>
      <c r="AQ346" s="3">
        <f>N(X346)*N(BJ346)</f>
        <v/>
      </c>
      <c r="AR346" s="3" t="n">
        <v>0</v>
      </c>
      <c r="AS346" s="3" t="n">
        <v>-0</v>
      </c>
      <c r="AT346" s="3" t="n">
        <v>-0.3041227349574793</v>
      </c>
      <c r="AU346" s="3">
        <f>SUM(AO346:AT346)</f>
        <v/>
      </c>
      <c r="AV346" s="7">
        <f>IF(OR(N(W346)&lt;=0,N(BH346)=0),0,N(W346)*IF(N(R346)/N(W346)&gt;=60,N(BH346),1))</f>
        <v/>
      </c>
      <c r="AW346" s="7">
        <f>N(W346)*N(AF346)*N(BI346)</f>
        <v/>
      </c>
      <c r="AX346" s="3">
        <f>IF(N(BH346)=0,0,N(W346)*N(AH346))</f>
        <v/>
      </c>
      <c r="AY346" s="7">
        <f>N(AM346)*(Assumptions!$B$13*N(BK346)-(1-Assumptions!$B$13)*Assumptions!$B$14)+N(AN346)</f>
        <v/>
      </c>
      <c r="AZ346" s="7">
        <f>N(AU346)*N(R346)/90+N(AV346)+N(AW346)+N(AX346)+N(AY346)</f>
        <v/>
      </c>
      <c r="BA346" s="3">
        <f>IF(N(R346)&lt;=0,0,(N(AZ346)-N(AY346))*90/N(R346))</f>
        <v/>
      </c>
      <c r="BB346" s="7">
        <f>IFERROR(AZ346-VLOOKUP($E346,Assumptions!$A$40:$C$43,3,FALSE),"")</f>
        <v/>
      </c>
      <c r="BC346" s="3">
        <f>IFERROR(BB346/H346,"")</f>
        <v/>
      </c>
      <c r="BD346">
        <f>IF(AND($G346=TRUE,$E346="GKP"),AZ346,"")</f>
        <v/>
      </c>
      <c r="BE346">
        <f>IF(AND($G346=TRUE,$E346="DEF"),AZ346,"")</f>
        <v/>
      </c>
      <c r="BF346">
        <f>IF(AND($G346=TRUE,$E346="MID"),AZ346,"")</f>
        <v/>
      </c>
      <c r="BG346">
        <f>IF(AND($G346=TRUE,$E346="FWD"),AZ346,"")</f>
        <v/>
      </c>
      <c r="BH346" t="n">
        <v>2</v>
      </c>
      <c r="BI346" t="n">
        <v>2</v>
      </c>
      <c r="BJ346" t="n">
        <v>1</v>
      </c>
      <c r="BK346" t="n">
        <v>5</v>
      </c>
    </row>
    <row r="347">
      <c r="A347" t="inlineStr">
        <is>
          <t>Altay Bayindir</t>
        </is>
      </c>
      <c r="B347" t="inlineStr">
        <is>
          <t>MUN</t>
        </is>
      </c>
      <c r="C347" t="inlineStr">
        <is>
          <t>MUN</t>
        </is>
      </c>
      <c r="D347" t="b">
        <v>0</v>
      </c>
      <c r="E347" t="inlineStr">
        <is>
          <t>GKP</t>
        </is>
      </c>
      <c r="F347" t="inlineStr">
        <is>
          <t>GKP</t>
        </is>
      </c>
      <c r="G347" t="b">
        <v>1</v>
      </c>
      <c r="H347" s="2" t="n">
        <v>4.5</v>
      </c>
      <c r="I347" t="inlineStr">
        <is>
          <t>u</t>
        </is>
      </c>
      <c r="J347" t="inlineStr">
        <is>
          <t>Has joined Celta Vigo on loan for the rest of the season</t>
        </is>
      </c>
      <c r="K347" s="2" t="n">
        <v>540</v>
      </c>
      <c r="L347" t="n">
        <v>11</v>
      </c>
      <c r="M347" s="3" t="n"/>
      <c r="N347" s="4" t="n">
        <v>0</v>
      </c>
      <c r="O347" s="4" t="n">
        <v>-540</v>
      </c>
      <c r="P347" s="5" t="inlineStr">
        <is>
          <t>high</t>
        </is>
      </c>
      <c r="R347" s="6" t="n">
        <v>0</v>
      </c>
      <c r="S347" t="inlineStr">
        <is>
          <t>research</t>
        </is>
      </c>
      <c r="T347" s="5" t="inlineStr">
        <is>
          <t>Joined Celta Vigo on loan for the whole season on 7 August. He cannot record a Premier League minute for United. This is also the single cleanest arithmetic error in Solio's allocation: Lammens 3,385 + Bayindir 540 + Darlow 35 = 3,960 against a hard goalkeeping cap of 3,420. Removing Bayindir lands the goalkeeping pool on exactly 3,420.</t>
        </is>
      </c>
      <c r="U347" s="6" t="n">
        <v>89.90000000000001</v>
      </c>
      <c r="V347" s="2" t="n">
        <v>6</v>
      </c>
      <c r="W347" s="7">
        <f>IF(N(U347)&lt;=0,0,MIN(Assumptions!$B$15,N(R347)/N(U347)))</f>
        <v/>
      </c>
      <c r="X347" s="6" t="n">
        <v>0.334</v>
      </c>
      <c r="Y347" s="3" t="n">
        <v>0</v>
      </c>
      <c r="Z347" t="inlineStr">
        <is>
          <t>blended xG</t>
        </is>
      </c>
      <c r="AA347" s="3" t="n">
        <v>1</v>
      </c>
      <c r="AB347" s="3" t="n">
        <v>1</v>
      </c>
      <c r="AC347" s="3" t="n">
        <v>0</v>
      </c>
      <c r="AD347" s="3" t="n">
        <v>0.0287</v>
      </c>
      <c r="AE347" s="3" t="n">
        <v>0</v>
      </c>
      <c r="AF347" s="3" t="n">
        <v>0</v>
      </c>
      <c r="AG347" s="3" t="n">
        <v>5.535</v>
      </c>
      <c r="AH347" s="3" t="n">
        <v>0.1904802784</v>
      </c>
      <c r="AI347" s="3" t="n">
        <v>12</v>
      </c>
      <c r="AJ347" s="3" t="n">
        <v>2.2165</v>
      </c>
      <c r="AK347" s="3" t="n">
        <v>1.1467</v>
      </c>
      <c r="AL347" s="3" t="n">
        <v>-0.0510662577818652</v>
      </c>
      <c r="AM347" s="6" t="n">
        <v>0</v>
      </c>
      <c r="AN347" s="3" t="n">
        <v>0.3865365731175343</v>
      </c>
      <c r="AO347" s="3" t="n">
        <v>0</v>
      </c>
      <c r="AP347" s="3" t="n">
        <v>0.113652</v>
      </c>
      <c r="AQ347" s="3">
        <f>N(X347)*N(BJ347)</f>
        <v/>
      </c>
      <c r="AR347" s="3" t="n">
        <v>0.407909225741714</v>
      </c>
      <c r="AS347" s="3" t="n">
        <v>-0.348580685135232</v>
      </c>
      <c r="AT347" s="3" t="n">
        <v>-0.0510662577818652</v>
      </c>
      <c r="AU347" s="3">
        <f>SUM(AO347:AT347)</f>
        <v/>
      </c>
      <c r="AV347" s="7">
        <f>IF(OR(N(W347)&lt;=0,N(BH347)=0),0,N(W347)*IF(N(R347)/N(W347)&gt;=60,N(BH347),1))</f>
        <v/>
      </c>
      <c r="AW347" s="7">
        <f>N(W347)*N(AF347)*N(BI347)</f>
        <v/>
      </c>
      <c r="AX347" s="3">
        <f>IF(N(BH347)=0,0,N(W347)*N(AH347))</f>
        <v/>
      </c>
      <c r="AY347" s="7">
        <f>N(AM347)*(Assumptions!$B$13*N(BK347)-(1-Assumptions!$B$13)*Assumptions!$B$14)+N(AN347)</f>
        <v/>
      </c>
      <c r="AZ347" s="7">
        <f>N(AU347)*N(R347)/90+N(AV347)+N(AW347)+N(AX347)+N(AY347)</f>
        <v/>
      </c>
      <c r="BA347" s="3">
        <f>IF(N(R347)&lt;=0,0,(N(AZ347)-N(AY347))*90/N(R347))</f>
        <v/>
      </c>
      <c r="BB347" s="7">
        <f>IFERROR(AZ347-VLOOKUP($E347,Assumptions!$A$40:$C$43,3,FALSE),"")</f>
        <v/>
      </c>
      <c r="BC347" s="3">
        <f>IFERROR(BB347/H347,"")</f>
        <v/>
      </c>
      <c r="BD347">
        <f>IF(AND($G347=TRUE,$E347="GKP"),AZ347,"")</f>
        <v/>
      </c>
      <c r="BE347">
        <f>IF(AND($G347=TRUE,$E347="DEF"),AZ347,"")</f>
        <v/>
      </c>
      <c r="BF347">
        <f>IF(AND($G347=TRUE,$E347="MID"),AZ347,"")</f>
        <v/>
      </c>
      <c r="BG347">
        <f>IF(AND($G347=TRUE,$E347="FWD"),AZ347,"")</f>
        <v/>
      </c>
      <c r="BH347" t="n">
        <v>2</v>
      </c>
      <c r="BI347" t="n">
        <v>0</v>
      </c>
      <c r="BJ347" t="n">
        <v>4</v>
      </c>
      <c r="BK347" t="n">
        <v>10</v>
      </c>
    </row>
    <row r="348">
      <c r="A348" t="inlineStr">
        <is>
          <t>Ben Gannon-Doak</t>
        </is>
      </c>
      <c r="B348" t="inlineStr">
        <is>
          <t>BOU</t>
        </is>
      </c>
      <c r="C348" t="inlineStr">
        <is>
          <t>BOU</t>
        </is>
      </c>
      <c r="D348" t="b">
        <v>0</v>
      </c>
      <c r="E348" t="inlineStr">
        <is>
          <t>MID</t>
        </is>
      </c>
      <c r="F348" t="inlineStr">
        <is>
          <t>MID</t>
        </is>
      </c>
      <c r="G348" t="b">
        <v>1</v>
      </c>
      <c r="H348" s="2" t="n">
        <v>5</v>
      </c>
      <c r="I348" t="inlineStr">
        <is>
          <t>a</t>
        </is>
      </c>
      <c r="K348" s="2" t="n">
        <v>105</v>
      </c>
      <c r="L348" t="n">
        <v>11</v>
      </c>
      <c r="M348" s="3" t="n">
        <v>160</v>
      </c>
      <c r="N348" s="4" t="n">
        <v>450</v>
      </c>
      <c r="O348" s="4" t="n">
        <v>290</v>
      </c>
      <c r="P348" s="5" t="inlineStr">
        <is>
          <t>low</t>
        </is>
      </c>
      <c r="Q348" t="inlineStr">
        <is>
          <t>flat</t>
        </is>
      </c>
      <c r="R348" s="6" t="n">
        <v>450</v>
      </c>
      <c r="S348" t="inlineStr">
        <is>
          <t>research</t>
        </is>
      </c>
      <c r="T348" s="5" t="inlineStr">
        <is>
          <t>Solio's 160 minutes carries forward a 105-minute debut season. He was named on the bench for the final friendly vs Mainz, is the third senior wide option behind Rayan and Tavernier, and Adli - the other competitor - is now injured with no return date. A Europa League campaign gives a fringe winger more routes into the side than last season did. Small, low-stakes correction.</t>
        </is>
      </c>
      <c r="U348" s="6" t="n">
        <v>80.09999999999999</v>
      </c>
      <c r="V348" s="2" t="n">
        <v>0</v>
      </c>
      <c r="W348" s="7">
        <f>IF(N(U348)&lt;=0,0,MIN(Assumptions!$B$15,N(R348)/N(U348)))</f>
        <v/>
      </c>
      <c r="X348" s="6" t="n">
        <v>0.23</v>
      </c>
      <c r="Y348" s="3" t="n">
        <v>0.2186</v>
      </c>
      <c r="Z348" t="inlineStr">
        <is>
          <t>adjusted xGOT</t>
        </is>
      </c>
      <c r="AA348" s="3" t="n">
        <v>1</v>
      </c>
      <c r="AB348" s="3" t="n">
        <v>0.981</v>
      </c>
      <c r="AC348" s="3" t="n">
        <v>0.3</v>
      </c>
      <c r="AD348" s="3" t="n">
        <v>0.2516</v>
      </c>
      <c r="AE348" s="3" t="n">
        <v>8.904</v>
      </c>
      <c r="AF348" s="3" t="n">
        <v>0.1065551578272375</v>
      </c>
      <c r="AG348" s="3" t="n">
        <v>6.419</v>
      </c>
      <c r="AH348" s="3" t="n">
        <v>0.4278448574</v>
      </c>
      <c r="AI348" s="3" t="n">
        <v>8</v>
      </c>
      <c r="AJ348" s="3" t="n">
        <v>3.0957</v>
      </c>
      <c r="AK348" s="3" t="n">
        <v>1.53</v>
      </c>
      <c r="AL348" s="3" t="n">
        <v>-0.2018679305852921</v>
      </c>
      <c r="AM348" s="6" t="n">
        <v>0</v>
      </c>
      <c r="AN348" s="3" t="n">
        <v>0</v>
      </c>
      <c r="AO348" s="3" t="n">
        <v>1.093</v>
      </c>
      <c r="AP348" s="3" t="n">
        <v>0.9963359999999999</v>
      </c>
      <c r="AQ348" s="3">
        <f>N(X348)*N(BJ348)</f>
        <v/>
      </c>
      <c r="AR348" s="3" t="n">
        <v>0</v>
      </c>
      <c r="AS348" s="3" t="n">
        <v>-0</v>
      </c>
      <c r="AT348" s="3" t="n">
        <v>-0.2018679305852921</v>
      </c>
      <c r="AU348" s="3">
        <f>SUM(AO348:AT348)</f>
        <v/>
      </c>
      <c r="AV348" s="7">
        <f>IF(OR(N(W348)&lt;=0,N(BH348)=0),0,N(W348)*IF(N(R348)/N(W348)&gt;=60,N(BH348),1))</f>
        <v/>
      </c>
      <c r="AW348" s="7">
        <f>N(W348)*N(AF348)*N(BI348)</f>
        <v/>
      </c>
      <c r="AX348" s="3">
        <f>IF(N(BH348)=0,0,N(W348)*N(AH348))</f>
        <v/>
      </c>
      <c r="AY348" s="7">
        <f>N(AM348)*(Assumptions!$B$13*N(BK348)-(1-Assumptions!$B$13)*Assumptions!$B$14)+N(AN348)</f>
        <v/>
      </c>
      <c r="AZ348" s="7">
        <f>N(AU348)*N(R348)/90+N(AV348)+N(AW348)+N(AX348)+N(AY348)</f>
        <v/>
      </c>
      <c r="BA348" s="3">
        <f>IF(N(R348)&lt;=0,0,(N(AZ348)-N(AY348))*90/N(R348))</f>
        <v/>
      </c>
      <c r="BB348" s="7">
        <f>IFERROR(AZ348-VLOOKUP($E348,Assumptions!$A$40:$C$43,3,FALSE),"")</f>
        <v/>
      </c>
      <c r="BC348" s="3">
        <f>IFERROR(BB348/H348,"")</f>
        <v/>
      </c>
      <c r="BD348">
        <f>IF(AND($G348=TRUE,$E348="GKP"),AZ348,"")</f>
        <v/>
      </c>
      <c r="BE348">
        <f>IF(AND($G348=TRUE,$E348="DEF"),AZ348,"")</f>
        <v/>
      </c>
      <c r="BF348">
        <f>IF(AND($G348=TRUE,$E348="MID"),AZ348,"")</f>
        <v/>
      </c>
      <c r="BG348">
        <f>IF(AND($G348=TRUE,$E348="FWD"),AZ348,"")</f>
        <v/>
      </c>
      <c r="BH348" t="n">
        <v>2</v>
      </c>
      <c r="BI348" t="n">
        <v>2</v>
      </c>
      <c r="BJ348" t="n">
        <v>1</v>
      </c>
      <c r="BK348" t="n">
        <v>5</v>
      </c>
    </row>
    <row r="349">
      <c r="A349" t="inlineStr">
        <is>
          <t>John Victor</t>
        </is>
      </c>
      <c r="B349" t="inlineStr">
        <is>
          <t>NFO</t>
        </is>
      </c>
      <c r="C349" t="inlineStr">
        <is>
          <t>NFO</t>
        </is>
      </c>
      <c r="D349" t="b">
        <v>0</v>
      </c>
      <c r="E349" t="inlineStr">
        <is>
          <t>GKP</t>
        </is>
      </c>
      <c r="F349" t="inlineStr">
        <is>
          <t>GKP</t>
        </is>
      </c>
      <c r="G349" t="b">
        <v>1</v>
      </c>
      <c r="H349" s="2" t="n">
        <v>4.5</v>
      </c>
      <c r="I349" t="inlineStr">
        <is>
          <t>a</t>
        </is>
      </c>
      <c r="K349" s="2" t="n">
        <v>437</v>
      </c>
      <c r="L349" t="n">
        <v>11</v>
      </c>
      <c r="M349" s="3" t="n">
        <v>35</v>
      </c>
      <c r="N349" s="4" t="n">
        <v>170</v>
      </c>
      <c r="O349" s="4" t="n">
        <v>135</v>
      </c>
      <c r="P349" s="5" t="inlineStr">
        <is>
          <t>low</t>
        </is>
      </c>
      <c r="Q349" t="inlineStr">
        <is>
          <t>flat</t>
        </is>
      </c>
      <c r="R349" s="6" t="n">
        <v>170</v>
      </c>
      <c r="S349" t="inlineStr">
        <is>
          <t>research</t>
        </is>
      </c>
      <c r="T349" s="5" t="inlineStr">
        <is>
          <t>Played 437 league minutes in 2025-26 as Sels's deputy, so the pairing has demonstrably split league minutes within the last year. Thirty-five minutes assumes Sels plays effectively every second of the season.</t>
        </is>
      </c>
      <c r="U349" s="6" t="n">
        <v>89</v>
      </c>
      <c r="V349" s="2" t="n">
        <v>5</v>
      </c>
      <c r="W349" s="7">
        <f>IF(N(U349)&lt;=0,0,MIN(Assumptions!$B$15,N(R349)/N(U349)))</f>
        <v/>
      </c>
      <c r="X349" s="6" t="n">
        <v>0.224</v>
      </c>
      <c r="Y349" s="3" t="n">
        <v>0</v>
      </c>
      <c r="Z349" t="inlineStr">
        <is>
          <t>blended xG</t>
        </is>
      </c>
      <c r="AA349" s="3" t="n">
        <v>1</v>
      </c>
      <c r="AB349" s="3" t="n">
        <v>1</v>
      </c>
      <c r="AC349" s="3" t="n">
        <v>0</v>
      </c>
      <c r="AD349" s="3" t="n">
        <v>0</v>
      </c>
      <c r="AE349" s="3" t="n">
        <v>0</v>
      </c>
      <c r="AF349" s="3" t="n">
        <v>0</v>
      </c>
      <c r="AG349" s="3" t="n">
        <v>4.772</v>
      </c>
      <c r="AH349" s="3" t="n">
        <v>0.180957464</v>
      </c>
      <c r="AI349" s="3" t="n">
        <v>10</v>
      </c>
      <c r="AJ349" s="3" t="n">
        <v>3.1134</v>
      </c>
      <c r="AK349" s="3" t="n">
        <v>1.5588</v>
      </c>
      <c r="AL349" s="3" t="n">
        <v>-0.1071907414497747</v>
      </c>
      <c r="AM349" s="6" t="n">
        <v>0</v>
      </c>
      <c r="AN349" s="3" t="n">
        <v>0.0340558096615661</v>
      </c>
      <c r="AO349" s="3" t="n">
        <v>0</v>
      </c>
      <c r="AP349" s="3" t="n">
        <v>0</v>
      </c>
      <c r="AQ349" s="3">
        <f>N(X349)*N(BJ349)</f>
        <v/>
      </c>
      <c r="AR349" s="3" t="n">
        <v>0.7024243676191486</v>
      </c>
      <c r="AS349" s="3" t="n">
        <v>-0.5404658182244797</v>
      </c>
      <c r="AT349" s="3" t="n">
        <v>-0.1071907414497747</v>
      </c>
      <c r="AU349" s="3">
        <f>SUM(AO349:AT349)</f>
        <v/>
      </c>
      <c r="AV349" s="7">
        <f>IF(OR(N(W349)&lt;=0,N(BH349)=0),0,N(W349)*IF(N(R349)/N(W349)&gt;=60,N(BH349),1))</f>
        <v/>
      </c>
      <c r="AW349" s="7">
        <f>N(W349)*N(AF349)*N(BI349)</f>
        <v/>
      </c>
      <c r="AX349" s="3">
        <f>IF(N(BH349)=0,0,N(W349)*N(AH349))</f>
        <v/>
      </c>
      <c r="AY349" s="7">
        <f>N(AM349)*(Assumptions!$B$13*N(BK349)-(1-Assumptions!$B$13)*Assumptions!$B$14)+N(AN349)</f>
        <v/>
      </c>
      <c r="AZ349" s="7">
        <f>N(AU349)*N(R349)/90+N(AV349)+N(AW349)+N(AX349)+N(AY349)</f>
        <v/>
      </c>
      <c r="BA349" s="3">
        <f>IF(N(R349)&lt;=0,0,(N(AZ349)-N(AY349))*90/N(R349))</f>
        <v/>
      </c>
      <c r="BB349" s="7">
        <f>IFERROR(AZ349-VLOOKUP($E349,Assumptions!$A$40:$C$43,3,FALSE),"")</f>
        <v/>
      </c>
      <c r="BC349" s="3">
        <f>IFERROR(BB349/H349,"")</f>
        <v/>
      </c>
      <c r="BD349">
        <f>IF(AND($G349=TRUE,$E349="GKP"),AZ349,"")</f>
        <v/>
      </c>
      <c r="BE349">
        <f>IF(AND($G349=TRUE,$E349="DEF"),AZ349,"")</f>
        <v/>
      </c>
      <c r="BF349">
        <f>IF(AND($G349=TRUE,$E349="MID"),AZ349,"")</f>
        <v/>
      </c>
      <c r="BG349">
        <f>IF(AND($G349=TRUE,$E349="FWD"),AZ349,"")</f>
        <v/>
      </c>
      <c r="BH349" t="n">
        <v>2</v>
      </c>
      <c r="BI349" t="n">
        <v>0</v>
      </c>
      <c r="BJ349" t="n">
        <v>4</v>
      </c>
      <c r="BK349" t="n">
        <v>10</v>
      </c>
    </row>
    <row r="350">
      <c r="A350" t="inlineStr">
        <is>
          <t>Luca Netz</t>
        </is>
      </c>
      <c r="B350" t="inlineStr">
        <is>
          <t>NFO</t>
        </is>
      </c>
      <c r="C350" t="inlineStr">
        <is>
          <t>NFO</t>
        </is>
      </c>
      <c r="D350" t="b">
        <v>0</v>
      </c>
      <c r="E350" t="inlineStr">
        <is>
          <t>DEF</t>
        </is>
      </c>
      <c r="F350" t="inlineStr">
        <is>
          <t>DEF</t>
        </is>
      </c>
      <c r="G350" t="b">
        <v>1</v>
      </c>
      <c r="H350" s="2" t="n">
        <v>4.5</v>
      </c>
      <c r="I350" t="inlineStr">
        <is>
          <t>a</t>
        </is>
      </c>
      <c r="K350" s="2" t="n">
        <v>353</v>
      </c>
      <c r="L350" t="n">
        <v>11</v>
      </c>
      <c r="M350" s="3" t="n">
        <v>115</v>
      </c>
      <c r="N350" s="4" t="n">
        <v>470</v>
      </c>
      <c r="O350" s="4" t="n">
        <v>355</v>
      </c>
      <c r="P350" s="5" t="inlineStr">
        <is>
          <t>medium</t>
        </is>
      </c>
      <c r="Q350" t="inlineStr">
        <is>
          <t>flat</t>
        </is>
      </c>
      <c r="R350" s="6" t="n">
        <v>470</v>
      </c>
      <c r="S350" t="inlineStr">
        <is>
          <t>research</t>
        </is>
      </c>
      <c r="T350" s="5" t="inlineStr">
        <is>
          <t>Glasner's 3-4-2-1 requires a left wing-back for all 3,420 minutes, and Forest are filling it with a natural right-back in Ola Aina. Netz is the only natural left-sided defender in the squad, the third-choice wing-back Savona is injured with no return date, and Forest have had three bids rejected for a wing-back this window. 115 minutes is not a coherent number for that role.</t>
        </is>
      </c>
      <c r="U350" s="6" t="n">
        <v>85.40000000000001</v>
      </c>
      <c r="V350" s="2" t="n">
        <v>3</v>
      </c>
      <c r="W350" s="7">
        <f>IF(N(U350)&lt;=0,0,MIN(Assumptions!$B$15,N(R350)/N(U350)))</f>
        <v/>
      </c>
      <c r="X350" s="6" t="n">
        <v>0.224</v>
      </c>
      <c r="Y350" s="3" t="n">
        <v>0</v>
      </c>
      <c r="Z350" t="inlineStr">
        <is>
          <t>blended xG</t>
        </is>
      </c>
      <c r="AA350" s="3" t="n">
        <v>1</v>
      </c>
      <c r="AB350" s="3" t="n">
        <v>1</v>
      </c>
      <c r="AC350" s="3" t="n">
        <v>0</v>
      </c>
      <c r="AD350" s="3" t="n">
        <v>0.0648</v>
      </c>
      <c r="AE350" s="3" t="n">
        <v>7.421</v>
      </c>
      <c r="AF350" s="3" t="n">
        <v>0.1737581576316021</v>
      </c>
      <c r="AG350" s="3" t="n">
        <v>7.464</v>
      </c>
      <c r="AH350" s="3" t="n">
        <v>0.123320272</v>
      </c>
      <c r="AI350" s="3" t="n">
        <v>10</v>
      </c>
      <c r="AJ350" s="3" t="n">
        <v>3.1134</v>
      </c>
      <c r="AK350" s="3" t="n">
        <v>1.5588</v>
      </c>
      <c r="AL350" s="3" t="n">
        <v>-0.1684304902624404</v>
      </c>
      <c r="AM350" s="6" t="n">
        <v>0</v>
      </c>
      <c r="AN350" s="3" t="n">
        <v>0</v>
      </c>
      <c r="AO350" s="3" t="n">
        <v>0</v>
      </c>
      <c r="AP350" s="3" t="n">
        <v>0.256608</v>
      </c>
      <c r="AQ350" s="3">
        <f>N(X350)*N(BJ350)</f>
        <v/>
      </c>
      <c r="AR350" s="3" t="n">
        <v>0</v>
      </c>
      <c r="AS350" s="3" t="n">
        <v>-0.5404658182244797</v>
      </c>
      <c r="AT350" s="3" t="n">
        <v>-0.1684304902624404</v>
      </c>
      <c r="AU350" s="3">
        <f>SUM(AO350:AT350)</f>
        <v/>
      </c>
      <c r="AV350" s="7">
        <f>IF(OR(N(W350)&lt;=0,N(BH350)=0),0,N(W350)*IF(N(R350)/N(W350)&gt;=60,N(BH350),1))</f>
        <v/>
      </c>
      <c r="AW350" s="7">
        <f>N(W350)*N(AF350)*N(BI350)</f>
        <v/>
      </c>
      <c r="AX350" s="3">
        <f>IF(N(BH350)=0,0,N(W350)*N(AH350))</f>
        <v/>
      </c>
      <c r="AY350" s="7">
        <f>N(AM350)*(Assumptions!$B$13*N(BK350)-(1-Assumptions!$B$13)*Assumptions!$B$14)+N(AN350)</f>
        <v/>
      </c>
      <c r="AZ350" s="7">
        <f>N(AU350)*N(R350)/90+N(AV350)+N(AW350)+N(AX350)+N(AY350)</f>
        <v/>
      </c>
      <c r="BA350" s="3">
        <f>IF(N(R350)&lt;=0,0,(N(AZ350)-N(AY350))*90/N(R350))</f>
        <v/>
      </c>
      <c r="BB350" s="7">
        <f>IFERROR(AZ350-VLOOKUP($E350,Assumptions!$A$40:$C$43,3,FALSE),"")</f>
        <v/>
      </c>
      <c r="BC350" s="3">
        <f>IFERROR(BB350/H350,"")</f>
        <v/>
      </c>
      <c r="BD350">
        <f>IF(AND($G350=TRUE,$E350="GKP"),AZ350,"")</f>
        <v/>
      </c>
      <c r="BE350">
        <f>IF(AND($G350=TRUE,$E350="DEF"),AZ350,"")</f>
        <v/>
      </c>
      <c r="BF350">
        <f>IF(AND($G350=TRUE,$E350="MID"),AZ350,"")</f>
        <v/>
      </c>
      <c r="BG350">
        <f>IF(AND($G350=TRUE,$E350="FWD"),AZ350,"")</f>
        <v/>
      </c>
      <c r="BH350" t="n">
        <v>2</v>
      </c>
      <c r="BI350" t="n">
        <v>2</v>
      </c>
      <c r="BJ350" t="n">
        <v>4</v>
      </c>
      <c r="BK350" t="n">
        <v>6</v>
      </c>
    </row>
    <row r="351">
      <c r="A351" t="inlineStr">
        <is>
          <t>Ben Davies</t>
        </is>
      </c>
      <c r="B351" t="inlineStr">
        <is>
          <t>TOT</t>
        </is>
      </c>
      <c r="C351" t="inlineStr">
        <is>
          <t>TOT</t>
        </is>
      </c>
      <c r="D351" t="b">
        <v>0</v>
      </c>
      <c r="E351" t="inlineStr">
        <is>
          <t>DEF</t>
        </is>
      </c>
      <c r="F351" t="inlineStr">
        <is>
          <t>DEF</t>
        </is>
      </c>
      <c r="G351" t="b">
        <v>1</v>
      </c>
      <c r="H351" s="2" t="n">
        <v>4</v>
      </c>
      <c r="I351" t="inlineStr">
        <is>
          <t>a</t>
        </is>
      </c>
      <c r="K351" s="2" t="n">
        <v>136</v>
      </c>
      <c r="L351" t="n">
        <v>10</v>
      </c>
      <c r="M351" s="3" t="n">
        <v>108</v>
      </c>
      <c r="N351" s="4" t="n">
        <v>250</v>
      </c>
      <c r="O351" s="4" t="n">
        <v>142</v>
      </c>
      <c r="P351" s="5" t="inlineStr">
        <is>
          <t>low</t>
        </is>
      </c>
      <c r="Q351" t="inlineStr">
        <is>
          <t>flat</t>
        </is>
      </c>
      <c r="R351" s="6" t="n">
        <v>250</v>
      </c>
      <c r="S351" t="inlineStr">
        <is>
          <t>research</t>
        </is>
      </c>
      <c r="T351" s="5" t="inlineStr">
        <is>
          <t>Davies started at centre-back against Getafe on 8 August. With Romero, Vuskovic and Phillips sold, Dragusin loaned out and Spence gone, he is now one of very few senior bodies who can cover both centre-back and left-back. Small raise only - he is a 33-year-old emergency option, not a starter.</t>
        </is>
      </c>
      <c r="U351" s="6" t="n">
        <v>80</v>
      </c>
      <c r="V351" s="2" t="n">
        <v>2</v>
      </c>
      <c r="W351" s="7">
        <f>IF(N(U351)&lt;=0,0,MIN(Assumptions!$B$15,N(R351)/N(U351)))</f>
        <v/>
      </c>
      <c r="X351" s="6" t="n">
        <v>0.286</v>
      </c>
      <c r="Y351" s="3" t="n">
        <v>0.3051</v>
      </c>
      <c r="Z351" t="inlineStr">
        <is>
          <t>adjusted xGOT</t>
        </is>
      </c>
      <c r="AA351" s="3" t="n">
        <v>1</v>
      </c>
      <c r="AB351" s="3" t="n">
        <v>0.9409999999999999</v>
      </c>
      <c r="AC351" s="3" t="n">
        <v>4.1</v>
      </c>
      <c r="AD351" s="3" t="n">
        <v>0.0313</v>
      </c>
      <c r="AE351" s="3" t="n">
        <v>7.936</v>
      </c>
      <c r="AF351" s="3" t="n">
        <v>0.1750447620786324</v>
      </c>
      <c r="AG351" s="3" t="n">
        <v>8.470000000000001</v>
      </c>
      <c r="AH351" s="3" t="n">
        <v>0.3902153752</v>
      </c>
      <c r="AI351" s="3" t="n">
        <v>4</v>
      </c>
      <c r="AJ351" s="3" t="n">
        <v>2.5739</v>
      </c>
      <c r="AK351" s="3" t="n">
        <v>1.3096</v>
      </c>
      <c r="AL351" s="3" t="n">
        <v>-0.2691102743615358</v>
      </c>
      <c r="AM351" s="6" t="n">
        <v>0</v>
      </c>
      <c r="AN351" s="3" t="n">
        <v>0</v>
      </c>
      <c r="AO351" s="3" t="n">
        <v>1.8306</v>
      </c>
      <c r="AP351" s="3" t="n">
        <v>0.123948</v>
      </c>
      <c r="AQ351" s="3">
        <f>N(X351)*N(BJ351)</f>
        <v/>
      </c>
      <c r="AR351" s="3" t="n">
        <v>0</v>
      </c>
      <c r="AS351" s="3" t="n">
        <v>-0.4230152821052008</v>
      </c>
      <c r="AT351" s="3" t="n">
        <v>-0.2691102743615358</v>
      </c>
      <c r="AU351" s="3">
        <f>SUM(AO351:AT351)</f>
        <v/>
      </c>
      <c r="AV351" s="7">
        <f>IF(OR(N(W351)&lt;=0,N(BH351)=0),0,N(W351)*IF(N(R351)/N(W351)&gt;=60,N(BH351),1))</f>
        <v/>
      </c>
      <c r="AW351" s="7">
        <f>N(W351)*N(AF351)*N(BI351)</f>
        <v/>
      </c>
      <c r="AX351" s="3">
        <f>IF(N(BH351)=0,0,N(W351)*N(AH351))</f>
        <v/>
      </c>
      <c r="AY351" s="7">
        <f>N(AM351)*(Assumptions!$B$13*N(BK351)-(1-Assumptions!$B$13)*Assumptions!$B$14)+N(AN351)</f>
        <v/>
      </c>
      <c r="AZ351" s="7">
        <f>N(AU351)*N(R351)/90+N(AV351)+N(AW351)+N(AX351)+N(AY351)</f>
        <v/>
      </c>
      <c r="BA351" s="3">
        <f>IF(N(R351)&lt;=0,0,(N(AZ351)-N(AY351))*90/N(R351))</f>
        <v/>
      </c>
      <c r="BB351" s="7">
        <f>IFERROR(AZ351-VLOOKUP($E351,Assumptions!$A$40:$C$43,3,FALSE),"")</f>
        <v/>
      </c>
      <c r="BC351" s="3">
        <f>IFERROR(BB351/H351,"")</f>
        <v/>
      </c>
      <c r="BD351">
        <f>IF(AND($G351=TRUE,$E351="GKP"),AZ351,"")</f>
        <v/>
      </c>
      <c r="BE351">
        <f>IF(AND($G351=TRUE,$E351="DEF"),AZ351,"")</f>
        <v/>
      </c>
      <c r="BF351">
        <f>IF(AND($G351=TRUE,$E351="MID"),AZ351,"")</f>
        <v/>
      </c>
      <c r="BG351">
        <f>IF(AND($G351=TRUE,$E351="FWD"),AZ351,"")</f>
        <v/>
      </c>
      <c r="BH351" t="n">
        <v>2</v>
      </c>
      <c r="BI351" t="n">
        <v>2</v>
      </c>
      <c r="BJ351" t="n">
        <v>4</v>
      </c>
      <c r="BK351" t="n">
        <v>6</v>
      </c>
    </row>
    <row r="352">
      <c r="A352" t="inlineStr">
        <is>
          <t>Diego Coppola</t>
        </is>
      </c>
      <c r="B352" t="inlineStr">
        <is>
          <t>BHA</t>
        </is>
      </c>
      <c r="C352" t="inlineStr">
        <is>
          <t>BHA</t>
        </is>
      </c>
      <c r="D352" t="b">
        <v>0</v>
      </c>
      <c r="E352" t="inlineStr">
        <is>
          <t>DEF</t>
        </is>
      </c>
      <c r="F352" t="inlineStr">
        <is>
          <t>DEF</t>
        </is>
      </c>
      <c r="G352" t="b">
        <v>1</v>
      </c>
      <c r="H352" s="2" t="n">
        <v>4.5</v>
      </c>
      <c r="I352" t="inlineStr">
        <is>
          <t>a</t>
        </is>
      </c>
      <c r="K352" s="2" t="n">
        <v>193</v>
      </c>
      <c r="L352" t="n">
        <v>10</v>
      </c>
      <c r="M352" s="3" t="n">
        <v>3</v>
      </c>
      <c r="N352" s="4" t="n">
        <v>0</v>
      </c>
      <c r="O352" s="4" t="n">
        <v>-3</v>
      </c>
      <c r="P352" s="5" t="inlineStr">
        <is>
          <t>high</t>
        </is>
      </c>
      <c r="Q352" t="inlineStr">
        <is>
          <t>flat</t>
        </is>
      </c>
      <c r="R352" s="6" t="n">
        <v>0</v>
      </c>
      <c r="S352" t="inlineStr">
        <is>
          <t>research</t>
        </is>
      </c>
      <c r="T352" s="5" t="inlineStr">
        <is>
          <t>Sold permanently to Paris FC on 16 Jul 2026 for GBP 16.5m (reported EUR 18m plus EUR 2m add-ons) after a loan spell there from January. He can play no Premier League minutes. Note: the FPL bootstrap STILL lists him as an available Brighton player as of 2026-08-16, which is an FPL data lag worth flagging to anyone else consuming that feed.</t>
        </is>
      </c>
      <c r="U352" s="6" t="n">
        <v>85.90000000000001</v>
      </c>
      <c r="V352" s="2" t="n">
        <v>2</v>
      </c>
      <c r="W352" s="7">
        <f>IF(N(U352)&lt;=0,0,MIN(Assumptions!$B$15,N(R352)/N(U352)))</f>
        <v/>
      </c>
      <c r="X352" s="6" t="n">
        <v>0.252</v>
      </c>
      <c r="Y352" s="3" t="n">
        <v>0</v>
      </c>
      <c r="Z352" t="inlineStr">
        <is>
          <t>blended xG</t>
        </is>
      </c>
      <c r="AA352" s="3" t="n">
        <v>1</v>
      </c>
      <c r="AB352" s="3" t="n">
        <v>1</v>
      </c>
      <c r="AC352" s="3" t="n">
        <v>0</v>
      </c>
      <c r="AD352" s="3" t="n">
        <v>0.0023</v>
      </c>
      <c r="AE352" s="3" t="n">
        <v>7.835</v>
      </c>
      <c r="AF352" s="3" t="n">
        <v>0.2210884879564577</v>
      </c>
      <c r="AG352" s="3" t="n">
        <v>8.01</v>
      </c>
      <c r="AH352" s="3" t="n">
        <v>0.1093854774</v>
      </c>
      <c r="AI352" s="3" t="n">
        <v>7</v>
      </c>
      <c r="AJ352" s="3" t="n">
        <v>2.8404</v>
      </c>
      <c r="AK352" s="3" t="n">
        <v>1.439</v>
      </c>
      <c r="AL352" s="3" t="n">
        <v>-0.2930826829252255</v>
      </c>
      <c r="AM352" s="6" t="n">
        <v>0</v>
      </c>
      <c r="AN352" s="3" t="n">
        <v>0</v>
      </c>
      <c r="AO352" s="3" t="n">
        <v>0</v>
      </c>
      <c r="AP352" s="3" t="n">
        <v>0.009108</v>
      </c>
      <c r="AQ352" s="3">
        <f>N(X352)*N(BJ352)</f>
        <v/>
      </c>
      <c r="AR352" s="3" t="n">
        <v>0</v>
      </c>
      <c r="AS352" s="3" t="n">
        <v>-0.4835617861760246</v>
      </c>
      <c r="AT352" s="3" t="n">
        <v>-0.2930826829252255</v>
      </c>
      <c r="AU352" s="3">
        <f>SUM(AO352:AT352)</f>
        <v/>
      </c>
      <c r="AV352" s="7">
        <f>IF(OR(N(W352)&lt;=0,N(BH352)=0),0,N(W352)*IF(N(R352)/N(W352)&gt;=60,N(BH352),1))</f>
        <v/>
      </c>
      <c r="AW352" s="7">
        <f>N(W352)*N(AF352)*N(BI352)</f>
        <v/>
      </c>
      <c r="AX352" s="3">
        <f>IF(N(BH352)=0,0,N(W352)*N(AH352))</f>
        <v/>
      </c>
      <c r="AY352" s="7">
        <f>N(AM352)*(Assumptions!$B$13*N(BK352)-(1-Assumptions!$B$13)*Assumptions!$B$14)+N(AN352)</f>
        <v/>
      </c>
      <c r="AZ352" s="7">
        <f>N(AU352)*N(R352)/90+N(AV352)+N(AW352)+N(AX352)+N(AY352)</f>
        <v/>
      </c>
      <c r="BA352" s="3">
        <f>IF(N(R352)&lt;=0,0,(N(AZ352)-N(AY352))*90/N(R352))</f>
        <v/>
      </c>
      <c r="BB352" s="7">
        <f>IFERROR(AZ352-VLOOKUP($E352,Assumptions!$A$40:$C$43,3,FALSE),"")</f>
        <v/>
      </c>
      <c r="BC352" s="3">
        <f>IFERROR(BB352/H352,"")</f>
        <v/>
      </c>
      <c r="BD352">
        <f>IF(AND($G352=TRUE,$E352="GKP"),AZ352,"")</f>
        <v/>
      </c>
      <c r="BE352">
        <f>IF(AND($G352=TRUE,$E352="DEF"),AZ352,"")</f>
        <v/>
      </c>
      <c r="BF352">
        <f>IF(AND($G352=TRUE,$E352="MID"),AZ352,"")</f>
        <v/>
      </c>
      <c r="BG352">
        <f>IF(AND($G352=TRUE,$E352="FWD"),AZ352,"")</f>
        <v/>
      </c>
      <c r="BH352" t="n">
        <v>2</v>
      </c>
      <c r="BI352" t="n">
        <v>2</v>
      </c>
      <c r="BJ352" t="n">
        <v>4</v>
      </c>
      <c r="BK352" t="n">
        <v>6</v>
      </c>
    </row>
    <row r="353">
      <c r="A353" t="inlineStr">
        <is>
          <t>Mateo Kovacic</t>
        </is>
      </c>
      <c r="B353" t="inlineStr">
        <is>
          <t>MCI</t>
        </is>
      </c>
      <c r="C353" t="inlineStr">
        <is>
          <t>MCI</t>
        </is>
      </c>
      <c r="D353" t="b">
        <v>0</v>
      </c>
      <c r="E353" t="inlineStr">
        <is>
          <t>MID</t>
        </is>
      </c>
      <c r="F353" t="inlineStr">
        <is>
          <t>MID</t>
        </is>
      </c>
      <c r="G353" t="b">
        <v>1</v>
      </c>
      <c r="H353" s="2" t="n">
        <v>5.5</v>
      </c>
      <c r="I353" t="inlineStr">
        <is>
          <t>a</t>
        </is>
      </c>
      <c r="K353" s="2" t="n">
        <v>125</v>
      </c>
      <c r="L353" t="n">
        <v>9</v>
      </c>
      <c r="M353" s="3" t="n">
        <v>206</v>
      </c>
      <c r="N353" s="4" t="n">
        <v>400</v>
      </c>
      <c r="O353" s="4" t="n">
        <v>194</v>
      </c>
      <c r="P353" s="5" t="inlineStr">
        <is>
          <t>low</t>
        </is>
      </c>
      <c r="Q353" t="inlineStr">
        <is>
          <t>flat</t>
        </is>
      </c>
      <c r="R353" s="6" t="n">
        <v>400</v>
      </c>
      <c r="S353" t="inlineStr">
        <is>
          <t>research</t>
        </is>
      </c>
      <c r="T353" s="5" t="inlineStr">
        <is>
          <t>Started the final pre-season match, is in the Community Shield predicted XI in the double pivot, and Opta still rates his passing volume as elite. With Reijnders sold and Rodri out, the senior pivot cover is thin enough that 206 minutes looks too close to zero. Kept small because he is 32, missed most of last season injured, and his own future has been the subject of a Maresca update.</t>
        </is>
      </c>
      <c r="U353" s="6" t="n">
        <v>77.8</v>
      </c>
      <c r="V353" s="2" t="n">
        <v>1</v>
      </c>
      <c r="W353" s="7">
        <f>IF(N(U353)&lt;=0,0,MIN(Assumptions!$B$15,N(R353)/N(U353)))</f>
        <v/>
      </c>
      <c r="X353" s="6" t="n">
        <v>0.371</v>
      </c>
      <c r="Y353" s="3" t="n">
        <v>0.08210000000000001</v>
      </c>
      <c r="Z353" t="inlineStr">
        <is>
          <t>adjusted xGOT</t>
        </is>
      </c>
      <c r="AA353" s="3" t="n">
        <v>1</v>
      </c>
      <c r="AB353" s="3" t="n">
        <v>0.88</v>
      </c>
      <c r="AC353" s="3" t="n">
        <v>5.1</v>
      </c>
      <c r="AD353" s="3" t="n">
        <v>0.3051</v>
      </c>
      <c r="AE353" s="3" t="n">
        <v>9.225</v>
      </c>
      <c r="AF353" s="3" t="n">
        <v>0.110091958430223</v>
      </c>
      <c r="AG353" s="3" t="n">
        <v>7.24</v>
      </c>
      <c r="AH353" s="3" t="n">
        <v>0.2473111616</v>
      </c>
      <c r="AI353" s="3" t="n">
        <v>6</v>
      </c>
      <c r="AJ353" s="3" t="n">
        <v>1.9737</v>
      </c>
      <c r="AK353" s="3" t="n">
        <v>1.0365</v>
      </c>
      <c r="AL353" s="3" t="n">
        <v>-0.2171347261889832</v>
      </c>
      <c r="AM353" s="6" t="n">
        <v>0</v>
      </c>
      <c r="AN353" s="3" t="n">
        <v>0</v>
      </c>
      <c r="AO353" s="3" t="n">
        <v>0.4105</v>
      </c>
      <c r="AP353" s="3" t="n">
        <v>1.208196</v>
      </c>
      <c r="AQ353" s="3">
        <f>N(X353)*N(BJ353)</f>
        <v/>
      </c>
      <c r="AR353" s="3" t="n">
        <v>0</v>
      </c>
      <c r="AS353" s="3" t="n">
        <v>-0</v>
      </c>
      <c r="AT353" s="3" t="n">
        <v>-0.2171347261889832</v>
      </c>
      <c r="AU353" s="3">
        <f>SUM(AO353:AT353)</f>
        <v/>
      </c>
      <c r="AV353" s="7">
        <f>IF(OR(N(W353)&lt;=0,N(BH353)=0),0,N(W353)*IF(N(R353)/N(W353)&gt;=60,N(BH353),1))</f>
        <v/>
      </c>
      <c r="AW353" s="7">
        <f>N(W353)*N(AF353)*N(BI353)</f>
        <v/>
      </c>
      <c r="AX353" s="3">
        <f>IF(N(BH353)=0,0,N(W353)*N(AH353))</f>
        <v/>
      </c>
      <c r="AY353" s="7">
        <f>N(AM353)*(Assumptions!$B$13*N(BK353)-(1-Assumptions!$B$13)*Assumptions!$B$14)+N(AN353)</f>
        <v/>
      </c>
      <c r="AZ353" s="7">
        <f>N(AU353)*N(R353)/90+N(AV353)+N(AW353)+N(AX353)+N(AY353)</f>
        <v/>
      </c>
      <c r="BA353" s="3">
        <f>IF(N(R353)&lt;=0,0,(N(AZ353)-N(AY353))*90/N(R353))</f>
        <v/>
      </c>
      <c r="BB353" s="7">
        <f>IFERROR(AZ353-VLOOKUP($E353,Assumptions!$A$40:$C$43,3,FALSE),"")</f>
        <v/>
      </c>
      <c r="BC353" s="3">
        <f>IFERROR(BB353/H353,"")</f>
        <v/>
      </c>
      <c r="BD353">
        <f>IF(AND($G353=TRUE,$E353="GKP"),AZ353,"")</f>
        <v/>
      </c>
      <c r="BE353">
        <f>IF(AND($G353=TRUE,$E353="DEF"),AZ353,"")</f>
        <v/>
      </c>
      <c r="BF353">
        <f>IF(AND($G353=TRUE,$E353="MID"),AZ353,"")</f>
        <v/>
      </c>
      <c r="BG353">
        <f>IF(AND($G353=TRUE,$E353="FWD"),AZ353,"")</f>
        <v/>
      </c>
      <c r="BH353" t="n">
        <v>2</v>
      </c>
      <c r="BI353" t="n">
        <v>2</v>
      </c>
      <c r="BJ353" t="n">
        <v>1</v>
      </c>
      <c r="BK353" t="n">
        <v>5</v>
      </c>
    </row>
    <row r="354">
      <c r="A354" t="inlineStr">
        <is>
          <t>Arnaud Kalimuendo</t>
        </is>
      </c>
      <c r="B354" t="inlineStr">
        <is>
          <t>NFO</t>
        </is>
      </c>
      <c r="C354" t="inlineStr">
        <is>
          <t>NFO</t>
        </is>
      </c>
      <c r="D354" t="b">
        <v>0</v>
      </c>
      <c r="E354" t="inlineStr">
        <is>
          <t>FWD</t>
        </is>
      </c>
      <c r="F354" t="inlineStr">
        <is>
          <t>FWD</t>
        </is>
      </c>
      <c r="G354" t="b">
        <v>1</v>
      </c>
      <c r="H354" s="2" t="n">
        <v>5.5</v>
      </c>
      <c r="I354" t="inlineStr">
        <is>
          <t>a</t>
        </is>
      </c>
      <c r="K354" s="2" t="n">
        <v>89</v>
      </c>
      <c r="L354" t="n">
        <v>9</v>
      </c>
      <c r="M354" s="3" t="n">
        <v>38</v>
      </c>
      <c r="N354" s="4" t="n">
        <v>480</v>
      </c>
      <c r="O354" s="4" t="n">
        <v>442</v>
      </c>
      <c r="P354" s="5" t="inlineStr">
        <is>
          <t>medium</t>
        </is>
      </c>
      <c r="Q354" t="inlineStr">
        <is>
          <t>flat</t>
        </is>
      </c>
      <c r="R354" s="6" t="n">
        <v>480</v>
      </c>
      <c r="S354" t="inlineStr">
        <is>
          <t>research</t>
        </is>
      </c>
      <c r="T354" s="5" t="inlineStr">
        <is>
          <t>The largest error in the allocation. Solio extrapolates his 89 league minutes from a season he spent largely on loan at Eintracht Frankfurt. He is back, fit, in the FPL game with an 'available' flag, and has scored three times in pre-season including the 90th-minute winner against Bayer Leverkusen on 12 Aug. A Sevilla loan-to-buy is live but stalled, so the number is held well below a true backup-striker share to price that exit risk.</t>
        </is>
      </c>
      <c r="U354" s="6" t="n">
        <v>78.5</v>
      </c>
      <c r="V354" s="2" t="n">
        <v>0</v>
      </c>
      <c r="W354" s="7">
        <f>IF(N(U354)&lt;=0,0,MIN(Assumptions!$B$15,N(R354)/N(U354)))</f>
        <v/>
      </c>
      <c r="X354" s="6" t="n">
        <v>0.224</v>
      </c>
      <c r="Y354" s="3" t="n">
        <v>0.4267</v>
      </c>
      <c r="Z354" t="inlineStr">
        <is>
          <t>adjusted xGOT</t>
        </is>
      </c>
      <c r="AA354" s="3" t="n">
        <v>1</v>
      </c>
      <c r="AB354" s="3" t="n">
        <v>0.96</v>
      </c>
      <c r="AC354" s="3" t="n">
        <v>0.4</v>
      </c>
      <c r="AD354" s="3" t="n">
        <v>0.0159</v>
      </c>
      <c r="AE354" s="3" t="n">
        <v>4.933</v>
      </c>
      <c r="AF354" s="3" t="n">
        <v>0.001674543204074341</v>
      </c>
      <c r="AG354" s="3" t="n">
        <v>1.217</v>
      </c>
      <c r="AH354" s="3" t="n">
        <v>0.5540374</v>
      </c>
      <c r="AI354" s="3" t="n">
        <v>9</v>
      </c>
      <c r="AJ354" s="3" t="n">
        <v>3.1134</v>
      </c>
      <c r="AK354" s="3" t="n">
        <v>1.5588</v>
      </c>
      <c r="AL354" s="3" t="n">
        <v>-0.165199603815519</v>
      </c>
      <c r="AM354" s="6" t="n">
        <v>0</v>
      </c>
      <c r="AN354" s="3" t="n">
        <v>0</v>
      </c>
      <c r="AO354" s="3" t="n">
        <v>1.7068</v>
      </c>
      <c r="AP354" s="3" t="n">
        <v>0.06296400000000001</v>
      </c>
      <c r="AQ354" s="3">
        <f>N(X354)*N(BJ354)</f>
        <v/>
      </c>
      <c r="AR354" s="3" t="n">
        <v>0</v>
      </c>
      <c r="AS354" s="3" t="n">
        <v>-0</v>
      </c>
      <c r="AT354" s="3" t="n">
        <v>-0.165199603815519</v>
      </c>
      <c r="AU354" s="3">
        <f>SUM(AO354:AT354)</f>
        <v/>
      </c>
      <c r="AV354" s="7">
        <f>IF(OR(N(W354)&lt;=0,N(BH354)=0),0,N(W354)*IF(N(R354)/N(W354)&gt;=60,N(BH354),1))</f>
        <v/>
      </c>
      <c r="AW354" s="7">
        <f>N(W354)*N(AF354)*N(BI354)</f>
        <v/>
      </c>
      <c r="AX354" s="3">
        <f>IF(N(BH354)=0,0,N(W354)*N(AH354))</f>
        <v/>
      </c>
      <c r="AY354" s="7">
        <f>N(AM354)*(Assumptions!$B$13*N(BK354)-(1-Assumptions!$B$13)*Assumptions!$B$14)+N(AN354)</f>
        <v/>
      </c>
      <c r="AZ354" s="7">
        <f>N(AU354)*N(R354)/90+N(AV354)+N(AW354)+N(AX354)+N(AY354)</f>
        <v/>
      </c>
      <c r="BA354" s="3">
        <f>IF(N(R354)&lt;=0,0,(N(AZ354)-N(AY354))*90/N(R354))</f>
        <v/>
      </c>
      <c r="BB354" s="7">
        <f>IFERROR(AZ354-VLOOKUP($E354,Assumptions!$A$40:$C$43,3,FALSE),"")</f>
        <v/>
      </c>
      <c r="BC354" s="3">
        <f>IFERROR(BB354/H354,"")</f>
        <v/>
      </c>
      <c r="BD354">
        <f>IF(AND($G354=TRUE,$E354="GKP"),AZ354,"")</f>
        <v/>
      </c>
      <c r="BE354">
        <f>IF(AND($G354=TRUE,$E354="DEF"),AZ354,"")</f>
        <v/>
      </c>
      <c r="BF354">
        <f>IF(AND($G354=TRUE,$E354="MID"),AZ354,"")</f>
        <v/>
      </c>
      <c r="BG354">
        <f>IF(AND($G354=TRUE,$E354="FWD"),AZ354,"")</f>
        <v/>
      </c>
      <c r="BH354" t="n">
        <v>2</v>
      </c>
      <c r="BI354" t="n">
        <v>2</v>
      </c>
      <c r="BJ354" t="n">
        <v>0</v>
      </c>
      <c r="BK354" t="n">
        <v>4</v>
      </c>
    </row>
    <row r="355">
      <c r="A355" t="inlineStr">
        <is>
          <t>Filip Jörgensen</t>
        </is>
      </c>
      <c r="B355" t="inlineStr">
        <is>
          <t>CHE</t>
        </is>
      </c>
      <c r="C355" t="inlineStr">
        <is>
          <t>CHE</t>
        </is>
      </c>
      <c r="D355" t="b">
        <v>0</v>
      </c>
      <c r="E355" t="inlineStr">
        <is>
          <t>GKP</t>
        </is>
      </c>
      <c r="F355" t="inlineStr">
        <is>
          <t>GKP</t>
        </is>
      </c>
      <c r="G355" t="b">
        <v>1</v>
      </c>
      <c r="H355" s="2" t="n">
        <v>5</v>
      </c>
      <c r="I355" t="inlineStr">
        <is>
          <t>u</t>
        </is>
      </c>
      <c r="J355" t="inlineStr">
        <is>
          <t>Has joined RC Strasbourg on loan for the rest of the season</t>
        </is>
      </c>
      <c r="K355" s="2" t="n">
        <v>378</v>
      </c>
      <c r="L355" t="n">
        <v>9</v>
      </c>
      <c r="M355" s="3" t="n"/>
      <c r="N355" s="4" t="n">
        <v>0</v>
      </c>
      <c r="O355" s="4" t="n">
        <v>-378</v>
      </c>
      <c r="P355" s="5" t="inlineStr">
        <is>
          <t>high</t>
        </is>
      </c>
      <c r="R355" s="6" t="n">
        <v>0</v>
      </c>
      <c r="S355" t="inlineStr">
        <is>
          <t>research</t>
        </is>
      </c>
      <c r="T355" s="5" t="inlineStr">
        <is>
          <t>Left the club. Season-long loan to RC Strasbourg confirmed 11 August 2026; the official FPL game flagged him unavailable on 2026-08-12 with the note 'Has joined RC Strasbourg on loan for the rest of the season'. Chelsea's three remaining keepers in the final pre-season matchday squad were Sanchez, Penders and Slonina.</t>
        </is>
      </c>
      <c r="U355" s="6" t="n">
        <v>89.8</v>
      </c>
      <c r="V355" s="2" t="n">
        <v>3</v>
      </c>
      <c r="W355" s="7">
        <f>IF(N(U355)&lt;=0,0,MIN(Assumptions!$B$15,N(R355)/N(U355)))</f>
        <v/>
      </c>
      <c r="X355" s="6" t="n">
        <v>0.322</v>
      </c>
      <c r="Y355" s="3" t="n">
        <v>0</v>
      </c>
      <c r="Z355" t="inlineStr">
        <is>
          <t>blended xG</t>
        </is>
      </c>
      <c r="AA355" s="3" t="n">
        <v>1</v>
      </c>
      <c r="AB355" s="3" t="n">
        <v>1</v>
      </c>
      <c r="AC355" s="3" t="n">
        <v>0</v>
      </c>
      <c r="AD355" s="3" t="n">
        <v>0</v>
      </c>
      <c r="AE355" s="3" t="n">
        <v>0</v>
      </c>
      <c r="AF355" s="3" t="n">
        <v>0</v>
      </c>
      <c r="AG355" s="3" t="n">
        <v>5.998</v>
      </c>
      <c r="AH355" s="3" t="n">
        <v>0.2361962732</v>
      </c>
      <c r="AI355" s="3" t="n">
        <v>9</v>
      </c>
      <c r="AJ355" s="3" t="n">
        <v>2.4232</v>
      </c>
      <c r="AK355" s="3" t="n">
        <v>1.1851</v>
      </c>
      <c r="AL355" s="3" t="n">
        <v>-0.0522790015856111</v>
      </c>
      <c r="AM355" s="6" t="n">
        <v>0</v>
      </c>
      <c r="AN355" s="3" t="n">
        <v>0.2796227302912258</v>
      </c>
      <c r="AO355" s="3" t="n">
        <v>0</v>
      </c>
      <c r="AP355" s="3" t="n">
        <v>0</v>
      </c>
      <c r="AQ355" s="3">
        <f>N(X355)*N(BJ355)</f>
        <v/>
      </c>
      <c r="AR355" s="3" t="n">
        <v>0.474357769926339</v>
      </c>
      <c r="AS355" s="3" t="n">
        <v>-0.365915508000572</v>
      </c>
      <c r="AT355" s="3" t="n">
        <v>-0.0522790015856111</v>
      </c>
      <c r="AU355" s="3">
        <f>SUM(AO355:AT355)</f>
        <v/>
      </c>
      <c r="AV355" s="7">
        <f>IF(OR(N(W355)&lt;=0,N(BH355)=0),0,N(W355)*IF(N(R355)/N(W355)&gt;=60,N(BH355),1))</f>
        <v/>
      </c>
      <c r="AW355" s="7">
        <f>N(W355)*N(AF355)*N(BI355)</f>
        <v/>
      </c>
      <c r="AX355" s="3">
        <f>IF(N(BH355)=0,0,N(W355)*N(AH355))</f>
        <v/>
      </c>
      <c r="AY355" s="7">
        <f>N(AM355)*(Assumptions!$B$13*N(BK355)-(1-Assumptions!$B$13)*Assumptions!$B$14)+N(AN355)</f>
        <v/>
      </c>
      <c r="AZ355" s="7">
        <f>N(AU355)*N(R355)/90+N(AV355)+N(AW355)+N(AX355)+N(AY355)</f>
        <v/>
      </c>
      <c r="BA355" s="3">
        <f>IF(N(R355)&lt;=0,0,(N(AZ355)-N(AY355))*90/N(R355))</f>
        <v/>
      </c>
      <c r="BB355" s="7">
        <f>IFERROR(AZ355-VLOOKUP($E355,Assumptions!$A$40:$C$43,3,FALSE),"")</f>
        <v/>
      </c>
      <c r="BC355" s="3">
        <f>IFERROR(BB355/H355,"")</f>
        <v/>
      </c>
      <c r="BD355">
        <f>IF(AND($G355=TRUE,$E355="GKP"),AZ355,"")</f>
        <v/>
      </c>
      <c r="BE355">
        <f>IF(AND($G355=TRUE,$E355="DEF"),AZ355,"")</f>
        <v/>
      </c>
      <c r="BF355">
        <f>IF(AND($G355=TRUE,$E355="MID"),AZ355,"")</f>
        <v/>
      </c>
      <c r="BG355">
        <f>IF(AND($G355=TRUE,$E355="FWD"),AZ355,"")</f>
        <v/>
      </c>
      <c r="BH355" t="n">
        <v>2</v>
      </c>
      <c r="BI355" t="n">
        <v>0</v>
      </c>
      <c r="BJ355" t="n">
        <v>4</v>
      </c>
      <c r="BK355" t="n">
        <v>10</v>
      </c>
    </row>
    <row r="356">
      <c r="A356" t="inlineStr">
        <is>
          <t>Levi Colwill</t>
        </is>
      </c>
      <c r="B356" t="inlineStr">
        <is>
          <t>CHE</t>
        </is>
      </c>
      <c r="C356" t="inlineStr">
        <is>
          <t>CHE</t>
        </is>
      </c>
      <c r="D356" t="b">
        <v>0</v>
      </c>
      <c r="E356" t="inlineStr">
        <is>
          <t>DEF</t>
        </is>
      </c>
      <c r="F356" t="inlineStr">
        <is>
          <t>DEF</t>
        </is>
      </c>
      <c r="G356" t="b">
        <v>1</v>
      </c>
      <c r="H356" s="2" t="n">
        <v>5</v>
      </c>
      <c r="I356" t="inlineStr">
        <is>
          <t>a</t>
        </is>
      </c>
      <c r="K356" s="2" t="n">
        <v>225</v>
      </c>
      <c r="L356" t="n">
        <v>8</v>
      </c>
      <c r="M356" s="3" t="n">
        <v>2576</v>
      </c>
      <c r="N356" s="8" t="n">
        <v>2576</v>
      </c>
      <c r="O356" s="8" t="n">
        <v>0</v>
      </c>
      <c r="Q356" t="inlineStr">
        <is>
          <t>flat</t>
        </is>
      </c>
      <c r="R356" s="6" t="n">
        <v>2576</v>
      </c>
      <c r="S356" t="inlineStr">
        <is>
          <t>Solio</t>
        </is>
      </c>
      <c r="U356" s="6" t="n">
        <v>86.2</v>
      </c>
      <c r="V356" s="2" t="n">
        <v>2</v>
      </c>
      <c r="W356" s="7">
        <f>IF(N(U356)&lt;=0,0,MIN(Assumptions!$B$15,N(R356)/N(U356)))</f>
        <v/>
      </c>
      <c r="X356" s="6" t="n">
        <v>0.322</v>
      </c>
      <c r="Y356" s="3" t="n">
        <v>0</v>
      </c>
      <c r="Z356" t="inlineStr">
        <is>
          <t>adjusted xGOT</t>
        </is>
      </c>
      <c r="AA356" s="3" t="n">
        <v>1</v>
      </c>
      <c r="AB356" s="3" t="n">
        <v>0.951</v>
      </c>
      <c r="AC356" s="3" t="n">
        <v>4.6</v>
      </c>
      <c r="AD356" s="3" t="n">
        <v>0.024</v>
      </c>
      <c r="AE356" s="3" t="n">
        <v>8.236000000000001</v>
      </c>
      <c r="AF356" s="3" t="n">
        <v>0.269611532965363</v>
      </c>
      <c r="AG356" s="3" t="n">
        <v>8.701000000000001</v>
      </c>
      <c r="AH356" s="3" t="n">
        <v>0.1866987098</v>
      </c>
      <c r="AI356" s="3" t="n">
        <v>5</v>
      </c>
      <c r="AJ356" s="3" t="n">
        <v>2.4232</v>
      </c>
      <c r="AK356" s="3" t="n">
        <v>1.1851</v>
      </c>
      <c r="AL356" s="3" t="n">
        <v>-0.2135844756559857</v>
      </c>
      <c r="AM356" s="6" t="n">
        <v>0</v>
      </c>
      <c r="AN356" s="3" t="n">
        <v>0</v>
      </c>
      <c r="AO356" s="3" t="n">
        <v>0</v>
      </c>
      <c r="AP356" s="3" t="n">
        <v>0.09504000000000001</v>
      </c>
      <c r="AQ356" s="3">
        <f>N(X356)*N(BJ356)</f>
        <v/>
      </c>
      <c r="AR356" s="3" t="n">
        <v>0</v>
      </c>
      <c r="AS356" s="3" t="n">
        <v>-0.365915508000572</v>
      </c>
      <c r="AT356" s="3" t="n">
        <v>-0.2135844756559857</v>
      </c>
      <c r="AU356" s="3">
        <f>SUM(AO356:AT356)</f>
        <v/>
      </c>
      <c r="AV356" s="7">
        <f>IF(OR(N(W356)&lt;=0,N(BH356)=0),0,N(W356)*IF(N(R356)/N(W356)&gt;=60,N(BH356),1))</f>
        <v/>
      </c>
      <c r="AW356" s="7">
        <f>N(W356)*N(AF356)*N(BI356)</f>
        <v/>
      </c>
      <c r="AX356" s="3">
        <f>IF(N(BH356)=0,0,N(W356)*N(AH356))</f>
        <v/>
      </c>
      <c r="AY356" s="7">
        <f>N(AM356)*(Assumptions!$B$13*N(BK356)-(1-Assumptions!$B$13)*Assumptions!$B$14)+N(AN356)</f>
        <v/>
      </c>
      <c r="AZ356" s="7">
        <f>N(AU356)*N(R356)/90+N(AV356)+N(AW356)+N(AX356)+N(AY356)</f>
        <v/>
      </c>
      <c r="BA356" s="3">
        <f>IF(N(R356)&lt;=0,0,(N(AZ356)-N(AY356))*90/N(R356))</f>
        <v/>
      </c>
      <c r="BB356" s="7">
        <f>IFERROR(AZ356-VLOOKUP($E356,Assumptions!$A$40:$C$43,3,FALSE),"")</f>
        <v/>
      </c>
      <c r="BC356" s="3">
        <f>IFERROR(BB356/H356,"")</f>
        <v/>
      </c>
      <c r="BD356">
        <f>IF(AND($G356=TRUE,$E356="GKP"),AZ356,"")</f>
        <v/>
      </c>
      <c r="BE356">
        <f>IF(AND($G356=TRUE,$E356="DEF"),AZ356,"")</f>
        <v/>
      </c>
      <c r="BF356">
        <f>IF(AND($G356=TRUE,$E356="MID"),AZ356,"")</f>
        <v/>
      </c>
      <c r="BG356">
        <f>IF(AND($G356=TRUE,$E356="FWD"),AZ356,"")</f>
        <v/>
      </c>
      <c r="BH356" t="n">
        <v>2</v>
      </c>
      <c r="BI356" t="n">
        <v>2</v>
      </c>
      <c r="BJ356" t="n">
        <v>4</v>
      </c>
      <c r="BK356" t="n">
        <v>6</v>
      </c>
    </row>
    <row r="357">
      <c r="A357" t="inlineStr">
        <is>
          <t>Alex Tóth</t>
        </is>
      </c>
      <c r="B357" t="inlineStr">
        <is>
          <t>BOU</t>
        </is>
      </c>
      <c r="C357" t="inlineStr">
        <is>
          <t>BOU</t>
        </is>
      </c>
      <c r="D357" t="b">
        <v>0</v>
      </c>
      <c r="E357" t="inlineStr">
        <is>
          <t>MID</t>
        </is>
      </c>
      <c r="F357" t="inlineStr">
        <is>
          <t>MID</t>
        </is>
      </c>
      <c r="G357" t="b">
        <v>1</v>
      </c>
      <c r="H357" s="2" t="n">
        <v>5</v>
      </c>
      <c r="I357" t="inlineStr">
        <is>
          <t>a</t>
        </is>
      </c>
      <c r="K357" s="2" t="n">
        <v>135</v>
      </c>
      <c r="L357" t="n">
        <v>8</v>
      </c>
      <c r="M357" s="3" t="n">
        <v>126</v>
      </c>
      <c r="N357" s="4" t="n">
        <v>450</v>
      </c>
      <c r="O357" s="4" t="n">
        <v>324</v>
      </c>
      <c r="P357" s="5" t="inlineStr">
        <is>
          <t>low</t>
        </is>
      </c>
      <c r="Q357" t="inlineStr">
        <is>
          <t>flat</t>
        </is>
      </c>
      <c r="R357" s="6" t="n">
        <v>450</v>
      </c>
      <c r="S357" t="inlineStr">
        <is>
          <t>research</t>
        </is>
      </c>
      <c r="T357" s="5" t="inlineStr">
        <is>
          <t>Started the pivot alongside Cook in the final pre-season friendly on 15 Aug and assisted a goal as a substitute vs Betis on 8 Aug. Deliberately kept low because that Mainz start coincided with Scott, Adams and Christie all being unavailable, so it is weak evidence of a settled role - but 126 minutes understates a player Rose is clearly willing to use.</t>
        </is>
      </c>
      <c r="U357" s="6" t="n">
        <v>76.2</v>
      </c>
      <c r="V357" s="2" t="n">
        <v>2</v>
      </c>
      <c r="W357" s="7">
        <f>IF(N(U357)&lt;=0,0,MIN(Assumptions!$B$15,N(R357)/N(U357)))</f>
        <v/>
      </c>
      <c r="X357" s="6" t="n">
        <v>0.23</v>
      </c>
      <c r="Y357" s="3" t="n">
        <v>0.0727</v>
      </c>
      <c r="Z357" t="inlineStr">
        <is>
          <t>adjusted xGOT</t>
        </is>
      </c>
      <c r="AA357" s="3" t="n">
        <v>1</v>
      </c>
      <c r="AB357" s="3" t="n">
        <v>0.986</v>
      </c>
      <c r="AC357" s="3" t="n">
        <v>0.1</v>
      </c>
      <c r="AD357" s="3" t="n">
        <v>0.2291</v>
      </c>
      <c r="AE357" s="3" t="n">
        <v>9.012</v>
      </c>
      <c r="AF357" s="3" t="n">
        <v>0.08709009343695318</v>
      </c>
      <c r="AG357" s="3" t="n">
        <v>7.185</v>
      </c>
      <c r="AH357" s="3" t="n">
        <v>0.1984392383</v>
      </c>
      <c r="AI357" s="3" t="n">
        <v>9</v>
      </c>
      <c r="AJ357" s="3" t="n">
        <v>3.0957</v>
      </c>
      <c r="AK357" s="3" t="n">
        <v>1.53</v>
      </c>
      <c r="AL357" s="3" t="n">
        <v>-0.2560940997024783</v>
      </c>
      <c r="AM357" s="6" t="n">
        <v>0</v>
      </c>
      <c r="AN357" s="3" t="n">
        <v>0</v>
      </c>
      <c r="AO357" s="3" t="n">
        <v>0.3635</v>
      </c>
      <c r="AP357" s="3" t="n">
        <v>0.907236</v>
      </c>
      <c r="AQ357" s="3">
        <f>N(X357)*N(BJ357)</f>
        <v/>
      </c>
      <c r="AR357" s="3" t="n">
        <v>0</v>
      </c>
      <c r="AS357" s="3" t="n">
        <v>-0</v>
      </c>
      <c r="AT357" s="3" t="n">
        <v>-0.2560940997024783</v>
      </c>
      <c r="AU357" s="3">
        <f>SUM(AO357:AT357)</f>
        <v/>
      </c>
      <c r="AV357" s="7">
        <f>IF(OR(N(W357)&lt;=0,N(BH357)=0),0,N(W357)*IF(N(R357)/N(W357)&gt;=60,N(BH357),1))</f>
        <v/>
      </c>
      <c r="AW357" s="7">
        <f>N(W357)*N(AF357)*N(BI357)</f>
        <v/>
      </c>
      <c r="AX357" s="3">
        <f>IF(N(BH357)=0,0,N(W357)*N(AH357))</f>
        <v/>
      </c>
      <c r="AY357" s="7">
        <f>N(AM357)*(Assumptions!$B$13*N(BK357)-(1-Assumptions!$B$13)*Assumptions!$B$14)+N(AN357)</f>
        <v/>
      </c>
      <c r="AZ357" s="7">
        <f>N(AU357)*N(R357)/90+N(AV357)+N(AW357)+N(AX357)+N(AY357)</f>
        <v/>
      </c>
      <c r="BA357" s="3">
        <f>IF(N(R357)&lt;=0,0,(N(AZ357)-N(AY357))*90/N(R357))</f>
        <v/>
      </c>
      <c r="BB357" s="7">
        <f>IFERROR(AZ357-VLOOKUP($E357,Assumptions!$A$40:$C$43,3,FALSE),"")</f>
        <v/>
      </c>
      <c r="BC357" s="3">
        <f>IFERROR(BB357/H357,"")</f>
        <v/>
      </c>
      <c r="BD357">
        <f>IF(AND($G357=TRUE,$E357="GKP"),AZ357,"")</f>
        <v/>
      </c>
      <c r="BE357">
        <f>IF(AND($G357=TRUE,$E357="DEF"),AZ357,"")</f>
        <v/>
      </c>
      <c r="BF357">
        <f>IF(AND($G357=TRUE,$E357="MID"),AZ357,"")</f>
        <v/>
      </c>
      <c r="BG357">
        <f>IF(AND($G357=TRUE,$E357="FWD"),AZ357,"")</f>
        <v/>
      </c>
      <c r="BH357" t="n">
        <v>2</v>
      </c>
      <c r="BI357" t="n">
        <v>2</v>
      </c>
      <c r="BJ357" t="n">
        <v>1</v>
      </c>
      <c r="BK357" t="n">
        <v>5</v>
      </c>
    </row>
    <row r="358">
      <c r="A358" t="inlineStr">
        <is>
          <t>Ethan Nwaneri</t>
        </is>
      </c>
      <c r="B358" t="inlineStr">
        <is>
          <t>ARS</t>
        </is>
      </c>
      <c r="C358" t="inlineStr">
        <is>
          <t>ARS</t>
        </is>
      </c>
      <c r="D358" t="b">
        <v>0</v>
      </c>
      <c r="E358" t="inlineStr">
        <is>
          <t>MID</t>
        </is>
      </c>
      <c r="F358" t="inlineStr">
        <is>
          <t>MID</t>
        </is>
      </c>
      <c r="G358" t="b">
        <v>1</v>
      </c>
      <c r="H358" s="2" t="n">
        <v>5.5</v>
      </c>
      <c r="I358" t="inlineStr">
        <is>
          <t>a</t>
        </is>
      </c>
      <c r="K358" s="2" t="n">
        <v>165</v>
      </c>
      <c r="L358" t="n">
        <v>8</v>
      </c>
      <c r="M358" s="3" t="n">
        <v>11</v>
      </c>
      <c r="N358" s="8" t="n">
        <v>11</v>
      </c>
      <c r="O358" s="8" t="n">
        <v>0</v>
      </c>
      <c r="Q358" t="inlineStr">
        <is>
          <t>flat</t>
        </is>
      </c>
      <c r="R358" s="6" t="n">
        <v>11</v>
      </c>
      <c r="S358" t="inlineStr">
        <is>
          <t>Solio</t>
        </is>
      </c>
      <c r="U358" s="6" t="n">
        <v>80.09999999999999</v>
      </c>
      <c r="V358" s="2" t="n">
        <v>0</v>
      </c>
      <c r="W358" s="7">
        <f>IF(N(U358)&lt;=0,0,MIN(Assumptions!$B$15,N(R358)/N(U358)))</f>
        <v/>
      </c>
      <c r="X358" s="6" t="n">
        <v>0.391</v>
      </c>
      <c r="Y358" s="3" t="n">
        <v>0.1293</v>
      </c>
      <c r="Z358" t="inlineStr">
        <is>
          <t>adjusted xGOT</t>
        </is>
      </c>
      <c r="AA358" s="3" t="n">
        <v>1</v>
      </c>
      <c r="AB358" s="3" t="n">
        <v>1.03</v>
      </c>
      <c r="AC358" s="3" t="n">
        <v>1.4</v>
      </c>
      <c r="AD358" s="3" t="n">
        <v>0.035</v>
      </c>
      <c r="AE358" s="3" t="n">
        <v>8.300000000000001</v>
      </c>
      <c r="AF358" s="3" t="n">
        <v>0.0728024678344561</v>
      </c>
      <c r="AG358" s="3" t="n">
        <v>6.043</v>
      </c>
      <c r="AH358" s="3" t="n">
        <v>0.1579190704</v>
      </c>
      <c r="AI358" s="3" t="n">
        <v>7</v>
      </c>
      <c r="AJ358" s="3" t="n">
        <v>2.067</v>
      </c>
      <c r="AK358" s="3" t="n">
        <v>0.9838</v>
      </c>
      <c r="AL358" s="3" t="n">
        <v>-0.1760946258725149</v>
      </c>
      <c r="AM358" s="6" t="n">
        <v>0</v>
      </c>
      <c r="AN358" s="3" t="n">
        <v>0</v>
      </c>
      <c r="AO358" s="3" t="n">
        <v>0.6465</v>
      </c>
      <c r="AP358" s="3" t="n">
        <v>0.1386</v>
      </c>
      <c r="AQ358" s="3">
        <f>N(X358)*N(BJ358)</f>
        <v/>
      </c>
      <c r="AR358" s="3" t="n">
        <v>0</v>
      </c>
      <c r="AS358" s="3" t="n">
        <v>-0</v>
      </c>
      <c r="AT358" s="3" t="n">
        <v>-0.1760946258725149</v>
      </c>
      <c r="AU358" s="3">
        <f>SUM(AO358:AT358)</f>
        <v/>
      </c>
      <c r="AV358" s="7">
        <f>IF(OR(N(W358)&lt;=0,N(BH358)=0),0,N(W358)*IF(N(R358)/N(W358)&gt;=60,N(BH358),1))</f>
        <v/>
      </c>
      <c r="AW358" s="7">
        <f>N(W358)*N(AF358)*N(BI358)</f>
        <v/>
      </c>
      <c r="AX358" s="3">
        <f>IF(N(BH358)=0,0,N(W358)*N(AH358))</f>
        <v/>
      </c>
      <c r="AY358" s="7">
        <f>N(AM358)*(Assumptions!$B$13*N(BK358)-(1-Assumptions!$B$13)*Assumptions!$B$14)+N(AN358)</f>
        <v/>
      </c>
      <c r="AZ358" s="7">
        <f>N(AU358)*N(R358)/90+N(AV358)+N(AW358)+N(AX358)+N(AY358)</f>
        <v/>
      </c>
      <c r="BA358" s="3">
        <f>IF(N(R358)&lt;=0,0,(N(AZ358)-N(AY358))*90/N(R358))</f>
        <v/>
      </c>
      <c r="BB358" s="7">
        <f>IFERROR(AZ358-VLOOKUP($E358,Assumptions!$A$40:$C$43,3,FALSE),"")</f>
        <v/>
      </c>
      <c r="BC358" s="3">
        <f>IFERROR(BB358/H358,"")</f>
        <v/>
      </c>
      <c r="BD358">
        <f>IF(AND($G358=TRUE,$E358="GKP"),AZ358,"")</f>
        <v/>
      </c>
      <c r="BE358">
        <f>IF(AND($G358=TRUE,$E358="DEF"),AZ358,"")</f>
        <v/>
      </c>
      <c r="BF358">
        <f>IF(AND($G358=TRUE,$E358="MID"),AZ358,"")</f>
        <v/>
      </c>
      <c r="BG358">
        <f>IF(AND($G358=TRUE,$E358="FWD"),AZ358,"")</f>
        <v/>
      </c>
      <c r="BH358" t="n">
        <v>2</v>
      </c>
      <c r="BI358" t="n">
        <v>2</v>
      </c>
      <c r="BJ358" t="n">
        <v>1</v>
      </c>
      <c r="BK358" t="n">
        <v>5</v>
      </c>
    </row>
    <row r="359">
      <c r="A359" t="inlineStr">
        <is>
          <t>Walter Benítez</t>
        </is>
      </c>
      <c r="B359" t="inlineStr">
        <is>
          <t>CRY</t>
        </is>
      </c>
      <c r="C359" t="inlineStr">
        <is>
          <t>CRY</t>
        </is>
      </c>
      <c r="D359" t="b">
        <v>0</v>
      </c>
      <c r="E359" t="inlineStr">
        <is>
          <t>GKP</t>
        </is>
      </c>
      <c r="F359" t="inlineStr">
        <is>
          <t>GKP</t>
        </is>
      </c>
      <c r="G359" t="b">
        <v>1</v>
      </c>
      <c r="H359" s="2" t="n">
        <v>4.5</v>
      </c>
      <c r="I359" t="inlineStr">
        <is>
          <t>a</t>
        </is>
      </c>
      <c r="K359" s="2" t="n">
        <v>90</v>
      </c>
      <c r="L359" t="n">
        <v>7</v>
      </c>
      <c r="M359" s="3" t="n">
        <v>35</v>
      </c>
      <c r="N359" s="8" t="n">
        <v>35</v>
      </c>
      <c r="O359" s="8" t="n">
        <v>0</v>
      </c>
      <c r="Q359" t="inlineStr">
        <is>
          <t>flat</t>
        </is>
      </c>
      <c r="R359" s="6" t="n">
        <v>35</v>
      </c>
      <c r="S359" t="inlineStr">
        <is>
          <t>Solio</t>
        </is>
      </c>
      <c r="U359" s="6" t="n">
        <v>89.8</v>
      </c>
      <c r="V359" s="2" t="n">
        <v>1</v>
      </c>
      <c r="W359" s="7">
        <f>IF(N(U359)&lt;=0,0,MIN(Assumptions!$B$15,N(R359)/N(U359)))</f>
        <v/>
      </c>
      <c r="X359" s="6" t="n">
        <v>0.216</v>
      </c>
      <c r="Y359" s="3" t="n">
        <v>0</v>
      </c>
      <c r="Z359" t="inlineStr">
        <is>
          <t>blended xG</t>
        </is>
      </c>
      <c r="AA359" s="3" t="n">
        <v>1</v>
      </c>
      <c r="AB359" s="3" t="n">
        <v>1</v>
      </c>
      <c r="AC359" s="3" t="n">
        <v>0</v>
      </c>
      <c r="AD359" s="3" t="n">
        <v>0</v>
      </c>
      <c r="AE359" s="3" t="n">
        <v>0</v>
      </c>
      <c r="AF359" s="3" t="n">
        <v>0</v>
      </c>
      <c r="AG359" s="3" t="n">
        <v>5.72</v>
      </c>
      <c r="AH359" s="3" t="n">
        <v>0.2139372675</v>
      </c>
      <c r="AI359" s="3" t="n">
        <v>2</v>
      </c>
      <c r="AJ359" s="3" t="n">
        <v>3.2035</v>
      </c>
      <c r="AK359" s="3" t="n">
        <v>1.5923</v>
      </c>
      <c r="AL359" s="3" t="n">
        <v>-0.07200630079321101</v>
      </c>
      <c r="AM359" s="6" t="n">
        <v>0</v>
      </c>
      <c r="AN359" s="3" t="n">
        <v>0.0347888665271393</v>
      </c>
      <c r="AO359" s="3" t="n">
        <v>0</v>
      </c>
      <c r="AP359" s="3" t="n">
        <v>0</v>
      </c>
      <c r="AQ359" s="3">
        <f>N(X359)*N(BJ359)</f>
        <v/>
      </c>
      <c r="AR359" s="3" t="n">
        <v>0.7325188478059661</v>
      </c>
      <c r="AS359" s="3" t="n">
        <v>-0.5564987001023466</v>
      </c>
      <c r="AT359" s="3" t="n">
        <v>-0.07200630079321101</v>
      </c>
      <c r="AU359" s="3">
        <f>SUM(AO359:AT359)</f>
        <v/>
      </c>
      <c r="AV359" s="7">
        <f>IF(OR(N(W359)&lt;=0,N(BH359)=0),0,N(W359)*IF(N(R359)/N(W359)&gt;=60,N(BH359),1))</f>
        <v/>
      </c>
      <c r="AW359" s="7">
        <f>N(W359)*N(AF359)*N(BI359)</f>
        <v/>
      </c>
      <c r="AX359" s="3">
        <f>IF(N(BH359)=0,0,N(W359)*N(AH359))</f>
        <v/>
      </c>
      <c r="AY359" s="7">
        <f>N(AM359)*(Assumptions!$B$13*N(BK359)-(1-Assumptions!$B$13)*Assumptions!$B$14)+N(AN359)</f>
        <v/>
      </c>
      <c r="AZ359" s="7">
        <f>N(AU359)*N(R359)/90+N(AV359)+N(AW359)+N(AX359)+N(AY359)</f>
        <v/>
      </c>
      <c r="BA359" s="3">
        <f>IF(N(R359)&lt;=0,0,(N(AZ359)-N(AY359))*90/N(R359))</f>
        <v/>
      </c>
      <c r="BB359" s="7">
        <f>IFERROR(AZ359-VLOOKUP($E359,Assumptions!$A$40:$C$43,3,FALSE),"")</f>
        <v/>
      </c>
      <c r="BC359" s="3">
        <f>IFERROR(BB359/H359,"")</f>
        <v/>
      </c>
      <c r="BD359">
        <f>IF(AND($G359=TRUE,$E359="GKP"),AZ359,"")</f>
        <v/>
      </c>
      <c r="BE359">
        <f>IF(AND($G359=TRUE,$E359="DEF"),AZ359,"")</f>
        <v/>
      </c>
      <c r="BF359">
        <f>IF(AND($G359=TRUE,$E359="MID"),AZ359,"")</f>
        <v/>
      </c>
      <c r="BG359">
        <f>IF(AND($G359=TRUE,$E359="FWD"),AZ359,"")</f>
        <v/>
      </c>
      <c r="BH359" t="n">
        <v>2</v>
      </c>
      <c r="BI359" t="n">
        <v>0</v>
      </c>
      <c r="BJ359" t="n">
        <v>4</v>
      </c>
      <c r="BK359" t="n">
        <v>10</v>
      </c>
    </row>
    <row r="360">
      <c r="A360" s="9" t="inlineStr">
        <is>
          <t>Christian Nørgaard</t>
        </is>
      </c>
      <c r="B360" t="inlineStr">
        <is>
          <t>EVE</t>
        </is>
      </c>
      <c r="C360" s="9" t="inlineStr">
        <is>
          <t>ARS</t>
        </is>
      </c>
      <c r="D360" t="b">
        <v>1</v>
      </c>
      <c r="E360" t="inlineStr">
        <is>
          <t>MID</t>
        </is>
      </c>
      <c r="F360" t="inlineStr">
        <is>
          <t>MID</t>
        </is>
      </c>
      <c r="G360" t="b">
        <v>1</v>
      </c>
      <c r="H360" s="2" t="n">
        <v>5</v>
      </c>
      <c r="I360" t="inlineStr">
        <is>
          <t>a</t>
        </is>
      </c>
      <c r="K360" s="2" t="n">
        <v>101</v>
      </c>
      <c r="L360" t="n">
        <v>7</v>
      </c>
      <c r="M360" s="3" t="n">
        <v>2804</v>
      </c>
      <c r="N360" s="4" t="n">
        <v>1450</v>
      </c>
      <c r="O360" s="4" t="n">
        <v>-1354</v>
      </c>
      <c r="P360" s="5" t="inlineStr">
        <is>
          <t>medium</t>
        </is>
      </c>
      <c r="Q360" t="inlineStr">
        <is>
          <t>flat</t>
        </is>
      </c>
      <c r="R360" s="6" t="n">
        <v>1450</v>
      </c>
      <c r="S360" t="inlineStr">
        <is>
          <t>research</t>
        </is>
      </c>
      <c r="T360" s="5" t="inlineStr">
        <is>
          <t>The largest single error in Solio's Everton allocation. Solio projects 82% of every available minute for a 32-year-old who cost GBP 7m, made seven league starts for Arsenal last season and played 101 minutes. Three pieces of dated evidence point down: the official FPL game flags him 'Lack of match fitness - 75% chance of playing'; Read Everton's 14 August injury tracker records him as an unused substitute against Stuttgart still building sharpness; and he was not in the matchday squad at all for the final friendly against Lille on 15 August. He is a real contender - Read Everton describes him as Moyes' direct replacement for Idrissa Gueye in defensive midfield - but he is competing with Hayden Hackney for one berth alongside Garner, and Hackney started the last two friendlies. 1,450 keeps him as a heavily-used squad midfielder rather than an ever-present.</t>
        </is>
      </c>
      <c r="U360" s="6" t="n">
        <v>76.90000000000001</v>
      </c>
      <c r="V360" s="2" t="n">
        <v>1</v>
      </c>
      <c r="W360" s="7">
        <f>IF(N(U360)&lt;=0,0,MIN(Assumptions!$B$15,N(R360)/N(U360)))</f>
        <v/>
      </c>
      <c r="X360" s="6" t="n">
        <v>0.231</v>
      </c>
      <c r="Y360" s="10" t="n">
        <v>0.0659</v>
      </c>
      <c r="Z360" t="inlineStr">
        <is>
          <t>adjusted xGOT</t>
        </is>
      </c>
      <c r="AA360" s="3" t="n">
        <v>1</v>
      </c>
      <c r="AB360" s="3" t="n">
        <v>0.928</v>
      </c>
      <c r="AC360" s="3" t="n">
        <v>9.6</v>
      </c>
      <c r="AD360" s="10" t="n">
        <v>0.0178</v>
      </c>
      <c r="AE360" s="3" t="n">
        <v>9.276</v>
      </c>
      <c r="AF360" s="3" t="n">
        <v>0.1066440262375161</v>
      </c>
      <c r="AG360" s="3" t="n">
        <v>7.179</v>
      </c>
      <c r="AH360" s="3" t="n">
        <v>0.09489867840000001</v>
      </c>
      <c r="AI360" s="3" t="n">
        <v>7</v>
      </c>
      <c r="AJ360" s="3" t="n">
        <v>3.0311</v>
      </c>
      <c r="AK360" s="3" t="n">
        <v>1.5252</v>
      </c>
      <c r="AL360" s="3" t="n">
        <v>-0.2544726553681582</v>
      </c>
      <c r="AM360" s="6" t="n">
        <v>0</v>
      </c>
      <c r="AN360" s="3" t="n">
        <v>0</v>
      </c>
      <c r="AO360" s="10" t="n">
        <v>0.3295</v>
      </c>
      <c r="AP360" s="10" t="n">
        <v>0.07048800000000001</v>
      </c>
      <c r="AQ360" s="3">
        <f>N(X360)*N(BJ360)</f>
        <v/>
      </c>
      <c r="AR360" s="3" t="n">
        <v>0</v>
      </c>
      <c r="AS360" s="3" t="n">
        <v>-0</v>
      </c>
      <c r="AT360" s="3" t="n">
        <v>-0.2544726553681582</v>
      </c>
      <c r="AU360" s="3">
        <f>SUM(AO360:AT360)</f>
        <v/>
      </c>
      <c r="AV360" s="7">
        <f>IF(OR(N(W360)&lt;=0,N(BH360)=0),0,N(W360)*IF(N(R360)/N(W360)&gt;=60,N(BH360),1))</f>
        <v/>
      </c>
      <c r="AW360" s="7">
        <f>N(W360)*N(AF360)*N(BI360)</f>
        <v/>
      </c>
      <c r="AX360" s="3">
        <f>IF(N(BH360)=0,0,N(W360)*N(AH360))</f>
        <v/>
      </c>
      <c r="AY360" s="7">
        <f>N(AM360)*(Assumptions!$B$13*N(BK360)-(1-Assumptions!$B$13)*Assumptions!$B$14)+N(AN360)</f>
        <v/>
      </c>
      <c r="AZ360" s="7">
        <f>N(AU360)*N(R360)/90+N(AV360)+N(AW360)+N(AX360)+N(AY360)</f>
        <v/>
      </c>
      <c r="BA360" s="3">
        <f>IF(N(R360)&lt;=0,0,(N(AZ360)-N(AY360))*90/N(R360))</f>
        <v/>
      </c>
      <c r="BB360" s="7">
        <f>IFERROR(AZ360-VLOOKUP($E360,Assumptions!$A$40:$C$43,3,FALSE),"")</f>
        <v/>
      </c>
      <c r="BC360" s="3">
        <f>IFERROR(BB360/H360,"")</f>
        <v/>
      </c>
      <c r="BD360">
        <f>IF(AND($G360=TRUE,$E360="GKP"),AZ360,"")</f>
        <v/>
      </c>
      <c r="BE360">
        <f>IF(AND($G360=TRUE,$E360="DEF"),AZ360,"")</f>
        <v/>
      </c>
      <c r="BF360">
        <f>IF(AND($G360=TRUE,$E360="MID"),AZ360,"")</f>
        <v/>
      </c>
      <c r="BG360">
        <f>IF(AND($G360=TRUE,$E360="FWD"),AZ360,"")</f>
        <v/>
      </c>
      <c r="BH360" t="n">
        <v>2</v>
      </c>
      <c r="BI360" t="n">
        <v>2</v>
      </c>
      <c r="BJ360" t="n">
        <v>1</v>
      </c>
      <c r="BK360" t="n">
        <v>5</v>
      </c>
    </row>
    <row r="361">
      <c r="A361" t="inlineStr">
        <is>
          <t>Benoît Badiashile</t>
        </is>
      </c>
      <c r="B361" t="inlineStr">
        <is>
          <t>CHE</t>
        </is>
      </c>
      <c r="C361" t="inlineStr">
        <is>
          <t>CHE</t>
        </is>
      </c>
      <c r="D361" t="b">
        <v>0</v>
      </c>
      <c r="E361" t="inlineStr">
        <is>
          <t>DEF</t>
        </is>
      </c>
      <c r="F361" t="inlineStr">
        <is>
          <t>DEF</t>
        </is>
      </c>
      <c r="G361" t="b">
        <v>1</v>
      </c>
      <c r="H361" s="2" t="n">
        <v>4.5</v>
      </c>
      <c r="I361" t="inlineStr">
        <is>
          <t>a</t>
        </is>
      </c>
      <c r="K361" s="2" t="n">
        <v>470</v>
      </c>
      <c r="L361" t="n">
        <v>7</v>
      </c>
      <c r="M361" s="3" t="n">
        <v>14</v>
      </c>
      <c r="N361" s="4" t="n">
        <v>0</v>
      </c>
      <c r="O361" s="4" t="n">
        <v>-14</v>
      </c>
      <c r="P361" s="5" t="inlineStr">
        <is>
          <t>medium</t>
        </is>
      </c>
      <c r="Q361" t="inlineStr">
        <is>
          <t>flat</t>
        </is>
      </c>
      <c r="R361" s="6" t="n">
        <v>0</v>
      </c>
      <c r="S361" t="inlineStr">
        <is>
          <t>research</t>
        </is>
      </c>
      <c r="T361" s="5" t="inlineStr">
        <is>
          <t>Loan to Napoli (with an option to buy) reported as agreed; ranked 'Very High' likelihood in FootballTransfers' deadline-day exit list, and he was left out of Chelsea's pre-season tour squad entirely to facilitate the move. Immaterial in size but removes a body from the centre-back queue.</t>
        </is>
      </c>
      <c r="U361" s="6" t="n">
        <v>79.3</v>
      </c>
      <c r="V361" s="2" t="n">
        <v>6</v>
      </c>
      <c r="W361" s="7">
        <f>IF(N(U361)&lt;=0,0,MIN(Assumptions!$B$15,N(R361)/N(U361)))</f>
        <v/>
      </c>
      <c r="X361" s="6" t="n">
        <v>0.322</v>
      </c>
      <c r="Y361" s="3" t="n">
        <v>0</v>
      </c>
      <c r="Z361" t="inlineStr">
        <is>
          <t>adjusted xGOT</t>
        </is>
      </c>
      <c r="AA361" s="3" t="n">
        <v>1</v>
      </c>
      <c r="AB361" s="3" t="n">
        <v>0.913</v>
      </c>
      <c r="AC361" s="3" t="n">
        <v>1.5</v>
      </c>
      <c r="AD361" s="3" t="n">
        <v>0.0057</v>
      </c>
      <c r="AE361" s="3" t="n">
        <v>8.279999999999999</v>
      </c>
      <c r="AF361" s="3" t="n">
        <v>0.2006980241798085</v>
      </c>
      <c r="AG361" s="3" t="n">
        <v>9.010999999999999</v>
      </c>
      <c r="AH361" s="3" t="n">
        <v>0.145240178</v>
      </c>
      <c r="AI361" s="3" t="n">
        <v>11</v>
      </c>
      <c r="AJ361" s="3" t="n">
        <v>2.4232</v>
      </c>
      <c r="AK361" s="3" t="n">
        <v>1.1851</v>
      </c>
      <c r="AL361" s="3" t="n">
        <v>-0.2299683281590999</v>
      </c>
      <c r="AM361" s="6" t="n">
        <v>0</v>
      </c>
      <c r="AN361" s="3" t="n">
        <v>0</v>
      </c>
      <c r="AO361" s="3" t="n">
        <v>0</v>
      </c>
      <c r="AP361" s="3" t="n">
        <v>0.022572</v>
      </c>
      <c r="AQ361" s="3">
        <f>N(X361)*N(BJ361)</f>
        <v/>
      </c>
      <c r="AR361" s="3" t="n">
        <v>0</v>
      </c>
      <c r="AS361" s="3" t="n">
        <v>-0.365915508000572</v>
      </c>
      <c r="AT361" s="3" t="n">
        <v>-0.2299683281590999</v>
      </c>
      <c r="AU361" s="3">
        <f>SUM(AO361:AT361)</f>
        <v/>
      </c>
      <c r="AV361" s="7">
        <f>IF(OR(N(W361)&lt;=0,N(BH361)=0),0,N(W361)*IF(N(R361)/N(W361)&gt;=60,N(BH361),1))</f>
        <v/>
      </c>
      <c r="AW361" s="7">
        <f>N(W361)*N(AF361)*N(BI361)</f>
        <v/>
      </c>
      <c r="AX361" s="3">
        <f>IF(N(BH361)=0,0,N(W361)*N(AH361))</f>
        <v/>
      </c>
      <c r="AY361" s="7">
        <f>N(AM361)*(Assumptions!$B$13*N(BK361)-(1-Assumptions!$B$13)*Assumptions!$B$14)+N(AN361)</f>
        <v/>
      </c>
      <c r="AZ361" s="7">
        <f>N(AU361)*N(R361)/90+N(AV361)+N(AW361)+N(AX361)+N(AY361)</f>
        <v/>
      </c>
      <c r="BA361" s="3">
        <f>IF(N(R361)&lt;=0,0,(N(AZ361)-N(AY361))*90/N(R361))</f>
        <v/>
      </c>
      <c r="BB361" s="7">
        <f>IFERROR(AZ361-VLOOKUP($E361,Assumptions!$A$40:$C$43,3,FALSE),"")</f>
        <v/>
      </c>
      <c r="BC361" s="3">
        <f>IFERROR(BB361/H361,"")</f>
        <v/>
      </c>
      <c r="BD361">
        <f>IF(AND($G361=TRUE,$E361="GKP"),AZ361,"")</f>
        <v/>
      </c>
      <c r="BE361">
        <f>IF(AND($G361=TRUE,$E361="DEF"),AZ361,"")</f>
        <v/>
      </c>
      <c r="BF361">
        <f>IF(AND($G361=TRUE,$E361="MID"),AZ361,"")</f>
        <v/>
      </c>
      <c r="BG361">
        <f>IF(AND($G361=TRUE,$E361="FWD"),AZ361,"")</f>
        <v/>
      </c>
      <c r="BH361" t="n">
        <v>2</v>
      </c>
      <c r="BI361" t="n">
        <v>2</v>
      </c>
      <c r="BJ361" t="n">
        <v>4</v>
      </c>
      <c r="BK361" t="n">
        <v>6</v>
      </c>
    </row>
    <row r="362">
      <c r="A362" t="inlineStr">
        <is>
          <t>Igor Julio</t>
        </is>
      </c>
      <c r="B362" t="inlineStr">
        <is>
          <t>BHA</t>
        </is>
      </c>
      <c r="C362" t="inlineStr">
        <is>
          <t>BHA</t>
        </is>
      </c>
      <c r="D362" t="b">
        <v>0</v>
      </c>
      <c r="E362" t="inlineStr">
        <is>
          <t>DEF</t>
        </is>
      </c>
      <c r="F362" t="inlineStr">
        <is>
          <t>DEF</t>
        </is>
      </c>
      <c r="G362" t="b">
        <v>1</v>
      </c>
      <c r="H362" s="2" t="n">
        <v>4.5</v>
      </c>
      <c r="I362" t="inlineStr">
        <is>
          <t>a</t>
        </is>
      </c>
      <c r="K362" s="2" t="n">
        <v>103</v>
      </c>
      <c r="L362" t="n">
        <v>6</v>
      </c>
      <c r="M362" s="3" t="n">
        <v>0</v>
      </c>
      <c r="N362" s="4" t="n">
        <v>200</v>
      </c>
      <c r="O362" s="4" t="n">
        <v>200</v>
      </c>
      <c r="P362" s="5" t="inlineStr">
        <is>
          <t>low</t>
        </is>
      </c>
      <c r="Q362" t="inlineStr">
        <is>
          <t>flat</t>
        </is>
      </c>
      <c r="R362" s="6" t="n">
        <v>200</v>
      </c>
      <c r="S362" t="inlineStr">
        <is>
          <t>research</t>
        </is>
      </c>
      <c r="T362" s="5" t="inlineStr">
        <is>
          <t>Solio gives him zero, but he is registered and available (FPL status 'a') and came on at 78' against Bologna, replacing Kadioglu. With van Hecke and Coppola both sold, he is emergency defensive cover. A small non-zero allocation, not a role claim.</t>
        </is>
      </c>
      <c r="U362" s="6" t="n">
        <v>85.90000000000001</v>
      </c>
      <c r="V362" s="2" t="n">
        <v>1</v>
      </c>
      <c r="W362" s="7">
        <f>IF(N(U362)&lt;=0,0,MIN(Assumptions!$B$15,N(R362)/N(U362)))</f>
        <v/>
      </c>
      <c r="X362" s="6" t="n">
        <v>0.252</v>
      </c>
      <c r="Y362" s="3" t="n">
        <v>0</v>
      </c>
      <c r="Z362" t="inlineStr">
        <is>
          <t>adjusted xGOT</t>
        </is>
      </c>
      <c r="AA362" s="3" t="n">
        <v>1</v>
      </c>
      <c r="AB362" s="3" t="n">
        <v>0.964</v>
      </c>
      <c r="AC362" s="3" t="n">
        <v>0.3</v>
      </c>
      <c r="AD362" s="3" t="n">
        <v>0.007900000000000001</v>
      </c>
      <c r="AE362" s="3" t="n">
        <v>8.145</v>
      </c>
      <c r="AF362" s="3" t="n">
        <v>0.2557540299648547</v>
      </c>
      <c r="AG362" s="3" t="n">
        <v>7.866</v>
      </c>
      <c r="AH362" s="3" t="n">
        <v>0.1154008101</v>
      </c>
      <c r="AI362" s="3" t="n">
        <v>5</v>
      </c>
      <c r="AJ362" s="3" t="n">
        <v>2.8404</v>
      </c>
      <c r="AK362" s="3" t="n">
        <v>1.439</v>
      </c>
      <c r="AL362" s="3" t="n">
        <v>-0.2463997037147801</v>
      </c>
      <c r="AM362" s="6" t="n">
        <v>0</v>
      </c>
      <c r="AN362" s="3" t="n">
        <v>0</v>
      </c>
      <c r="AO362" s="3" t="n">
        <v>0</v>
      </c>
      <c r="AP362" s="3" t="n">
        <v>0.03128400000000001</v>
      </c>
      <c r="AQ362" s="3">
        <f>N(X362)*N(BJ362)</f>
        <v/>
      </c>
      <c r="AR362" s="3" t="n">
        <v>0</v>
      </c>
      <c r="AS362" s="3" t="n">
        <v>-0.4835617861760246</v>
      </c>
      <c r="AT362" s="3" t="n">
        <v>-0.2463997037147801</v>
      </c>
      <c r="AU362" s="3">
        <f>SUM(AO362:AT362)</f>
        <v/>
      </c>
      <c r="AV362" s="7">
        <f>IF(OR(N(W362)&lt;=0,N(BH362)=0),0,N(W362)*IF(N(R362)/N(W362)&gt;=60,N(BH362),1))</f>
        <v/>
      </c>
      <c r="AW362" s="7">
        <f>N(W362)*N(AF362)*N(BI362)</f>
        <v/>
      </c>
      <c r="AX362" s="3">
        <f>IF(N(BH362)=0,0,N(W362)*N(AH362))</f>
        <v/>
      </c>
      <c r="AY362" s="7">
        <f>N(AM362)*(Assumptions!$B$13*N(BK362)-(1-Assumptions!$B$13)*Assumptions!$B$14)+N(AN362)</f>
        <v/>
      </c>
      <c r="AZ362" s="7">
        <f>N(AU362)*N(R362)/90+N(AV362)+N(AW362)+N(AX362)+N(AY362)</f>
        <v/>
      </c>
      <c r="BA362" s="3">
        <f>IF(N(R362)&lt;=0,0,(N(AZ362)-N(AY362))*90/N(R362))</f>
        <v/>
      </c>
      <c r="BB362" s="7">
        <f>IFERROR(AZ362-VLOOKUP($E362,Assumptions!$A$40:$C$43,3,FALSE),"")</f>
        <v/>
      </c>
      <c r="BC362" s="3">
        <f>IFERROR(BB362/H362,"")</f>
        <v/>
      </c>
      <c r="BD362">
        <f>IF(AND($G362=TRUE,$E362="GKP"),AZ362,"")</f>
        <v/>
      </c>
      <c r="BE362">
        <f>IF(AND($G362=TRUE,$E362="DEF"),AZ362,"")</f>
        <v/>
      </c>
      <c r="BF362">
        <f>IF(AND($G362=TRUE,$E362="MID"),AZ362,"")</f>
        <v/>
      </c>
      <c r="BG362">
        <f>IF(AND($G362=TRUE,$E362="FWD"),AZ362,"")</f>
        <v/>
      </c>
      <c r="BH362" t="n">
        <v>2</v>
      </c>
      <c r="BI362" t="n">
        <v>2</v>
      </c>
      <c r="BJ362" t="n">
        <v>4</v>
      </c>
      <c r="BK362" t="n">
        <v>6</v>
      </c>
    </row>
    <row r="363">
      <c r="A363" t="inlineStr">
        <is>
          <t>Freddie Woodman</t>
        </is>
      </c>
      <c r="B363" t="inlineStr">
        <is>
          <t>LIV</t>
        </is>
      </c>
      <c r="C363" t="inlineStr">
        <is>
          <t>LIV</t>
        </is>
      </c>
      <c r="D363" t="b">
        <v>0</v>
      </c>
      <c r="E363" t="inlineStr">
        <is>
          <t>GKP</t>
        </is>
      </c>
      <c r="F363" t="inlineStr">
        <is>
          <t>GKP</t>
        </is>
      </c>
      <c r="G363" t="b">
        <v>1</v>
      </c>
      <c r="H363" s="2" t="n">
        <v>4</v>
      </c>
      <c r="I363" t="inlineStr">
        <is>
          <t>a</t>
        </is>
      </c>
      <c r="K363" s="2" t="n">
        <v>212</v>
      </c>
      <c r="L363" t="n">
        <v>6</v>
      </c>
      <c r="M363" s="3" t="n">
        <v>0</v>
      </c>
      <c r="N363" s="8" t="n">
        <v>0</v>
      </c>
      <c r="O363" s="8" t="n">
        <v>0</v>
      </c>
      <c r="Q363" t="inlineStr">
        <is>
          <t>flat</t>
        </is>
      </c>
      <c r="R363" s="6" t="n">
        <v>0</v>
      </c>
      <c r="S363" t="inlineStr">
        <is>
          <t>Solio</t>
        </is>
      </c>
      <c r="U363" s="6" t="n">
        <v>89.8</v>
      </c>
      <c r="V363" s="2" t="n">
        <v>2</v>
      </c>
      <c r="W363" s="7">
        <f>IF(N(U363)&lt;=0,0,MIN(Assumptions!$B$15,N(R363)/N(U363)))</f>
        <v/>
      </c>
      <c r="X363" s="6" t="n">
        <v>0.342</v>
      </c>
      <c r="Y363" s="3" t="n">
        <v>0</v>
      </c>
      <c r="Z363" t="inlineStr">
        <is>
          <t>blended xG</t>
        </is>
      </c>
      <c r="AA363" s="3" t="n">
        <v>1</v>
      </c>
      <c r="AB363" s="3" t="n">
        <v>1</v>
      </c>
      <c r="AC363" s="3" t="n">
        <v>0</v>
      </c>
      <c r="AD363" s="3" t="n">
        <v>0</v>
      </c>
      <c r="AE363" s="3" t="n">
        <v>0</v>
      </c>
      <c r="AF363" s="3" t="n">
        <v>0</v>
      </c>
      <c r="AG363" s="3" t="n">
        <v>6.017</v>
      </c>
      <c r="AH363" s="3" t="n">
        <v>0.2344611168</v>
      </c>
      <c r="AI363" s="3" t="n">
        <v>5</v>
      </c>
      <c r="AJ363" s="3" t="n">
        <v>2.409</v>
      </c>
      <c r="AK363" s="3" t="n">
        <v>1.1228</v>
      </c>
      <c r="AL363" s="3" t="n">
        <v>-0.0669072954895517</v>
      </c>
      <c r="AM363" s="6" t="n">
        <v>0</v>
      </c>
      <c r="AN363" s="3" t="n">
        <v>0</v>
      </c>
      <c r="AO363" s="3" t="n">
        <v>0</v>
      </c>
      <c r="AP363" s="3" t="n">
        <v>0</v>
      </c>
      <c r="AQ363" s="3">
        <f>N(X363)*N(BJ363)</f>
        <v/>
      </c>
      <c r="AR363" s="3" t="n">
        <v>0.4697511244203511</v>
      </c>
      <c r="AS363" s="3" t="n">
        <v>-0.3378660007281162</v>
      </c>
      <c r="AT363" s="3" t="n">
        <v>-0.0669072954895517</v>
      </c>
      <c r="AU363" s="3">
        <f>SUM(AO363:AT363)</f>
        <v/>
      </c>
      <c r="AV363" s="7">
        <f>IF(OR(N(W363)&lt;=0,N(BH363)=0),0,N(W363)*IF(N(R363)/N(W363)&gt;=60,N(BH363),1))</f>
        <v/>
      </c>
      <c r="AW363" s="7">
        <f>N(W363)*N(AF363)*N(BI363)</f>
        <v/>
      </c>
      <c r="AX363" s="3">
        <f>IF(N(BH363)=0,0,N(W363)*N(AH363))</f>
        <v/>
      </c>
      <c r="AY363" s="7">
        <f>N(AM363)*(Assumptions!$B$13*N(BK363)-(1-Assumptions!$B$13)*Assumptions!$B$14)+N(AN363)</f>
        <v/>
      </c>
      <c r="AZ363" s="7">
        <f>N(AU363)*N(R363)/90+N(AV363)+N(AW363)+N(AX363)+N(AY363)</f>
        <v/>
      </c>
      <c r="BA363" s="3">
        <f>IF(N(R363)&lt;=0,0,(N(AZ363)-N(AY363))*90/N(R363))</f>
        <v/>
      </c>
      <c r="BB363" s="7">
        <f>IFERROR(AZ363-VLOOKUP($E363,Assumptions!$A$40:$C$43,3,FALSE),"")</f>
        <v/>
      </c>
      <c r="BC363" s="3">
        <f>IFERROR(BB363/H363,"")</f>
        <v/>
      </c>
      <c r="BD363">
        <f>IF(AND($G363=TRUE,$E363="GKP"),AZ363,"")</f>
        <v/>
      </c>
      <c r="BE363">
        <f>IF(AND($G363=TRUE,$E363="DEF"),AZ363,"")</f>
        <v/>
      </c>
      <c r="BF363">
        <f>IF(AND($G363=TRUE,$E363="MID"),AZ363,"")</f>
        <v/>
      </c>
      <c r="BG363">
        <f>IF(AND($G363=TRUE,$E363="FWD"),AZ363,"")</f>
        <v/>
      </c>
      <c r="BH363" t="n">
        <v>2</v>
      </c>
      <c r="BI363" t="n">
        <v>0</v>
      </c>
      <c r="BJ363" t="n">
        <v>4</v>
      </c>
      <c r="BK363" t="n">
        <v>10</v>
      </c>
    </row>
    <row r="364">
      <c r="A364" t="inlineStr">
        <is>
          <t>Trey Nyoni</t>
        </is>
      </c>
      <c r="B364" t="inlineStr">
        <is>
          <t>LIV</t>
        </is>
      </c>
      <c r="C364" t="inlineStr">
        <is>
          <t>LIV</t>
        </is>
      </c>
      <c r="D364" t="b">
        <v>0</v>
      </c>
      <c r="E364" t="inlineStr">
        <is>
          <t>MID</t>
        </is>
      </c>
      <c r="F364" t="inlineStr">
        <is>
          <t>MID</t>
        </is>
      </c>
      <c r="G364" t="b">
        <v>1</v>
      </c>
      <c r="H364" s="2" t="n">
        <v>5</v>
      </c>
      <c r="I364" t="inlineStr">
        <is>
          <t>a</t>
        </is>
      </c>
      <c r="K364" s="2" t="n">
        <v>21</v>
      </c>
      <c r="L364" t="n">
        <v>6</v>
      </c>
      <c r="M364" s="3" t="n">
        <v>24</v>
      </c>
      <c r="N364" s="4" t="n">
        <v>600</v>
      </c>
      <c r="O364" s="4" t="n">
        <v>576</v>
      </c>
      <c r="P364" s="5" t="inlineStr">
        <is>
          <t>medium</t>
        </is>
      </c>
      <c r="Q364" t="inlineStr">
        <is>
          <t>flat</t>
        </is>
      </c>
      <c r="R364" s="6" t="n">
        <v>600</v>
      </c>
      <c r="S364" t="inlineStr">
        <is>
          <t>research</t>
        </is>
      </c>
      <c r="T364" s="5" t="inlineStr">
        <is>
          <t>Solio gives Nyoni 24 minutes, which is not consistent with pre-season. He started the double pivot against Monaco, Jay Spearing called him the 'best player in pre-season', and This Is Anfield reports he 'could be next in the pecking order in the No. 6 berth' with 'seeing him start at St James' Park' now 'no great risk'. James McConnell is leaving on loan and Endo/Bajcetic are unreliable, so he is the fourth pivot option at worst.</t>
        </is>
      </c>
      <c r="U364" s="6" t="n">
        <v>80.09999999999999</v>
      </c>
      <c r="V364" s="2" t="n">
        <v>0</v>
      </c>
      <c r="W364" s="7">
        <f>IF(N(U364)&lt;=0,0,MIN(Assumptions!$B$15,N(R364)/N(U364)))</f>
        <v/>
      </c>
      <c r="X364" s="6" t="n">
        <v>0.342</v>
      </c>
      <c r="Y364" s="3" t="n">
        <v>1.5171</v>
      </c>
      <c r="Z364" t="inlineStr">
        <is>
          <t>adjusted xGOT</t>
        </is>
      </c>
      <c r="AA364" s="3" t="n">
        <v>1</v>
      </c>
      <c r="AB364" s="3" t="n">
        <v>0.956</v>
      </c>
      <c r="AC364" s="3" t="n">
        <v>0.4</v>
      </c>
      <c r="AD364" s="3" t="n">
        <v>0.0857</v>
      </c>
      <c r="AE364" s="3" t="n">
        <v>8.941000000000001</v>
      </c>
      <c r="AF364" s="3" t="n">
        <v>0.1088796835660499</v>
      </c>
      <c r="AG364" s="3" t="n">
        <v>6.473</v>
      </c>
      <c r="AH364" s="3" t="n">
        <v>1.9474040262</v>
      </c>
      <c r="AI364" s="3" t="n">
        <v>6</v>
      </c>
      <c r="AJ364" s="3" t="n">
        <v>2.409</v>
      </c>
      <c r="AK364" s="3" t="n">
        <v>1.1228</v>
      </c>
      <c r="AL364" s="3" t="n">
        <v>-0.213177172507708</v>
      </c>
      <c r="AM364" s="6" t="n">
        <v>0</v>
      </c>
      <c r="AN364" s="3" t="n">
        <v>0</v>
      </c>
      <c r="AO364" s="3" t="n">
        <v>7.5855</v>
      </c>
      <c r="AP364" s="3" t="n">
        <v>0.339372</v>
      </c>
      <c r="AQ364" s="3">
        <f>N(X364)*N(BJ364)</f>
        <v/>
      </c>
      <c r="AR364" s="3" t="n">
        <v>0</v>
      </c>
      <c r="AS364" s="3" t="n">
        <v>-0</v>
      </c>
      <c r="AT364" s="3" t="n">
        <v>-0.213177172507708</v>
      </c>
      <c r="AU364" s="3">
        <f>SUM(AO364:AT364)</f>
        <v/>
      </c>
      <c r="AV364" s="7">
        <f>IF(OR(N(W364)&lt;=0,N(BH364)=0),0,N(W364)*IF(N(R364)/N(W364)&gt;=60,N(BH364),1))</f>
        <v/>
      </c>
      <c r="AW364" s="7">
        <f>N(W364)*N(AF364)*N(BI364)</f>
        <v/>
      </c>
      <c r="AX364" s="3">
        <f>IF(N(BH364)=0,0,N(W364)*N(AH364))</f>
        <v/>
      </c>
      <c r="AY364" s="7">
        <f>N(AM364)*(Assumptions!$B$13*N(BK364)-(1-Assumptions!$B$13)*Assumptions!$B$14)+N(AN364)</f>
        <v/>
      </c>
      <c r="AZ364" s="7">
        <f>N(AU364)*N(R364)/90+N(AV364)+N(AW364)+N(AX364)+N(AY364)</f>
        <v/>
      </c>
      <c r="BA364" s="3">
        <f>IF(N(R364)&lt;=0,0,(N(AZ364)-N(AY364))*90/N(R364))</f>
        <v/>
      </c>
      <c r="BB364" s="7">
        <f>IFERROR(AZ364-VLOOKUP($E364,Assumptions!$A$40:$C$43,3,FALSE),"")</f>
        <v/>
      </c>
      <c r="BC364" s="3">
        <f>IFERROR(BB364/H364,"")</f>
        <v/>
      </c>
      <c r="BD364">
        <f>IF(AND($G364=TRUE,$E364="GKP"),AZ364,"")</f>
        <v/>
      </c>
      <c r="BE364">
        <f>IF(AND($G364=TRUE,$E364="DEF"),AZ364,"")</f>
        <v/>
      </c>
      <c r="BF364">
        <f>IF(AND($G364=TRUE,$E364="MID"),AZ364,"")</f>
        <v/>
      </c>
      <c r="BG364">
        <f>IF(AND($G364=TRUE,$E364="FWD"),AZ364,"")</f>
        <v/>
      </c>
      <c r="BH364" t="n">
        <v>2</v>
      </c>
      <c r="BI364" t="n">
        <v>2</v>
      </c>
      <c r="BJ364" t="n">
        <v>1</v>
      </c>
      <c r="BK364" t="n">
        <v>5</v>
      </c>
    </row>
    <row r="365">
      <c r="A365" t="inlineStr">
        <is>
          <t>Borna Sosa</t>
        </is>
      </c>
      <c r="B365" t="inlineStr">
        <is>
          <t>CRY</t>
        </is>
      </c>
      <c r="C365" t="inlineStr">
        <is>
          <t>CRY</t>
        </is>
      </c>
      <c r="D365" t="b">
        <v>0</v>
      </c>
      <c r="E365" t="inlineStr">
        <is>
          <t>DEF</t>
        </is>
      </c>
      <c r="F365" t="inlineStr">
        <is>
          <t>DEF</t>
        </is>
      </c>
      <c r="G365" t="b">
        <v>1</v>
      </c>
      <c r="H365" s="2" t="n">
        <v>4.5</v>
      </c>
      <c r="I365" t="inlineStr">
        <is>
          <t>a</t>
        </is>
      </c>
      <c r="K365" s="2" t="n">
        <v>99</v>
      </c>
      <c r="L365" t="n">
        <v>6</v>
      </c>
      <c r="M365" s="3" t="n">
        <v>19</v>
      </c>
      <c r="N365" s="8" t="n">
        <v>19</v>
      </c>
      <c r="O365" s="8" t="n">
        <v>0</v>
      </c>
      <c r="Q365" t="inlineStr">
        <is>
          <t>flat</t>
        </is>
      </c>
      <c r="R365" s="6" t="n">
        <v>19</v>
      </c>
      <c r="S365" t="inlineStr">
        <is>
          <t>Solio</t>
        </is>
      </c>
      <c r="U365" s="6" t="n">
        <v>85.5</v>
      </c>
      <c r="V365" s="2" t="n">
        <v>0</v>
      </c>
      <c r="W365" s="7">
        <f>IF(N(U365)&lt;=0,0,MIN(Assumptions!$B$15,N(R365)/N(U365)))</f>
        <v/>
      </c>
      <c r="X365" s="6" t="n">
        <v>0.216</v>
      </c>
      <c r="Y365" s="3" t="n">
        <v>0.0364</v>
      </c>
      <c r="Z365" t="inlineStr">
        <is>
          <t>adjusted xGOT</t>
        </is>
      </c>
      <c r="AA365" s="3" t="n">
        <v>1</v>
      </c>
      <c r="AB365" s="3" t="n">
        <v>0.995</v>
      </c>
      <c r="AC365" s="3" t="n">
        <v>0</v>
      </c>
      <c r="AD365" s="3" t="n">
        <v>0.0665</v>
      </c>
      <c r="AE365" s="3" t="n">
        <v>7.745</v>
      </c>
      <c r="AF365" s="3" t="n">
        <v>0.2075512943046414</v>
      </c>
      <c r="AG365" s="3" t="n">
        <v>7.328</v>
      </c>
      <c r="AH365" s="3" t="n">
        <v>0.123110372</v>
      </c>
      <c r="AI365" s="3" t="n">
        <v>7</v>
      </c>
      <c r="AJ365" s="3" t="n">
        <v>3.2035</v>
      </c>
      <c r="AK365" s="3" t="n">
        <v>1.5923</v>
      </c>
      <c r="AL365" s="3" t="n">
        <v>-0.2512094286033083</v>
      </c>
      <c r="AM365" s="6" t="n">
        <v>0</v>
      </c>
      <c r="AN365" s="3" t="n">
        <v>0</v>
      </c>
      <c r="AO365" s="3" t="n">
        <v>0.2184</v>
      </c>
      <c r="AP365" s="3" t="n">
        <v>0.26334</v>
      </c>
      <c r="AQ365" s="3">
        <f>N(X365)*N(BJ365)</f>
        <v/>
      </c>
      <c r="AR365" s="3" t="n">
        <v>0</v>
      </c>
      <c r="AS365" s="3" t="n">
        <v>-0.5564987001023466</v>
      </c>
      <c r="AT365" s="3" t="n">
        <v>-0.2512094286033083</v>
      </c>
      <c r="AU365" s="3">
        <f>SUM(AO365:AT365)</f>
        <v/>
      </c>
      <c r="AV365" s="7">
        <f>IF(OR(N(W365)&lt;=0,N(BH365)=0),0,N(W365)*IF(N(R365)/N(W365)&gt;=60,N(BH365),1))</f>
        <v/>
      </c>
      <c r="AW365" s="7">
        <f>N(W365)*N(AF365)*N(BI365)</f>
        <v/>
      </c>
      <c r="AX365" s="3">
        <f>IF(N(BH365)=0,0,N(W365)*N(AH365))</f>
        <v/>
      </c>
      <c r="AY365" s="7">
        <f>N(AM365)*(Assumptions!$B$13*N(BK365)-(1-Assumptions!$B$13)*Assumptions!$B$14)+N(AN365)</f>
        <v/>
      </c>
      <c r="AZ365" s="7">
        <f>N(AU365)*N(R365)/90+N(AV365)+N(AW365)+N(AX365)+N(AY365)</f>
        <v/>
      </c>
      <c r="BA365" s="3">
        <f>IF(N(R365)&lt;=0,0,(N(AZ365)-N(AY365))*90/N(R365))</f>
        <v/>
      </c>
      <c r="BB365" s="7">
        <f>IFERROR(AZ365-VLOOKUP($E365,Assumptions!$A$40:$C$43,3,FALSE),"")</f>
        <v/>
      </c>
      <c r="BC365" s="3">
        <f>IFERROR(BB365/H365,"")</f>
        <v/>
      </c>
      <c r="BD365">
        <f>IF(AND($G365=TRUE,$E365="GKP"),AZ365,"")</f>
        <v/>
      </c>
      <c r="BE365">
        <f>IF(AND($G365=TRUE,$E365="DEF"),AZ365,"")</f>
        <v/>
      </c>
      <c r="BF365">
        <f>IF(AND($G365=TRUE,$E365="MID"),AZ365,"")</f>
        <v/>
      </c>
      <c r="BG365">
        <f>IF(AND($G365=TRUE,$E365="FWD"),AZ365,"")</f>
        <v/>
      </c>
      <c r="BH365" t="n">
        <v>2</v>
      </c>
      <c r="BI365" t="n">
        <v>2</v>
      </c>
      <c r="BJ365" t="n">
        <v>4</v>
      </c>
      <c r="BK365" t="n">
        <v>6</v>
      </c>
    </row>
    <row r="366">
      <c r="A366" t="inlineStr">
        <is>
          <t>Jonah Kusi-Asare</t>
        </is>
      </c>
      <c r="B366" t="inlineStr">
        <is>
          <t>FUL</t>
        </is>
      </c>
      <c r="C366" t="inlineStr">
        <is>
          <t>FUL</t>
        </is>
      </c>
      <c r="D366" t="b">
        <v>0</v>
      </c>
      <c r="E366" t="inlineStr">
        <is>
          <t>FWD</t>
        </is>
      </c>
      <c r="F366" t="inlineStr">
        <is>
          <t>FWD</t>
        </is>
      </c>
      <c r="G366" t="b">
        <v>1</v>
      </c>
      <c r="H366" s="2" t="n">
        <v>4.5</v>
      </c>
      <c r="I366" t="inlineStr">
        <is>
          <t>a</t>
        </is>
      </c>
      <c r="K366" s="2" t="n">
        <v>49</v>
      </c>
      <c r="L366" t="n">
        <v>6</v>
      </c>
      <c r="M366" s="3" t="n">
        <v>42</v>
      </c>
      <c r="N366" s="8" t="n">
        <v>42</v>
      </c>
      <c r="O366" s="8" t="n">
        <v>0</v>
      </c>
      <c r="Q366" t="inlineStr">
        <is>
          <t>flat</t>
        </is>
      </c>
      <c r="R366" s="6" t="n">
        <v>42</v>
      </c>
      <c r="S366" t="inlineStr">
        <is>
          <t>Solio</t>
        </is>
      </c>
      <c r="U366" s="6" t="n">
        <v>78.5</v>
      </c>
      <c r="V366" s="2" t="n">
        <v>0</v>
      </c>
      <c r="W366" s="7">
        <f>IF(N(U366)&lt;=0,0,MIN(Assumptions!$B$15,N(R366)/N(U366)))</f>
        <v/>
      </c>
      <c r="X366" s="6" t="n">
        <v>0.214</v>
      </c>
      <c r="Y366" s="3" t="n">
        <v>0</v>
      </c>
      <c r="Z366" t="inlineStr">
        <is>
          <t>blended xG</t>
        </is>
      </c>
      <c r="AA366" s="3" t="n">
        <v>1</v>
      </c>
      <c r="AB366" s="3" t="n">
        <v>1</v>
      </c>
      <c r="AC366" s="3" t="n">
        <v>0</v>
      </c>
      <c r="AD366" s="3" t="n">
        <v>0.1396</v>
      </c>
      <c r="AE366" s="3" t="n">
        <v>5.073</v>
      </c>
      <c r="AF366" s="3" t="n">
        <v>0.002100493216263044</v>
      </c>
      <c r="AG366" s="3" t="n">
        <v>1.584</v>
      </c>
      <c r="AH366" s="3" t="n">
        <v>0.0123240079</v>
      </c>
      <c r="AI366" s="3" t="n">
        <v>7</v>
      </c>
      <c r="AJ366" s="3" t="n">
        <v>3.22</v>
      </c>
      <c r="AK366" s="3" t="n">
        <v>1.6019</v>
      </c>
      <c r="AL366" s="3" t="n">
        <v>-0.2297683987519763</v>
      </c>
      <c r="AM366" s="6" t="n">
        <v>0</v>
      </c>
      <c r="AN366" s="3" t="n">
        <v>0</v>
      </c>
      <c r="AO366" s="3" t="n">
        <v>0</v>
      </c>
      <c r="AP366" s="3" t="n">
        <v>0.5528160000000001</v>
      </c>
      <c r="AQ366" s="3">
        <f>N(X366)*N(BJ366)</f>
        <v/>
      </c>
      <c r="AR366" s="3" t="n">
        <v>0</v>
      </c>
      <c r="AS366" s="3" t="n">
        <v>-0</v>
      </c>
      <c r="AT366" s="3" t="n">
        <v>-0.2297683987519763</v>
      </c>
      <c r="AU366" s="3">
        <f>SUM(AO366:AT366)</f>
        <v/>
      </c>
      <c r="AV366" s="7">
        <f>IF(OR(N(W366)&lt;=0,N(BH366)=0),0,N(W366)*IF(N(R366)/N(W366)&gt;=60,N(BH366),1))</f>
        <v/>
      </c>
      <c r="AW366" s="7">
        <f>N(W366)*N(AF366)*N(BI366)</f>
        <v/>
      </c>
      <c r="AX366" s="3">
        <f>IF(N(BH366)=0,0,N(W366)*N(AH366))</f>
        <v/>
      </c>
      <c r="AY366" s="7">
        <f>N(AM366)*(Assumptions!$B$13*N(BK366)-(1-Assumptions!$B$13)*Assumptions!$B$14)+N(AN366)</f>
        <v/>
      </c>
      <c r="AZ366" s="7">
        <f>N(AU366)*N(R366)/90+N(AV366)+N(AW366)+N(AX366)+N(AY366)</f>
        <v/>
      </c>
      <c r="BA366" s="3">
        <f>IF(N(R366)&lt;=0,0,(N(AZ366)-N(AY366))*90/N(R366))</f>
        <v/>
      </c>
      <c r="BB366" s="7">
        <f>IFERROR(AZ366-VLOOKUP($E366,Assumptions!$A$40:$C$43,3,FALSE),"")</f>
        <v/>
      </c>
      <c r="BC366" s="3">
        <f>IFERROR(BB366/H366,"")</f>
        <v/>
      </c>
      <c r="BD366">
        <f>IF(AND($G366=TRUE,$E366="GKP"),AZ366,"")</f>
        <v/>
      </c>
      <c r="BE366">
        <f>IF(AND($G366=TRUE,$E366="DEF"),AZ366,"")</f>
        <v/>
      </c>
      <c r="BF366">
        <f>IF(AND($G366=TRUE,$E366="MID"),AZ366,"")</f>
        <v/>
      </c>
      <c r="BG366">
        <f>IF(AND($G366=TRUE,$E366="FWD"),AZ366,"")</f>
        <v/>
      </c>
      <c r="BH366" t="n">
        <v>2</v>
      </c>
      <c r="BI366" t="n">
        <v>2</v>
      </c>
      <c r="BJ366" t="n">
        <v>0</v>
      </c>
      <c r="BK366" t="n">
        <v>4</v>
      </c>
    </row>
    <row r="367">
      <c r="A367" t="inlineStr">
        <is>
          <t>Andrés García</t>
        </is>
      </c>
      <c r="B367" t="inlineStr">
        <is>
          <t>AVL</t>
        </is>
      </c>
      <c r="C367" t="inlineStr">
        <is>
          <t>AVL</t>
        </is>
      </c>
      <c r="D367" t="b">
        <v>0</v>
      </c>
      <c r="E367" t="inlineStr">
        <is>
          <t>DEF</t>
        </is>
      </c>
      <c r="F367" t="inlineStr">
        <is>
          <t>DEF</t>
        </is>
      </c>
      <c r="G367" t="b">
        <v>1</v>
      </c>
      <c r="H367" s="2" t="n">
        <v>4</v>
      </c>
      <c r="I367" t="inlineStr">
        <is>
          <t>a</t>
        </is>
      </c>
      <c r="K367" s="2" t="n">
        <v>83</v>
      </c>
      <c r="L367" t="n">
        <v>5</v>
      </c>
      <c r="M367" s="3" t="n">
        <v>0</v>
      </c>
      <c r="N367" s="8" t="n">
        <v>0</v>
      </c>
      <c r="O367" s="8" t="n">
        <v>0</v>
      </c>
      <c r="Q367" t="inlineStr">
        <is>
          <t>flat</t>
        </is>
      </c>
      <c r="R367" s="6" t="n">
        <v>0</v>
      </c>
      <c r="S367" t="inlineStr">
        <is>
          <t>Solio</t>
        </is>
      </c>
      <c r="U367" s="6" t="n">
        <v>81.8</v>
      </c>
      <c r="V367" s="2" t="n">
        <v>1</v>
      </c>
      <c r="W367" s="7">
        <f>IF(N(U367)&lt;=0,0,MIN(Assumptions!$B$15,N(R367)/N(U367)))</f>
        <v/>
      </c>
      <c r="X367" s="6" t="n">
        <v>0.273</v>
      </c>
      <c r="Y367" s="3" t="n">
        <v>0</v>
      </c>
      <c r="Z367" t="inlineStr">
        <is>
          <t>adjusted xGOT</t>
        </is>
      </c>
      <c r="AA367" s="3" t="n">
        <v>1</v>
      </c>
      <c r="AB367" s="3" t="n">
        <v>0.995</v>
      </c>
      <c r="AC367" s="3" t="n">
        <v>0</v>
      </c>
      <c r="AD367" s="3" t="n">
        <v>0.0054</v>
      </c>
      <c r="AE367" s="3" t="n">
        <v>8.010999999999999</v>
      </c>
      <c r="AF367" s="3" t="n">
        <v>0.1991141835987874</v>
      </c>
      <c r="AG367" s="3" t="n">
        <v>8.138</v>
      </c>
      <c r="AH367" s="3" t="n">
        <v>0.113783816</v>
      </c>
      <c r="AI367" s="3" t="n">
        <v>6</v>
      </c>
      <c r="AJ367" s="3" t="n">
        <v>2.7451</v>
      </c>
      <c r="AK367" s="3" t="n">
        <v>1.3575</v>
      </c>
      <c r="AL367" s="3" t="n">
        <v>-0.1753424416146007</v>
      </c>
      <c r="AM367" s="6" t="n">
        <v>0</v>
      </c>
      <c r="AN367" s="3" t="n">
        <v>0</v>
      </c>
      <c r="AO367" s="3" t="n">
        <v>0</v>
      </c>
      <c r="AP367" s="3" t="n">
        <v>0.021384</v>
      </c>
      <c r="AQ367" s="3">
        <f>N(X367)*N(BJ367)</f>
        <v/>
      </c>
      <c r="AR367" s="3" t="n">
        <v>0</v>
      </c>
      <c r="AS367" s="3" t="n">
        <v>-0.4453012382517575</v>
      </c>
      <c r="AT367" s="3" t="n">
        <v>-0.1753424416146007</v>
      </c>
      <c r="AU367" s="3">
        <f>SUM(AO367:AT367)</f>
        <v/>
      </c>
      <c r="AV367" s="7">
        <f>IF(OR(N(W367)&lt;=0,N(BH367)=0),0,N(W367)*IF(N(R367)/N(W367)&gt;=60,N(BH367),1))</f>
        <v/>
      </c>
      <c r="AW367" s="7">
        <f>N(W367)*N(AF367)*N(BI367)</f>
        <v/>
      </c>
      <c r="AX367" s="3">
        <f>IF(N(BH367)=0,0,N(W367)*N(AH367))</f>
        <v/>
      </c>
      <c r="AY367" s="7">
        <f>N(AM367)*(Assumptions!$B$13*N(BK367)-(1-Assumptions!$B$13)*Assumptions!$B$14)+N(AN367)</f>
        <v/>
      </c>
      <c r="AZ367" s="7">
        <f>N(AU367)*N(R367)/90+N(AV367)+N(AW367)+N(AX367)+N(AY367)</f>
        <v/>
      </c>
      <c r="BA367" s="3">
        <f>IF(N(R367)&lt;=0,0,(N(AZ367)-N(AY367))*90/N(R367))</f>
        <v/>
      </c>
      <c r="BB367" s="7">
        <f>IFERROR(AZ367-VLOOKUP($E367,Assumptions!$A$40:$C$43,3,FALSE),"")</f>
        <v/>
      </c>
      <c r="BC367" s="3">
        <f>IFERROR(BB367/H367,"")</f>
        <v/>
      </c>
      <c r="BD367">
        <f>IF(AND($G367=TRUE,$E367="GKP"),AZ367,"")</f>
        <v/>
      </c>
      <c r="BE367">
        <f>IF(AND($G367=TRUE,$E367="DEF"),AZ367,"")</f>
        <v/>
      </c>
      <c r="BF367">
        <f>IF(AND($G367=TRUE,$E367="MID"),AZ367,"")</f>
        <v/>
      </c>
      <c r="BG367">
        <f>IF(AND($G367=TRUE,$E367="FWD"),AZ367,"")</f>
        <v/>
      </c>
      <c r="BH367" t="n">
        <v>2</v>
      </c>
      <c r="BI367" t="n">
        <v>2</v>
      </c>
      <c r="BJ367" t="n">
        <v>4</v>
      </c>
      <c r="BK367" t="n">
        <v>6</v>
      </c>
    </row>
    <row r="368">
      <c r="A368" t="inlineStr">
        <is>
          <t>Max Alleyne</t>
        </is>
      </c>
      <c r="B368" t="inlineStr">
        <is>
          <t>MCI</t>
        </is>
      </c>
      <c r="C368" t="inlineStr">
        <is>
          <t>MCI</t>
        </is>
      </c>
      <c r="D368" t="b">
        <v>0</v>
      </c>
      <c r="E368" t="inlineStr">
        <is>
          <t>DEF</t>
        </is>
      </c>
      <c r="F368" t="inlineStr">
        <is>
          <t>DEF</t>
        </is>
      </c>
      <c r="G368" t="b">
        <v>1</v>
      </c>
      <c r="H368" s="2" t="n">
        <v>5</v>
      </c>
      <c r="I368" t="inlineStr">
        <is>
          <t>a</t>
        </is>
      </c>
      <c r="K368" s="2" t="n">
        <v>135</v>
      </c>
      <c r="L368" t="n">
        <v>5</v>
      </c>
      <c r="M368" s="3" t="n">
        <v>0</v>
      </c>
      <c r="N368" s="8" t="n">
        <v>0</v>
      </c>
      <c r="O368" s="8" t="n">
        <v>0</v>
      </c>
      <c r="Q368" t="inlineStr">
        <is>
          <t>flat</t>
        </is>
      </c>
      <c r="R368" s="6" t="n">
        <v>0</v>
      </c>
      <c r="S368" t="inlineStr">
        <is>
          <t>Solio</t>
        </is>
      </c>
      <c r="U368" s="6" t="n">
        <v>82.5</v>
      </c>
      <c r="V368" s="2" t="n">
        <v>2</v>
      </c>
      <c r="W368" s="7">
        <f>IF(N(U368)&lt;=0,0,MIN(Assumptions!$B$15,N(R368)/N(U368)))</f>
        <v/>
      </c>
      <c r="X368" s="6" t="n">
        <v>0.371</v>
      </c>
      <c r="Y368" s="3" t="n">
        <v>0.174</v>
      </c>
      <c r="Z368" t="inlineStr">
        <is>
          <t>adjusted xGOT</t>
        </is>
      </c>
      <c r="AA368" s="3" t="n">
        <v>1</v>
      </c>
      <c r="AB368" s="3" t="n">
        <v>1.005</v>
      </c>
      <c r="AC368" s="3" t="n">
        <v>0.3</v>
      </c>
      <c r="AD368" s="3" t="n">
        <v>0.0307</v>
      </c>
      <c r="AE368" s="3" t="n">
        <v>7.629</v>
      </c>
      <c r="AF368" s="3" t="n">
        <v>0.1688202418076172</v>
      </c>
      <c r="AG368" s="3" t="n">
        <v>8.959</v>
      </c>
      <c r="AH368" s="3" t="n">
        <v>0.374344768</v>
      </c>
      <c r="AI368" s="3" t="n">
        <v>3</v>
      </c>
      <c r="AJ368" s="3" t="n">
        <v>1.9737</v>
      </c>
      <c r="AK368" s="3" t="n">
        <v>1.0365</v>
      </c>
      <c r="AL368" s="3" t="n">
        <v>-0.1888091913528987</v>
      </c>
      <c r="AM368" s="6" t="n">
        <v>0</v>
      </c>
      <c r="AN368" s="3" t="n">
        <v>0</v>
      </c>
      <c r="AO368" s="3" t="n">
        <v>1.044</v>
      </c>
      <c r="AP368" s="3" t="n">
        <v>0.121572</v>
      </c>
      <c r="AQ368" s="3">
        <f>N(X368)*N(BJ368)</f>
        <v/>
      </c>
      <c r="AR368" s="3" t="n">
        <v>0</v>
      </c>
      <c r="AS368" s="3" t="n">
        <v>-0.2997019479071323</v>
      </c>
      <c r="AT368" s="3" t="n">
        <v>-0.1888091913528987</v>
      </c>
      <c r="AU368" s="3">
        <f>SUM(AO368:AT368)</f>
        <v/>
      </c>
      <c r="AV368" s="7">
        <f>IF(OR(N(W368)&lt;=0,N(BH368)=0),0,N(W368)*IF(N(R368)/N(W368)&gt;=60,N(BH368),1))</f>
        <v/>
      </c>
      <c r="AW368" s="7">
        <f>N(W368)*N(AF368)*N(BI368)</f>
        <v/>
      </c>
      <c r="AX368" s="3">
        <f>IF(N(BH368)=0,0,N(W368)*N(AH368))</f>
        <v/>
      </c>
      <c r="AY368" s="7">
        <f>N(AM368)*(Assumptions!$B$13*N(BK368)-(1-Assumptions!$B$13)*Assumptions!$B$14)+N(AN368)</f>
        <v/>
      </c>
      <c r="AZ368" s="7">
        <f>N(AU368)*N(R368)/90+N(AV368)+N(AW368)+N(AX368)+N(AY368)</f>
        <v/>
      </c>
      <c r="BA368" s="3">
        <f>IF(N(R368)&lt;=0,0,(N(AZ368)-N(AY368))*90/N(R368))</f>
        <v/>
      </c>
      <c r="BB368" s="7">
        <f>IFERROR(AZ368-VLOOKUP($E368,Assumptions!$A$40:$C$43,3,FALSE),"")</f>
        <v/>
      </c>
      <c r="BC368" s="3">
        <f>IFERROR(BB368/H368,"")</f>
        <v/>
      </c>
      <c r="BD368">
        <f>IF(AND($G368=TRUE,$E368="GKP"),AZ368,"")</f>
        <v/>
      </c>
      <c r="BE368">
        <f>IF(AND($G368=TRUE,$E368="DEF"),AZ368,"")</f>
        <v/>
      </c>
      <c r="BF368">
        <f>IF(AND($G368=TRUE,$E368="MID"),AZ368,"")</f>
        <v/>
      </c>
      <c r="BG368">
        <f>IF(AND($G368=TRUE,$E368="FWD"),AZ368,"")</f>
        <v/>
      </c>
      <c r="BH368" t="n">
        <v>2</v>
      </c>
      <c r="BI368" t="n">
        <v>2</v>
      </c>
      <c r="BJ368" t="n">
        <v>4</v>
      </c>
      <c r="BK368" t="n">
        <v>6</v>
      </c>
    </row>
    <row r="369">
      <c r="A369" s="9" t="inlineStr">
        <is>
          <t>Harvey Elliott</t>
        </is>
      </c>
      <c r="B369" t="inlineStr">
        <is>
          <t>LIV</t>
        </is>
      </c>
      <c r="C369" s="9" t="inlineStr">
        <is>
          <t>AVL</t>
        </is>
      </c>
      <c r="D369" t="b">
        <v>1</v>
      </c>
      <c r="E369" t="inlineStr">
        <is>
          <t>MID</t>
        </is>
      </c>
      <c r="F369" t="inlineStr">
        <is>
          <t>MID</t>
        </is>
      </c>
      <c r="G369" t="b">
        <v>1</v>
      </c>
      <c r="H369" s="2" t="n">
        <v>5.5</v>
      </c>
      <c r="I369" t="inlineStr">
        <is>
          <t>a</t>
        </is>
      </c>
      <c r="K369" s="2" t="n">
        <v>110</v>
      </c>
      <c r="L369" t="n">
        <v>5</v>
      </c>
      <c r="M369" s="3" t="n">
        <v>103</v>
      </c>
      <c r="N369" s="8" t="n">
        <v>103</v>
      </c>
      <c r="O369" s="8" t="n">
        <v>0</v>
      </c>
      <c r="Q369" t="inlineStr">
        <is>
          <t>flat</t>
        </is>
      </c>
      <c r="R369" s="6" t="n">
        <v>103</v>
      </c>
      <c r="S369" t="inlineStr">
        <is>
          <t>Solio</t>
        </is>
      </c>
      <c r="U369" s="6" t="n">
        <v>76.90000000000001</v>
      </c>
      <c r="V369" s="2" t="n">
        <v>1</v>
      </c>
      <c r="W369" s="7">
        <f>IF(N(U369)&lt;=0,0,MIN(Assumptions!$B$15,N(R369)/N(U369)))</f>
        <v/>
      </c>
      <c r="X369" s="6" t="n">
        <v>0.342</v>
      </c>
      <c r="Y369" s="10" t="n">
        <v>0.2324</v>
      </c>
      <c r="Z369" t="inlineStr">
        <is>
          <t>adjusted xGOT</t>
        </is>
      </c>
      <c r="AA369" s="3" t="n">
        <v>1</v>
      </c>
      <c r="AB369" s="3" t="n">
        <v>0.979</v>
      </c>
      <c r="AC369" s="3" t="n">
        <v>6.9</v>
      </c>
      <c r="AD369" s="10" t="n">
        <v>0.0711</v>
      </c>
      <c r="AE369" s="3" t="n">
        <v>8.090999999999999</v>
      </c>
      <c r="AF369" s="3" t="n">
        <v>0.04953021069003405</v>
      </c>
      <c r="AG369" s="3" t="n">
        <v>6.65</v>
      </c>
      <c r="AH369" s="3" t="n">
        <v>0.3068477616</v>
      </c>
      <c r="AI369" s="3" t="n">
        <v>5</v>
      </c>
      <c r="AJ369" s="3" t="n">
        <v>2.409</v>
      </c>
      <c r="AK369" s="3" t="n">
        <v>1.1228</v>
      </c>
      <c r="AL369" s="3" t="n">
        <v>-0.1964678019663589</v>
      </c>
      <c r="AM369" s="6" t="n">
        <v>0</v>
      </c>
      <c r="AN369" s="3" t="n">
        <v>0</v>
      </c>
      <c r="AO369" s="10" t="n">
        <v>1.162</v>
      </c>
      <c r="AP369" s="10" t="n">
        <v>0.281556</v>
      </c>
      <c r="AQ369" s="3">
        <f>N(X369)*N(BJ369)</f>
        <v/>
      </c>
      <c r="AR369" s="3" t="n">
        <v>0</v>
      </c>
      <c r="AS369" s="3" t="n">
        <v>-0</v>
      </c>
      <c r="AT369" s="3" t="n">
        <v>-0.1964678019663589</v>
      </c>
      <c r="AU369" s="3">
        <f>SUM(AO369:AT369)</f>
        <v/>
      </c>
      <c r="AV369" s="7">
        <f>IF(OR(N(W369)&lt;=0,N(BH369)=0),0,N(W369)*IF(N(R369)/N(W369)&gt;=60,N(BH369),1))</f>
        <v/>
      </c>
      <c r="AW369" s="7">
        <f>N(W369)*N(AF369)*N(BI369)</f>
        <v/>
      </c>
      <c r="AX369" s="3">
        <f>IF(N(BH369)=0,0,N(W369)*N(AH369))</f>
        <v/>
      </c>
      <c r="AY369" s="7">
        <f>N(AM369)*(Assumptions!$B$13*N(BK369)-(1-Assumptions!$B$13)*Assumptions!$B$14)+N(AN369)</f>
        <v/>
      </c>
      <c r="AZ369" s="7">
        <f>N(AU369)*N(R369)/90+N(AV369)+N(AW369)+N(AX369)+N(AY369)</f>
        <v/>
      </c>
      <c r="BA369" s="3">
        <f>IF(N(R369)&lt;=0,0,(N(AZ369)-N(AY369))*90/N(R369))</f>
        <v/>
      </c>
      <c r="BB369" s="7">
        <f>IFERROR(AZ369-VLOOKUP($E369,Assumptions!$A$40:$C$43,3,FALSE),"")</f>
        <v/>
      </c>
      <c r="BC369" s="3">
        <f>IFERROR(BB369/H369,"")</f>
        <v/>
      </c>
      <c r="BD369">
        <f>IF(AND($G369=TRUE,$E369="GKP"),AZ369,"")</f>
        <v/>
      </c>
      <c r="BE369">
        <f>IF(AND($G369=TRUE,$E369="DEF"),AZ369,"")</f>
        <v/>
      </c>
      <c r="BF369">
        <f>IF(AND($G369=TRUE,$E369="MID"),AZ369,"")</f>
        <v/>
      </c>
      <c r="BG369">
        <f>IF(AND($G369=TRUE,$E369="FWD"),AZ369,"")</f>
        <v/>
      </c>
      <c r="BH369" t="n">
        <v>2</v>
      </c>
      <c r="BI369" t="n">
        <v>2</v>
      </c>
      <c r="BJ369" t="n">
        <v>1</v>
      </c>
      <c r="BK369" t="n">
        <v>5</v>
      </c>
    </row>
    <row r="370">
      <c r="A370" t="inlineStr">
        <is>
          <t>Tom Watson</t>
        </is>
      </c>
      <c r="B370" t="inlineStr">
        <is>
          <t>BHA</t>
        </is>
      </c>
      <c r="C370" t="inlineStr">
        <is>
          <t>BHA</t>
        </is>
      </c>
      <c r="D370" t="b">
        <v>0</v>
      </c>
      <c r="E370" t="inlineStr">
        <is>
          <t>MID</t>
        </is>
      </c>
      <c r="F370" t="inlineStr">
        <is>
          <t>MID</t>
        </is>
      </c>
      <c r="G370" t="b">
        <v>1</v>
      </c>
      <c r="H370" s="2" t="n">
        <v>5</v>
      </c>
      <c r="I370" t="inlineStr">
        <is>
          <t>u</t>
        </is>
      </c>
      <c r="J370" t="inlineStr">
        <is>
          <t>Has joined Leicester City on loan for the rest of the season</t>
        </is>
      </c>
      <c r="K370" s="2" t="n">
        <v>57</v>
      </c>
      <c r="L370" t="n">
        <v>5</v>
      </c>
      <c r="M370" s="3" t="n"/>
      <c r="N370" s="4" t="n">
        <v>0</v>
      </c>
      <c r="O370" s="4" t="n">
        <v>-57</v>
      </c>
      <c r="P370" s="5" t="inlineStr">
        <is>
          <t>high</t>
        </is>
      </c>
      <c r="R370" s="6" t="n">
        <v>0</v>
      </c>
      <c r="S370" t="inlineStr">
        <is>
          <t>research</t>
        </is>
      </c>
      <c r="T370" s="5" t="inlineStr">
        <is>
          <t>Joined Leicester City on loan for the rest of the season on 1 Aug 2026 (FPL status 'u', news added 2026-08-03). Leicester are not in the Premier League, so no Premier League minutes are possible.</t>
        </is>
      </c>
      <c r="U370" s="6" t="n">
        <v>80.09999999999999</v>
      </c>
      <c r="V370" s="2" t="n">
        <v>0</v>
      </c>
      <c r="W370" s="7">
        <f>IF(N(U370)&lt;=0,0,MIN(Assumptions!$B$15,N(R370)/N(U370)))</f>
        <v/>
      </c>
      <c r="X370" s="6" t="n">
        <v>0.252</v>
      </c>
      <c r="Y370" s="3" t="n">
        <v>0.06469999999999999</v>
      </c>
      <c r="Z370" t="inlineStr">
        <is>
          <t>adjusted xGOT</t>
        </is>
      </c>
      <c r="AA370" s="3" t="n">
        <v>1</v>
      </c>
      <c r="AB370" s="3" t="n">
        <v>1.02</v>
      </c>
      <c r="AC370" s="3" t="n">
        <v>0</v>
      </c>
      <c r="AD370" s="3" t="n">
        <v>0.0237</v>
      </c>
      <c r="AE370" s="3" t="n">
        <v>8.526999999999999</v>
      </c>
      <c r="AF370" s="3" t="n">
        <v>0.08455977540337023</v>
      </c>
      <c r="AG370" s="3" t="n">
        <v>6.94</v>
      </c>
      <c r="AH370" s="3" t="n">
        <v>0.1061202384</v>
      </c>
      <c r="AI370" s="3" t="n">
        <v>6</v>
      </c>
      <c r="AJ370" s="3" t="n">
        <v>2.8404</v>
      </c>
      <c r="AK370" s="3" t="n">
        <v>1.439</v>
      </c>
      <c r="AL370" s="3" t="n">
        <v>-0.2685709411675041</v>
      </c>
      <c r="AM370" s="6" t="n">
        <v>0</v>
      </c>
      <c r="AN370" s="3" t="n">
        <v>0</v>
      </c>
      <c r="AO370" s="3" t="n">
        <v>0.3235</v>
      </c>
      <c r="AP370" s="3" t="n">
        <v>0.093852</v>
      </c>
      <c r="AQ370" s="3">
        <f>N(X370)*N(BJ370)</f>
        <v/>
      </c>
      <c r="AR370" s="3" t="n">
        <v>0</v>
      </c>
      <c r="AS370" s="3" t="n">
        <v>-0</v>
      </c>
      <c r="AT370" s="3" t="n">
        <v>-0.2685709411675041</v>
      </c>
      <c r="AU370" s="3">
        <f>SUM(AO370:AT370)</f>
        <v/>
      </c>
      <c r="AV370" s="7">
        <f>IF(OR(N(W370)&lt;=0,N(BH370)=0),0,N(W370)*IF(N(R370)/N(W370)&gt;=60,N(BH370),1))</f>
        <v/>
      </c>
      <c r="AW370" s="7">
        <f>N(W370)*N(AF370)*N(BI370)</f>
        <v/>
      </c>
      <c r="AX370" s="3">
        <f>IF(N(BH370)=0,0,N(W370)*N(AH370))</f>
        <v/>
      </c>
      <c r="AY370" s="7">
        <f>N(AM370)*(Assumptions!$B$13*N(BK370)-(1-Assumptions!$B$13)*Assumptions!$B$14)+N(AN370)</f>
        <v/>
      </c>
      <c r="AZ370" s="7">
        <f>N(AU370)*N(R370)/90+N(AV370)+N(AW370)+N(AX370)+N(AY370)</f>
        <v/>
      </c>
      <c r="BA370" s="3">
        <f>IF(N(R370)&lt;=0,0,(N(AZ370)-N(AY370))*90/N(R370))</f>
        <v/>
      </c>
      <c r="BB370" s="7">
        <f>IFERROR(AZ370-VLOOKUP($E370,Assumptions!$A$40:$C$43,3,FALSE),"")</f>
        <v/>
      </c>
      <c r="BC370" s="3">
        <f>IFERROR(BB370/H370,"")</f>
        <v/>
      </c>
      <c r="BD370">
        <f>IF(AND($G370=TRUE,$E370="GKP"),AZ370,"")</f>
        <v/>
      </c>
      <c r="BE370">
        <f>IF(AND($G370=TRUE,$E370="DEF"),AZ370,"")</f>
        <v/>
      </c>
      <c r="BF370">
        <f>IF(AND($G370=TRUE,$E370="MID"),AZ370,"")</f>
        <v/>
      </c>
      <c r="BG370">
        <f>IF(AND($G370=TRUE,$E370="FWD"),AZ370,"")</f>
        <v/>
      </c>
      <c r="BH370" t="n">
        <v>2</v>
      </c>
      <c r="BI370" t="n">
        <v>2</v>
      </c>
      <c r="BJ370" t="n">
        <v>1</v>
      </c>
      <c r="BK370" t="n">
        <v>5</v>
      </c>
    </row>
    <row r="371">
      <c r="A371" t="inlineStr">
        <is>
          <t>Harry Howell</t>
        </is>
      </c>
      <c r="B371" t="inlineStr">
        <is>
          <t>BHA</t>
        </is>
      </c>
      <c r="C371" t="inlineStr">
        <is>
          <t>BHA</t>
        </is>
      </c>
      <c r="D371" t="b">
        <v>0</v>
      </c>
      <c r="E371" t="inlineStr">
        <is>
          <t>MID</t>
        </is>
      </c>
      <c r="F371" t="inlineStr">
        <is>
          <t>MID</t>
        </is>
      </c>
      <c r="G371" t="b">
        <v>1</v>
      </c>
      <c r="H371" s="2" t="n">
        <v>4.5</v>
      </c>
      <c r="I371" t="inlineStr">
        <is>
          <t>a</t>
        </is>
      </c>
      <c r="K371" s="2" t="n">
        <v>92</v>
      </c>
      <c r="L371" t="n">
        <v>4</v>
      </c>
      <c r="M371" s="3" t="n">
        <v>0</v>
      </c>
      <c r="N371" s="8" t="n">
        <v>0</v>
      </c>
      <c r="O371" s="8" t="n">
        <v>0</v>
      </c>
      <c r="Q371" t="inlineStr">
        <is>
          <t>flat</t>
        </is>
      </c>
      <c r="R371" s="6" t="n">
        <v>0</v>
      </c>
      <c r="S371" t="inlineStr">
        <is>
          <t>Solio</t>
        </is>
      </c>
      <c r="U371" s="6" t="n">
        <v>79.2</v>
      </c>
      <c r="V371" s="2" t="n">
        <v>1</v>
      </c>
      <c r="W371" s="7">
        <f>IF(N(U371)&lt;=0,0,MIN(Assumptions!$B$15,N(R371)/N(U371)))</f>
        <v/>
      </c>
      <c r="X371" s="6" t="n">
        <v>0.252</v>
      </c>
      <c r="Y371" s="3" t="n">
        <v>0</v>
      </c>
      <c r="Z371" t="inlineStr">
        <is>
          <t>blended xG</t>
        </is>
      </c>
      <c r="AA371" s="3" t="n">
        <v>1</v>
      </c>
      <c r="AB371" s="3" t="n">
        <v>1</v>
      </c>
      <c r="AC371" s="3" t="n">
        <v>0</v>
      </c>
      <c r="AD371" s="3" t="n">
        <v>0.0147</v>
      </c>
      <c r="AE371" s="3" t="n">
        <v>8.381</v>
      </c>
      <c r="AF371" s="3" t="n">
        <v>0.07215451784412352</v>
      </c>
      <c r="AG371" s="3" t="n">
        <v>6.297</v>
      </c>
      <c r="AH371" s="3" t="n">
        <v>0.0145195924</v>
      </c>
      <c r="AI371" s="3" t="n">
        <v>4</v>
      </c>
      <c r="AJ371" s="3" t="n">
        <v>2.8404</v>
      </c>
      <c r="AK371" s="3" t="n">
        <v>1.439</v>
      </c>
      <c r="AL371" s="3" t="n">
        <v>-0.2036290694789447</v>
      </c>
      <c r="AM371" s="6" t="n">
        <v>0</v>
      </c>
      <c r="AN371" s="3" t="n">
        <v>0</v>
      </c>
      <c r="AO371" s="3" t="n">
        <v>0</v>
      </c>
      <c r="AP371" s="3" t="n">
        <v>0.058212</v>
      </c>
      <c r="AQ371" s="3">
        <f>N(X371)*N(BJ371)</f>
        <v/>
      </c>
      <c r="AR371" s="3" t="n">
        <v>0</v>
      </c>
      <c r="AS371" s="3" t="n">
        <v>-0</v>
      </c>
      <c r="AT371" s="3" t="n">
        <v>-0.2036290694789447</v>
      </c>
      <c r="AU371" s="3">
        <f>SUM(AO371:AT371)</f>
        <v/>
      </c>
      <c r="AV371" s="7">
        <f>IF(OR(N(W371)&lt;=0,N(BH371)=0),0,N(W371)*IF(N(R371)/N(W371)&gt;=60,N(BH371),1))</f>
        <v/>
      </c>
      <c r="AW371" s="7">
        <f>N(W371)*N(AF371)*N(BI371)</f>
        <v/>
      </c>
      <c r="AX371" s="3">
        <f>IF(N(BH371)=0,0,N(W371)*N(AH371))</f>
        <v/>
      </c>
      <c r="AY371" s="7">
        <f>N(AM371)*(Assumptions!$B$13*N(BK371)-(1-Assumptions!$B$13)*Assumptions!$B$14)+N(AN371)</f>
        <v/>
      </c>
      <c r="AZ371" s="7">
        <f>N(AU371)*N(R371)/90+N(AV371)+N(AW371)+N(AX371)+N(AY371)</f>
        <v/>
      </c>
      <c r="BA371" s="3">
        <f>IF(N(R371)&lt;=0,0,(N(AZ371)-N(AY371))*90/N(R371))</f>
        <v/>
      </c>
      <c r="BB371" s="7">
        <f>IFERROR(AZ371-VLOOKUP($E371,Assumptions!$A$40:$C$43,3,FALSE),"")</f>
        <v/>
      </c>
      <c r="BC371" s="3">
        <f>IFERROR(BB371/H371,"")</f>
        <v/>
      </c>
      <c r="BD371">
        <f>IF(AND($G371=TRUE,$E371="GKP"),AZ371,"")</f>
        <v/>
      </c>
      <c r="BE371">
        <f>IF(AND($G371=TRUE,$E371="DEF"),AZ371,"")</f>
        <v/>
      </c>
      <c r="BF371">
        <f>IF(AND($G371=TRUE,$E371="MID"),AZ371,"")</f>
        <v/>
      </c>
      <c r="BG371">
        <f>IF(AND($G371=TRUE,$E371="FWD"),AZ371,"")</f>
        <v/>
      </c>
      <c r="BH371" t="n">
        <v>2</v>
      </c>
      <c r="BI371" t="n">
        <v>2</v>
      </c>
      <c r="BJ371" t="n">
        <v>1</v>
      </c>
      <c r="BK371" t="n">
        <v>5</v>
      </c>
    </row>
    <row r="372">
      <c r="A372" t="inlineStr">
        <is>
          <t>Romain Esse</t>
        </is>
      </c>
      <c r="B372" t="inlineStr">
        <is>
          <t>CRY</t>
        </is>
      </c>
      <c r="C372" t="inlineStr">
        <is>
          <t>CRY</t>
        </is>
      </c>
      <c r="D372" t="b">
        <v>0</v>
      </c>
      <c r="E372" t="inlineStr">
        <is>
          <t>MID</t>
        </is>
      </c>
      <c r="F372" t="inlineStr">
        <is>
          <t>MID</t>
        </is>
      </c>
      <c r="G372" t="b">
        <v>1</v>
      </c>
      <c r="H372" s="2" t="n">
        <v>5</v>
      </c>
      <c r="I372" t="inlineStr">
        <is>
          <t>a</t>
        </is>
      </c>
      <c r="K372" s="2" t="n">
        <v>40</v>
      </c>
      <c r="L372" t="n">
        <v>4</v>
      </c>
      <c r="M372" s="3" t="n">
        <v>0</v>
      </c>
      <c r="N372" s="8" t="n">
        <v>0</v>
      </c>
      <c r="O372" s="8" t="n">
        <v>0</v>
      </c>
      <c r="Q372" t="inlineStr">
        <is>
          <t>flat</t>
        </is>
      </c>
      <c r="R372" s="6" t="n">
        <v>0</v>
      </c>
      <c r="S372" t="inlineStr">
        <is>
          <t>Solio</t>
        </is>
      </c>
      <c r="U372" s="6" t="n">
        <v>80.09999999999999</v>
      </c>
      <c r="V372" s="2" t="n">
        <v>0</v>
      </c>
      <c r="W372" s="7">
        <f>IF(N(U372)&lt;=0,0,MIN(Assumptions!$B$15,N(R372)/N(U372)))</f>
        <v/>
      </c>
      <c r="X372" s="6" t="n">
        <v>0.216</v>
      </c>
      <c r="Y372" s="3" t="n">
        <v>0</v>
      </c>
      <c r="Z372" t="inlineStr">
        <is>
          <t>adjusted xGOT</t>
        </is>
      </c>
      <c r="AA372" s="3" t="n">
        <v>1</v>
      </c>
      <c r="AB372" s="3" t="n">
        <v>1.082</v>
      </c>
      <c r="AC372" s="3" t="n">
        <v>0.3</v>
      </c>
      <c r="AD372" s="3" t="n">
        <v>0.045</v>
      </c>
      <c r="AE372" s="3" t="n">
        <v>8.718</v>
      </c>
      <c r="AF372" s="3" t="n">
        <v>0.09531790573670784</v>
      </c>
      <c r="AG372" s="3" t="n">
        <v>6.895</v>
      </c>
      <c r="AH372" s="3" t="n">
        <v>0.0338768385</v>
      </c>
      <c r="AI372" s="3" t="n">
        <v>4</v>
      </c>
      <c r="AJ372" s="3" t="n">
        <v>3.2035</v>
      </c>
      <c r="AK372" s="3" t="n">
        <v>1.5923</v>
      </c>
      <c r="AL372" s="3" t="n">
        <v>-0.2003744967086109</v>
      </c>
      <c r="AM372" s="6" t="n">
        <v>0</v>
      </c>
      <c r="AN372" s="3" t="n">
        <v>0</v>
      </c>
      <c r="AO372" s="3" t="n">
        <v>0</v>
      </c>
      <c r="AP372" s="3" t="n">
        <v>0.1782</v>
      </c>
      <c r="AQ372" s="3">
        <f>N(X372)*N(BJ372)</f>
        <v/>
      </c>
      <c r="AR372" s="3" t="n">
        <v>0</v>
      </c>
      <c r="AS372" s="3" t="n">
        <v>-0</v>
      </c>
      <c r="AT372" s="3" t="n">
        <v>-0.2003744967086109</v>
      </c>
      <c r="AU372" s="3">
        <f>SUM(AO372:AT372)</f>
        <v/>
      </c>
      <c r="AV372" s="7">
        <f>IF(OR(N(W372)&lt;=0,N(BH372)=0),0,N(W372)*IF(N(R372)/N(W372)&gt;=60,N(BH372),1))</f>
        <v/>
      </c>
      <c r="AW372" s="7">
        <f>N(W372)*N(AF372)*N(BI372)</f>
        <v/>
      </c>
      <c r="AX372" s="3">
        <f>IF(N(BH372)=0,0,N(W372)*N(AH372))</f>
        <v/>
      </c>
      <c r="AY372" s="7">
        <f>N(AM372)*(Assumptions!$B$13*N(BK372)-(1-Assumptions!$B$13)*Assumptions!$B$14)+N(AN372)</f>
        <v/>
      </c>
      <c r="AZ372" s="7">
        <f>N(AU372)*N(R372)/90+N(AV372)+N(AW372)+N(AX372)+N(AY372)</f>
        <v/>
      </c>
      <c r="BA372" s="3">
        <f>IF(N(R372)&lt;=0,0,(N(AZ372)-N(AY372))*90/N(R372))</f>
        <v/>
      </c>
      <c r="BB372" s="7">
        <f>IFERROR(AZ372-VLOOKUP($E372,Assumptions!$A$40:$C$43,3,FALSE),"")</f>
        <v/>
      </c>
      <c r="BC372" s="3">
        <f>IFERROR(BB372/H372,"")</f>
        <v/>
      </c>
      <c r="BD372">
        <f>IF(AND($G372=TRUE,$E372="GKP"),AZ372,"")</f>
        <v/>
      </c>
      <c r="BE372">
        <f>IF(AND($G372=TRUE,$E372="DEF"),AZ372,"")</f>
        <v/>
      </c>
      <c r="BF372">
        <f>IF(AND($G372=TRUE,$E372="MID"),AZ372,"")</f>
        <v/>
      </c>
      <c r="BG372">
        <f>IF(AND($G372=TRUE,$E372="FWD"),AZ372,"")</f>
        <v/>
      </c>
      <c r="BH372" t="n">
        <v>2</v>
      </c>
      <c r="BI372" t="n">
        <v>2</v>
      </c>
      <c r="BJ372" t="n">
        <v>1</v>
      </c>
      <c r="BK372" t="n">
        <v>5</v>
      </c>
    </row>
    <row r="373">
      <c r="A373" t="inlineStr">
        <is>
          <t>Alysson Edward</t>
        </is>
      </c>
      <c r="B373" t="inlineStr">
        <is>
          <t>AVL</t>
        </is>
      </c>
      <c r="C373" t="inlineStr">
        <is>
          <t>AVL</t>
        </is>
      </c>
      <c r="D373" t="b">
        <v>0</v>
      </c>
      <c r="E373" t="inlineStr">
        <is>
          <t>MID</t>
        </is>
      </c>
      <c r="F373" t="inlineStr">
        <is>
          <t>MID</t>
        </is>
      </c>
      <c r="G373" t="b">
        <v>1</v>
      </c>
      <c r="H373" s="2" t="n">
        <v>5</v>
      </c>
      <c r="I373" t="inlineStr">
        <is>
          <t>a</t>
        </is>
      </c>
      <c r="K373" s="2" t="n">
        <v>47</v>
      </c>
      <c r="L373" t="n">
        <v>3</v>
      </c>
      <c r="M373" s="3" t="n">
        <v>116</v>
      </c>
      <c r="N373" s="8" t="n">
        <v>116</v>
      </c>
      <c r="O373" s="8" t="n">
        <v>0</v>
      </c>
      <c r="Q373" t="inlineStr">
        <is>
          <t>flat</t>
        </is>
      </c>
      <c r="R373" s="6" t="n">
        <v>116</v>
      </c>
      <c r="S373" t="inlineStr">
        <is>
          <t>Solio</t>
        </is>
      </c>
      <c r="U373" s="6" t="n">
        <v>80.09999999999999</v>
      </c>
      <c r="V373" s="2" t="n">
        <v>0</v>
      </c>
      <c r="W373" s="7">
        <f>IF(N(U373)&lt;=0,0,MIN(Assumptions!$B$15,N(R373)/N(U373)))</f>
        <v/>
      </c>
      <c r="X373" s="6" t="n">
        <v>0.273</v>
      </c>
      <c r="Y373" s="3" t="n">
        <v>0.09569999999999999</v>
      </c>
      <c r="Z373" t="inlineStr">
        <is>
          <t>adjusted xGOT</t>
        </is>
      </c>
      <c r="AA373" s="3" t="n">
        <v>1</v>
      </c>
      <c r="AB373" s="3" t="n">
        <v>0.994</v>
      </c>
      <c r="AC373" s="3" t="n">
        <v>0</v>
      </c>
      <c r="AD373" s="3" t="n">
        <v>0.0479</v>
      </c>
      <c r="AE373" s="3" t="n">
        <v>8.521000000000001</v>
      </c>
      <c r="AF373" s="3" t="n">
        <v>0.08423465877406877</v>
      </c>
      <c r="AG373" s="3" t="n">
        <v>6.976</v>
      </c>
      <c r="AH373" s="3" t="n">
        <v>0.154838685</v>
      </c>
      <c r="AI373" s="3" t="n">
        <v>3</v>
      </c>
      <c r="AJ373" s="3" t="n">
        <v>2.7451</v>
      </c>
      <c r="AK373" s="3" t="n">
        <v>1.3575</v>
      </c>
      <c r="AL373" s="3" t="n">
        <v>-0.2097406534868716</v>
      </c>
      <c r="AM373" s="6" t="n">
        <v>0</v>
      </c>
      <c r="AN373" s="3" t="n">
        <v>0</v>
      </c>
      <c r="AO373" s="3" t="n">
        <v>0.4785</v>
      </c>
      <c r="AP373" s="3" t="n">
        <v>0.189684</v>
      </c>
      <c r="AQ373" s="3">
        <f>N(X373)*N(BJ373)</f>
        <v/>
      </c>
      <c r="AR373" s="3" t="n">
        <v>0</v>
      </c>
      <c r="AS373" s="3" t="n">
        <v>-0</v>
      </c>
      <c r="AT373" s="3" t="n">
        <v>-0.2097406534868716</v>
      </c>
      <c r="AU373" s="3">
        <f>SUM(AO373:AT373)</f>
        <v/>
      </c>
      <c r="AV373" s="7">
        <f>IF(OR(N(W373)&lt;=0,N(BH373)=0),0,N(W373)*IF(N(R373)/N(W373)&gt;=60,N(BH373),1))</f>
        <v/>
      </c>
      <c r="AW373" s="7">
        <f>N(W373)*N(AF373)*N(BI373)</f>
        <v/>
      </c>
      <c r="AX373" s="3">
        <f>IF(N(BH373)=0,0,N(W373)*N(AH373))</f>
        <v/>
      </c>
      <c r="AY373" s="7">
        <f>N(AM373)*(Assumptions!$B$13*N(BK373)-(1-Assumptions!$B$13)*Assumptions!$B$14)+N(AN373)</f>
        <v/>
      </c>
      <c r="AZ373" s="7">
        <f>N(AU373)*N(R373)/90+N(AV373)+N(AW373)+N(AX373)+N(AY373)</f>
        <v/>
      </c>
      <c r="BA373" s="3">
        <f>IF(N(R373)&lt;=0,0,(N(AZ373)-N(AY373))*90/N(R373))</f>
        <v/>
      </c>
      <c r="BB373" s="7">
        <f>IFERROR(AZ373-VLOOKUP($E373,Assumptions!$A$40:$C$43,3,FALSE),"")</f>
        <v/>
      </c>
      <c r="BC373" s="3">
        <f>IFERROR(BB373/H373,"")</f>
        <v/>
      </c>
      <c r="BD373">
        <f>IF(AND($G373=TRUE,$E373="GKP"),AZ373,"")</f>
        <v/>
      </c>
      <c r="BE373">
        <f>IF(AND($G373=TRUE,$E373="DEF"),AZ373,"")</f>
        <v/>
      </c>
      <c r="BF373">
        <f>IF(AND($G373=TRUE,$E373="MID"),AZ373,"")</f>
        <v/>
      </c>
      <c r="BG373">
        <f>IF(AND($G373=TRUE,$E373="FWD"),AZ373,"")</f>
        <v/>
      </c>
      <c r="BH373" t="n">
        <v>2</v>
      </c>
      <c r="BI373" t="n">
        <v>2</v>
      </c>
      <c r="BJ373" t="n">
        <v>1</v>
      </c>
      <c r="BK373" t="n">
        <v>5</v>
      </c>
    </row>
    <row r="374">
      <c r="A374" t="inlineStr">
        <is>
          <t>Souza</t>
        </is>
      </c>
      <c r="B374" t="inlineStr">
        <is>
          <t>TOT</t>
        </is>
      </c>
      <c r="C374" t="inlineStr">
        <is>
          <t>TOT</t>
        </is>
      </c>
      <c r="D374" t="b">
        <v>0</v>
      </c>
      <c r="E374" t="inlineStr">
        <is>
          <t>DEF</t>
        </is>
      </c>
      <c r="F374" t="inlineStr">
        <is>
          <t>DEF</t>
        </is>
      </c>
      <c r="G374" t="b">
        <v>1</v>
      </c>
      <c r="H374" s="2" t="n">
        <v>4</v>
      </c>
      <c r="I374" t="inlineStr">
        <is>
          <t>a</t>
        </is>
      </c>
      <c r="K374" s="2" t="n">
        <v>142</v>
      </c>
      <c r="L374" t="n">
        <v>3</v>
      </c>
      <c r="M374" s="3" t="n">
        <v>112</v>
      </c>
      <c r="N374" s="8" t="n">
        <v>112</v>
      </c>
      <c r="O374" s="8" t="n">
        <v>0</v>
      </c>
      <c r="Q374" t="inlineStr">
        <is>
          <t>flat</t>
        </is>
      </c>
      <c r="R374" s="6" t="n">
        <v>112</v>
      </c>
      <c r="S374" t="inlineStr">
        <is>
          <t>Solio</t>
        </is>
      </c>
      <c r="U374" s="6" t="n">
        <v>79.3</v>
      </c>
      <c r="V374" s="2" t="n">
        <v>2</v>
      </c>
      <c r="W374" s="7">
        <f>IF(N(U374)&lt;=0,0,MIN(Assumptions!$B$15,N(R374)/N(U374)))</f>
        <v/>
      </c>
      <c r="X374" s="6" t="n">
        <v>0.286</v>
      </c>
      <c r="Y374" s="3" t="n">
        <v>0.0127</v>
      </c>
      <c r="Z374" t="inlineStr">
        <is>
          <t>adjusted xGOT</t>
        </is>
      </c>
      <c r="AA374" s="3" t="n">
        <v>1</v>
      </c>
      <c r="AB374" s="3" t="n">
        <v>1.022</v>
      </c>
      <c r="AC374" s="3" t="n">
        <v>0</v>
      </c>
      <c r="AD374" s="3" t="n">
        <v>0.0736</v>
      </c>
      <c r="AE374" s="3" t="n">
        <v>7.045</v>
      </c>
      <c r="AF374" s="3" t="n">
        <v>0.09894261372644819</v>
      </c>
      <c r="AG374" s="3" t="n">
        <v>7.36</v>
      </c>
      <c r="AH374" s="3" t="n">
        <v>0.1437147896</v>
      </c>
      <c r="AI374" s="3" t="n">
        <v>4</v>
      </c>
      <c r="AJ374" s="3" t="n">
        <v>2.5739</v>
      </c>
      <c r="AK374" s="3" t="n">
        <v>1.3096</v>
      </c>
      <c r="AL374" s="3" t="n">
        <v>-0.2449575661966502</v>
      </c>
      <c r="AM374" s="6" t="n">
        <v>0</v>
      </c>
      <c r="AN374" s="3" t="n">
        <v>0</v>
      </c>
      <c r="AO374" s="3" t="n">
        <v>0.07619999999999999</v>
      </c>
      <c r="AP374" s="3" t="n">
        <v>0.291456</v>
      </c>
      <c r="AQ374" s="3">
        <f>N(X374)*N(BJ374)</f>
        <v/>
      </c>
      <c r="AR374" s="3" t="n">
        <v>0</v>
      </c>
      <c r="AS374" s="3" t="n">
        <v>-0.4230152821052008</v>
      </c>
      <c r="AT374" s="3" t="n">
        <v>-0.2449575661966502</v>
      </c>
      <c r="AU374" s="3">
        <f>SUM(AO374:AT374)</f>
        <v/>
      </c>
      <c r="AV374" s="7">
        <f>IF(OR(N(W374)&lt;=0,N(BH374)=0),0,N(W374)*IF(N(R374)/N(W374)&gt;=60,N(BH374),1))</f>
        <v/>
      </c>
      <c r="AW374" s="7">
        <f>N(W374)*N(AF374)*N(BI374)</f>
        <v/>
      </c>
      <c r="AX374" s="3">
        <f>IF(N(BH374)=0,0,N(W374)*N(AH374))</f>
        <v/>
      </c>
      <c r="AY374" s="7">
        <f>N(AM374)*(Assumptions!$B$13*N(BK374)-(1-Assumptions!$B$13)*Assumptions!$B$14)+N(AN374)</f>
        <v/>
      </c>
      <c r="AZ374" s="7">
        <f>N(AU374)*N(R374)/90+N(AV374)+N(AW374)+N(AX374)+N(AY374)</f>
        <v/>
      </c>
      <c r="BA374" s="3">
        <f>IF(N(R374)&lt;=0,0,(N(AZ374)-N(AY374))*90/N(R374))</f>
        <v/>
      </c>
      <c r="BB374" s="7">
        <f>IFERROR(AZ374-VLOOKUP($E374,Assumptions!$A$40:$C$43,3,FALSE),"")</f>
        <v/>
      </c>
      <c r="BC374" s="3">
        <f>IFERROR(BB374/H374,"")</f>
        <v/>
      </c>
      <c r="BD374">
        <f>IF(AND($G374=TRUE,$E374="GKP"),AZ374,"")</f>
        <v/>
      </c>
      <c r="BE374">
        <f>IF(AND($G374=TRUE,$E374="DEF"),AZ374,"")</f>
        <v/>
      </c>
      <c r="BF374">
        <f>IF(AND($G374=TRUE,$E374="MID"),AZ374,"")</f>
        <v/>
      </c>
      <c r="BG374">
        <f>IF(AND($G374=TRUE,$E374="FWD"),AZ374,"")</f>
        <v/>
      </c>
      <c r="BH374" t="n">
        <v>2</v>
      </c>
      <c r="BI374" t="n">
        <v>2</v>
      </c>
      <c r="BJ374" t="n">
        <v>4</v>
      </c>
      <c r="BK374" t="n">
        <v>6</v>
      </c>
    </row>
    <row r="375">
      <c r="A375" s="9" t="inlineStr">
        <is>
          <t>Facundo Buonanotte</t>
        </is>
      </c>
      <c r="B375" t="inlineStr">
        <is>
          <t>BHA</t>
        </is>
      </c>
      <c r="C375" s="9" t="inlineStr">
        <is>
          <t>LEE</t>
        </is>
      </c>
      <c r="D375" t="b">
        <v>1</v>
      </c>
      <c r="E375" t="inlineStr">
        <is>
          <t>MID</t>
        </is>
      </c>
      <c r="F375" t="inlineStr">
        <is>
          <t>MID</t>
        </is>
      </c>
      <c r="G375" t="b">
        <v>1</v>
      </c>
      <c r="H375" s="2" t="n">
        <v>5</v>
      </c>
      <c r="I375" t="inlineStr">
        <is>
          <t>u</t>
        </is>
      </c>
      <c r="J375" t="inlineStr">
        <is>
          <t>Has joined Elche on loan for the rest of the season</t>
        </is>
      </c>
      <c r="K375" s="2" t="n">
        <v>81</v>
      </c>
      <c r="L375" t="n">
        <v>3</v>
      </c>
      <c r="M375" s="3" t="n"/>
      <c r="N375" s="4" t="n">
        <v>0</v>
      </c>
      <c r="O375" s="4" t="n">
        <v>-81</v>
      </c>
      <c r="P375" s="5" t="inlineStr">
        <is>
          <t>high</t>
        </is>
      </c>
      <c r="R375" s="6" t="n">
        <v>0</v>
      </c>
      <c r="S375" t="inlineStr">
        <is>
          <t>research</t>
        </is>
      </c>
      <c r="T375" s="5" t="inlineStr">
        <is>
          <t>Joined Elche on loan for the rest of the season on 7 Aug 2026 (FPL status 'u', news added 2026-08-10). No Premier League minutes possible.</t>
        </is>
      </c>
      <c r="U375" s="6" t="n">
        <v>76.90000000000001</v>
      </c>
      <c r="V375" s="2" t="n">
        <v>1</v>
      </c>
      <c r="W375" s="7">
        <f>IF(N(U375)&lt;=0,0,MIN(Assumptions!$B$15,N(R375)/N(U375)))</f>
        <v/>
      </c>
      <c r="X375" s="6" t="n">
        <v>0.252</v>
      </c>
      <c r="Y375" s="10" t="n">
        <v>0.0678</v>
      </c>
      <c r="Z375" t="inlineStr">
        <is>
          <t>adjusted xGOT</t>
        </is>
      </c>
      <c r="AA375" s="3" t="n">
        <v>1</v>
      </c>
      <c r="AB375" s="3" t="n">
        <v>1.012</v>
      </c>
      <c r="AC375" s="3" t="n">
        <v>7.7</v>
      </c>
      <c r="AD375" s="10" t="n">
        <v>0.3226</v>
      </c>
      <c r="AE375" s="3" t="n">
        <v>8.384</v>
      </c>
      <c r="AF375" s="3" t="n">
        <v>0.06109131394463152</v>
      </c>
      <c r="AG375" s="3" t="n">
        <v>6.658</v>
      </c>
      <c r="AH375" s="3" t="n">
        <v>0.2355802384</v>
      </c>
      <c r="AI375" s="3" t="n">
        <v>4</v>
      </c>
      <c r="AJ375" s="3" t="n">
        <v>2.8404</v>
      </c>
      <c r="AK375" s="3" t="n">
        <v>1.439</v>
      </c>
      <c r="AL375" s="3" t="n">
        <v>-0.3741404547971498</v>
      </c>
      <c r="AM375" s="6" t="n">
        <v>0</v>
      </c>
      <c r="AN375" s="3" t="n">
        <v>0</v>
      </c>
      <c r="AO375" s="10" t="n">
        <v>0.339</v>
      </c>
      <c r="AP375" s="10" t="n">
        <v>1.277496</v>
      </c>
      <c r="AQ375" s="3">
        <f>N(X375)*N(BJ375)</f>
        <v/>
      </c>
      <c r="AR375" s="3" t="n">
        <v>0</v>
      </c>
      <c r="AS375" s="3" t="n">
        <v>-0</v>
      </c>
      <c r="AT375" s="3" t="n">
        <v>-0.3741404547971498</v>
      </c>
      <c r="AU375" s="3">
        <f>SUM(AO375:AT375)</f>
        <v/>
      </c>
      <c r="AV375" s="7">
        <f>IF(OR(N(W375)&lt;=0,N(BH375)=0),0,N(W375)*IF(N(R375)/N(W375)&gt;=60,N(BH375),1))</f>
        <v/>
      </c>
      <c r="AW375" s="7">
        <f>N(W375)*N(AF375)*N(BI375)</f>
        <v/>
      </c>
      <c r="AX375" s="3">
        <f>IF(N(BH375)=0,0,N(W375)*N(AH375))</f>
        <v/>
      </c>
      <c r="AY375" s="7">
        <f>N(AM375)*(Assumptions!$B$13*N(BK375)-(1-Assumptions!$B$13)*Assumptions!$B$14)+N(AN375)</f>
        <v/>
      </c>
      <c r="AZ375" s="7">
        <f>N(AU375)*N(R375)/90+N(AV375)+N(AW375)+N(AX375)+N(AY375)</f>
        <v/>
      </c>
      <c r="BA375" s="3">
        <f>IF(N(R375)&lt;=0,0,(N(AZ375)-N(AY375))*90/N(R375))</f>
        <v/>
      </c>
      <c r="BB375" s="7">
        <f>IFERROR(AZ375-VLOOKUP($E375,Assumptions!$A$40:$C$43,3,FALSE),"")</f>
        <v/>
      </c>
      <c r="BC375" s="3">
        <f>IFERROR(BB375/H375,"")</f>
        <v/>
      </c>
      <c r="BD375">
        <f>IF(AND($G375=TRUE,$E375="GKP"),AZ375,"")</f>
        <v/>
      </c>
      <c r="BE375">
        <f>IF(AND($G375=TRUE,$E375="DEF"),AZ375,"")</f>
        <v/>
      </c>
      <c r="BF375">
        <f>IF(AND($G375=TRUE,$E375="MID"),AZ375,"")</f>
        <v/>
      </c>
      <c r="BG375">
        <f>IF(AND($G375=TRUE,$E375="FWD"),AZ375,"")</f>
        <v/>
      </c>
      <c r="BH375" t="n">
        <v>2</v>
      </c>
      <c r="BI375" t="n">
        <v>2</v>
      </c>
      <c r="BJ375" t="n">
        <v>1</v>
      </c>
      <c r="BK375" t="n">
        <v>5</v>
      </c>
    </row>
    <row r="376">
      <c r="A376" t="inlineStr">
        <is>
          <t>James Maddison</t>
        </is>
      </c>
      <c r="B376" t="inlineStr">
        <is>
          <t>TOT</t>
        </is>
      </c>
      <c r="C376" t="inlineStr">
        <is>
          <t>TOT</t>
        </is>
      </c>
      <c r="D376" t="b">
        <v>0</v>
      </c>
      <c r="E376" t="inlineStr">
        <is>
          <t>MID</t>
        </is>
      </c>
      <c r="F376" t="inlineStr">
        <is>
          <t>MID</t>
        </is>
      </c>
      <c r="G376" t="b">
        <v>1</v>
      </c>
      <c r="H376" s="2" t="n">
        <v>6.5</v>
      </c>
      <c r="I376" t="inlineStr">
        <is>
          <t>a</t>
        </is>
      </c>
      <c r="K376" s="2" t="n">
        <v>34</v>
      </c>
      <c r="L376" t="n">
        <v>3</v>
      </c>
      <c r="M376" s="3" t="n">
        <v>1060</v>
      </c>
      <c r="N376" s="8" t="n">
        <v>1060</v>
      </c>
      <c r="O376" s="8" t="n">
        <v>0</v>
      </c>
      <c r="Q376" t="inlineStr">
        <is>
          <t>flat</t>
        </is>
      </c>
      <c r="R376" s="6" t="n">
        <v>1060</v>
      </c>
      <c r="S376" t="inlineStr">
        <is>
          <t>Solio</t>
        </is>
      </c>
      <c r="U376" s="6" t="n">
        <v>80.09999999999999</v>
      </c>
      <c r="V376" s="2" t="n">
        <v>0</v>
      </c>
      <c r="W376" s="7">
        <f>IF(N(U376)&lt;=0,0,MIN(Assumptions!$B$15,N(R376)/N(U376)))</f>
        <v/>
      </c>
      <c r="X376" s="6" t="n">
        <v>0.286</v>
      </c>
      <c r="Y376" s="3" t="n">
        <v>0.5903</v>
      </c>
      <c r="Z376" t="inlineStr">
        <is>
          <t>adjusted xGOT</t>
        </is>
      </c>
      <c r="AA376" s="3" t="n">
        <v>1</v>
      </c>
      <c r="AB376" s="3" t="n">
        <v>1.06</v>
      </c>
      <c r="AC376" s="3" t="n">
        <v>20.8</v>
      </c>
      <c r="AD376" s="3" t="n">
        <v>0.0794</v>
      </c>
      <c r="AE376" s="3" t="n">
        <v>8.787000000000001</v>
      </c>
      <c r="AF376" s="3" t="n">
        <v>0.0993991388585016</v>
      </c>
      <c r="AG376" s="3" t="n">
        <v>6.495</v>
      </c>
      <c r="AH376" s="3" t="n">
        <v>0.8233856688</v>
      </c>
      <c r="AI376" s="3" t="n">
        <v>3</v>
      </c>
      <c r="AJ376" s="3" t="n">
        <v>2.5739</v>
      </c>
      <c r="AK376" s="3" t="n">
        <v>1.3096</v>
      </c>
      <c r="AL376" s="3" t="n">
        <v>-0.2487656165750328</v>
      </c>
      <c r="AM376" s="6" t="n">
        <v>0</v>
      </c>
      <c r="AN376" s="3" t="n">
        <v>0</v>
      </c>
      <c r="AO376" s="3" t="n">
        <v>2.9515</v>
      </c>
      <c r="AP376" s="3" t="n">
        <v>0.314424</v>
      </c>
      <c r="AQ376" s="3">
        <f>N(X376)*N(BJ376)</f>
        <v/>
      </c>
      <c r="AR376" s="3" t="n">
        <v>0</v>
      </c>
      <c r="AS376" s="3" t="n">
        <v>-0</v>
      </c>
      <c r="AT376" s="3" t="n">
        <v>-0.2487656165750328</v>
      </c>
      <c r="AU376" s="3">
        <f>SUM(AO376:AT376)</f>
        <v/>
      </c>
      <c r="AV376" s="7">
        <f>IF(OR(N(W376)&lt;=0,N(BH376)=0),0,N(W376)*IF(N(R376)/N(W376)&gt;=60,N(BH376),1))</f>
        <v/>
      </c>
      <c r="AW376" s="7">
        <f>N(W376)*N(AF376)*N(BI376)</f>
        <v/>
      </c>
      <c r="AX376" s="3">
        <f>IF(N(BH376)=0,0,N(W376)*N(AH376))</f>
        <v/>
      </c>
      <c r="AY376" s="7">
        <f>N(AM376)*(Assumptions!$B$13*N(BK376)-(1-Assumptions!$B$13)*Assumptions!$B$14)+N(AN376)</f>
        <v/>
      </c>
      <c r="AZ376" s="7">
        <f>N(AU376)*N(R376)/90+N(AV376)+N(AW376)+N(AX376)+N(AY376)</f>
        <v/>
      </c>
      <c r="BA376" s="3">
        <f>IF(N(R376)&lt;=0,0,(N(AZ376)-N(AY376))*90/N(R376))</f>
        <v/>
      </c>
      <c r="BB376" s="7">
        <f>IFERROR(AZ376-VLOOKUP($E376,Assumptions!$A$40:$C$43,3,FALSE),"")</f>
        <v/>
      </c>
      <c r="BC376" s="3">
        <f>IFERROR(BB376/H376,"")</f>
        <v/>
      </c>
      <c r="BD376">
        <f>IF(AND($G376=TRUE,$E376="GKP"),AZ376,"")</f>
        <v/>
      </c>
      <c r="BE376">
        <f>IF(AND($G376=TRUE,$E376="DEF"),AZ376,"")</f>
        <v/>
      </c>
      <c r="BF376">
        <f>IF(AND($G376=TRUE,$E376="MID"),AZ376,"")</f>
        <v/>
      </c>
      <c r="BG376">
        <f>IF(AND($G376=TRUE,$E376="FWD"),AZ376,"")</f>
        <v/>
      </c>
      <c r="BH376" t="n">
        <v>2</v>
      </c>
      <c r="BI376" t="n">
        <v>2</v>
      </c>
      <c r="BJ376" t="n">
        <v>1</v>
      </c>
      <c r="BK376" t="n">
        <v>5</v>
      </c>
    </row>
    <row r="377">
      <c r="A377" t="inlineStr">
        <is>
          <t>Shea Lacey</t>
        </is>
      </c>
      <c r="B377" t="inlineStr">
        <is>
          <t>MUN</t>
        </is>
      </c>
      <c r="C377" t="inlineStr">
        <is>
          <t>MUN</t>
        </is>
      </c>
      <c r="D377" t="b">
        <v>0</v>
      </c>
      <c r="E377" t="inlineStr">
        <is>
          <t>MID</t>
        </is>
      </c>
      <c r="F377" t="inlineStr">
        <is>
          <t>MID</t>
        </is>
      </c>
      <c r="G377" t="b">
        <v>1</v>
      </c>
      <c r="H377" s="2" t="n">
        <v>5</v>
      </c>
      <c r="I377" t="inlineStr">
        <is>
          <t>a</t>
        </is>
      </c>
      <c r="K377" s="2" t="n">
        <v>40</v>
      </c>
      <c r="L377" t="n">
        <v>3</v>
      </c>
      <c r="M377" s="3" t="n">
        <v>14</v>
      </c>
      <c r="N377" s="8" t="n">
        <v>14</v>
      </c>
      <c r="O377" s="8" t="n">
        <v>0</v>
      </c>
      <c r="Q377" t="inlineStr">
        <is>
          <t>flat</t>
        </is>
      </c>
      <c r="R377" s="6" t="n">
        <v>14</v>
      </c>
      <c r="S377" t="inlineStr">
        <is>
          <t>Solio</t>
        </is>
      </c>
      <c r="U377" s="6" t="n">
        <v>80.09999999999999</v>
      </c>
      <c r="V377" s="2" t="n">
        <v>0</v>
      </c>
      <c r="W377" s="7">
        <f>IF(N(U377)&lt;=0,0,MIN(Assumptions!$B$15,N(R377)/N(U377)))</f>
        <v/>
      </c>
      <c r="X377" s="6" t="n">
        <v>0.334</v>
      </c>
      <c r="Y377" s="3" t="n">
        <v>0.2228</v>
      </c>
      <c r="Z377" t="inlineStr">
        <is>
          <t>adjusted xGOT</t>
        </is>
      </c>
      <c r="AA377" s="3" t="n">
        <v>1</v>
      </c>
      <c r="AB377" s="3" t="n">
        <v>0.988</v>
      </c>
      <c r="AC377" s="3" t="n">
        <v>0.1</v>
      </c>
      <c r="AD377" s="3" t="n">
        <v>0.0112</v>
      </c>
      <c r="AE377" s="3" t="n">
        <v>8.481</v>
      </c>
      <c r="AF377" s="3" t="n">
        <v>0.08208717163773016</v>
      </c>
      <c r="AG377" s="3" t="n">
        <v>6.837</v>
      </c>
      <c r="AH377" s="3" t="n">
        <v>0.2920754656</v>
      </c>
      <c r="AI377" s="3" t="n">
        <v>3</v>
      </c>
      <c r="AJ377" s="3" t="n">
        <v>2.2165</v>
      </c>
      <c r="AK377" s="3" t="n">
        <v>1.1467</v>
      </c>
      <c r="AL377" s="3" t="n">
        <v>-0.2106539923648886</v>
      </c>
      <c r="AM377" s="6" t="n">
        <v>0</v>
      </c>
      <c r="AN377" s="3" t="n">
        <v>0</v>
      </c>
      <c r="AO377" s="3" t="n">
        <v>1.114</v>
      </c>
      <c r="AP377" s="3" t="n">
        <v>0.044352</v>
      </c>
      <c r="AQ377" s="3">
        <f>N(X377)*N(BJ377)</f>
        <v/>
      </c>
      <c r="AR377" s="3" t="n">
        <v>0</v>
      </c>
      <c r="AS377" s="3" t="n">
        <v>-0</v>
      </c>
      <c r="AT377" s="3" t="n">
        <v>-0.2106539923648886</v>
      </c>
      <c r="AU377" s="3">
        <f>SUM(AO377:AT377)</f>
        <v/>
      </c>
      <c r="AV377" s="7">
        <f>IF(OR(N(W377)&lt;=0,N(BH377)=0),0,N(W377)*IF(N(R377)/N(W377)&gt;=60,N(BH377),1))</f>
        <v/>
      </c>
      <c r="AW377" s="7">
        <f>N(W377)*N(AF377)*N(BI377)</f>
        <v/>
      </c>
      <c r="AX377" s="3">
        <f>IF(N(BH377)=0,0,N(W377)*N(AH377))</f>
        <v/>
      </c>
      <c r="AY377" s="7">
        <f>N(AM377)*(Assumptions!$B$13*N(BK377)-(1-Assumptions!$B$13)*Assumptions!$B$14)+N(AN377)</f>
        <v/>
      </c>
      <c r="AZ377" s="7">
        <f>N(AU377)*N(R377)/90+N(AV377)+N(AW377)+N(AX377)+N(AY377)</f>
        <v/>
      </c>
      <c r="BA377" s="3">
        <f>IF(N(R377)&lt;=0,0,(N(AZ377)-N(AY377))*90/N(R377))</f>
        <v/>
      </c>
      <c r="BB377" s="7">
        <f>IFERROR(AZ377-VLOOKUP($E377,Assumptions!$A$40:$C$43,3,FALSE),"")</f>
        <v/>
      </c>
      <c r="BC377" s="3">
        <f>IFERROR(BB377/H377,"")</f>
        <v/>
      </c>
      <c r="BD377">
        <f>IF(AND($G377=TRUE,$E377="GKP"),AZ377,"")</f>
        <v/>
      </c>
      <c r="BE377">
        <f>IF(AND($G377=TRUE,$E377="DEF"),AZ377,"")</f>
        <v/>
      </c>
      <c r="BF377">
        <f>IF(AND($G377=TRUE,$E377="MID"),AZ377,"")</f>
        <v/>
      </c>
      <c r="BG377">
        <f>IF(AND($G377=TRUE,$E377="FWD"),AZ377,"")</f>
        <v/>
      </c>
      <c r="BH377" t="n">
        <v>2</v>
      </c>
      <c r="BI377" t="n">
        <v>2</v>
      </c>
      <c r="BJ377" t="n">
        <v>1</v>
      </c>
      <c r="BK377" t="n">
        <v>5</v>
      </c>
    </row>
    <row r="378">
      <c r="A378" t="inlineStr">
        <is>
          <t>Jack Fletcher</t>
        </is>
      </c>
      <c r="B378" t="inlineStr">
        <is>
          <t>MUN</t>
        </is>
      </c>
      <c r="C378" t="inlineStr">
        <is>
          <t>MUN</t>
        </is>
      </c>
      <c r="D378" t="b">
        <v>0</v>
      </c>
      <c r="E378" t="inlineStr">
        <is>
          <t>MID</t>
        </is>
      </c>
      <c r="F378" t="inlineStr">
        <is>
          <t>MID</t>
        </is>
      </c>
      <c r="G378" t="b">
        <v>1</v>
      </c>
      <c r="H378" s="2" t="n">
        <v>5</v>
      </c>
      <c r="I378" t="inlineStr">
        <is>
          <t>a</t>
        </is>
      </c>
      <c r="K378" s="2" t="n">
        <v>107</v>
      </c>
      <c r="L378" t="n">
        <v>3</v>
      </c>
      <c r="M378" s="3" t="n">
        <v>0</v>
      </c>
      <c r="N378" s="8" t="n">
        <v>0</v>
      </c>
      <c r="O378" s="8" t="n">
        <v>0</v>
      </c>
      <c r="Q378" t="inlineStr">
        <is>
          <t>flat</t>
        </is>
      </c>
      <c r="R378" s="6" t="n">
        <v>0</v>
      </c>
      <c r="S378" t="inlineStr">
        <is>
          <t>Solio</t>
        </is>
      </c>
      <c r="U378" s="6" t="n">
        <v>80.09999999999999</v>
      </c>
      <c r="V378" s="2" t="n">
        <v>0</v>
      </c>
      <c r="W378" s="7">
        <f>IF(N(U378)&lt;=0,0,MIN(Assumptions!$B$15,N(R378)/N(U378)))</f>
        <v/>
      </c>
      <c r="X378" s="6" t="n">
        <v>0.334</v>
      </c>
      <c r="Y378" s="3" t="n">
        <v>0.0252</v>
      </c>
      <c r="Z378" t="inlineStr">
        <is>
          <t>adjusted xGOT</t>
        </is>
      </c>
      <c r="AA378" s="3" t="n">
        <v>1</v>
      </c>
      <c r="AB378" s="3" t="n">
        <v>0.996</v>
      </c>
      <c r="AC378" s="3" t="n">
        <v>0</v>
      </c>
      <c r="AD378" s="3" t="n">
        <v>0.0567</v>
      </c>
      <c r="AE378" s="3" t="n">
        <v>8.664</v>
      </c>
      <c r="AF378" s="3" t="n">
        <v>0.0921959865358728</v>
      </c>
      <c r="AG378" s="3" t="n">
        <v>6.382</v>
      </c>
      <c r="AH378" s="3" t="n">
        <v>0.0619864832</v>
      </c>
      <c r="AI378" s="3" t="n">
        <v>3</v>
      </c>
      <c r="AJ378" s="3" t="n">
        <v>2.2165</v>
      </c>
      <c r="AK378" s="3" t="n">
        <v>1.1467</v>
      </c>
      <c r="AL378" s="3" t="n">
        <v>-0.2022510891348621</v>
      </c>
      <c r="AM378" s="6" t="n">
        <v>0</v>
      </c>
      <c r="AN378" s="3" t="n">
        <v>0</v>
      </c>
      <c r="AO378" s="3" t="n">
        <v>0.126</v>
      </c>
      <c r="AP378" s="3" t="n">
        <v>0.224532</v>
      </c>
      <c r="AQ378" s="3">
        <f>N(X378)*N(BJ378)</f>
        <v/>
      </c>
      <c r="AR378" s="3" t="n">
        <v>0</v>
      </c>
      <c r="AS378" s="3" t="n">
        <v>-0</v>
      </c>
      <c r="AT378" s="3" t="n">
        <v>-0.2022510891348621</v>
      </c>
      <c r="AU378" s="3">
        <f>SUM(AO378:AT378)</f>
        <v/>
      </c>
      <c r="AV378" s="7">
        <f>IF(OR(N(W378)&lt;=0,N(BH378)=0),0,N(W378)*IF(N(R378)/N(W378)&gt;=60,N(BH378),1))</f>
        <v/>
      </c>
      <c r="AW378" s="7">
        <f>N(W378)*N(AF378)*N(BI378)</f>
        <v/>
      </c>
      <c r="AX378" s="3">
        <f>IF(N(BH378)=0,0,N(W378)*N(AH378))</f>
        <v/>
      </c>
      <c r="AY378" s="7">
        <f>N(AM378)*(Assumptions!$B$13*N(BK378)-(1-Assumptions!$B$13)*Assumptions!$B$14)+N(AN378)</f>
        <v/>
      </c>
      <c r="AZ378" s="7">
        <f>N(AU378)*N(R378)/90+N(AV378)+N(AW378)+N(AX378)+N(AY378)</f>
        <v/>
      </c>
      <c r="BA378" s="3">
        <f>IF(N(R378)&lt;=0,0,(N(AZ378)-N(AY378))*90/N(R378))</f>
        <v/>
      </c>
      <c r="BB378" s="7">
        <f>IFERROR(AZ378-VLOOKUP($E378,Assumptions!$A$40:$C$43,3,FALSE),"")</f>
        <v/>
      </c>
      <c r="BC378" s="3">
        <f>IFERROR(BB378/H378,"")</f>
        <v/>
      </c>
      <c r="BD378">
        <f>IF(AND($G378=TRUE,$E378="GKP"),AZ378,"")</f>
        <v/>
      </c>
      <c r="BE378">
        <f>IF(AND($G378=TRUE,$E378="DEF"),AZ378,"")</f>
        <v/>
      </c>
      <c r="BF378">
        <f>IF(AND($G378=TRUE,$E378="MID"),AZ378,"")</f>
        <v/>
      </c>
      <c r="BG378">
        <f>IF(AND($G378=TRUE,$E378="FWD"),AZ378,"")</f>
        <v/>
      </c>
      <c r="BH378" t="n">
        <v>2</v>
      </c>
      <c r="BI378" t="n">
        <v>2</v>
      </c>
      <c r="BJ378" t="n">
        <v>1</v>
      </c>
      <c r="BK378" t="n">
        <v>5</v>
      </c>
    </row>
    <row r="379">
      <c r="A379" t="inlineStr">
        <is>
          <t>Julio Soler</t>
        </is>
      </c>
      <c r="B379" t="inlineStr">
        <is>
          <t>BOU</t>
        </is>
      </c>
      <c r="C379" t="inlineStr">
        <is>
          <t>BOU</t>
        </is>
      </c>
      <c r="D379" t="b">
        <v>0</v>
      </c>
      <c r="E379" t="inlineStr">
        <is>
          <t>DEF</t>
        </is>
      </c>
      <c r="F379" t="inlineStr">
        <is>
          <t>DEF</t>
        </is>
      </c>
      <c r="G379" t="b">
        <v>1</v>
      </c>
      <c r="H379" s="2" t="n">
        <v>4</v>
      </c>
      <c r="I379" t="inlineStr">
        <is>
          <t>a</t>
        </is>
      </c>
      <c r="K379" s="2" t="n">
        <v>34</v>
      </c>
      <c r="L379" t="n">
        <v>3</v>
      </c>
      <c r="M379" s="3" t="n">
        <v>0</v>
      </c>
      <c r="N379" s="4" t="n">
        <v>150</v>
      </c>
      <c r="O379" s="4" t="n">
        <v>150</v>
      </c>
      <c r="P379" s="5" t="inlineStr">
        <is>
          <t>low</t>
        </is>
      </c>
      <c r="Q379" t="inlineStr">
        <is>
          <t>flat</t>
        </is>
      </c>
      <c r="R379" s="6" t="n">
        <v>150</v>
      </c>
      <c r="S379" t="inlineStr">
        <is>
          <t>research</t>
        </is>
      </c>
      <c r="T379" s="5" t="inlineStr">
        <is>
          <t>Solio gives the only backup left-back at the club exactly zero minutes. Archie Harris left for Wigan on 6 Aug and Alfie Merritt was loaned to Newport on 7 Aug, leaving Soler as the sole cover for Truffert; he was in the matchday squad for the Betis friendly. He is a hamstring doubt (75%), so this stays token rather than substantial - but zero is not a realistic figure for a fit-again squad left-back over 38 games plus European football.</t>
        </is>
      </c>
      <c r="U379" s="6" t="n">
        <v>85.5</v>
      </c>
      <c r="V379" s="2" t="n">
        <v>0</v>
      </c>
      <c r="W379" s="7">
        <f>IF(N(U379)&lt;=0,0,MIN(Assumptions!$B$15,N(R379)/N(U379)))</f>
        <v/>
      </c>
      <c r="X379" s="6" t="n">
        <v>0.23</v>
      </c>
      <c r="Y379" s="3" t="n">
        <v>0</v>
      </c>
      <c r="Z379" t="inlineStr">
        <is>
          <t>blended xG</t>
        </is>
      </c>
      <c r="AA379" s="3" t="n">
        <v>1</v>
      </c>
      <c r="AB379" s="3" t="n">
        <v>1</v>
      </c>
      <c r="AC379" s="3" t="n">
        <v>0</v>
      </c>
      <c r="AD379" s="3" t="n">
        <v>0</v>
      </c>
      <c r="AE379" s="3" t="n">
        <v>7.458</v>
      </c>
      <c r="AF379" s="3" t="n">
        <v>0.1782374299319515</v>
      </c>
      <c r="AG379" s="3" t="n">
        <v>8.031000000000001</v>
      </c>
      <c r="AH379" s="3" t="n">
        <v>0.1091576935</v>
      </c>
      <c r="AI379" s="3" t="n">
        <v>3</v>
      </c>
      <c r="AJ379" s="3" t="n">
        <v>3.0957</v>
      </c>
      <c r="AK379" s="3" t="n">
        <v>1.53</v>
      </c>
      <c r="AL379" s="3" t="n">
        <v>-0.1996402915412851</v>
      </c>
      <c r="AM379" s="6" t="n">
        <v>0</v>
      </c>
      <c r="AN379" s="3" t="n">
        <v>0</v>
      </c>
      <c r="AO379" s="3" t="n">
        <v>0</v>
      </c>
      <c r="AP379" s="3" t="n">
        <v>0</v>
      </c>
      <c r="AQ379" s="3">
        <f>N(X379)*N(BJ379)</f>
        <v/>
      </c>
      <c r="AR379" s="3" t="n">
        <v>0</v>
      </c>
      <c r="AS379" s="3" t="n">
        <v>-0.5267219238049191</v>
      </c>
      <c r="AT379" s="3" t="n">
        <v>-0.1996402915412851</v>
      </c>
      <c r="AU379" s="3">
        <f>SUM(AO379:AT379)</f>
        <v/>
      </c>
      <c r="AV379" s="7">
        <f>IF(OR(N(W379)&lt;=0,N(BH379)=0),0,N(W379)*IF(N(R379)/N(W379)&gt;=60,N(BH379),1))</f>
        <v/>
      </c>
      <c r="AW379" s="7">
        <f>N(W379)*N(AF379)*N(BI379)</f>
        <v/>
      </c>
      <c r="AX379" s="3">
        <f>IF(N(BH379)=0,0,N(W379)*N(AH379))</f>
        <v/>
      </c>
      <c r="AY379" s="7">
        <f>N(AM379)*(Assumptions!$B$13*N(BK379)-(1-Assumptions!$B$13)*Assumptions!$B$14)+N(AN379)</f>
        <v/>
      </c>
      <c r="AZ379" s="7">
        <f>N(AU379)*N(R379)/90+N(AV379)+N(AW379)+N(AX379)+N(AY379)</f>
        <v/>
      </c>
      <c r="BA379" s="3">
        <f>IF(N(R379)&lt;=0,0,(N(AZ379)-N(AY379))*90/N(R379))</f>
        <v/>
      </c>
      <c r="BB379" s="7">
        <f>IFERROR(AZ379-VLOOKUP($E379,Assumptions!$A$40:$C$43,3,FALSE),"")</f>
        <v/>
      </c>
      <c r="BC379" s="3">
        <f>IFERROR(BB379/H379,"")</f>
        <v/>
      </c>
      <c r="BD379">
        <f>IF(AND($G379=TRUE,$E379="GKP"),AZ379,"")</f>
        <v/>
      </c>
      <c r="BE379">
        <f>IF(AND($G379=TRUE,$E379="DEF"),AZ379,"")</f>
        <v/>
      </c>
      <c r="BF379">
        <f>IF(AND($G379=TRUE,$E379="MID"),AZ379,"")</f>
        <v/>
      </c>
      <c r="BG379">
        <f>IF(AND($G379=TRUE,$E379="FWD"),AZ379,"")</f>
        <v/>
      </c>
      <c r="BH379" t="n">
        <v>2</v>
      </c>
      <c r="BI379" t="n">
        <v>2</v>
      </c>
      <c r="BJ379" t="n">
        <v>4</v>
      </c>
      <c r="BK379" t="n">
        <v>6</v>
      </c>
    </row>
    <row r="380">
      <c r="A380" t="inlineStr">
        <is>
          <t>Mamadou Sarr</t>
        </is>
      </c>
      <c r="B380" t="inlineStr">
        <is>
          <t>CHE</t>
        </is>
      </c>
      <c r="C380" t="inlineStr">
        <is>
          <t>CHE</t>
        </is>
      </c>
      <c r="D380" t="b">
        <v>0</v>
      </c>
      <c r="E380" t="inlineStr">
        <is>
          <t>DEF</t>
        </is>
      </c>
      <c r="F380" t="inlineStr">
        <is>
          <t>DEF</t>
        </is>
      </c>
      <c r="G380" t="b">
        <v>1</v>
      </c>
      <c r="H380" s="2" t="n">
        <v>4.5</v>
      </c>
      <c r="I380" t="inlineStr">
        <is>
          <t>a</t>
        </is>
      </c>
      <c r="K380" s="2" t="n">
        <v>100</v>
      </c>
      <c r="L380" t="n">
        <v>3</v>
      </c>
      <c r="M380" s="3" t="n">
        <v>0</v>
      </c>
      <c r="N380" s="8" t="n">
        <v>0</v>
      </c>
      <c r="O380" s="8" t="n">
        <v>0</v>
      </c>
      <c r="Q380" t="inlineStr">
        <is>
          <t>flat</t>
        </is>
      </c>
      <c r="R380" s="6" t="n">
        <v>0</v>
      </c>
      <c r="S380" t="inlineStr">
        <is>
          <t>Solio</t>
        </is>
      </c>
      <c r="U380" s="6" t="n">
        <v>85.8</v>
      </c>
      <c r="V380" s="2" t="n">
        <v>1</v>
      </c>
      <c r="W380" s="7">
        <f>IF(N(U380)&lt;=0,0,MIN(Assumptions!$B$15,N(R380)/N(U380)))</f>
        <v/>
      </c>
      <c r="X380" s="6" t="n">
        <v>0.322</v>
      </c>
      <c r="Y380" s="3" t="n">
        <v>0.3015</v>
      </c>
      <c r="Z380" t="inlineStr">
        <is>
          <t>adjusted xGOT</t>
        </is>
      </c>
      <c r="AA380" s="3" t="n">
        <v>1</v>
      </c>
      <c r="AB380" s="3" t="n">
        <v>0.958</v>
      </c>
      <c r="AC380" s="3" t="n">
        <v>0.4</v>
      </c>
      <c r="AD380" s="3" t="n">
        <v>0</v>
      </c>
      <c r="AE380" s="3" t="n">
        <v>7.626</v>
      </c>
      <c r="AF380" s="3" t="n">
        <v>0.1979167308553776</v>
      </c>
      <c r="AG380" s="3" t="n">
        <v>7.655</v>
      </c>
      <c r="AH380" s="3" t="n">
        <v>0.4086809121</v>
      </c>
      <c r="AI380" s="3" t="n">
        <v>4</v>
      </c>
      <c r="AJ380" s="3" t="n">
        <v>2.4232</v>
      </c>
      <c r="AK380" s="3" t="n">
        <v>1.1851</v>
      </c>
      <c r="AL380" s="3" t="n">
        <v>-0.1926185127723307</v>
      </c>
      <c r="AM380" s="6" t="n">
        <v>0</v>
      </c>
      <c r="AN380" s="3" t="n">
        <v>0</v>
      </c>
      <c r="AO380" s="3" t="n">
        <v>1.809</v>
      </c>
      <c r="AP380" s="3" t="n">
        <v>0</v>
      </c>
      <c r="AQ380" s="3">
        <f>N(X380)*N(BJ380)</f>
        <v/>
      </c>
      <c r="AR380" s="3" t="n">
        <v>0</v>
      </c>
      <c r="AS380" s="3" t="n">
        <v>-0.365915508000572</v>
      </c>
      <c r="AT380" s="3" t="n">
        <v>-0.1926185127723307</v>
      </c>
      <c r="AU380" s="3">
        <f>SUM(AO380:AT380)</f>
        <v/>
      </c>
      <c r="AV380" s="7">
        <f>IF(OR(N(W380)&lt;=0,N(BH380)=0),0,N(W380)*IF(N(R380)/N(W380)&gt;=60,N(BH380),1))</f>
        <v/>
      </c>
      <c r="AW380" s="7">
        <f>N(W380)*N(AF380)*N(BI380)</f>
        <v/>
      </c>
      <c r="AX380" s="3">
        <f>IF(N(BH380)=0,0,N(W380)*N(AH380))</f>
        <v/>
      </c>
      <c r="AY380" s="7">
        <f>N(AM380)*(Assumptions!$B$13*N(BK380)-(1-Assumptions!$B$13)*Assumptions!$B$14)+N(AN380)</f>
        <v/>
      </c>
      <c r="AZ380" s="7">
        <f>N(AU380)*N(R380)/90+N(AV380)+N(AW380)+N(AX380)+N(AY380)</f>
        <v/>
      </c>
      <c r="BA380" s="3">
        <f>IF(N(R380)&lt;=0,0,(N(AZ380)-N(AY380))*90/N(R380))</f>
        <v/>
      </c>
      <c r="BB380" s="7">
        <f>IFERROR(AZ380-VLOOKUP($E380,Assumptions!$A$40:$C$43,3,FALSE),"")</f>
        <v/>
      </c>
      <c r="BC380" s="3">
        <f>IFERROR(BB380/H380,"")</f>
        <v/>
      </c>
      <c r="BD380">
        <f>IF(AND($G380=TRUE,$E380="GKP"),AZ380,"")</f>
        <v/>
      </c>
      <c r="BE380">
        <f>IF(AND($G380=TRUE,$E380="DEF"),AZ380,"")</f>
        <v/>
      </c>
      <c r="BF380">
        <f>IF(AND($G380=TRUE,$E380="MID"),AZ380,"")</f>
        <v/>
      </c>
      <c r="BG380">
        <f>IF(AND($G380=TRUE,$E380="FWD"),AZ380,"")</f>
        <v/>
      </c>
      <c r="BH380" t="n">
        <v>2</v>
      </c>
      <c r="BI380" t="n">
        <v>2</v>
      </c>
      <c r="BJ380" t="n">
        <v>4</v>
      </c>
      <c r="BK380" t="n">
        <v>6</v>
      </c>
    </row>
    <row r="381">
      <c r="A381" t="inlineStr">
        <is>
          <t>Zach Abbott</t>
        </is>
      </c>
      <c r="B381" t="inlineStr">
        <is>
          <t>NFO</t>
        </is>
      </c>
      <c r="C381" t="inlineStr">
        <is>
          <t>NFO</t>
        </is>
      </c>
      <c r="D381" t="b">
        <v>0</v>
      </c>
      <c r="E381" t="inlineStr">
        <is>
          <t>DEF</t>
        </is>
      </c>
      <c r="F381" t="inlineStr">
        <is>
          <t>DEF</t>
        </is>
      </c>
      <c r="G381" t="b">
        <v>1</v>
      </c>
      <c r="H381" s="2" t="n">
        <v>4</v>
      </c>
      <c r="I381" t="inlineStr">
        <is>
          <t>a</t>
        </is>
      </c>
      <c r="K381" s="2" t="n">
        <v>165</v>
      </c>
      <c r="L381" t="n">
        <v>3</v>
      </c>
      <c r="M381" s="3" t="n">
        <v>0</v>
      </c>
      <c r="N381" s="8" t="n">
        <v>0</v>
      </c>
      <c r="O381" s="8" t="n">
        <v>0</v>
      </c>
      <c r="Q381" t="inlineStr">
        <is>
          <t>flat</t>
        </is>
      </c>
      <c r="R381" s="6" t="n">
        <v>0</v>
      </c>
      <c r="S381" t="inlineStr">
        <is>
          <t>Solio</t>
        </is>
      </c>
      <c r="U381" s="6" t="n">
        <v>81.2</v>
      </c>
      <c r="V381" s="2" t="n">
        <v>2</v>
      </c>
      <c r="W381" s="7">
        <f>IF(N(U381)&lt;=0,0,MIN(Assumptions!$B$15,N(R381)/N(U381)))</f>
        <v/>
      </c>
      <c r="X381" s="6" t="n">
        <v>0.224</v>
      </c>
      <c r="Y381" s="3" t="n">
        <v>0</v>
      </c>
      <c r="Z381" t="inlineStr">
        <is>
          <t>blended xG</t>
        </is>
      </c>
      <c r="AA381" s="3" t="n">
        <v>1</v>
      </c>
      <c r="AB381" s="3" t="n">
        <v>1</v>
      </c>
      <c r="AC381" s="3" t="n">
        <v>0</v>
      </c>
      <c r="AD381" s="3" t="n">
        <v>0.0027</v>
      </c>
      <c r="AE381" s="3" t="n">
        <v>7.574</v>
      </c>
      <c r="AF381" s="3" t="n">
        <v>0.1530228257604118</v>
      </c>
      <c r="AG381" s="3" t="n">
        <v>7.332</v>
      </c>
      <c r="AH381" s="3" t="n">
        <v>0.075616896</v>
      </c>
      <c r="AI381" s="3" t="n">
        <v>4</v>
      </c>
      <c r="AJ381" s="3" t="n">
        <v>3.1134</v>
      </c>
      <c r="AK381" s="3" t="n">
        <v>1.5588</v>
      </c>
      <c r="AL381" s="3" t="n">
        <v>-0.1856762914939266</v>
      </c>
      <c r="AM381" s="6" t="n">
        <v>0</v>
      </c>
      <c r="AN381" s="3" t="n">
        <v>0</v>
      </c>
      <c r="AO381" s="3" t="n">
        <v>0</v>
      </c>
      <c r="AP381" s="3" t="n">
        <v>0.010692</v>
      </c>
      <c r="AQ381" s="3">
        <f>N(X381)*N(BJ381)</f>
        <v/>
      </c>
      <c r="AR381" s="3" t="n">
        <v>0</v>
      </c>
      <c r="AS381" s="3" t="n">
        <v>-0.5404658182244797</v>
      </c>
      <c r="AT381" s="3" t="n">
        <v>-0.1856762914939266</v>
      </c>
      <c r="AU381" s="3">
        <f>SUM(AO381:AT381)</f>
        <v/>
      </c>
      <c r="AV381" s="7">
        <f>IF(OR(N(W381)&lt;=0,N(BH381)=0),0,N(W381)*IF(N(R381)/N(W381)&gt;=60,N(BH381),1))</f>
        <v/>
      </c>
      <c r="AW381" s="7">
        <f>N(W381)*N(AF381)*N(BI381)</f>
        <v/>
      </c>
      <c r="AX381" s="3">
        <f>IF(N(BH381)=0,0,N(W381)*N(AH381))</f>
        <v/>
      </c>
      <c r="AY381" s="7">
        <f>N(AM381)*(Assumptions!$B$13*N(BK381)-(1-Assumptions!$B$13)*Assumptions!$B$14)+N(AN381)</f>
        <v/>
      </c>
      <c r="AZ381" s="7">
        <f>N(AU381)*N(R381)/90+N(AV381)+N(AW381)+N(AX381)+N(AY381)</f>
        <v/>
      </c>
      <c r="BA381" s="3">
        <f>IF(N(R381)&lt;=0,0,(N(AZ381)-N(AY381))*90/N(R381))</f>
        <v/>
      </c>
      <c r="BB381" s="7">
        <f>IFERROR(AZ381-VLOOKUP($E381,Assumptions!$A$40:$C$43,3,FALSE),"")</f>
        <v/>
      </c>
      <c r="BC381" s="3">
        <f>IFERROR(BB381/H381,"")</f>
        <v/>
      </c>
      <c r="BD381">
        <f>IF(AND($G381=TRUE,$E381="GKP"),AZ381,"")</f>
        <v/>
      </c>
      <c r="BE381">
        <f>IF(AND($G381=TRUE,$E381="DEF"),AZ381,"")</f>
        <v/>
      </c>
      <c r="BF381">
        <f>IF(AND($G381=TRUE,$E381="MID"),AZ381,"")</f>
        <v/>
      </c>
      <c r="BG381">
        <f>IF(AND($G381=TRUE,$E381="FWD"),AZ381,"")</f>
        <v/>
      </c>
      <c r="BH381" t="n">
        <v>2</v>
      </c>
      <c r="BI381" t="n">
        <v>2</v>
      </c>
      <c r="BJ381" t="n">
        <v>4</v>
      </c>
      <c r="BK381" t="n">
        <v>6</v>
      </c>
    </row>
    <row r="382">
      <c r="A382" t="inlineStr">
        <is>
          <t>Alex Murphy</t>
        </is>
      </c>
      <c r="B382" t="inlineStr">
        <is>
          <t>NEW</t>
        </is>
      </c>
      <c r="C382" t="inlineStr">
        <is>
          <t>NEW</t>
        </is>
      </c>
      <c r="D382" t="b">
        <v>0</v>
      </c>
      <c r="E382" t="inlineStr">
        <is>
          <t>DEF</t>
        </is>
      </c>
      <c r="F382" t="inlineStr">
        <is>
          <t>DEF</t>
        </is>
      </c>
      <c r="G382" t="b">
        <v>1</v>
      </c>
      <c r="H382" s="2" t="n">
        <v>4</v>
      </c>
      <c r="I382" t="inlineStr">
        <is>
          <t>u</t>
        </is>
      </c>
      <c r="J382" t="inlineStr">
        <is>
          <t>Has joined FC Kaiserslautern on loan for the rest of the season</t>
        </is>
      </c>
      <c r="K382" s="2" t="n">
        <v>7</v>
      </c>
      <c r="L382" t="n">
        <v>2</v>
      </c>
      <c r="M382" s="3" t="n"/>
      <c r="N382" s="8" t="n">
        <v>7</v>
      </c>
      <c r="O382" s="8" t="n">
        <v>0</v>
      </c>
      <c r="R382" s="6" t="n">
        <v>7</v>
      </c>
      <c r="S382" t="inlineStr">
        <is>
          <t>25/26 actual</t>
        </is>
      </c>
      <c r="U382" s="6" t="n">
        <v>85.5</v>
      </c>
      <c r="V382" s="2" t="n">
        <v>0</v>
      </c>
      <c r="W382" s="7">
        <f>IF(N(U382)&lt;=0,0,MIN(Assumptions!$B$15,N(R382)/N(U382)))</f>
        <v/>
      </c>
      <c r="X382" s="6" t="n">
        <v>0.248</v>
      </c>
      <c r="Y382" s="3" t="n">
        <v>0</v>
      </c>
      <c r="Z382" t="inlineStr">
        <is>
          <t>blended xG</t>
        </is>
      </c>
      <c r="AA382" s="3" t="n">
        <v>1</v>
      </c>
      <c r="AB382" s="3" t="n">
        <v>1</v>
      </c>
      <c r="AC382" s="3" t="n">
        <v>0</v>
      </c>
      <c r="AD382" s="3" t="n">
        <v>0</v>
      </c>
      <c r="AE382" s="3" t="n">
        <v>8.106</v>
      </c>
      <c r="AF382" s="3" t="n">
        <v>0.2470027296375091</v>
      </c>
      <c r="AG382" s="3" t="n">
        <v>8.239000000000001</v>
      </c>
      <c r="AH382" s="3" t="n">
        <v>0.1264027832</v>
      </c>
      <c r="AI382" s="3" t="n">
        <v>2</v>
      </c>
      <c r="AJ382" s="3" t="n">
        <v>3.0912</v>
      </c>
      <c r="AK382" s="3" t="n">
        <v>1.4534</v>
      </c>
      <c r="AL382" s="3" t="n">
        <v>-0.2030827297347638</v>
      </c>
      <c r="AM382" s="6" t="n">
        <v>0</v>
      </c>
      <c r="AN382" s="3" t="n">
        <v>0</v>
      </c>
      <c r="AO382" s="3" t="n">
        <v>0</v>
      </c>
      <c r="AP382" s="3" t="n">
        <v>0</v>
      </c>
      <c r="AQ382" s="3">
        <f>N(X382)*N(BJ382)</f>
        <v/>
      </c>
      <c r="AR382" s="3" t="n">
        <v>0</v>
      </c>
      <c r="AS382" s="3" t="n">
        <v>-0.4903625828545308</v>
      </c>
      <c r="AT382" s="3" t="n">
        <v>-0.2030827297347638</v>
      </c>
      <c r="AU382" s="3">
        <f>SUM(AO382:AT382)</f>
        <v/>
      </c>
      <c r="AV382" s="7">
        <f>IF(OR(N(W382)&lt;=0,N(BH382)=0),0,N(W382)*IF(N(R382)/N(W382)&gt;=60,N(BH382),1))</f>
        <v/>
      </c>
      <c r="AW382" s="7">
        <f>N(W382)*N(AF382)*N(BI382)</f>
        <v/>
      </c>
      <c r="AX382" s="3">
        <f>IF(N(BH382)=0,0,N(W382)*N(AH382))</f>
        <v/>
      </c>
      <c r="AY382" s="7">
        <f>N(AM382)*(Assumptions!$B$13*N(BK382)-(1-Assumptions!$B$13)*Assumptions!$B$14)+N(AN382)</f>
        <v/>
      </c>
      <c r="AZ382" s="7">
        <f>N(AU382)*N(R382)/90+N(AV382)+N(AW382)+N(AX382)+N(AY382)</f>
        <v/>
      </c>
      <c r="BA382" s="3">
        <f>IF(N(R382)&lt;=0,0,(N(AZ382)-N(AY382))*90/N(R382))</f>
        <v/>
      </c>
      <c r="BB382" s="7">
        <f>IFERROR(AZ382-VLOOKUP($E382,Assumptions!$A$40:$C$43,3,FALSE),"")</f>
        <v/>
      </c>
      <c r="BC382" s="3">
        <f>IFERROR(BB382/H382,"")</f>
        <v/>
      </c>
      <c r="BD382">
        <f>IF(AND($G382=TRUE,$E382="GKP"),AZ382,"")</f>
        <v/>
      </c>
      <c r="BE382">
        <f>IF(AND($G382=TRUE,$E382="DEF"),AZ382,"")</f>
        <v/>
      </c>
      <c r="BF382">
        <f>IF(AND($G382=TRUE,$E382="MID"),AZ382,"")</f>
        <v/>
      </c>
      <c r="BG382">
        <f>IF(AND($G382=TRUE,$E382="FWD"),AZ382,"")</f>
        <v/>
      </c>
      <c r="BH382" t="n">
        <v>2</v>
      </c>
      <c r="BI382" t="n">
        <v>2</v>
      </c>
      <c r="BJ382" t="n">
        <v>4</v>
      </c>
      <c r="BK382" t="n">
        <v>6</v>
      </c>
    </row>
    <row r="383">
      <c r="A383" t="inlineStr">
        <is>
          <t>Joél Drakes-Thomas</t>
        </is>
      </c>
      <c r="B383" t="inlineStr">
        <is>
          <t>CRY</t>
        </is>
      </c>
      <c r="C383" t="inlineStr">
        <is>
          <t>CRY</t>
        </is>
      </c>
      <c r="D383" t="b">
        <v>0</v>
      </c>
      <c r="E383" t="inlineStr">
        <is>
          <t>MID</t>
        </is>
      </c>
      <c r="F383" t="inlineStr">
        <is>
          <t>MID</t>
        </is>
      </c>
      <c r="G383" t="b">
        <v>1</v>
      </c>
      <c r="H383" s="2" t="n">
        <v>4.5</v>
      </c>
      <c r="I383" t="inlineStr">
        <is>
          <t>a</t>
        </is>
      </c>
      <c r="K383" s="2" t="n">
        <v>7</v>
      </c>
      <c r="L383" t="n">
        <v>2</v>
      </c>
      <c r="M383" s="3" t="n">
        <v>0</v>
      </c>
      <c r="N383" s="8" t="n">
        <v>0</v>
      </c>
      <c r="O383" s="8" t="n">
        <v>0</v>
      </c>
      <c r="Q383" t="inlineStr">
        <is>
          <t>flat</t>
        </is>
      </c>
      <c r="R383" s="6" t="n">
        <v>0</v>
      </c>
      <c r="S383" t="inlineStr">
        <is>
          <t>Solio</t>
        </is>
      </c>
      <c r="U383" s="6" t="n">
        <v>80.09999999999999</v>
      </c>
      <c r="V383" s="2" t="n">
        <v>0</v>
      </c>
      <c r="W383" s="7">
        <f>IF(N(U383)&lt;=0,0,MIN(Assumptions!$B$15,N(R383)/N(U383)))</f>
        <v/>
      </c>
      <c r="X383" s="6" t="n">
        <v>0.216</v>
      </c>
      <c r="Y383" s="3" t="n">
        <v>0</v>
      </c>
      <c r="Z383" t="inlineStr">
        <is>
          <t>blended xG</t>
        </is>
      </c>
      <c r="AA383" s="3" t="n">
        <v>1</v>
      </c>
      <c r="AB383" s="3" t="n">
        <v>1</v>
      </c>
      <c r="AC383" s="3" t="n">
        <v>0</v>
      </c>
      <c r="AD383" s="3" t="n">
        <v>0</v>
      </c>
      <c r="AE383" s="3" t="n">
        <v>8.866</v>
      </c>
      <c r="AF383" s="3" t="n">
        <v>0.1041985328502864</v>
      </c>
      <c r="AG383" s="3" t="n">
        <v>7.025</v>
      </c>
      <c r="AH383" s="3" t="n">
        <v>0.011349029</v>
      </c>
      <c r="AI383" s="3" t="n">
        <v>2</v>
      </c>
      <c r="AJ383" s="3" t="n">
        <v>3.2035</v>
      </c>
      <c r="AK383" s="3" t="n">
        <v>1.5923</v>
      </c>
      <c r="AL383" s="3" t="n">
        <v>-0.2150787580952838</v>
      </c>
      <c r="AM383" s="6" t="n">
        <v>0</v>
      </c>
      <c r="AN383" s="3" t="n">
        <v>0</v>
      </c>
      <c r="AO383" s="3" t="n">
        <v>0</v>
      </c>
      <c r="AP383" s="3" t="n">
        <v>0</v>
      </c>
      <c r="AQ383" s="3">
        <f>N(X383)*N(BJ383)</f>
        <v/>
      </c>
      <c r="AR383" s="3" t="n">
        <v>0</v>
      </c>
      <c r="AS383" s="3" t="n">
        <v>-0</v>
      </c>
      <c r="AT383" s="3" t="n">
        <v>-0.2150787580952838</v>
      </c>
      <c r="AU383" s="3">
        <f>SUM(AO383:AT383)</f>
        <v/>
      </c>
      <c r="AV383" s="7">
        <f>IF(OR(N(W383)&lt;=0,N(BH383)=0),0,N(W383)*IF(N(R383)/N(W383)&gt;=60,N(BH383),1))</f>
        <v/>
      </c>
      <c r="AW383" s="7">
        <f>N(W383)*N(AF383)*N(BI383)</f>
        <v/>
      </c>
      <c r="AX383" s="3">
        <f>IF(N(BH383)=0,0,N(W383)*N(AH383))</f>
        <v/>
      </c>
      <c r="AY383" s="7">
        <f>N(AM383)*(Assumptions!$B$13*N(BK383)-(1-Assumptions!$B$13)*Assumptions!$B$14)+N(AN383)</f>
        <v/>
      </c>
      <c r="AZ383" s="7">
        <f>N(AU383)*N(R383)/90+N(AV383)+N(AW383)+N(AX383)+N(AY383)</f>
        <v/>
      </c>
      <c r="BA383" s="3">
        <f>IF(N(R383)&lt;=0,0,(N(AZ383)-N(AY383))*90/N(R383))</f>
        <v/>
      </c>
      <c r="BB383" s="7">
        <f>IFERROR(AZ383-VLOOKUP($E383,Assumptions!$A$40:$C$43,3,FALSE),"")</f>
        <v/>
      </c>
      <c r="BC383" s="3">
        <f>IFERROR(BB383/H383,"")</f>
        <v/>
      </c>
      <c r="BD383">
        <f>IF(AND($G383=TRUE,$E383="GKP"),AZ383,"")</f>
        <v/>
      </c>
      <c r="BE383">
        <f>IF(AND($G383=TRUE,$E383="DEF"),AZ383,"")</f>
        <v/>
      </c>
      <c r="BF383">
        <f>IF(AND($G383=TRUE,$E383="MID"),AZ383,"")</f>
        <v/>
      </c>
      <c r="BG383">
        <f>IF(AND($G383=TRUE,$E383="FWD"),AZ383,"")</f>
        <v/>
      </c>
      <c r="BH383" t="n">
        <v>2</v>
      </c>
      <c r="BI383" t="n">
        <v>2</v>
      </c>
      <c r="BJ383" t="n">
        <v>1</v>
      </c>
      <c r="BK383" t="n">
        <v>5</v>
      </c>
    </row>
    <row r="384">
      <c r="A384" t="inlineStr">
        <is>
          <t>Kepa Arrizabalaga</t>
        </is>
      </c>
      <c r="B384" t="inlineStr">
        <is>
          <t>ARS</t>
        </is>
      </c>
      <c r="C384" t="inlineStr">
        <is>
          <t>ARS</t>
        </is>
      </c>
      <c r="D384" t="b">
        <v>0</v>
      </c>
      <c r="E384" t="inlineStr">
        <is>
          <t>GKP</t>
        </is>
      </c>
      <c r="F384" t="inlineStr">
        <is>
          <t>GKP</t>
        </is>
      </c>
      <c r="G384" t="b">
        <v>1</v>
      </c>
      <c r="H384" s="2" t="n">
        <v>5</v>
      </c>
      <c r="I384" t="inlineStr">
        <is>
          <t>a</t>
        </is>
      </c>
      <c r="K384" s="2" t="n">
        <v>90</v>
      </c>
      <c r="L384" t="n">
        <v>2</v>
      </c>
      <c r="M384" s="3" t="n">
        <v>35</v>
      </c>
      <c r="N384" s="4" t="n">
        <v>15</v>
      </c>
      <c r="O384" s="4" t="n">
        <v>-20</v>
      </c>
      <c r="P384" s="5" t="inlineStr">
        <is>
          <t>low</t>
        </is>
      </c>
      <c r="Q384" t="inlineStr">
        <is>
          <t>flat</t>
        </is>
      </c>
      <c r="R384" s="6" t="n">
        <v>15</v>
      </c>
      <c r="S384" t="inlineStr">
        <is>
          <t>research</t>
        </is>
      </c>
      <c r="T384" s="5" t="inlineStr">
        <is>
          <t>Arsenal signed Illan Meslier as a free agent on 9 July specifically as back-up goalkeeper, and Kepa has been reported as wanting to leave for regular football. Arseblog's post-Dortmund note says he is now more comfortable with Meslier between the sticks than Kepa. This is a token split of an already tiny back-up allocation, not a claim about who starts cup games - the league minutes at stake are trivial either way.</t>
        </is>
      </c>
      <c r="U384" s="6" t="n">
        <v>89.8</v>
      </c>
      <c r="V384" s="2" t="n">
        <v>1</v>
      </c>
      <c r="W384" s="7">
        <f>IF(N(U384)&lt;=0,0,MIN(Assumptions!$B$15,N(R384)/N(U384)))</f>
        <v/>
      </c>
      <c r="X384" s="6" t="n">
        <v>0.391</v>
      </c>
      <c r="Y384" s="3" t="n">
        <v>0</v>
      </c>
      <c r="Z384" t="inlineStr">
        <is>
          <t>adjusted xGOT</t>
        </is>
      </c>
      <c r="AA384" s="3" t="n">
        <v>1</v>
      </c>
      <c r="AB384" s="3" t="n">
        <v>0.993</v>
      </c>
      <c r="AC384" s="3" t="n">
        <v>0.1</v>
      </c>
      <c r="AD384" s="3" t="n">
        <v>0</v>
      </c>
      <c r="AE384" s="3" t="n">
        <v>0</v>
      </c>
      <c r="AF384" s="3" t="n">
        <v>0</v>
      </c>
      <c r="AG384" s="3" t="n">
        <v>5.659</v>
      </c>
      <c r="AH384" s="3" t="n">
        <v>0.1908920656</v>
      </c>
      <c r="AI384" s="3" t="n">
        <v>2</v>
      </c>
      <c r="AJ384" s="3" t="n">
        <v>2.067</v>
      </c>
      <c r="AK384" s="3" t="n">
        <v>0.9838</v>
      </c>
      <c r="AL384" s="3" t="n">
        <v>-0.0864937396017854</v>
      </c>
      <c r="AM384" s="6" t="n">
        <v>0</v>
      </c>
      <c r="AN384" s="3" t="n">
        <v>0.0214943771917284</v>
      </c>
      <c r="AO384" s="3" t="n">
        <v>0</v>
      </c>
      <c r="AP384" s="3" t="n">
        <v>0</v>
      </c>
      <c r="AQ384" s="3">
        <f>N(X384)*N(BJ384)</f>
        <v/>
      </c>
      <c r="AR384" s="3" t="n">
        <v>0.3608597487600056</v>
      </c>
      <c r="AS384" s="3" t="n">
        <v>-0.2768479886568037</v>
      </c>
      <c r="AT384" s="3" t="n">
        <v>-0.0864937396017854</v>
      </c>
      <c r="AU384" s="3">
        <f>SUM(AO384:AT384)</f>
        <v/>
      </c>
      <c r="AV384" s="7">
        <f>IF(OR(N(W384)&lt;=0,N(BH384)=0),0,N(W384)*IF(N(R384)/N(W384)&gt;=60,N(BH384),1))</f>
        <v/>
      </c>
      <c r="AW384" s="7">
        <f>N(W384)*N(AF384)*N(BI384)</f>
        <v/>
      </c>
      <c r="AX384" s="3">
        <f>IF(N(BH384)=0,0,N(W384)*N(AH384))</f>
        <v/>
      </c>
      <c r="AY384" s="7">
        <f>N(AM384)*(Assumptions!$B$13*N(BK384)-(1-Assumptions!$B$13)*Assumptions!$B$14)+N(AN384)</f>
        <v/>
      </c>
      <c r="AZ384" s="7">
        <f>N(AU384)*N(R384)/90+N(AV384)+N(AW384)+N(AX384)+N(AY384)</f>
        <v/>
      </c>
      <c r="BA384" s="3">
        <f>IF(N(R384)&lt;=0,0,(N(AZ384)-N(AY384))*90/N(R384))</f>
        <v/>
      </c>
      <c r="BB384" s="7">
        <f>IFERROR(AZ384-VLOOKUP($E384,Assumptions!$A$40:$C$43,3,FALSE),"")</f>
        <v/>
      </c>
      <c r="BC384" s="3">
        <f>IFERROR(BB384/H384,"")</f>
        <v/>
      </c>
      <c r="BD384">
        <f>IF(AND($G384=TRUE,$E384="GKP"),AZ384,"")</f>
        <v/>
      </c>
      <c r="BE384">
        <f>IF(AND($G384=TRUE,$E384="DEF"),AZ384,"")</f>
        <v/>
      </c>
      <c r="BF384">
        <f>IF(AND($G384=TRUE,$E384="MID"),AZ384,"")</f>
        <v/>
      </c>
      <c r="BG384">
        <f>IF(AND($G384=TRUE,$E384="FWD"),AZ384,"")</f>
        <v/>
      </c>
      <c r="BH384" t="n">
        <v>2</v>
      </c>
      <c r="BI384" t="n">
        <v>0</v>
      </c>
      <c r="BJ384" t="n">
        <v>4</v>
      </c>
      <c r="BK384" t="n">
        <v>10</v>
      </c>
    </row>
    <row r="385">
      <c r="A385" t="inlineStr">
        <is>
          <t>Divine Mukasa</t>
        </is>
      </c>
      <c r="B385" t="inlineStr">
        <is>
          <t>MCI</t>
        </is>
      </c>
      <c r="C385" t="inlineStr">
        <is>
          <t>MCI</t>
        </is>
      </c>
      <c r="D385" t="b">
        <v>0</v>
      </c>
      <c r="E385" t="inlineStr">
        <is>
          <t>MID</t>
        </is>
      </c>
      <c r="F385" t="inlineStr">
        <is>
          <t>MID</t>
        </is>
      </c>
      <c r="G385" t="b">
        <v>1</v>
      </c>
      <c r="H385" s="2" t="n">
        <v>4.5</v>
      </c>
      <c r="I385" t="inlineStr">
        <is>
          <t>a</t>
        </is>
      </c>
      <c r="K385" s="2" t="n">
        <v>25</v>
      </c>
      <c r="L385" t="n">
        <v>2</v>
      </c>
      <c r="M385" s="3" t="n">
        <v>0</v>
      </c>
      <c r="N385" s="8" t="n">
        <v>0</v>
      </c>
      <c r="O385" s="8" t="n">
        <v>0</v>
      </c>
      <c r="Q385" t="inlineStr">
        <is>
          <t>flat</t>
        </is>
      </c>
      <c r="R385" s="6" t="n">
        <v>0</v>
      </c>
      <c r="S385" t="inlineStr">
        <is>
          <t>Solio</t>
        </is>
      </c>
      <c r="U385" s="6" t="n">
        <v>80.09999999999999</v>
      </c>
      <c r="V385" s="2" t="n">
        <v>0</v>
      </c>
      <c r="W385" s="7">
        <f>IF(N(U385)&lt;=0,0,MIN(Assumptions!$B$15,N(R385)/N(U385)))</f>
        <v/>
      </c>
      <c r="X385" s="6" t="n">
        <v>0.371</v>
      </c>
      <c r="Y385" s="3" t="n">
        <v>0</v>
      </c>
      <c r="Z385" t="inlineStr">
        <is>
          <t>blended xG</t>
        </is>
      </c>
      <c r="AA385" s="3" t="n">
        <v>1</v>
      </c>
      <c r="AB385" s="3" t="n">
        <v>1</v>
      </c>
      <c r="AC385" s="3" t="n">
        <v>0</v>
      </c>
      <c r="AD385" s="3" t="n">
        <v>0.7591</v>
      </c>
      <c r="AE385" s="3" t="n">
        <v>8.41</v>
      </c>
      <c r="AF385" s="3" t="n">
        <v>0.07836075947435073</v>
      </c>
      <c r="AG385" s="3" t="n">
        <v>6.791</v>
      </c>
      <c r="AH385" s="3" t="n">
        <v>0.4149593376</v>
      </c>
      <c r="AI385" s="3" t="n">
        <v>2</v>
      </c>
      <c r="AJ385" s="3" t="n">
        <v>1.9737</v>
      </c>
      <c r="AK385" s="3" t="n">
        <v>1.0365</v>
      </c>
      <c r="AL385" s="3" t="n">
        <v>-0.2126405378231206</v>
      </c>
      <c r="AM385" s="6" t="n">
        <v>0</v>
      </c>
      <c r="AN385" s="3" t="n">
        <v>0</v>
      </c>
      <c r="AO385" s="3" t="n">
        <v>0</v>
      </c>
      <c r="AP385" s="3" t="n">
        <v>3.006036</v>
      </c>
      <c r="AQ385" s="3">
        <f>N(X385)*N(BJ385)</f>
        <v/>
      </c>
      <c r="AR385" s="3" t="n">
        <v>0</v>
      </c>
      <c r="AS385" s="3" t="n">
        <v>-0</v>
      </c>
      <c r="AT385" s="3" t="n">
        <v>-0.2126405378231206</v>
      </c>
      <c r="AU385" s="3">
        <f>SUM(AO385:AT385)</f>
        <v/>
      </c>
      <c r="AV385" s="7">
        <f>IF(OR(N(W385)&lt;=0,N(BH385)=0),0,N(W385)*IF(N(R385)/N(W385)&gt;=60,N(BH385),1))</f>
        <v/>
      </c>
      <c r="AW385" s="7">
        <f>N(W385)*N(AF385)*N(BI385)</f>
        <v/>
      </c>
      <c r="AX385" s="3">
        <f>IF(N(BH385)=0,0,N(W385)*N(AH385))</f>
        <v/>
      </c>
      <c r="AY385" s="7">
        <f>N(AM385)*(Assumptions!$B$13*N(BK385)-(1-Assumptions!$B$13)*Assumptions!$B$14)+N(AN385)</f>
        <v/>
      </c>
      <c r="AZ385" s="7">
        <f>N(AU385)*N(R385)/90+N(AV385)+N(AW385)+N(AX385)+N(AY385)</f>
        <v/>
      </c>
      <c r="BA385" s="3">
        <f>IF(N(R385)&lt;=0,0,(N(AZ385)-N(AY385))*90/N(R385))</f>
        <v/>
      </c>
      <c r="BB385" s="7">
        <f>IFERROR(AZ385-VLOOKUP($E385,Assumptions!$A$40:$C$43,3,FALSE),"")</f>
        <v/>
      </c>
      <c r="BC385" s="3">
        <f>IFERROR(BB385/H385,"")</f>
        <v/>
      </c>
      <c r="BD385">
        <f>IF(AND($G385=TRUE,$E385="GKP"),AZ385,"")</f>
        <v/>
      </c>
      <c r="BE385">
        <f>IF(AND($G385=TRUE,$E385="DEF"),AZ385,"")</f>
        <v/>
      </c>
      <c r="BF385">
        <f>IF(AND($G385=TRUE,$E385="MID"),AZ385,"")</f>
        <v/>
      </c>
      <c r="BG385">
        <f>IF(AND($G385=TRUE,$E385="FWD"),AZ385,"")</f>
        <v/>
      </c>
      <c r="BH385" t="n">
        <v>2</v>
      </c>
      <c r="BI385" t="n">
        <v>2</v>
      </c>
      <c r="BJ385" t="n">
        <v>1</v>
      </c>
      <c r="BK385" t="n">
        <v>5</v>
      </c>
    </row>
    <row r="386">
      <c r="A386" t="inlineStr">
        <is>
          <t>Josh Dasilva</t>
        </is>
      </c>
      <c r="B386" t="inlineStr">
        <is>
          <t>BRE</t>
        </is>
      </c>
      <c r="C386" t="inlineStr">
        <is>
          <t>BRE</t>
        </is>
      </c>
      <c r="D386" t="b">
        <v>0</v>
      </c>
      <c r="E386" t="inlineStr">
        <is>
          <t>MID</t>
        </is>
      </c>
      <c r="F386" t="inlineStr">
        <is>
          <t>MID</t>
        </is>
      </c>
      <c r="G386" t="b">
        <v>1</v>
      </c>
      <c r="H386" s="2" t="n">
        <v>5</v>
      </c>
      <c r="I386" t="inlineStr">
        <is>
          <t>a</t>
        </is>
      </c>
      <c r="K386" s="2" t="n">
        <v>2</v>
      </c>
      <c r="L386" t="n">
        <v>2</v>
      </c>
      <c r="M386" s="3" t="n">
        <v>0</v>
      </c>
      <c r="N386" s="8" t="n">
        <v>0</v>
      </c>
      <c r="O386" s="8" t="n">
        <v>0</v>
      </c>
      <c r="Q386" t="inlineStr">
        <is>
          <t>flat</t>
        </is>
      </c>
      <c r="R386" s="6" t="n">
        <v>0</v>
      </c>
      <c r="S386" t="inlineStr">
        <is>
          <t>Solio</t>
        </is>
      </c>
      <c r="U386" s="6" t="n">
        <v>80.09999999999999</v>
      </c>
      <c r="V386" s="2" t="n">
        <v>0</v>
      </c>
      <c r="W386" s="7">
        <f>IF(N(U386)&lt;=0,0,MIN(Assumptions!$B$15,N(R386)/N(U386)))</f>
        <v/>
      </c>
      <c r="X386" s="6" t="n">
        <v>0.228</v>
      </c>
      <c r="Y386" s="3" t="n">
        <v>3.87</v>
      </c>
      <c r="Z386" t="inlineStr">
        <is>
          <t>adjusted xGOT</t>
        </is>
      </c>
      <c r="AA386" s="3" t="n">
        <v>1</v>
      </c>
      <c r="AB386" s="3" t="n">
        <v>1.077</v>
      </c>
      <c r="AC386" s="3" t="n">
        <v>1.7</v>
      </c>
      <c r="AD386" s="3" t="n">
        <v>0</v>
      </c>
      <c r="AE386" s="3" t="n">
        <v>8.678000000000001</v>
      </c>
      <c r="AF386" s="3" t="n">
        <v>0.09299929141077656</v>
      </c>
      <c r="AG386" s="3" t="n">
        <v>6.964</v>
      </c>
      <c r="AH386" s="3" t="n">
        <v>2.047688483</v>
      </c>
      <c r="AI386" s="3" t="n">
        <v>2</v>
      </c>
      <c r="AJ386" s="3" t="n">
        <v>3.2371</v>
      </c>
      <c r="AK386" s="3" t="n">
        <v>1.5396</v>
      </c>
      <c r="AL386" s="3" t="n">
        <v>-0.2145589846271921</v>
      </c>
      <c r="AM386" s="6" t="n">
        <v>0</v>
      </c>
      <c r="AN386" s="3" t="n">
        <v>0</v>
      </c>
      <c r="AO386" s="3" t="n">
        <v>19.35</v>
      </c>
      <c r="AP386" s="3" t="n">
        <v>0</v>
      </c>
      <c r="AQ386" s="3">
        <f>N(X386)*N(BJ386)</f>
        <v/>
      </c>
      <c r="AR386" s="3" t="n">
        <v>0</v>
      </c>
      <c r="AS386" s="3" t="n">
        <v>-0</v>
      </c>
      <c r="AT386" s="3" t="n">
        <v>-0.2145589846271921</v>
      </c>
      <c r="AU386" s="3">
        <f>SUM(AO386:AT386)</f>
        <v/>
      </c>
      <c r="AV386" s="7">
        <f>IF(OR(N(W386)&lt;=0,N(BH386)=0),0,N(W386)*IF(N(R386)/N(W386)&gt;=60,N(BH386),1))</f>
        <v/>
      </c>
      <c r="AW386" s="7">
        <f>N(W386)*N(AF386)*N(BI386)</f>
        <v/>
      </c>
      <c r="AX386" s="3">
        <f>IF(N(BH386)=0,0,N(W386)*N(AH386))</f>
        <v/>
      </c>
      <c r="AY386" s="7">
        <f>N(AM386)*(Assumptions!$B$13*N(BK386)-(1-Assumptions!$B$13)*Assumptions!$B$14)+N(AN386)</f>
        <v/>
      </c>
      <c r="AZ386" s="7">
        <f>N(AU386)*N(R386)/90+N(AV386)+N(AW386)+N(AX386)+N(AY386)</f>
        <v/>
      </c>
      <c r="BA386" s="3">
        <f>IF(N(R386)&lt;=0,0,(N(AZ386)-N(AY386))*90/N(R386))</f>
        <v/>
      </c>
      <c r="BB386" s="7">
        <f>IFERROR(AZ386-VLOOKUP($E386,Assumptions!$A$40:$C$43,3,FALSE),"")</f>
        <v/>
      </c>
      <c r="BC386" s="3">
        <f>IFERROR(BB386/H386,"")</f>
        <v/>
      </c>
      <c r="BD386">
        <f>IF(AND($G386=TRUE,$E386="GKP"),AZ386,"")</f>
        <v/>
      </c>
      <c r="BE386">
        <f>IF(AND($G386=TRUE,$E386="DEF"),AZ386,"")</f>
        <v/>
      </c>
      <c r="BF386">
        <f>IF(AND($G386=TRUE,$E386="MID"),AZ386,"")</f>
        <v/>
      </c>
      <c r="BG386">
        <f>IF(AND($G386=TRUE,$E386="FWD"),AZ386,"")</f>
        <v/>
      </c>
      <c r="BH386" t="n">
        <v>2</v>
      </c>
      <c r="BI386" t="n">
        <v>2</v>
      </c>
      <c r="BJ386" t="n">
        <v>1</v>
      </c>
      <c r="BK386" t="n">
        <v>5</v>
      </c>
    </row>
    <row r="387">
      <c r="A387" t="inlineStr">
        <is>
          <t>Tyler Fletcher</t>
        </is>
      </c>
      <c r="B387" t="inlineStr">
        <is>
          <t>MUN</t>
        </is>
      </c>
      <c r="C387" t="inlineStr">
        <is>
          <t>MUN</t>
        </is>
      </c>
      <c r="D387" t="b">
        <v>0</v>
      </c>
      <c r="E387" t="inlineStr">
        <is>
          <t>MID</t>
        </is>
      </c>
      <c r="F387" t="inlineStr">
        <is>
          <t>MID</t>
        </is>
      </c>
      <c r="G387" t="b">
        <v>1</v>
      </c>
      <c r="H387" s="2" t="n">
        <v>4.5</v>
      </c>
      <c r="I387" t="inlineStr">
        <is>
          <t>a</t>
        </is>
      </c>
      <c r="K387" s="2" t="n">
        <v>17</v>
      </c>
      <c r="L387" t="n">
        <v>2</v>
      </c>
      <c r="M387" s="3" t="n">
        <v>52</v>
      </c>
      <c r="N387" s="8" t="n">
        <v>52</v>
      </c>
      <c r="O387" s="8" t="n">
        <v>0</v>
      </c>
      <c r="Q387" t="inlineStr">
        <is>
          <t>flat</t>
        </is>
      </c>
      <c r="R387" s="6" t="n">
        <v>52</v>
      </c>
      <c r="S387" t="inlineStr">
        <is>
          <t>Solio</t>
        </is>
      </c>
      <c r="U387" s="6" t="n">
        <v>80.09999999999999</v>
      </c>
      <c r="V387" s="2" t="n">
        <v>0</v>
      </c>
      <c r="W387" s="7">
        <f>IF(N(U387)&lt;=0,0,MIN(Assumptions!$B$15,N(R387)/N(U387)))</f>
        <v/>
      </c>
      <c r="X387" s="6" t="n">
        <v>0.334</v>
      </c>
      <c r="Y387" s="3" t="n">
        <v>0</v>
      </c>
      <c r="Z387" t="inlineStr">
        <is>
          <t>blended xG</t>
        </is>
      </c>
      <c r="AA387" s="3" t="n">
        <v>1</v>
      </c>
      <c r="AB387" s="3" t="n">
        <v>1</v>
      </c>
      <c r="AC387" s="3" t="n">
        <v>0</v>
      </c>
      <c r="AD387" s="3" t="n">
        <v>0.0265</v>
      </c>
      <c r="AE387" s="3" t="n">
        <v>8.622999999999999</v>
      </c>
      <c r="AF387" s="3" t="n">
        <v>0.08986794610963023</v>
      </c>
      <c r="AG387" s="3" t="n">
        <v>6.948</v>
      </c>
      <c r="AH387" s="3" t="n">
        <v>0.0146246784</v>
      </c>
      <c r="AI387" s="3" t="n">
        <v>2</v>
      </c>
      <c r="AJ387" s="3" t="n">
        <v>2.2165</v>
      </c>
      <c r="AK387" s="3" t="n">
        <v>1.1467</v>
      </c>
      <c r="AL387" s="3" t="n">
        <v>-0.2137167537108107</v>
      </c>
      <c r="AM387" s="6" t="n">
        <v>0</v>
      </c>
      <c r="AN387" s="3" t="n">
        <v>0</v>
      </c>
      <c r="AO387" s="3" t="n">
        <v>0</v>
      </c>
      <c r="AP387" s="3" t="n">
        <v>0.10494</v>
      </c>
      <c r="AQ387" s="3">
        <f>N(X387)*N(BJ387)</f>
        <v/>
      </c>
      <c r="AR387" s="3" t="n">
        <v>0</v>
      </c>
      <c r="AS387" s="3" t="n">
        <v>-0</v>
      </c>
      <c r="AT387" s="3" t="n">
        <v>-0.2137167537108107</v>
      </c>
      <c r="AU387" s="3">
        <f>SUM(AO387:AT387)</f>
        <v/>
      </c>
      <c r="AV387" s="7">
        <f>IF(OR(N(W387)&lt;=0,N(BH387)=0),0,N(W387)*IF(N(R387)/N(W387)&gt;=60,N(BH387),1))</f>
        <v/>
      </c>
      <c r="AW387" s="7">
        <f>N(W387)*N(AF387)*N(BI387)</f>
        <v/>
      </c>
      <c r="AX387" s="3">
        <f>IF(N(BH387)=0,0,N(W387)*N(AH387))</f>
        <v/>
      </c>
      <c r="AY387" s="7">
        <f>N(AM387)*(Assumptions!$B$13*N(BK387)-(1-Assumptions!$B$13)*Assumptions!$B$14)+N(AN387)</f>
        <v/>
      </c>
      <c r="AZ387" s="7">
        <f>N(AU387)*N(R387)/90+N(AV387)+N(AW387)+N(AX387)+N(AY387)</f>
        <v/>
      </c>
      <c r="BA387" s="3">
        <f>IF(N(R387)&lt;=0,0,(N(AZ387)-N(AY387))*90/N(R387))</f>
        <v/>
      </c>
      <c r="BB387" s="7">
        <f>IFERROR(AZ387-VLOOKUP($E387,Assumptions!$A$40:$C$43,3,FALSE),"")</f>
        <v/>
      </c>
      <c r="BC387" s="3">
        <f>IFERROR(BB387/H387,"")</f>
        <v/>
      </c>
      <c r="BD387">
        <f>IF(AND($G387=TRUE,$E387="GKP"),AZ387,"")</f>
        <v/>
      </c>
      <c r="BE387">
        <f>IF(AND($G387=TRUE,$E387="DEF"),AZ387,"")</f>
        <v/>
      </c>
      <c r="BF387">
        <f>IF(AND($G387=TRUE,$E387="MID"),AZ387,"")</f>
        <v/>
      </c>
      <c r="BG387">
        <f>IF(AND($G387=TRUE,$E387="FWD"),AZ387,"")</f>
        <v/>
      </c>
      <c r="BH387" t="n">
        <v>2</v>
      </c>
      <c r="BI387" t="n">
        <v>2</v>
      </c>
      <c r="BJ387" t="n">
        <v>1</v>
      </c>
      <c r="BK387" t="n">
        <v>5</v>
      </c>
    </row>
    <row r="388">
      <c r="A388" t="inlineStr">
        <is>
          <t>Jenson Seelt</t>
        </is>
      </c>
      <c r="B388" t="inlineStr">
        <is>
          <t>SUN</t>
        </is>
      </c>
      <c r="C388" t="inlineStr">
        <is>
          <t>SUN</t>
        </is>
      </c>
      <c r="D388" t="b">
        <v>0</v>
      </c>
      <c r="E388" t="inlineStr">
        <is>
          <t>DEF</t>
        </is>
      </c>
      <c r="F388" t="inlineStr">
        <is>
          <t>DEF</t>
        </is>
      </c>
      <c r="G388" t="b">
        <v>1</v>
      </c>
      <c r="H388" s="2" t="n">
        <v>4.5</v>
      </c>
      <c r="I388" t="inlineStr">
        <is>
          <t>a</t>
        </is>
      </c>
      <c r="K388" s="2" t="n">
        <v>133</v>
      </c>
      <c r="L388" t="n">
        <v>2</v>
      </c>
      <c r="M388" s="3" t="n">
        <v>147</v>
      </c>
      <c r="N388" s="8" t="n">
        <v>147</v>
      </c>
      <c r="O388" s="8" t="n">
        <v>0</v>
      </c>
      <c r="Q388" t="inlineStr">
        <is>
          <t>flat</t>
        </is>
      </c>
      <c r="R388" s="6" t="n">
        <v>147</v>
      </c>
      <c r="S388" t="inlineStr">
        <is>
          <t>Solio</t>
        </is>
      </c>
      <c r="U388" s="6" t="n">
        <v>82.5</v>
      </c>
      <c r="V388" s="2" t="n">
        <v>1</v>
      </c>
      <c r="W388" s="7">
        <f>IF(N(U388)&lt;=0,0,MIN(Assumptions!$B$15,N(R388)/N(U388)))</f>
        <v/>
      </c>
      <c r="X388" s="6" t="n">
        <v>0.204</v>
      </c>
      <c r="Y388" s="3" t="n">
        <v>0</v>
      </c>
      <c r="Z388" t="inlineStr">
        <is>
          <t>blended xG</t>
        </is>
      </c>
      <c r="AA388" s="3" t="n">
        <v>1</v>
      </c>
      <c r="AB388" s="3" t="n">
        <v>1</v>
      </c>
      <c r="AC388" s="3" t="n">
        <v>0</v>
      </c>
      <c r="AD388" s="3" t="n">
        <v>0.0034</v>
      </c>
      <c r="AE388" s="3" t="n">
        <v>7.753</v>
      </c>
      <c r="AF388" s="3" t="n">
        <v>0.1805093561997273</v>
      </c>
      <c r="AG388" s="3" t="n">
        <v>7.818</v>
      </c>
      <c r="AH388" s="3" t="n">
        <v>0.09051575919999999</v>
      </c>
      <c r="AI388" s="3" t="n">
        <v>3</v>
      </c>
      <c r="AJ388" s="3" t="n">
        <v>3.3348</v>
      </c>
      <c r="AK388" s="3" t="n">
        <v>1.6498</v>
      </c>
      <c r="AL388" s="3" t="n">
        <v>-0.1890223002434963</v>
      </c>
      <c r="AM388" s="6" t="n">
        <v>0</v>
      </c>
      <c r="AN388" s="3" t="n">
        <v>0</v>
      </c>
      <c r="AO388" s="3" t="n">
        <v>0</v>
      </c>
      <c r="AP388" s="3" t="n">
        <v>0.013464</v>
      </c>
      <c r="AQ388" s="3">
        <f>N(X388)*N(BJ388)</f>
        <v/>
      </c>
      <c r="AR388" s="3" t="n">
        <v>0</v>
      </c>
      <c r="AS388" s="3" t="n">
        <v>-0.5841244809045405</v>
      </c>
      <c r="AT388" s="3" t="n">
        <v>-0.1890223002434963</v>
      </c>
      <c r="AU388" s="3">
        <f>SUM(AO388:AT388)</f>
        <v/>
      </c>
      <c r="AV388" s="7">
        <f>IF(OR(N(W388)&lt;=0,N(BH388)=0),0,N(W388)*IF(N(R388)/N(W388)&gt;=60,N(BH388),1))</f>
        <v/>
      </c>
      <c r="AW388" s="7">
        <f>N(W388)*N(AF388)*N(BI388)</f>
        <v/>
      </c>
      <c r="AX388" s="3">
        <f>IF(N(BH388)=0,0,N(W388)*N(AH388))</f>
        <v/>
      </c>
      <c r="AY388" s="7">
        <f>N(AM388)*(Assumptions!$B$13*N(BK388)-(1-Assumptions!$B$13)*Assumptions!$B$14)+N(AN388)</f>
        <v/>
      </c>
      <c r="AZ388" s="7">
        <f>N(AU388)*N(R388)/90+N(AV388)+N(AW388)+N(AX388)+N(AY388)</f>
        <v/>
      </c>
      <c r="BA388" s="3">
        <f>IF(N(R388)&lt;=0,0,(N(AZ388)-N(AY388))*90/N(R388))</f>
        <v/>
      </c>
      <c r="BB388" s="7">
        <f>IFERROR(AZ388-VLOOKUP($E388,Assumptions!$A$40:$C$43,3,FALSE),"")</f>
        <v/>
      </c>
      <c r="BC388" s="3">
        <f>IFERROR(BB388/H388,"")</f>
        <v/>
      </c>
      <c r="BD388">
        <f>IF(AND($G388=TRUE,$E388="GKP"),AZ388,"")</f>
        <v/>
      </c>
      <c r="BE388">
        <f>IF(AND($G388=TRUE,$E388="DEF"),AZ388,"")</f>
        <v/>
      </c>
      <c r="BF388">
        <f>IF(AND($G388=TRUE,$E388="MID"),AZ388,"")</f>
        <v/>
      </c>
      <c r="BG388">
        <f>IF(AND($G388=TRUE,$E388="FWD"),AZ388,"")</f>
        <v/>
      </c>
      <c r="BH388" t="n">
        <v>2</v>
      </c>
      <c r="BI388" t="n">
        <v>2</v>
      </c>
      <c r="BJ388" t="n">
        <v>4</v>
      </c>
      <c r="BK388" t="n">
        <v>6</v>
      </c>
    </row>
    <row r="389">
      <c r="A389" t="inlineStr">
        <is>
          <t>George Hemmings</t>
        </is>
      </c>
      <c r="B389" t="inlineStr">
        <is>
          <t>AVL</t>
        </is>
      </c>
      <c r="C389" t="inlineStr">
        <is>
          <t>AVL</t>
        </is>
      </c>
      <c r="D389" t="b">
        <v>0</v>
      </c>
      <c r="E389" t="inlineStr">
        <is>
          <t>MID</t>
        </is>
      </c>
      <c r="F389" t="inlineStr">
        <is>
          <t>MID</t>
        </is>
      </c>
      <c r="G389" t="b">
        <v>1</v>
      </c>
      <c r="H389" s="2" t="n">
        <v>4.5</v>
      </c>
      <c r="I389" t="inlineStr">
        <is>
          <t>a</t>
        </is>
      </c>
      <c r="K389" s="2" t="n">
        <v>25</v>
      </c>
      <c r="L389" t="n">
        <v>2</v>
      </c>
      <c r="M389" s="3" t="n">
        <v>19</v>
      </c>
      <c r="N389" s="4" t="n">
        <v>180</v>
      </c>
      <c r="O389" s="4" t="n">
        <v>161</v>
      </c>
      <c r="P389" s="5" t="inlineStr">
        <is>
          <t>low</t>
        </is>
      </c>
      <c r="Q389" t="inlineStr">
        <is>
          <t>flat</t>
        </is>
      </c>
      <c r="R389" s="6" t="n">
        <v>180</v>
      </c>
      <c r="S389" t="inlineStr">
        <is>
          <t>research</t>
        </is>
      </c>
      <c r="T389" s="5" t="inlineStr">
        <is>
          <t>Started the UEFA Super Cup final at 19 and went close to an equaliser, then started against Monchengladbach. Emery discussed him at length post-match as a number ten being deliberately developed. Kept small: a showpiece start with the senior attackers absent is not a Premier League role, and he drops out once Garnacho and Manzambi are fit.</t>
        </is>
      </c>
      <c r="U389" s="6" t="n">
        <v>80.09999999999999</v>
      </c>
      <c r="V389" s="2" t="n">
        <v>0</v>
      </c>
      <c r="W389" s="7">
        <f>IF(N(U389)&lt;=0,0,MIN(Assumptions!$B$15,N(R389)/N(U389)))</f>
        <v/>
      </c>
      <c r="X389" s="6" t="n">
        <v>0.273</v>
      </c>
      <c r="Y389" s="3" t="n">
        <v>0.144</v>
      </c>
      <c r="Z389" t="inlineStr">
        <is>
          <t>adjusted xGOT</t>
        </is>
      </c>
      <c r="AA389" s="3" t="n">
        <v>1</v>
      </c>
      <c r="AB389" s="3" t="n">
        <v>0.995</v>
      </c>
      <c r="AC389" s="3" t="n">
        <v>0</v>
      </c>
      <c r="AD389" s="3" t="n">
        <v>0.018</v>
      </c>
      <c r="AE389" s="3" t="n">
        <v>8.41</v>
      </c>
      <c r="AF389" s="3" t="n">
        <v>0.07836075947435073</v>
      </c>
      <c r="AG389" s="3" t="n">
        <v>6.791</v>
      </c>
      <c r="AH389" s="3" t="n">
        <v>0.211107846</v>
      </c>
      <c r="AI389" s="3" t="n">
        <v>2</v>
      </c>
      <c r="AJ389" s="3" t="n">
        <v>2.7451</v>
      </c>
      <c r="AK389" s="3" t="n">
        <v>1.3575</v>
      </c>
      <c r="AL389" s="3" t="n">
        <v>-0.2126405378231206</v>
      </c>
      <c r="AM389" s="6" t="n">
        <v>0</v>
      </c>
      <c r="AN389" s="3" t="n">
        <v>0</v>
      </c>
      <c r="AO389" s="3" t="n">
        <v>0.72</v>
      </c>
      <c r="AP389" s="3" t="n">
        <v>0.07128</v>
      </c>
      <c r="AQ389" s="3">
        <f>N(X389)*N(BJ389)</f>
        <v/>
      </c>
      <c r="AR389" s="3" t="n">
        <v>0</v>
      </c>
      <c r="AS389" s="3" t="n">
        <v>-0</v>
      </c>
      <c r="AT389" s="3" t="n">
        <v>-0.2126405378231206</v>
      </c>
      <c r="AU389" s="3">
        <f>SUM(AO389:AT389)</f>
        <v/>
      </c>
      <c r="AV389" s="7">
        <f>IF(OR(N(W389)&lt;=0,N(BH389)=0),0,N(W389)*IF(N(R389)/N(W389)&gt;=60,N(BH389),1))</f>
        <v/>
      </c>
      <c r="AW389" s="7">
        <f>N(W389)*N(AF389)*N(BI389)</f>
        <v/>
      </c>
      <c r="AX389" s="3">
        <f>IF(N(BH389)=0,0,N(W389)*N(AH389))</f>
        <v/>
      </c>
      <c r="AY389" s="7">
        <f>N(AM389)*(Assumptions!$B$13*N(BK389)-(1-Assumptions!$B$13)*Assumptions!$B$14)+N(AN389)</f>
        <v/>
      </c>
      <c r="AZ389" s="7">
        <f>N(AU389)*N(R389)/90+N(AV389)+N(AW389)+N(AX389)+N(AY389)</f>
        <v/>
      </c>
      <c r="BA389" s="3">
        <f>IF(N(R389)&lt;=0,0,(N(AZ389)-N(AY389))*90/N(R389))</f>
        <v/>
      </c>
      <c r="BB389" s="7">
        <f>IFERROR(AZ389-VLOOKUP($E389,Assumptions!$A$40:$C$43,3,FALSE),"")</f>
        <v/>
      </c>
      <c r="BC389" s="3">
        <f>IFERROR(BB389/H389,"")</f>
        <v/>
      </c>
      <c r="BD389">
        <f>IF(AND($G389=TRUE,$E389="GKP"),AZ389,"")</f>
        <v/>
      </c>
      <c r="BE389">
        <f>IF(AND($G389=TRUE,$E389="DEF"),AZ389,"")</f>
        <v/>
      </c>
      <c r="BF389">
        <f>IF(AND($G389=TRUE,$E389="MID"),AZ389,"")</f>
        <v/>
      </c>
      <c r="BG389">
        <f>IF(AND($G389=TRUE,$E389="FWD"),AZ389,"")</f>
        <v/>
      </c>
      <c r="BH389" t="n">
        <v>2</v>
      </c>
      <c r="BI389" t="n">
        <v>2</v>
      </c>
      <c r="BJ389" t="n">
        <v>1</v>
      </c>
      <c r="BK389" t="n">
        <v>5</v>
      </c>
    </row>
    <row r="390">
      <c r="A390" t="inlineStr">
        <is>
          <t>Dane Scarlett</t>
        </is>
      </c>
      <c r="B390" t="inlineStr">
        <is>
          <t>TOT</t>
        </is>
      </c>
      <c r="C390" t="inlineStr">
        <is>
          <t>TOT</t>
        </is>
      </c>
      <c r="D390" t="b">
        <v>0</v>
      </c>
      <c r="E390" t="inlineStr">
        <is>
          <t>FWD</t>
        </is>
      </c>
      <c r="F390" t="inlineStr">
        <is>
          <t>FWD</t>
        </is>
      </c>
      <c r="G390" t="b">
        <v>1</v>
      </c>
      <c r="H390" s="2" t="n">
        <v>4.5</v>
      </c>
      <c r="I390" t="inlineStr">
        <is>
          <t>a</t>
        </is>
      </c>
      <c r="K390" s="2" t="n">
        <v>7</v>
      </c>
      <c r="L390" t="n">
        <v>2</v>
      </c>
      <c r="M390" s="3" t="n">
        <v>0</v>
      </c>
      <c r="N390" s="8" t="n">
        <v>0</v>
      </c>
      <c r="O390" s="8" t="n">
        <v>0</v>
      </c>
      <c r="Q390" t="inlineStr">
        <is>
          <t>flat</t>
        </is>
      </c>
      <c r="R390" s="6" t="n">
        <v>0</v>
      </c>
      <c r="S390" t="inlineStr">
        <is>
          <t>Solio</t>
        </is>
      </c>
      <c r="U390" s="6" t="n">
        <v>78.5</v>
      </c>
      <c r="V390" s="2" t="n">
        <v>0</v>
      </c>
      <c r="W390" s="7">
        <f>IF(N(U390)&lt;=0,0,MIN(Assumptions!$B$15,N(R390)/N(U390)))</f>
        <v/>
      </c>
      <c r="X390" s="6" t="n">
        <v>0.286</v>
      </c>
      <c r="Y390" s="3" t="n">
        <v>0</v>
      </c>
      <c r="Z390" t="inlineStr">
        <is>
          <t>adjusted xGOT</t>
        </is>
      </c>
      <c r="AA390" s="3" t="n">
        <v>1</v>
      </c>
      <c r="AB390" s="3" t="n">
        <v>0.995</v>
      </c>
      <c r="AC390" s="3" t="n">
        <v>0</v>
      </c>
      <c r="AD390" s="3" t="n">
        <v>0.0643</v>
      </c>
      <c r="AE390" s="3" t="n">
        <v>4.871</v>
      </c>
      <c r="AF390" s="3" t="n">
        <v>0.001510074530455929</v>
      </c>
      <c r="AG390" s="3" t="n">
        <v>1.101</v>
      </c>
      <c r="AH390" s="3" t="n">
        <v>0.0034927728</v>
      </c>
      <c r="AI390" s="3" t="n">
        <v>2</v>
      </c>
      <c r="AJ390" s="3" t="n">
        <v>2.5739</v>
      </c>
      <c r="AK390" s="3" t="n">
        <v>1.3096</v>
      </c>
      <c r="AL390" s="3" t="n">
        <v>-0.1710164618431031</v>
      </c>
      <c r="AM390" s="6" t="n">
        <v>0</v>
      </c>
      <c r="AN390" s="3" t="n">
        <v>0</v>
      </c>
      <c r="AO390" s="3" t="n">
        <v>0</v>
      </c>
      <c r="AP390" s="3" t="n">
        <v>0.254628</v>
      </c>
      <c r="AQ390" s="3">
        <f>N(X390)*N(BJ390)</f>
        <v/>
      </c>
      <c r="AR390" s="3" t="n">
        <v>0</v>
      </c>
      <c r="AS390" s="3" t="n">
        <v>-0</v>
      </c>
      <c r="AT390" s="3" t="n">
        <v>-0.1710164618431031</v>
      </c>
      <c r="AU390" s="3">
        <f>SUM(AO390:AT390)</f>
        <v/>
      </c>
      <c r="AV390" s="7">
        <f>IF(OR(N(W390)&lt;=0,N(BH390)=0),0,N(W390)*IF(N(R390)/N(W390)&gt;=60,N(BH390),1))</f>
        <v/>
      </c>
      <c r="AW390" s="7">
        <f>N(W390)*N(AF390)*N(BI390)</f>
        <v/>
      </c>
      <c r="AX390" s="3">
        <f>IF(N(BH390)=0,0,N(W390)*N(AH390))</f>
        <v/>
      </c>
      <c r="AY390" s="7">
        <f>N(AM390)*(Assumptions!$B$13*N(BK390)-(1-Assumptions!$B$13)*Assumptions!$B$14)+N(AN390)</f>
        <v/>
      </c>
      <c r="AZ390" s="7">
        <f>N(AU390)*N(R390)/90+N(AV390)+N(AW390)+N(AX390)+N(AY390)</f>
        <v/>
      </c>
      <c r="BA390" s="3">
        <f>IF(N(R390)&lt;=0,0,(N(AZ390)-N(AY390))*90/N(R390))</f>
        <v/>
      </c>
      <c r="BB390" s="7">
        <f>IFERROR(AZ390-VLOOKUP($E390,Assumptions!$A$40:$C$43,3,FALSE),"")</f>
        <v/>
      </c>
      <c r="BC390" s="3">
        <f>IFERROR(BB390/H390,"")</f>
        <v/>
      </c>
      <c r="BD390">
        <f>IF(AND($G390=TRUE,$E390="GKP"),AZ390,"")</f>
        <v/>
      </c>
      <c r="BE390">
        <f>IF(AND($G390=TRUE,$E390="DEF"),AZ390,"")</f>
        <v/>
      </c>
      <c r="BF390">
        <f>IF(AND($G390=TRUE,$E390="MID"),AZ390,"")</f>
        <v/>
      </c>
      <c r="BG390">
        <f>IF(AND($G390=TRUE,$E390="FWD"),AZ390,"")</f>
        <v/>
      </c>
      <c r="BH390" t="n">
        <v>2</v>
      </c>
      <c r="BI390" t="n">
        <v>2</v>
      </c>
      <c r="BJ390" t="n">
        <v>0</v>
      </c>
      <c r="BK390" t="n">
        <v>4</v>
      </c>
    </row>
    <row r="391">
      <c r="A391" t="inlineStr">
        <is>
          <t>Rio Cardines</t>
        </is>
      </c>
      <c r="B391" t="inlineStr">
        <is>
          <t>CRY</t>
        </is>
      </c>
      <c r="C391" t="inlineStr">
        <is>
          <t>CRY</t>
        </is>
      </c>
      <c r="D391" t="b">
        <v>0</v>
      </c>
      <c r="E391" t="inlineStr">
        <is>
          <t>DEF</t>
        </is>
      </c>
      <c r="F391" t="inlineStr">
        <is>
          <t>MID</t>
        </is>
      </c>
      <c r="G391" t="b">
        <v>1</v>
      </c>
      <c r="H391" s="2" t="n">
        <v>4.5</v>
      </c>
      <c r="I391" t="inlineStr">
        <is>
          <t>u</t>
        </is>
      </c>
      <c r="J391" t="inlineStr">
        <is>
          <t>Has joined Bristol City on loan for the rest of the season</t>
        </is>
      </c>
      <c r="K391" s="2" t="n">
        <v>90</v>
      </c>
      <c r="L391" t="n">
        <v>2</v>
      </c>
      <c r="M391" s="3" t="n"/>
      <c r="N391" s="4" t="n">
        <v>0</v>
      </c>
      <c r="O391" s="4" t="n">
        <v>-90</v>
      </c>
      <c r="P391" s="5" t="inlineStr">
        <is>
          <t>high</t>
        </is>
      </c>
      <c r="R391" s="6" t="n">
        <v>0</v>
      </c>
      <c r="S391" t="inlineStr">
        <is>
          <t>research</t>
        </is>
      </c>
      <c r="T391" s="5" t="inlineStr">
        <is>
          <t>Joined Bristol City on loan for the rest of the season on 11 August. FPL status 'u', chance_of_playing 0, news dated 2026-08-12. Cannot record Premier League minutes.</t>
        </is>
      </c>
      <c r="U391" s="6" t="n">
        <v>81</v>
      </c>
      <c r="V391" s="2" t="n">
        <v>1</v>
      </c>
      <c r="W391" s="7">
        <f>IF(N(U391)&lt;=0,0,MIN(Assumptions!$B$15,N(R391)/N(U391)))</f>
        <v/>
      </c>
      <c r="X391" s="6" t="n">
        <v>0.216</v>
      </c>
      <c r="Y391" s="3" t="n">
        <v>0.02</v>
      </c>
      <c r="Z391" t="inlineStr">
        <is>
          <t>adjusted xGOT</t>
        </is>
      </c>
      <c r="AA391" s="3" t="n">
        <v>1</v>
      </c>
      <c r="AB391" s="3" t="n">
        <v>0.998</v>
      </c>
      <c r="AC391" s="3" t="n">
        <v>0</v>
      </c>
      <c r="AD391" s="3" t="n">
        <v>0.229</v>
      </c>
      <c r="AE391" s="3" t="n">
        <v>8.401999999999999</v>
      </c>
      <c r="AF391" s="3" t="n">
        <v>0.2307079737435496</v>
      </c>
      <c r="AG391" s="3" t="n">
        <v>7.653</v>
      </c>
      <c r="AH391" s="3" t="n">
        <v>0.200587837</v>
      </c>
      <c r="AI391" s="3" t="n">
        <v>2</v>
      </c>
      <c r="AJ391" s="3" t="n">
        <v>3.2035</v>
      </c>
      <c r="AK391" s="3" t="n">
        <v>1.5923</v>
      </c>
      <c r="AL391" s="3" t="n">
        <v>-0.1937389014251048</v>
      </c>
      <c r="AM391" s="6" t="n">
        <v>0</v>
      </c>
      <c r="AN391" s="3" t="n">
        <v>0</v>
      </c>
      <c r="AO391" s="3" t="n">
        <v>0.12</v>
      </c>
      <c r="AP391" s="3" t="n">
        <v>0.9068400000000001</v>
      </c>
      <c r="AQ391" s="3">
        <f>N(X391)*N(BJ391)</f>
        <v/>
      </c>
      <c r="AR391" s="3" t="n">
        <v>0</v>
      </c>
      <c r="AS391" s="3" t="n">
        <v>-0.5564987001023466</v>
      </c>
      <c r="AT391" s="3" t="n">
        <v>-0.1937389014251048</v>
      </c>
      <c r="AU391" s="3">
        <f>SUM(AO391:AT391)</f>
        <v/>
      </c>
      <c r="AV391" s="7">
        <f>IF(OR(N(W391)&lt;=0,N(BH391)=0),0,N(W391)*IF(N(R391)/N(W391)&gt;=60,N(BH391),1))</f>
        <v/>
      </c>
      <c r="AW391" s="7">
        <f>N(W391)*N(AF391)*N(BI391)</f>
        <v/>
      </c>
      <c r="AX391" s="3">
        <f>IF(N(BH391)=0,0,N(W391)*N(AH391))</f>
        <v/>
      </c>
      <c r="AY391" s="7">
        <f>N(AM391)*(Assumptions!$B$13*N(BK391)-(1-Assumptions!$B$13)*Assumptions!$B$14)+N(AN391)</f>
        <v/>
      </c>
      <c r="AZ391" s="7">
        <f>N(AU391)*N(R391)/90+N(AV391)+N(AW391)+N(AX391)+N(AY391)</f>
        <v/>
      </c>
      <c r="BA391" s="3">
        <f>IF(N(R391)&lt;=0,0,(N(AZ391)-N(AY391))*90/N(R391))</f>
        <v/>
      </c>
      <c r="BB391" s="7">
        <f>IFERROR(AZ391-VLOOKUP($E391,Assumptions!$A$40:$C$43,3,FALSE),"")</f>
        <v/>
      </c>
      <c r="BC391" s="3">
        <f>IFERROR(BB391/H391,"")</f>
        <v/>
      </c>
      <c r="BD391">
        <f>IF(AND($G391=TRUE,$E391="GKP"),AZ391,"")</f>
        <v/>
      </c>
      <c r="BE391">
        <f>IF(AND($G391=TRUE,$E391="DEF"),AZ391,"")</f>
        <v/>
      </c>
      <c r="BF391">
        <f>IF(AND($G391=TRUE,$E391="MID"),AZ391,"")</f>
        <v/>
      </c>
      <c r="BG391">
        <f>IF(AND($G391=TRUE,$E391="FWD"),AZ391,"")</f>
        <v/>
      </c>
      <c r="BH391" t="n">
        <v>2</v>
      </c>
      <c r="BI391" t="n">
        <v>2</v>
      </c>
      <c r="BJ391" t="n">
        <v>4</v>
      </c>
      <c r="BK391" t="n">
        <v>6</v>
      </c>
    </row>
    <row r="392">
      <c r="A392" t="inlineStr">
        <is>
          <t>Jun'ai Byfield</t>
        </is>
      </c>
      <c r="B392" t="inlineStr">
        <is>
          <t>TOT</t>
        </is>
      </c>
      <c r="C392" t="inlineStr">
        <is>
          <t>TOT</t>
        </is>
      </c>
      <c r="D392" t="b">
        <v>0</v>
      </c>
      <c r="E392" t="inlineStr">
        <is>
          <t>DEF</t>
        </is>
      </c>
      <c r="F392" t="inlineStr">
        <is>
          <t>DEF</t>
        </is>
      </c>
      <c r="G392" t="b">
        <v>1</v>
      </c>
      <c r="H392" s="2" t="n">
        <v>4</v>
      </c>
      <c r="I392" t="inlineStr">
        <is>
          <t>a</t>
        </is>
      </c>
      <c r="K392" s="2" t="n">
        <v>1</v>
      </c>
      <c r="L392" t="n">
        <v>1</v>
      </c>
      <c r="M392" s="3" t="n">
        <v>0</v>
      </c>
      <c r="N392" s="8" t="n">
        <v>0</v>
      </c>
      <c r="O392" s="8" t="n">
        <v>0</v>
      </c>
      <c r="Q392" t="inlineStr">
        <is>
          <t>flat</t>
        </is>
      </c>
      <c r="R392" s="6" t="n">
        <v>0</v>
      </c>
      <c r="S392" t="inlineStr">
        <is>
          <t>Solio</t>
        </is>
      </c>
      <c r="U392" s="6" t="n">
        <v>85.5</v>
      </c>
      <c r="V392" s="2" t="n">
        <v>0</v>
      </c>
      <c r="W392" s="7">
        <f>IF(N(U392)&lt;=0,0,MIN(Assumptions!$B$15,N(R392)/N(U392)))</f>
        <v/>
      </c>
      <c r="X392" s="6" t="n">
        <v>0.286</v>
      </c>
      <c r="Y392" s="3" t="n">
        <v>0</v>
      </c>
      <c r="Z392" t="inlineStr">
        <is>
          <t>blended xG</t>
        </is>
      </c>
      <c r="AA392" s="3" t="n">
        <v>1</v>
      </c>
      <c r="AB392" s="3" t="n">
        <v>1</v>
      </c>
      <c r="AC392" s="3" t="n">
        <v>0</v>
      </c>
      <c r="AD392" s="3" t="n">
        <v>0</v>
      </c>
      <c r="AE392" s="3" t="n">
        <v>7.674</v>
      </c>
      <c r="AF392" s="3" t="n">
        <v>0.2001181230412002</v>
      </c>
      <c r="AG392" s="3" t="n">
        <v>8.162000000000001</v>
      </c>
      <c r="AH392" s="3" t="n">
        <v>0.1228337696</v>
      </c>
      <c r="AI392" s="3" t="n">
        <v>1</v>
      </c>
      <c r="AJ392" s="3" t="n">
        <v>2.5739</v>
      </c>
      <c r="AK392" s="3" t="n">
        <v>1.3096</v>
      </c>
      <c r="AL392" s="3" t="n">
        <v>-0.2043954225041625</v>
      </c>
      <c r="AM392" s="6" t="n">
        <v>0</v>
      </c>
      <c r="AN392" s="3" t="n">
        <v>0</v>
      </c>
      <c r="AO392" s="3" t="n">
        <v>0</v>
      </c>
      <c r="AP392" s="3" t="n">
        <v>0</v>
      </c>
      <c r="AQ392" s="3">
        <f>N(X392)*N(BJ392)</f>
        <v/>
      </c>
      <c r="AR392" s="3" t="n">
        <v>0</v>
      </c>
      <c r="AS392" s="3" t="n">
        <v>-0.4230152821052008</v>
      </c>
      <c r="AT392" s="3" t="n">
        <v>-0.2043954225041625</v>
      </c>
      <c r="AU392" s="3">
        <f>SUM(AO392:AT392)</f>
        <v/>
      </c>
      <c r="AV392" s="7">
        <f>IF(OR(N(W392)&lt;=0,N(BH392)=0),0,N(W392)*IF(N(R392)/N(W392)&gt;=60,N(BH392),1))</f>
        <v/>
      </c>
      <c r="AW392" s="7">
        <f>N(W392)*N(AF392)*N(BI392)</f>
        <v/>
      </c>
      <c r="AX392" s="3">
        <f>IF(N(BH392)=0,0,N(W392)*N(AH392))</f>
        <v/>
      </c>
      <c r="AY392" s="7">
        <f>N(AM392)*(Assumptions!$B$13*N(BK392)-(1-Assumptions!$B$13)*Assumptions!$B$14)+N(AN392)</f>
        <v/>
      </c>
      <c r="AZ392" s="7">
        <f>N(AU392)*N(R392)/90+N(AV392)+N(AW392)+N(AX392)+N(AY392)</f>
        <v/>
      </c>
      <c r="BA392" s="3">
        <f>IF(N(R392)&lt;=0,0,(N(AZ392)-N(AY392))*90/N(R392))</f>
        <v/>
      </c>
      <c r="BB392" s="7">
        <f>IFERROR(AZ392-VLOOKUP($E392,Assumptions!$A$40:$C$43,3,FALSE),"")</f>
        <v/>
      </c>
      <c r="BC392" s="3">
        <f>IFERROR(BB392/H392,"")</f>
        <v/>
      </c>
      <c r="BD392">
        <f>IF(AND($G392=TRUE,$E392="GKP"),AZ392,"")</f>
        <v/>
      </c>
      <c r="BE392">
        <f>IF(AND($G392=TRUE,$E392="DEF"),AZ392,"")</f>
        <v/>
      </c>
      <c r="BF392">
        <f>IF(AND($G392=TRUE,$E392="MID"),AZ392,"")</f>
        <v/>
      </c>
      <c r="BG392">
        <f>IF(AND($G392=TRUE,$E392="FWD"),AZ392,"")</f>
        <v/>
      </c>
      <c r="BH392" t="n">
        <v>2</v>
      </c>
      <c r="BI392" t="n">
        <v>2</v>
      </c>
      <c r="BJ392" t="n">
        <v>4</v>
      </c>
      <c r="BK392" t="n">
        <v>6</v>
      </c>
    </row>
    <row r="393">
      <c r="A393" t="inlineStr">
        <is>
          <t>Nehemiah Oriola</t>
        </is>
      </c>
      <c r="B393" t="inlineStr">
        <is>
          <t>BHA</t>
        </is>
      </c>
      <c r="C393" t="inlineStr">
        <is>
          <t>BHA</t>
        </is>
      </c>
      <c r="D393" t="b">
        <v>0</v>
      </c>
      <c r="E393" t="inlineStr">
        <is>
          <t>MID</t>
        </is>
      </c>
      <c r="F393" t="inlineStr">
        <is>
          <t>MID</t>
        </is>
      </c>
      <c r="G393" t="b">
        <v>1</v>
      </c>
      <c r="H393" s="2" t="n">
        <v>4.5</v>
      </c>
      <c r="I393" t="inlineStr">
        <is>
          <t>a</t>
        </is>
      </c>
      <c r="K393" s="2" t="n">
        <v>1</v>
      </c>
      <c r="L393" t="n">
        <v>1</v>
      </c>
      <c r="M393" s="3" t="n">
        <v>0</v>
      </c>
      <c r="N393" s="8" t="n">
        <v>0</v>
      </c>
      <c r="O393" s="8" t="n">
        <v>0</v>
      </c>
      <c r="Q393" t="inlineStr">
        <is>
          <t>flat</t>
        </is>
      </c>
      <c r="R393" s="6" t="n">
        <v>0</v>
      </c>
      <c r="S393" t="inlineStr">
        <is>
          <t>Solio</t>
        </is>
      </c>
      <c r="U393" s="6" t="n">
        <v>80.09999999999999</v>
      </c>
      <c r="V393" s="2" t="n">
        <v>0</v>
      </c>
      <c r="W393" s="7">
        <f>IF(N(U393)&lt;=0,0,MIN(Assumptions!$B$15,N(R393)/N(U393)))</f>
        <v/>
      </c>
      <c r="X393" s="6" t="n">
        <v>0.252</v>
      </c>
      <c r="Y393" s="3" t="n">
        <v>0</v>
      </c>
      <c r="Z393" t="inlineStr">
        <is>
          <t>blended xG</t>
        </is>
      </c>
      <c r="AA393" s="3" t="n">
        <v>1</v>
      </c>
      <c r="AB393" s="3" t="n">
        <v>1</v>
      </c>
      <c r="AC393" s="3" t="n">
        <v>0</v>
      </c>
      <c r="AD393" s="3" t="n">
        <v>0</v>
      </c>
      <c r="AE393" s="3" t="n">
        <v>8.565</v>
      </c>
      <c r="AF393" s="3" t="n">
        <v>0.08663699373124534</v>
      </c>
      <c r="AG393" s="3" t="n">
        <v>7.011</v>
      </c>
      <c r="AH393" s="3" t="n">
        <v>0.0097386025</v>
      </c>
      <c r="AI393" s="3" t="n">
        <v>1</v>
      </c>
      <c r="AJ393" s="3" t="n">
        <v>2.8404</v>
      </c>
      <c r="AK393" s="3" t="n">
        <v>1.439</v>
      </c>
      <c r="AL393" s="3" t="n">
        <v>-0.2159050344539974</v>
      </c>
      <c r="AM393" s="6" t="n">
        <v>0</v>
      </c>
      <c r="AN393" s="3" t="n">
        <v>0</v>
      </c>
      <c r="AO393" s="3" t="n">
        <v>0</v>
      </c>
      <c r="AP393" s="3" t="n">
        <v>0</v>
      </c>
      <c r="AQ393" s="3">
        <f>N(X393)*N(BJ393)</f>
        <v/>
      </c>
      <c r="AR393" s="3" t="n">
        <v>0</v>
      </c>
      <c r="AS393" s="3" t="n">
        <v>-0</v>
      </c>
      <c r="AT393" s="3" t="n">
        <v>-0.2159050344539974</v>
      </c>
      <c r="AU393" s="3">
        <f>SUM(AO393:AT393)</f>
        <v/>
      </c>
      <c r="AV393" s="7">
        <f>IF(OR(N(W393)&lt;=0,N(BH393)=0),0,N(W393)*IF(N(R393)/N(W393)&gt;=60,N(BH393),1))</f>
        <v/>
      </c>
      <c r="AW393" s="7">
        <f>N(W393)*N(AF393)*N(BI393)</f>
        <v/>
      </c>
      <c r="AX393" s="3">
        <f>IF(N(BH393)=0,0,N(W393)*N(AH393))</f>
        <v/>
      </c>
      <c r="AY393" s="7">
        <f>N(AM393)*(Assumptions!$B$13*N(BK393)-(1-Assumptions!$B$13)*Assumptions!$B$14)+N(AN393)</f>
        <v/>
      </c>
      <c r="AZ393" s="7">
        <f>N(AU393)*N(R393)/90+N(AV393)+N(AW393)+N(AX393)+N(AY393)</f>
        <v/>
      </c>
      <c r="BA393" s="3">
        <f>IF(N(R393)&lt;=0,0,(N(AZ393)-N(AY393))*90/N(R393))</f>
        <v/>
      </c>
      <c r="BB393" s="7">
        <f>IFERROR(AZ393-VLOOKUP($E393,Assumptions!$A$40:$C$43,3,FALSE),"")</f>
        <v/>
      </c>
      <c r="BC393" s="3">
        <f>IFERROR(BB393/H393,"")</f>
        <v/>
      </c>
      <c r="BD393">
        <f>IF(AND($G393=TRUE,$E393="GKP"),AZ393,"")</f>
        <v/>
      </c>
      <c r="BE393">
        <f>IF(AND($G393=TRUE,$E393="DEF"),AZ393,"")</f>
        <v/>
      </c>
      <c r="BF393">
        <f>IF(AND($G393=TRUE,$E393="MID"),AZ393,"")</f>
        <v/>
      </c>
      <c r="BG393">
        <f>IF(AND($G393=TRUE,$E393="FWD"),AZ393,"")</f>
        <v/>
      </c>
      <c r="BH393" t="n">
        <v>2</v>
      </c>
      <c r="BI393" t="n">
        <v>2</v>
      </c>
      <c r="BJ393" t="n">
        <v>1</v>
      </c>
      <c r="BK393" t="n">
        <v>5</v>
      </c>
    </row>
    <row r="394">
      <c r="A394" t="inlineStr">
        <is>
          <t>Bradley Burrowes</t>
        </is>
      </c>
      <c r="B394" t="inlineStr">
        <is>
          <t>AVL</t>
        </is>
      </c>
      <c r="C394" t="inlineStr">
        <is>
          <t>AVL</t>
        </is>
      </c>
      <c r="D394" t="b">
        <v>0</v>
      </c>
      <c r="E394" t="inlineStr">
        <is>
          <t>MID</t>
        </is>
      </c>
      <c r="F394" t="inlineStr">
        <is>
          <t>MID</t>
        </is>
      </c>
      <c r="G394" t="b">
        <v>1</v>
      </c>
      <c r="H394" s="2" t="n">
        <v>4.5</v>
      </c>
      <c r="I394" t="inlineStr">
        <is>
          <t>a</t>
        </is>
      </c>
      <c r="K394" s="2" t="n">
        <v>16</v>
      </c>
      <c r="L394" t="n">
        <v>1</v>
      </c>
      <c r="M394" s="3" t="n">
        <v>0</v>
      </c>
      <c r="N394" s="8" t="n">
        <v>0</v>
      </c>
      <c r="O394" s="8" t="n">
        <v>0</v>
      </c>
      <c r="Q394" t="inlineStr">
        <is>
          <t>flat</t>
        </is>
      </c>
      <c r="R394" s="6" t="n">
        <v>0</v>
      </c>
      <c r="S394" t="inlineStr">
        <is>
          <t>Solio</t>
        </is>
      </c>
      <c r="U394" s="6" t="n">
        <v>80.09999999999999</v>
      </c>
      <c r="V394" s="2" t="n">
        <v>0</v>
      </c>
      <c r="W394" s="7">
        <f>IF(N(U394)&lt;=0,0,MIN(Assumptions!$B$15,N(R394)/N(U394)))</f>
        <v/>
      </c>
      <c r="X394" s="6" t="n">
        <v>0.273</v>
      </c>
      <c r="Y394" s="3" t="n">
        <v>0</v>
      </c>
      <c r="Z394" t="inlineStr">
        <is>
          <t>blended xG</t>
        </is>
      </c>
      <c r="AA394" s="3" t="n">
        <v>1</v>
      </c>
      <c r="AB394" s="3" t="n">
        <v>1</v>
      </c>
      <c r="AC394" s="3" t="n">
        <v>0</v>
      </c>
      <c r="AD394" s="3" t="n">
        <v>0</v>
      </c>
      <c r="AE394" s="3" t="n">
        <v>8.513</v>
      </c>
      <c r="AF394" s="3" t="n">
        <v>0.0838023850392311</v>
      </c>
      <c r="AG394" s="3" t="n">
        <v>6.896</v>
      </c>
      <c r="AH394" s="3" t="n">
        <v>0.009320589000000001</v>
      </c>
      <c r="AI394" s="3" t="n">
        <v>1</v>
      </c>
      <c r="AJ394" s="3" t="n">
        <v>2.7451</v>
      </c>
      <c r="AK394" s="3" t="n">
        <v>1.3575</v>
      </c>
      <c r="AL394" s="3" t="n">
        <v>-0.2138521122509435</v>
      </c>
      <c r="AM394" s="6" t="n">
        <v>0</v>
      </c>
      <c r="AN394" s="3" t="n">
        <v>0</v>
      </c>
      <c r="AO394" s="3" t="n">
        <v>0</v>
      </c>
      <c r="AP394" s="3" t="n">
        <v>0</v>
      </c>
      <c r="AQ394" s="3">
        <f>N(X394)*N(BJ394)</f>
        <v/>
      </c>
      <c r="AR394" s="3" t="n">
        <v>0</v>
      </c>
      <c r="AS394" s="3" t="n">
        <v>-0</v>
      </c>
      <c r="AT394" s="3" t="n">
        <v>-0.2138521122509435</v>
      </c>
      <c r="AU394" s="3">
        <f>SUM(AO394:AT394)</f>
        <v/>
      </c>
      <c r="AV394" s="7">
        <f>IF(OR(N(W394)&lt;=0,N(BH394)=0),0,N(W394)*IF(N(R394)/N(W394)&gt;=60,N(BH394),1))</f>
        <v/>
      </c>
      <c r="AW394" s="7">
        <f>N(W394)*N(AF394)*N(BI394)</f>
        <v/>
      </c>
      <c r="AX394" s="3">
        <f>IF(N(BH394)=0,0,N(W394)*N(AH394))</f>
        <v/>
      </c>
      <c r="AY394" s="7">
        <f>N(AM394)*(Assumptions!$B$13*N(BK394)-(1-Assumptions!$B$13)*Assumptions!$B$14)+N(AN394)</f>
        <v/>
      </c>
      <c r="AZ394" s="7">
        <f>N(AU394)*N(R394)/90+N(AV394)+N(AW394)+N(AX394)+N(AY394)</f>
        <v/>
      </c>
      <c r="BA394" s="3">
        <f>IF(N(R394)&lt;=0,0,(N(AZ394)-N(AY394))*90/N(R394))</f>
        <v/>
      </c>
      <c r="BB394" s="7">
        <f>IFERROR(AZ394-VLOOKUP($E394,Assumptions!$A$40:$C$43,3,FALSE),"")</f>
        <v/>
      </c>
      <c r="BC394" s="3">
        <f>IFERROR(BB394/H394,"")</f>
        <v/>
      </c>
      <c r="BD394">
        <f>IF(AND($G394=TRUE,$E394="GKP"),AZ394,"")</f>
        <v/>
      </c>
      <c r="BE394">
        <f>IF(AND($G394=TRUE,$E394="DEF"),AZ394,"")</f>
        <v/>
      </c>
      <c r="BF394">
        <f>IF(AND($G394=TRUE,$E394="MID"),AZ394,"")</f>
        <v/>
      </c>
      <c r="BG394">
        <f>IF(AND($G394=TRUE,$E394="FWD"),AZ394,"")</f>
        <v/>
      </c>
      <c r="BH394" t="n">
        <v>2</v>
      </c>
      <c r="BI394" t="n">
        <v>2</v>
      </c>
      <c r="BJ394" t="n">
        <v>1</v>
      </c>
      <c r="BK394" t="n">
        <v>5</v>
      </c>
    </row>
    <row r="395">
      <c r="A395" t="inlineStr">
        <is>
          <t>Sean Neave</t>
        </is>
      </c>
      <c r="B395" t="inlineStr">
        <is>
          <t>NEW</t>
        </is>
      </c>
      <c r="C395" t="inlineStr">
        <is>
          <t>NEW</t>
        </is>
      </c>
      <c r="D395" t="b">
        <v>0</v>
      </c>
      <c r="E395" t="inlineStr">
        <is>
          <t>FWD</t>
        </is>
      </c>
      <c r="F395" t="inlineStr">
        <is>
          <t>FWD</t>
        </is>
      </c>
      <c r="G395" t="b">
        <v>1</v>
      </c>
      <c r="H395" s="2" t="n">
        <v>4.5</v>
      </c>
      <c r="I395" t="inlineStr">
        <is>
          <t>a</t>
        </is>
      </c>
      <c r="K395" s="2" t="n">
        <v>13</v>
      </c>
      <c r="L395" t="n">
        <v>1</v>
      </c>
      <c r="M395" s="3" t="n">
        <v>0</v>
      </c>
      <c r="N395" s="8" t="n">
        <v>0</v>
      </c>
      <c r="O395" s="8" t="n">
        <v>0</v>
      </c>
      <c r="Q395" t="inlineStr">
        <is>
          <t>flat</t>
        </is>
      </c>
      <c r="R395" s="6" t="n">
        <v>0</v>
      </c>
      <c r="S395" t="inlineStr">
        <is>
          <t>Solio</t>
        </is>
      </c>
      <c r="U395" s="6" t="n">
        <v>78.5</v>
      </c>
      <c r="V395" s="2" t="n">
        <v>0</v>
      </c>
      <c r="W395" s="7">
        <f>IF(N(U395)&lt;=0,0,MIN(Assumptions!$B$15,N(R395)/N(U395)))</f>
        <v/>
      </c>
      <c r="X395" s="6" t="n">
        <v>0.248</v>
      </c>
      <c r="Y395" s="3" t="n">
        <v>0.2077</v>
      </c>
      <c r="Z395" t="inlineStr">
        <is>
          <t>adjusted xGOT</t>
        </is>
      </c>
      <c r="AA395" s="3" t="n">
        <v>1</v>
      </c>
      <c r="AB395" s="3" t="n">
        <v>0.996</v>
      </c>
      <c r="AC395" s="3" t="n">
        <v>0</v>
      </c>
      <c r="AD395" s="3" t="n">
        <v>0</v>
      </c>
      <c r="AE395" s="3" t="n">
        <v>4.708</v>
      </c>
      <c r="AF395" s="3" t="n">
        <v>0.001140054561917014</v>
      </c>
      <c r="AG395" s="3" t="n">
        <v>1.034</v>
      </c>
      <c r="AH395" s="3" t="n">
        <v>0.2469518708</v>
      </c>
      <c r="AI395" s="3" t="n">
        <v>1</v>
      </c>
      <c r="AJ395" s="3" t="n">
        <v>3.0912</v>
      </c>
      <c r="AK395" s="3" t="n">
        <v>1.4534</v>
      </c>
      <c r="AL395" s="3" t="n">
        <v>-0.1732323483129252</v>
      </c>
      <c r="AM395" s="6" t="n">
        <v>0</v>
      </c>
      <c r="AN395" s="3" t="n">
        <v>0</v>
      </c>
      <c r="AO395" s="3" t="n">
        <v>0.8308</v>
      </c>
      <c r="AP395" s="3" t="n">
        <v>0</v>
      </c>
      <c r="AQ395" s="3">
        <f>N(X395)*N(BJ395)</f>
        <v/>
      </c>
      <c r="AR395" s="3" t="n">
        <v>0</v>
      </c>
      <c r="AS395" s="3" t="n">
        <v>-0</v>
      </c>
      <c r="AT395" s="3" t="n">
        <v>-0.1732323483129252</v>
      </c>
      <c r="AU395" s="3">
        <f>SUM(AO395:AT395)</f>
        <v/>
      </c>
      <c r="AV395" s="7">
        <f>IF(OR(N(W395)&lt;=0,N(BH395)=0),0,N(W395)*IF(N(R395)/N(W395)&gt;=60,N(BH395),1))</f>
        <v/>
      </c>
      <c r="AW395" s="7">
        <f>N(W395)*N(AF395)*N(BI395)</f>
        <v/>
      </c>
      <c r="AX395" s="3">
        <f>IF(N(BH395)=0,0,N(W395)*N(AH395))</f>
        <v/>
      </c>
      <c r="AY395" s="7">
        <f>N(AM395)*(Assumptions!$B$13*N(BK395)-(1-Assumptions!$B$13)*Assumptions!$B$14)+N(AN395)</f>
        <v/>
      </c>
      <c r="AZ395" s="7">
        <f>N(AU395)*N(R395)/90+N(AV395)+N(AW395)+N(AX395)+N(AY395)</f>
        <v/>
      </c>
      <c r="BA395" s="3">
        <f>IF(N(R395)&lt;=0,0,(N(AZ395)-N(AY395))*90/N(R395))</f>
        <v/>
      </c>
      <c r="BB395" s="7">
        <f>IFERROR(AZ395-VLOOKUP($E395,Assumptions!$A$40:$C$43,3,FALSE),"")</f>
        <v/>
      </c>
      <c r="BC395" s="3">
        <f>IFERROR(BB395/H395,"")</f>
        <v/>
      </c>
      <c r="BD395">
        <f>IF(AND($G395=TRUE,$E395="GKP"),AZ395,"")</f>
        <v/>
      </c>
      <c r="BE395">
        <f>IF(AND($G395=TRUE,$E395="DEF"),AZ395,"")</f>
        <v/>
      </c>
      <c r="BF395">
        <f>IF(AND($G395=TRUE,$E395="MID"),AZ395,"")</f>
        <v/>
      </c>
      <c r="BG395">
        <f>IF(AND($G395=TRUE,$E395="FWD"),AZ395,"")</f>
        <v/>
      </c>
      <c r="BH395" t="n">
        <v>2</v>
      </c>
      <c r="BI395" t="n">
        <v>2</v>
      </c>
      <c r="BJ395" t="n">
        <v>0</v>
      </c>
      <c r="BK395" t="n">
        <v>4</v>
      </c>
    </row>
    <row r="396">
      <c r="A396" t="inlineStr">
        <is>
          <t>Kaye Furo</t>
        </is>
      </c>
      <c r="B396" t="inlineStr">
        <is>
          <t>BRE</t>
        </is>
      </c>
      <c r="C396" t="inlineStr">
        <is>
          <t>BRE</t>
        </is>
      </c>
      <c r="D396" t="b">
        <v>0</v>
      </c>
      <c r="E396" t="inlineStr">
        <is>
          <t>FWD</t>
        </is>
      </c>
      <c r="F396" t="inlineStr">
        <is>
          <t>FWD</t>
        </is>
      </c>
      <c r="G396" t="b">
        <v>1</v>
      </c>
      <c r="H396" s="2" t="n">
        <v>4.5</v>
      </c>
      <c r="I396" t="inlineStr">
        <is>
          <t>a</t>
        </is>
      </c>
      <c r="K396" s="2" t="n">
        <v>1</v>
      </c>
      <c r="L396" t="n">
        <v>1</v>
      </c>
      <c r="M396" s="3" t="n">
        <v>0</v>
      </c>
      <c r="N396" s="8" t="n">
        <v>0</v>
      </c>
      <c r="O396" s="8" t="n">
        <v>0</v>
      </c>
      <c r="Q396" t="inlineStr">
        <is>
          <t>flat</t>
        </is>
      </c>
      <c r="R396" s="6" t="n">
        <v>0</v>
      </c>
      <c r="S396" t="inlineStr">
        <is>
          <t>Solio</t>
        </is>
      </c>
      <c r="U396" s="6" t="n">
        <v>78.5</v>
      </c>
      <c r="V396" s="2" t="n">
        <v>0</v>
      </c>
      <c r="W396" s="7">
        <f>IF(N(U396)&lt;=0,0,MIN(Assumptions!$B$15,N(R396)/N(U396)))</f>
        <v/>
      </c>
      <c r="X396" s="6" t="n">
        <v>0.228</v>
      </c>
      <c r="Y396" s="3" t="n">
        <v>0</v>
      </c>
      <c r="Z396" t="inlineStr">
        <is>
          <t>blended xG</t>
        </is>
      </c>
      <c r="AA396" s="3" t="n">
        <v>1</v>
      </c>
      <c r="AB396" s="3" t="n">
        <v>1</v>
      </c>
      <c r="AC396" s="3" t="n">
        <v>0</v>
      </c>
      <c r="AD396" s="3" t="n">
        <v>0</v>
      </c>
      <c r="AE396" s="3" t="n">
        <v>4.786</v>
      </c>
      <c r="AF396" s="3" t="n">
        <v>0.001306427447581471</v>
      </c>
      <c r="AG396" s="3" t="n">
        <v>1.047</v>
      </c>
      <c r="AH396" s="3" t="n">
        <v>0</v>
      </c>
      <c r="AI396" s="3" t="n">
        <v>1</v>
      </c>
      <c r="AJ396" s="3" t="n">
        <v>3.2371</v>
      </c>
      <c r="AK396" s="3" t="n">
        <v>1.5396</v>
      </c>
      <c r="AL396" s="3" t="n">
        <v>-0.1745781315412974</v>
      </c>
      <c r="AM396" s="6" t="n">
        <v>0</v>
      </c>
      <c r="AN396" s="3" t="n">
        <v>0</v>
      </c>
      <c r="AO396" s="3" t="n">
        <v>0</v>
      </c>
      <c r="AP396" s="3" t="n">
        <v>0</v>
      </c>
      <c r="AQ396" s="3">
        <f>N(X396)*N(BJ396)</f>
        <v/>
      </c>
      <c r="AR396" s="3" t="n">
        <v>0</v>
      </c>
      <c r="AS396" s="3" t="n">
        <v>-0</v>
      </c>
      <c r="AT396" s="3" t="n">
        <v>-0.1745781315412974</v>
      </c>
      <c r="AU396" s="3">
        <f>SUM(AO396:AT396)</f>
        <v/>
      </c>
      <c r="AV396" s="7">
        <f>IF(OR(N(W396)&lt;=0,N(BH396)=0),0,N(W396)*IF(N(R396)/N(W396)&gt;=60,N(BH396),1))</f>
        <v/>
      </c>
      <c r="AW396" s="7">
        <f>N(W396)*N(AF396)*N(BI396)</f>
        <v/>
      </c>
      <c r="AX396" s="3">
        <f>IF(N(BH396)=0,0,N(W396)*N(AH396))</f>
        <v/>
      </c>
      <c r="AY396" s="7">
        <f>N(AM396)*(Assumptions!$B$13*N(BK396)-(1-Assumptions!$B$13)*Assumptions!$B$14)+N(AN396)</f>
        <v/>
      </c>
      <c r="AZ396" s="7">
        <f>N(AU396)*N(R396)/90+N(AV396)+N(AW396)+N(AX396)+N(AY396)</f>
        <v/>
      </c>
      <c r="BA396" s="3">
        <f>IF(N(R396)&lt;=0,0,(N(AZ396)-N(AY396))*90/N(R396))</f>
        <v/>
      </c>
      <c r="BB396" s="7">
        <f>IFERROR(AZ396-VLOOKUP($E396,Assumptions!$A$40:$C$43,3,FALSE),"")</f>
        <v/>
      </c>
      <c r="BC396" s="3">
        <f>IFERROR(BB396/H396,"")</f>
        <v/>
      </c>
      <c r="BD396">
        <f>IF(AND($G396=TRUE,$E396="GKP"),AZ396,"")</f>
        <v/>
      </c>
      <c r="BE396">
        <f>IF(AND($G396=TRUE,$E396="DEF"),AZ396,"")</f>
        <v/>
      </c>
      <c r="BF396">
        <f>IF(AND($G396=TRUE,$E396="MID"),AZ396,"")</f>
        <v/>
      </c>
      <c r="BG396">
        <f>IF(AND($G396=TRUE,$E396="FWD"),AZ396,"")</f>
        <v/>
      </c>
      <c r="BH396" t="n">
        <v>2</v>
      </c>
      <c r="BI396" t="n">
        <v>2</v>
      </c>
      <c r="BJ396" t="n">
        <v>0</v>
      </c>
      <c r="BK396" t="n">
        <v>4</v>
      </c>
    </row>
    <row r="397">
      <c r="A397" t="inlineStr">
        <is>
          <t>Shumaira Mheuka</t>
        </is>
      </c>
      <c r="B397" t="inlineStr">
        <is>
          <t>CHE</t>
        </is>
      </c>
      <c r="C397" t="inlineStr">
        <is>
          <t>CHE</t>
        </is>
      </c>
      <c r="D397" t="b">
        <v>0</v>
      </c>
      <c r="E397" t="inlineStr">
        <is>
          <t>FWD</t>
        </is>
      </c>
      <c r="F397" t="inlineStr">
        <is>
          <t>FWD</t>
        </is>
      </c>
      <c r="G397" t="b">
        <v>1</v>
      </c>
      <c r="H397" s="2" t="n">
        <v>4.5</v>
      </c>
      <c r="I397" t="inlineStr">
        <is>
          <t>a</t>
        </is>
      </c>
      <c r="K397" s="2" t="n">
        <v>1</v>
      </c>
      <c r="L397" t="n">
        <v>1</v>
      </c>
      <c r="M397" s="3" t="n">
        <v>0</v>
      </c>
      <c r="N397" s="8" t="n">
        <v>0</v>
      </c>
      <c r="O397" s="8" t="n">
        <v>0</v>
      </c>
      <c r="Q397" t="inlineStr">
        <is>
          <t>flat</t>
        </is>
      </c>
      <c r="R397" s="6" t="n">
        <v>0</v>
      </c>
      <c r="S397" t="inlineStr">
        <is>
          <t>Solio</t>
        </is>
      </c>
      <c r="U397" s="6" t="n">
        <v>78.5</v>
      </c>
      <c r="V397" s="2" t="n">
        <v>0</v>
      </c>
      <c r="W397" s="7">
        <f>IF(N(U397)&lt;=0,0,MIN(Assumptions!$B$15,N(R397)/N(U397)))</f>
        <v/>
      </c>
      <c r="X397" s="6" t="n">
        <v>0.322</v>
      </c>
      <c r="Y397" s="3" t="n">
        <v>0</v>
      </c>
      <c r="Z397" t="inlineStr">
        <is>
          <t>adjusted xGOT</t>
        </is>
      </c>
      <c r="AA397" s="3" t="n">
        <v>1</v>
      </c>
      <c r="AB397" s="3" t="n">
        <v>1.017</v>
      </c>
      <c r="AC397" s="3" t="n">
        <v>0.1</v>
      </c>
      <c r="AD397" s="3" t="n">
        <v>0</v>
      </c>
      <c r="AE397" s="3" t="n">
        <v>4.911</v>
      </c>
      <c r="AF397" s="3" t="n">
        <v>0.001614577528669114</v>
      </c>
      <c r="AG397" s="3" t="n">
        <v>1.147</v>
      </c>
      <c r="AH397" s="3" t="n">
        <v>0</v>
      </c>
      <c r="AI397" s="3" t="n">
        <v>1</v>
      </c>
      <c r="AJ397" s="3" t="n">
        <v>2.4232</v>
      </c>
      <c r="AK397" s="3" t="n">
        <v>1.1851</v>
      </c>
      <c r="AL397" s="3" t="n">
        <v>-0.174510310265256</v>
      </c>
      <c r="AM397" s="6" t="n">
        <v>0</v>
      </c>
      <c r="AN397" s="3" t="n">
        <v>0</v>
      </c>
      <c r="AO397" s="3" t="n">
        <v>0</v>
      </c>
      <c r="AP397" s="3" t="n">
        <v>0</v>
      </c>
      <c r="AQ397" s="3">
        <f>N(X397)*N(BJ397)</f>
        <v/>
      </c>
      <c r="AR397" s="3" t="n">
        <v>0</v>
      </c>
      <c r="AS397" s="3" t="n">
        <v>-0</v>
      </c>
      <c r="AT397" s="3" t="n">
        <v>-0.174510310265256</v>
      </c>
      <c r="AU397" s="3">
        <f>SUM(AO397:AT397)</f>
        <v/>
      </c>
      <c r="AV397" s="7">
        <f>IF(OR(N(W397)&lt;=0,N(BH397)=0),0,N(W397)*IF(N(R397)/N(W397)&gt;=60,N(BH397),1))</f>
        <v/>
      </c>
      <c r="AW397" s="7">
        <f>N(W397)*N(AF397)*N(BI397)</f>
        <v/>
      </c>
      <c r="AX397" s="3">
        <f>IF(N(BH397)=0,0,N(W397)*N(AH397))</f>
        <v/>
      </c>
      <c r="AY397" s="7">
        <f>N(AM397)*(Assumptions!$B$13*N(BK397)-(1-Assumptions!$B$13)*Assumptions!$B$14)+N(AN397)</f>
        <v/>
      </c>
      <c r="AZ397" s="7">
        <f>N(AU397)*N(R397)/90+N(AV397)+N(AW397)+N(AX397)+N(AY397)</f>
        <v/>
      </c>
      <c r="BA397" s="3">
        <f>IF(N(R397)&lt;=0,0,(N(AZ397)-N(AY397))*90/N(R397))</f>
        <v/>
      </c>
      <c r="BB397" s="7">
        <f>IFERROR(AZ397-VLOOKUP($E397,Assumptions!$A$40:$C$43,3,FALSE),"")</f>
        <v/>
      </c>
      <c r="BC397" s="3">
        <f>IFERROR(BB397/H397,"")</f>
        <v/>
      </c>
      <c r="BD397">
        <f>IF(AND($G397=TRUE,$E397="GKP"),AZ397,"")</f>
        <v/>
      </c>
      <c r="BE397">
        <f>IF(AND($G397=TRUE,$E397="DEF"),AZ397,"")</f>
        <v/>
      </c>
      <c r="BF397">
        <f>IF(AND($G397=TRUE,$E397="MID"),AZ397,"")</f>
        <v/>
      </c>
      <c r="BG397">
        <f>IF(AND($G397=TRUE,$E397="FWD"),AZ397,"")</f>
        <v/>
      </c>
      <c r="BH397" t="n">
        <v>2</v>
      </c>
      <c r="BI397" t="n">
        <v>2</v>
      </c>
      <c r="BJ397" t="n">
        <v>0</v>
      </c>
      <c r="BK397" t="n">
        <v>4</v>
      </c>
    </row>
    <row r="398">
      <c r="A398" t="inlineStr">
        <is>
          <t>Bendito Mantato</t>
        </is>
      </c>
      <c r="B398" t="inlineStr">
        <is>
          <t>MUN</t>
        </is>
      </c>
      <c r="C398" t="inlineStr">
        <is>
          <t>MUN</t>
        </is>
      </c>
      <c r="D398" t="b">
        <v>0</v>
      </c>
      <c r="E398" t="inlineStr">
        <is>
          <t>MID</t>
        </is>
      </c>
      <c r="F398" t="inlineStr">
        <is>
          <t>MID</t>
        </is>
      </c>
      <c r="G398" t="b">
        <v>1</v>
      </c>
      <c r="H398" s="2" t="n">
        <v>4.5</v>
      </c>
      <c r="I398" t="inlineStr">
        <is>
          <t>a</t>
        </is>
      </c>
      <c r="K398" s="2" t="n">
        <v>15</v>
      </c>
      <c r="L398" t="n">
        <v>1</v>
      </c>
      <c r="M398" s="3" t="n">
        <v>0</v>
      </c>
      <c r="N398" s="8" t="n">
        <v>0</v>
      </c>
      <c r="O398" s="8" t="n">
        <v>0</v>
      </c>
      <c r="Q398" t="inlineStr">
        <is>
          <t>flat</t>
        </is>
      </c>
      <c r="R398" s="6" t="n">
        <v>0</v>
      </c>
      <c r="S398" t="inlineStr">
        <is>
          <t>Solio</t>
        </is>
      </c>
      <c r="U398" s="6" t="n">
        <v>80.09999999999999</v>
      </c>
      <c r="V398" s="2" t="n">
        <v>0</v>
      </c>
      <c r="W398" s="7">
        <f>IF(N(U398)&lt;=0,0,MIN(Assumptions!$B$15,N(R398)/N(U398)))</f>
        <v/>
      </c>
      <c r="X398" s="6" t="n">
        <v>0.334</v>
      </c>
      <c r="Y398" s="3" t="n">
        <v>0</v>
      </c>
      <c r="Z398" t="inlineStr">
        <is>
          <t>blended xG</t>
        </is>
      </c>
      <c r="AA398" s="3" t="n">
        <v>1</v>
      </c>
      <c r="AB398" s="3" t="n">
        <v>1</v>
      </c>
      <c r="AC398" s="3" t="n">
        <v>0</v>
      </c>
      <c r="AD398" s="3" t="n">
        <v>0.1394</v>
      </c>
      <c r="AE398" s="3" t="n">
        <v>8.401999999999999</v>
      </c>
      <c r="AF398" s="3" t="n">
        <v>0.07794771869218686</v>
      </c>
      <c r="AG398" s="3" t="n">
        <v>6.903</v>
      </c>
      <c r="AH398" s="3" t="n">
        <v>0.065139344</v>
      </c>
      <c r="AI398" s="3" t="n">
        <v>1</v>
      </c>
      <c r="AJ398" s="3" t="n">
        <v>2.2165</v>
      </c>
      <c r="AK398" s="3" t="n">
        <v>1.1467</v>
      </c>
      <c r="AL398" s="3" t="n">
        <v>-0.2139876568509252</v>
      </c>
      <c r="AM398" s="6" t="n">
        <v>0</v>
      </c>
      <c r="AN398" s="3" t="n">
        <v>0</v>
      </c>
      <c r="AO398" s="3" t="n">
        <v>0</v>
      </c>
      <c r="AP398" s="3" t="n">
        <v>0.5520240000000001</v>
      </c>
      <c r="AQ398" s="3">
        <f>N(X398)*N(BJ398)</f>
        <v/>
      </c>
      <c r="AR398" s="3" t="n">
        <v>0</v>
      </c>
      <c r="AS398" s="3" t="n">
        <v>-0</v>
      </c>
      <c r="AT398" s="3" t="n">
        <v>-0.2139876568509252</v>
      </c>
      <c r="AU398" s="3">
        <f>SUM(AO398:AT398)</f>
        <v/>
      </c>
      <c r="AV398" s="7">
        <f>IF(OR(N(W398)&lt;=0,N(BH398)=0),0,N(W398)*IF(N(R398)/N(W398)&gt;=60,N(BH398),1))</f>
        <v/>
      </c>
      <c r="AW398" s="7">
        <f>N(W398)*N(AF398)*N(BI398)</f>
        <v/>
      </c>
      <c r="AX398" s="3">
        <f>IF(N(BH398)=0,0,N(W398)*N(AH398))</f>
        <v/>
      </c>
      <c r="AY398" s="7">
        <f>N(AM398)*(Assumptions!$B$13*N(BK398)-(1-Assumptions!$B$13)*Assumptions!$B$14)+N(AN398)</f>
        <v/>
      </c>
      <c r="AZ398" s="7">
        <f>N(AU398)*N(R398)/90+N(AV398)+N(AW398)+N(AX398)+N(AY398)</f>
        <v/>
      </c>
      <c r="BA398" s="3">
        <f>IF(N(R398)&lt;=0,0,(N(AZ398)-N(AY398))*90/N(R398))</f>
        <v/>
      </c>
      <c r="BB398" s="7">
        <f>IFERROR(AZ398-VLOOKUP($E398,Assumptions!$A$40:$C$43,3,FALSE),"")</f>
        <v/>
      </c>
      <c r="BC398" s="3">
        <f>IFERROR(BB398/H398,"")</f>
        <v/>
      </c>
      <c r="BD398">
        <f>IF(AND($G398=TRUE,$E398="GKP"),AZ398,"")</f>
        <v/>
      </c>
      <c r="BE398">
        <f>IF(AND($G398=TRUE,$E398="DEF"),AZ398,"")</f>
        <v/>
      </c>
      <c r="BF398">
        <f>IF(AND($G398=TRUE,$E398="MID"),AZ398,"")</f>
        <v/>
      </c>
      <c r="BG398">
        <f>IF(AND($G398=TRUE,$E398="FWD"),AZ398,"")</f>
        <v/>
      </c>
      <c r="BH398" t="n">
        <v>2</v>
      </c>
      <c r="BI398" t="n">
        <v>2</v>
      </c>
      <c r="BJ398" t="n">
        <v>1</v>
      </c>
      <c r="BK398" t="n">
        <v>5</v>
      </c>
    </row>
    <row r="399">
      <c r="A399" t="inlineStr">
        <is>
          <t>Djiamgone Jocelin Ta Bi</t>
        </is>
      </c>
      <c r="B399" t="inlineStr">
        <is>
          <t>SUN</t>
        </is>
      </c>
      <c r="C399" t="inlineStr">
        <is>
          <t>SUN</t>
        </is>
      </c>
      <c r="D399" t="b">
        <v>0</v>
      </c>
      <c r="E399" t="inlineStr">
        <is>
          <t>MID</t>
        </is>
      </c>
      <c r="F399" t="inlineStr">
        <is>
          <t>MID</t>
        </is>
      </c>
      <c r="G399" t="b">
        <v>1</v>
      </c>
      <c r="H399" s="2" t="n">
        <v>5</v>
      </c>
      <c r="I399" t="inlineStr">
        <is>
          <t>a</t>
        </is>
      </c>
      <c r="K399" s="2" t="n">
        <v>38</v>
      </c>
      <c r="L399" t="n">
        <v>1</v>
      </c>
      <c r="M399" s="3" t="n">
        <v>125</v>
      </c>
      <c r="N399" s="8" t="n">
        <v>125</v>
      </c>
      <c r="O399" s="8" t="n">
        <v>0</v>
      </c>
      <c r="Q399" t="inlineStr">
        <is>
          <t>flat</t>
        </is>
      </c>
      <c r="R399" s="6" t="n">
        <v>125</v>
      </c>
      <c r="S399" t="inlineStr">
        <is>
          <t>Solio</t>
        </is>
      </c>
      <c r="U399" s="6" t="n">
        <v>76.3</v>
      </c>
      <c r="V399" s="2" t="n">
        <v>1</v>
      </c>
      <c r="W399" s="7">
        <f>IF(N(U399)&lt;=0,0,MIN(Assumptions!$B$15,N(R399)/N(U399)))</f>
        <v/>
      </c>
      <c r="X399" s="6" t="n">
        <v>0.204</v>
      </c>
      <c r="Y399" s="3" t="n">
        <v>0</v>
      </c>
      <c r="Z399" t="inlineStr">
        <is>
          <t>blended xG</t>
        </is>
      </c>
      <c r="AA399" s="3" t="n">
        <v>1</v>
      </c>
      <c r="AB399" s="3" t="n">
        <v>1</v>
      </c>
      <c r="AC399" s="3" t="n">
        <v>0</v>
      </c>
      <c r="AD399" s="3" t="n">
        <v>0.0474</v>
      </c>
      <c r="AE399" s="3" t="n">
        <v>8.503</v>
      </c>
      <c r="AF399" s="3" t="n">
        <v>0.06334316639578086</v>
      </c>
      <c r="AG399" s="3" t="n">
        <v>6.83</v>
      </c>
      <c r="AH399" s="3" t="n">
        <v>0.0298373223</v>
      </c>
      <c r="AI399" s="3" t="n">
        <v>1</v>
      </c>
      <c r="AJ399" s="3" t="n">
        <v>3.3348</v>
      </c>
      <c r="AK399" s="3" t="n">
        <v>1.6498</v>
      </c>
      <c r="AL399" s="3" t="n">
        <v>-0.2109165353595941</v>
      </c>
      <c r="AM399" s="6" t="n">
        <v>0</v>
      </c>
      <c r="AN399" s="3" t="n">
        <v>0</v>
      </c>
      <c r="AO399" s="3" t="n">
        <v>0</v>
      </c>
      <c r="AP399" s="3" t="n">
        <v>0.187704</v>
      </c>
      <c r="AQ399" s="3">
        <f>N(X399)*N(BJ399)</f>
        <v/>
      </c>
      <c r="AR399" s="3" t="n">
        <v>0</v>
      </c>
      <c r="AS399" s="3" t="n">
        <v>-0</v>
      </c>
      <c r="AT399" s="3" t="n">
        <v>-0.2109165353595941</v>
      </c>
      <c r="AU399" s="3">
        <f>SUM(AO399:AT399)</f>
        <v/>
      </c>
      <c r="AV399" s="7">
        <f>IF(OR(N(W399)&lt;=0,N(BH399)=0),0,N(W399)*IF(N(R399)/N(W399)&gt;=60,N(BH399),1))</f>
        <v/>
      </c>
      <c r="AW399" s="7">
        <f>N(W399)*N(AF399)*N(BI399)</f>
        <v/>
      </c>
      <c r="AX399" s="3">
        <f>IF(N(BH399)=0,0,N(W399)*N(AH399))</f>
        <v/>
      </c>
      <c r="AY399" s="7">
        <f>N(AM399)*(Assumptions!$B$13*N(BK399)-(1-Assumptions!$B$13)*Assumptions!$B$14)+N(AN399)</f>
        <v/>
      </c>
      <c r="AZ399" s="7">
        <f>N(AU399)*N(R399)/90+N(AV399)+N(AW399)+N(AX399)+N(AY399)</f>
        <v/>
      </c>
      <c r="BA399" s="3">
        <f>IF(N(R399)&lt;=0,0,(N(AZ399)-N(AY399))*90/N(R399))</f>
        <v/>
      </c>
      <c r="BB399" s="7">
        <f>IFERROR(AZ399-VLOOKUP($E399,Assumptions!$A$40:$C$43,3,FALSE),"")</f>
        <v/>
      </c>
      <c r="BC399" s="3">
        <f>IFERROR(BB399/H399,"")</f>
        <v/>
      </c>
      <c r="BD399">
        <f>IF(AND($G399=TRUE,$E399="GKP"),AZ399,"")</f>
        <v/>
      </c>
      <c r="BE399">
        <f>IF(AND($G399=TRUE,$E399="DEF"),AZ399,"")</f>
        <v/>
      </c>
      <c r="BF399">
        <f>IF(AND($G399=TRUE,$E399="MID"),AZ399,"")</f>
        <v/>
      </c>
      <c r="BG399">
        <f>IF(AND($G399=TRUE,$E399="FWD"),AZ399,"")</f>
        <v/>
      </c>
      <c r="BH399" t="n">
        <v>2</v>
      </c>
      <c r="BI399" t="n">
        <v>2</v>
      </c>
      <c r="BJ399" t="n">
        <v>1</v>
      </c>
      <c r="BK399" t="n">
        <v>5</v>
      </c>
    </row>
    <row r="400">
      <c r="A400" t="inlineStr">
        <is>
          <t>James Rowswell</t>
        </is>
      </c>
      <c r="B400" t="inlineStr">
        <is>
          <t>TOT</t>
        </is>
      </c>
      <c r="C400" t="inlineStr">
        <is>
          <t>TOT</t>
        </is>
      </c>
      <c r="D400" t="b">
        <v>0</v>
      </c>
      <c r="E400" t="inlineStr">
        <is>
          <t>DEF</t>
        </is>
      </c>
      <c r="F400" t="inlineStr">
        <is>
          <t>DEF</t>
        </is>
      </c>
      <c r="G400" t="b">
        <v>1</v>
      </c>
      <c r="H400" s="2" t="n">
        <v>4</v>
      </c>
      <c r="I400" t="inlineStr">
        <is>
          <t>a</t>
        </is>
      </c>
      <c r="K400" s="2" t="n">
        <v>1</v>
      </c>
      <c r="L400" t="n">
        <v>1</v>
      </c>
      <c r="M400" s="3" t="n">
        <v>0</v>
      </c>
      <c r="N400" s="8" t="n">
        <v>0</v>
      </c>
      <c r="O400" s="8" t="n">
        <v>0</v>
      </c>
      <c r="Q400" t="inlineStr">
        <is>
          <t>flat</t>
        </is>
      </c>
      <c r="R400" s="6" t="n">
        <v>0</v>
      </c>
      <c r="S400" t="inlineStr">
        <is>
          <t>Solio</t>
        </is>
      </c>
      <c r="U400" s="6" t="n">
        <v>85.5</v>
      </c>
      <c r="V400" s="2" t="n">
        <v>0</v>
      </c>
      <c r="W400" s="7">
        <f>IF(N(U400)&lt;=0,0,MIN(Assumptions!$B$15,N(R400)/N(U400)))</f>
        <v/>
      </c>
      <c r="X400" s="6" t="n">
        <v>0.286</v>
      </c>
      <c r="Y400" s="3" t="n">
        <v>0</v>
      </c>
      <c r="Z400" t="inlineStr">
        <is>
          <t>blended xG</t>
        </is>
      </c>
      <c r="AA400" s="3" t="n">
        <v>1</v>
      </c>
      <c r="AB400" s="3" t="n">
        <v>1</v>
      </c>
      <c r="AC400" s="3" t="n">
        <v>0</v>
      </c>
      <c r="AD400" s="3" t="n">
        <v>0</v>
      </c>
      <c r="AE400" s="3" t="n">
        <v>7.674</v>
      </c>
      <c r="AF400" s="3" t="n">
        <v>0.2001181230412002</v>
      </c>
      <c r="AG400" s="3" t="n">
        <v>8.162000000000001</v>
      </c>
      <c r="AH400" s="3" t="n">
        <v>0.1369427024</v>
      </c>
      <c r="AI400" s="3" t="n">
        <v>1</v>
      </c>
      <c r="AJ400" s="3" t="n">
        <v>2.5739</v>
      </c>
      <c r="AK400" s="3" t="n">
        <v>1.3096</v>
      </c>
      <c r="AL400" s="3" t="n">
        <v>-0.2043954225041625</v>
      </c>
      <c r="AM400" s="6" t="n">
        <v>0</v>
      </c>
      <c r="AN400" s="3" t="n">
        <v>0</v>
      </c>
      <c r="AO400" s="3" t="n">
        <v>0</v>
      </c>
      <c r="AP400" s="3" t="n">
        <v>0</v>
      </c>
      <c r="AQ400" s="3">
        <f>N(X400)*N(BJ400)</f>
        <v/>
      </c>
      <c r="AR400" s="3" t="n">
        <v>0</v>
      </c>
      <c r="AS400" s="3" t="n">
        <v>-0.4230152821052008</v>
      </c>
      <c r="AT400" s="3" t="n">
        <v>-0.2043954225041625</v>
      </c>
      <c r="AU400" s="3">
        <f>SUM(AO400:AT400)</f>
        <v/>
      </c>
      <c r="AV400" s="7">
        <f>IF(OR(N(W400)&lt;=0,N(BH400)=0),0,N(W400)*IF(N(R400)/N(W400)&gt;=60,N(BH400),1))</f>
        <v/>
      </c>
      <c r="AW400" s="7">
        <f>N(W400)*N(AF400)*N(BI400)</f>
        <v/>
      </c>
      <c r="AX400" s="3">
        <f>IF(N(BH400)=0,0,N(W400)*N(AH400))</f>
        <v/>
      </c>
      <c r="AY400" s="7">
        <f>N(AM400)*(Assumptions!$B$13*N(BK400)-(1-Assumptions!$B$13)*Assumptions!$B$14)+N(AN400)</f>
        <v/>
      </c>
      <c r="AZ400" s="7">
        <f>N(AU400)*N(R400)/90+N(AV400)+N(AW400)+N(AX400)+N(AY400)</f>
        <v/>
      </c>
      <c r="BA400" s="3">
        <f>IF(N(R400)&lt;=0,0,(N(AZ400)-N(AY400))*90/N(R400))</f>
        <v/>
      </c>
      <c r="BB400" s="7">
        <f>IFERROR(AZ400-VLOOKUP($E400,Assumptions!$A$40:$C$43,3,FALSE),"")</f>
        <v/>
      </c>
      <c r="BC400" s="3">
        <f>IFERROR(BB400/H400,"")</f>
        <v/>
      </c>
      <c r="BD400">
        <f>IF(AND($G400=TRUE,$E400="GKP"),AZ400,"")</f>
        <v/>
      </c>
      <c r="BE400">
        <f>IF(AND($G400=TRUE,$E400="DEF"),AZ400,"")</f>
        <v/>
      </c>
      <c r="BF400">
        <f>IF(AND($G400=TRUE,$E400="MID"),AZ400,"")</f>
        <v/>
      </c>
      <c r="BG400">
        <f>IF(AND($G400=TRUE,$E400="FWD"),AZ400,"")</f>
        <v/>
      </c>
      <c r="BH400" t="n">
        <v>2</v>
      </c>
      <c r="BI400" t="n">
        <v>2</v>
      </c>
      <c r="BJ400" t="n">
        <v>4</v>
      </c>
      <c r="BK400" t="n">
        <v>6</v>
      </c>
    </row>
    <row r="401">
      <c r="A401" t="inlineStr">
        <is>
          <t>Arthur Masuaku</t>
        </is>
      </c>
      <c r="B401" t="inlineStr">
        <is>
          <t>SUN</t>
        </is>
      </c>
      <c r="C401" t="inlineStr">
        <is>
          <t>SUN</t>
        </is>
      </c>
      <c r="D401" t="b">
        <v>0</v>
      </c>
      <c r="E401" t="inlineStr">
        <is>
          <t>DEF</t>
        </is>
      </c>
      <c r="F401" t="inlineStr">
        <is>
          <t>DEF</t>
        </is>
      </c>
      <c r="G401" t="b">
        <v>1</v>
      </c>
      <c r="H401" s="2" t="n">
        <v>4</v>
      </c>
      <c r="I401" t="inlineStr">
        <is>
          <t>u</t>
        </is>
      </c>
      <c r="J401" t="inlineStr">
        <is>
          <t>Has joined Konyaspor permanently</t>
        </is>
      </c>
      <c r="K401" s="2" t="n">
        <v>125</v>
      </c>
      <c r="L401" t="n">
        <v>1</v>
      </c>
      <c r="M401" s="3" t="n"/>
      <c r="N401" s="4" t="n">
        <v>0</v>
      </c>
      <c r="O401" s="4" t="n">
        <v>-125</v>
      </c>
      <c r="P401" s="5" t="inlineStr">
        <is>
          <t>high</t>
        </is>
      </c>
      <c r="R401" s="6" t="n">
        <v>0</v>
      </c>
      <c r="S401" t="inlineStr">
        <is>
          <t>research</t>
        </is>
      </c>
      <c r="T401" s="5" t="inlineStr">
        <is>
          <t>Dead minutes. Masuaku joined Konyaspor permanently on 10 Aug 2026; FPL set his status to 'u' with news 'Has joined Konyaspor permanently' on 12 Aug. He cannot play a Premier League minute. Small in size but it is a certainty rather than a judgement. Note that Solio has already zeroed the other two departures, Anthony Patterson (Wrexham, GBP8m, 11 Aug) and Leo Fuhr Hjelde (KV Mechelen loan, 11 Aug), so Masuaku is the only stale departure left in the file.</t>
        </is>
      </c>
      <c r="U401" s="6" t="n">
        <v>80.8</v>
      </c>
      <c r="V401" s="2" t="n">
        <v>2</v>
      </c>
      <c r="W401" s="7">
        <f>IF(N(U401)&lt;=0,0,MIN(Assumptions!$B$15,N(R401)/N(U401)))</f>
        <v/>
      </c>
      <c r="X401" s="6" t="n">
        <v>0.204</v>
      </c>
      <c r="Y401" s="3" t="n">
        <v>0.0497</v>
      </c>
      <c r="Z401" t="inlineStr">
        <is>
          <t>adjusted xGOT</t>
        </is>
      </c>
      <c r="AA401" s="3" t="n">
        <v>1</v>
      </c>
      <c r="AB401" s="3" t="n">
        <v>0.991</v>
      </c>
      <c r="AC401" s="3" t="n">
        <v>0.1</v>
      </c>
      <c r="AD401" s="3" t="n">
        <v>0.0497</v>
      </c>
      <c r="AE401" s="3" t="n">
        <v>7.613</v>
      </c>
      <c r="AF401" s="3" t="n">
        <v>0.1531531571399777</v>
      </c>
      <c r="AG401" s="3" t="n">
        <v>7.542</v>
      </c>
      <c r="AH401" s="3" t="n">
        <v>0.1239080981</v>
      </c>
      <c r="AI401" s="3" t="n">
        <v>3</v>
      </c>
      <c r="AJ401" s="3" t="n">
        <v>3.3348</v>
      </c>
      <c r="AK401" s="3" t="n">
        <v>1.6498</v>
      </c>
      <c r="AL401" s="3" t="n">
        <v>-0.2473881698989371</v>
      </c>
      <c r="AM401" s="6" t="n">
        <v>0</v>
      </c>
      <c r="AN401" s="3" t="n">
        <v>0</v>
      </c>
      <c r="AO401" s="3" t="n">
        <v>0.2982</v>
      </c>
      <c r="AP401" s="3" t="n">
        <v>0.196812</v>
      </c>
      <c r="AQ401" s="3">
        <f>N(X401)*N(BJ401)</f>
        <v/>
      </c>
      <c r="AR401" s="3" t="n">
        <v>0</v>
      </c>
      <c r="AS401" s="3" t="n">
        <v>-0.5841244809045405</v>
      </c>
      <c r="AT401" s="3" t="n">
        <v>-0.2473881698989371</v>
      </c>
      <c r="AU401" s="3">
        <f>SUM(AO401:AT401)</f>
        <v/>
      </c>
      <c r="AV401" s="7">
        <f>IF(OR(N(W401)&lt;=0,N(BH401)=0),0,N(W401)*IF(N(R401)/N(W401)&gt;=60,N(BH401),1))</f>
        <v/>
      </c>
      <c r="AW401" s="7">
        <f>N(W401)*N(AF401)*N(BI401)</f>
        <v/>
      </c>
      <c r="AX401" s="3">
        <f>IF(N(BH401)=0,0,N(W401)*N(AH401))</f>
        <v/>
      </c>
      <c r="AY401" s="7">
        <f>N(AM401)*(Assumptions!$B$13*N(BK401)-(1-Assumptions!$B$13)*Assumptions!$B$14)+N(AN401)</f>
        <v/>
      </c>
      <c r="AZ401" s="7">
        <f>N(AU401)*N(R401)/90+N(AV401)+N(AW401)+N(AX401)+N(AY401)</f>
        <v/>
      </c>
      <c r="BA401" s="3">
        <f>IF(N(R401)&lt;=0,0,(N(AZ401)-N(AY401))*90/N(R401))</f>
        <v/>
      </c>
      <c r="BB401" s="7">
        <f>IFERROR(AZ401-VLOOKUP($E401,Assumptions!$A$40:$C$43,3,FALSE),"")</f>
        <v/>
      </c>
      <c r="BC401" s="3">
        <f>IFERROR(BB401/H401,"")</f>
        <v/>
      </c>
      <c r="BD401">
        <f>IF(AND($G401=TRUE,$E401="GKP"),AZ401,"")</f>
        <v/>
      </c>
      <c r="BE401">
        <f>IF(AND($G401=TRUE,$E401="DEF"),AZ401,"")</f>
        <v/>
      </c>
      <c r="BF401">
        <f>IF(AND($G401=TRUE,$E401="MID"),AZ401,"")</f>
        <v/>
      </c>
      <c r="BG401">
        <f>IF(AND($G401=TRUE,$E401="FWD"),AZ401,"")</f>
        <v/>
      </c>
      <c r="BH401" t="n">
        <v>2</v>
      </c>
      <c r="BI401" t="n">
        <v>2</v>
      </c>
      <c r="BJ401" t="n">
        <v>4</v>
      </c>
      <c r="BK401" t="n">
        <v>6</v>
      </c>
    </row>
    <row r="402">
      <c r="A402" t="inlineStr">
        <is>
          <t>Callum Olusesi</t>
        </is>
      </c>
      <c r="B402" t="inlineStr">
        <is>
          <t>TOT</t>
        </is>
      </c>
      <c r="C402" t="inlineStr">
        <is>
          <t>TOT</t>
        </is>
      </c>
      <c r="D402" t="b">
        <v>0</v>
      </c>
      <c r="E402" t="inlineStr">
        <is>
          <t>MID</t>
        </is>
      </c>
      <c r="F402" t="inlineStr">
        <is>
          <t>MID</t>
        </is>
      </c>
      <c r="G402" t="b">
        <v>1</v>
      </c>
      <c r="H402" s="2" t="n">
        <v>4.5</v>
      </c>
      <c r="I402" t="inlineStr">
        <is>
          <t>a</t>
        </is>
      </c>
      <c r="K402" s="2" t="n">
        <v>14</v>
      </c>
      <c r="L402" t="n">
        <v>1</v>
      </c>
      <c r="M402" s="3" t="n">
        <v>0</v>
      </c>
      <c r="N402" s="8" t="n">
        <v>0</v>
      </c>
      <c r="O402" s="8" t="n">
        <v>0</v>
      </c>
      <c r="Q402" t="inlineStr">
        <is>
          <t>flat</t>
        </is>
      </c>
      <c r="R402" s="6" t="n">
        <v>0</v>
      </c>
      <c r="S402" t="inlineStr">
        <is>
          <t>Solio</t>
        </is>
      </c>
      <c r="U402" s="6" t="n">
        <v>80.09999999999999</v>
      </c>
      <c r="V402" s="2" t="n">
        <v>0</v>
      </c>
      <c r="W402" s="7">
        <f>IF(N(U402)&lt;=0,0,MIN(Assumptions!$B$15,N(R402)/N(U402)))</f>
        <v/>
      </c>
      <c r="X402" s="6" t="n">
        <v>0.286</v>
      </c>
      <c r="Y402" s="3" t="n">
        <v>0</v>
      </c>
      <c r="Z402" t="inlineStr">
        <is>
          <t>blended xG</t>
        </is>
      </c>
      <c r="AA402" s="3" t="n">
        <v>1</v>
      </c>
      <c r="AB402" s="3" t="n">
        <v>1</v>
      </c>
      <c r="AC402" s="3" t="n">
        <v>0</v>
      </c>
      <c r="AD402" s="3" t="n">
        <v>0.0321</v>
      </c>
      <c r="AE402" s="3" t="n">
        <v>8.659000000000001</v>
      </c>
      <c r="AF402" s="3" t="n">
        <v>0.09191012383083308</v>
      </c>
      <c r="AG402" s="3" t="n">
        <v>6.911</v>
      </c>
      <c r="AH402" s="3" t="n">
        <v>0.021884552</v>
      </c>
      <c r="AI402" s="3" t="n">
        <v>1</v>
      </c>
      <c r="AJ402" s="3" t="n">
        <v>2.5739</v>
      </c>
      <c r="AK402" s="3" t="n">
        <v>1.3096</v>
      </c>
      <c r="AL402" s="3" t="n">
        <v>-0.2141233878946482</v>
      </c>
      <c r="AM402" s="6" t="n">
        <v>0</v>
      </c>
      <c r="AN402" s="3" t="n">
        <v>0</v>
      </c>
      <c r="AO402" s="3" t="n">
        <v>0</v>
      </c>
      <c r="AP402" s="3" t="n">
        <v>0.127116</v>
      </c>
      <c r="AQ402" s="3">
        <f>N(X402)*N(BJ402)</f>
        <v/>
      </c>
      <c r="AR402" s="3" t="n">
        <v>0</v>
      </c>
      <c r="AS402" s="3" t="n">
        <v>-0</v>
      </c>
      <c r="AT402" s="3" t="n">
        <v>-0.2141233878946482</v>
      </c>
      <c r="AU402" s="3">
        <f>SUM(AO402:AT402)</f>
        <v/>
      </c>
      <c r="AV402" s="7">
        <f>IF(OR(N(W402)&lt;=0,N(BH402)=0),0,N(W402)*IF(N(R402)/N(W402)&gt;=60,N(BH402),1))</f>
        <v/>
      </c>
      <c r="AW402" s="7">
        <f>N(W402)*N(AF402)*N(BI402)</f>
        <v/>
      </c>
      <c r="AX402" s="3">
        <f>IF(N(BH402)=0,0,N(W402)*N(AH402))</f>
        <v/>
      </c>
      <c r="AY402" s="7">
        <f>N(AM402)*(Assumptions!$B$13*N(BK402)-(1-Assumptions!$B$13)*Assumptions!$B$14)+N(AN402)</f>
        <v/>
      </c>
      <c r="AZ402" s="7">
        <f>N(AU402)*N(R402)/90+N(AV402)+N(AW402)+N(AX402)+N(AY402)</f>
        <v/>
      </c>
      <c r="BA402" s="3">
        <f>IF(N(R402)&lt;=0,0,(N(AZ402)-N(AY402))*90/N(R402))</f>
        <v/>
      </c>
      <c r="BB402" s="7">
        <f>IFERROR(AZ402-VLOOKUP($E402,Assumptions!$A$40:$C$43,3,FALSE),"")</f>
        <v/>
      </c>
      <c r="BC402" s="3">
        <f>IFERROR(BB402/H402,"")</f>
        <v/>
      </c>
      <c r="BD402">
        <f>IF(AND($G402=TRUE,$E402="GKP"),AZ402,"")</f>
        <v/>
      </c>
      <c r="BE402">
        <f>IF(AND($G402=TRUE,$E402="DEF"),AZ402,"")</f>
        <v/>
      </c>
      <c r="BF402">
        <f>IF(AND($G402=TRUE,$E402="MID"),AZ402,"")</f>
        <v/>
      </c>
      <c r="BG402">
        <f>IF(AND($G402=TRUE,$E402="FWD"),AZ402,"")</f>
        <v/>
      </c>
      <c r="BH402" t="n">
        <v>2</v>
      </c>
      <c r="BI402" t="n">
        <v>2</v>
      </c>
      <c r="BJ402" t="n">
        <v>1</v>
      </c>
      <c r="BK402" t="n">
        <v>5</v>
      </c>
    </row>
    <row r="403">
      <c r="A403" t="inlineStr">
        <is>
          <t>Dário Essugo</t>
        </is>
      </c>
      <c r="B403" t="inlineStr">
        <is>
          <t>CHE</t>
        </is>
      </c>
      <c r="C403" t="inlineStr">
        <is>
          <t>CHE</t>
        </is>
      </c>
      <c r="D403" t="b">
        <v>0</v>
      </c>
      <c r="E403" t="inlineStr">
        <is>
          <t>MID</t>
        </is>
      </c>
      <c r="F403" t="inlineStr">
        <is>
          <t>MID</t>
        </is>
      </c>
      <c r="G403" t="b">
        <v>1</v>
      </c>
      <c r="H403" s="2" t="n">
        <v>4.5</v>
      </c>
      <c r="I403" t="inlineStr">
        <is>
          <t>a</t>
        </is>
      </c>
      <c r="K403" s="2" t="n">
        <v>26</v>
      </c>
      <c r="L403" t="n">
        <v>1</v>
      </c>
      <c r="M403" s="3" t="n">
        <v>12</v>
      </c>
      <c r="N403" s="8" t="n">
        <v>12</v>
      </c>
      <c r="O403" s="8" t="n">
        <v>0</v>
      </c>
      <c r="Q403" t="inlineStr">
        <is>
          <t>flat</t>
        </is>
      </c>
      <c r="R403" s="6" t="n">
        <v>12</v>
      </c>
      <c r="S403" t="inlineStr">
        <is>
          <t>Solio</t>
        </is>
      </c>
      <c r="U403" s="6" t="n">
        <v>80.09999999999999</v>
      </c>
      <c r="V403" s="2" t="n">
        <v>0</v>
      </c>
      <c r="W403" s="7">
        <f>IF(N(U403)&lt;=0,0,MIN(Assumptions!$B$15,N(R403)/N(U403)))</f>
        <v/>
      </c>
      <c r="X403" s="6" t="n">
        <v>0.322</v>
      </c>
      <c r="Y403" s="3" t="n">
        <v>0</v>
      </c>
      <c r="Z403" t="inlineStr">
        <is>
          <t>blended xG</t>
        </is>
      </c>
      <c r="AA403" s="3" t="n">
        <v>1</v>
      </c>
      <c r="AB403" s="3" t="n">
        <v>1</v>
      </c>
      <c r="AC403" s="3" t="n">
        <v>0</v>
      </c>
      <c r="AD403" s="3" t="n">
        <v>0.0173</v>
      </c>
      <c r="AE403" s="3" t="n">
        <v>9.243</v>
      </c>
      <c r="AF403" s="3" t="n">
        <v>0.1289463586019335</v>
      </c>
      <c r="AG403" s="3" t="n">
        <v>7.436</v>
      </c>
      <c r="AH403" s="3" t="n">
        <v>0.0163916714</v>
      </c>
      <c r="AI403" s="3" t="n">
        <v>3</v>
      </c>
      <c r="AJ403" s="3" t="n">
        <v>2.4232</v>
      </c>
      <c r="AK403" s="3" t="n">
        <v>1.1851</v>
      </c>
      <c r="AL403" s="3" t="n">
        <v>-0.3352899199387102</v>
      </c>
      <c r="AM403" s="6" t="n">
        <v>0</v>
      </c>
      <c r="AN403" s="3" t="n">
        <v>0</v>
      </c>
      <c r="AO403" s="3" t="n">
        <v>0</v>
      </c>
      <c r="AP403" s="3" t="n">
        <v>0.068508</v>
      </c>
      <c r="AQ403" s="3">
        <f>N(X403)*N(BJ403)</f>
        <v/>
      </c>
      <c r="AR403" s="3" t="n">
        <v>0</v>
      </c>
      <c r="AS403" s="3" t="n">
        <v>-0</v>
      </c>
      <c r="AT403" s="3" t="n">
        <v>-0.3352899199387102</v>
      </c>
      <c r="AU403" s="3">
        <f>SUM(AO403:AT403)</f>
        <v/>
      </c>
      <c r="AV403" s="7">
        <f>IF(OR(N(W403)&lt;=0,N(BH403)=0),0,N(W403)*IF(N(R403)/N(W403)&gt;=60,N(BH403),1))</f>
        <v/>
      </c>
      <c r="AW403" s="7">
        <f>N(W403)*N(AF403)*N(BI403)</f>
        <v/>
      </c>
      <c r="AX403" s="3">
        <f>IF(N(BH403)=0,0,N(W403)*N(AH403))</f>
        <v/>
      </c>
      <c r="AY403" s="7">
        <f>N(AM403)*(Assumptions!$B$13*N(BK403)-(1-Assumptions!$B$13)*Assumptions!$B$14)+N(AN403)</f>
        <v/>
      </c>
      <c r="AZ403" s="7">
        <f>N(AU403)*N(R403)/90+N(AV403)+N(AW403)+N(AX403)+N(AY403)</f>
        <v/>
      </c>
      <c r="BA403" s="3">
        <f>IF(N(R403)&lt;=0,0,(N(AZ403)-N(AY403))*90/N(R403))</f>
        <v/>
      </c>
      <c r="BB403" s="7">
        <f>IFERROR(AZ403-VLOOKUP($E403,Assumptions!$A$40:$C$43,3,FALSE),"")</f>
        <v/>
      </c>
      <c r="BC403" s="3">
        <f>IFERROR(BB403/H403,"")</f>
        <v/>
      </c>
      <c r="BD403">
        <f>IF(AND($G403=TRUE,$E403="GKP"),AZ403,"")</f>
        <v/>
      </c>
      <c r="BE403">
        <f>IF(AND($G403=TRUE,$E403="DEF"),AZ403,"")</f>
        <v/>
      </c>
      <c r="BF403">
        <f>IF(AND($G403=TRUE,$E403="MID"),AZ403,"")</f>
        <v/>
      </c>
      <c r="BG403">
        <f>IF(AND($G403=TRUE,$E403="FWD"),AZ403,"")</f>
        <v/>
      </c>
      <c r="BH403" t="n">
        <v>2</v>
      </c>
      <c r="BI403" t="n">
        <v>2</v>
      </c>
      <c r="BJ403" t="n">
        <v>1</v>
      </c>
      <c r="BK403" t="n">
        <v>5</v>
      </c>
    </row>
    <row r="404">
      <c r="A404" t="inlineStr">
        <is>
          <t>Hákon Valdimarsson</t>
        </is>
      </c>
      <c r="B404" t="inlineStr">
        <is>
          <t>BRE</t>
        </is>
      </c>
      <c r="C404" t="inlineStr">
        <is>
          <t>BRE</t>
        </is>
      </c>
      <c r="D404" t="b">
        <v>0</v>
      </c>
      <c r="E404" t="inlineStr">
        <is>
          <t>GKP</t>
        </is>
      </c>
      <c r="F404" t="inlineStr">
        <is>
          <t>GKP</t>
        </is>
      </c>
      <c r="G404" t="b">
        <v>1</v>
      </c>
      <c r="H404" s="2" t="n">
        <v>4.5</v>
      </c>
      <c r="I404" t="inlineStr">
        <is>
          <t>a</t>
        </is>
      </c>
      <c r="K404" s="2" t="n">
        <v>90</v>
      </c>
      <c r="L404" t="n">
        <v>1</v>
      </c>
      <c r="M404" s="3" t="n">
        <v>35</v>
      </c>
      <c r="N404" s="8" t="n">
        <v>35</v>
      </c>
      <c r="O404" s="8" t="n">
        <v>0</v>
      </c>
      <c r="Q404" t="inlineStr">
        <is>
          <t>flat</t>
        </is>
      </c>
      <c r="R404" s="6" t="n">
        <v>35</v>
      </c>
      <c r="S404" t="inlineStr">
        <is>
          <t>Solio</t>
        </is>
      </c>
      <c r="U404" s="6" t="n">
        <v>89.8</v>
      </c>
      <c r="V404" s="2" t="n">
        <v>1</v>
      </c>
      <c r="W404" s="7">
        <f>IF(N(U404)&lt;=0,0,MIN(Assumptions!$B$15,N(R404)/N(U404)))</f>
        <v/>
      </c>
      <c r="X404" s="6" t="n">
        <v>0.228</v>
      </c>
      <c r="Y404" s="3" t="n">
        <v>0</v>
      </c>
      <c r="Z404" t="inlineStr">
        <is>
          <t>blended xG</t>
        </is>
      </c>
      <c r="AA404" s="3" t="n">
        <v>1</v>
      </c>
      <c r="AB404" s="3" t="n">
        <v>1</v>
      </c>
      <c r="AC404" s="3" t="n">
        <v>0</v>
      </c>
      <c r="AD404" s="3" t="n">
        <v>0</v>
      </c>
      <c r="AE404" s="3" t="n">
        <v>0</v>
      </c>
      <c r="AF404" s="3" t="n">
        <v>0</v>
      </c>
      <c r="AG404" s="3" t="n">
        <v>5.596</v>
      </c>
      <c r="AH404" s="3" t="n">
        <v>0.2428537793</v>
      </c>
      <c r="AI404" s="3" t="n">
        <v>2</v>
      </c>
      <c r="AJ404" s="3" t="n">
        <v>3.2371</v>
      </c>
      <c r="AK404" s="3" t="n">
        <v>1.5396</v>
      </c>
      <c r="AL404" s="3" t="n">
        <v>-0.0683156702064885</v>
      </c>
      <c r="AM404" s="6" t="n">
        <v>0</v>
      </c>
      <c r="AN404" s="3" t="n">
        <v>0.0336372485649878</v>
      </c>
      <c r="AO404" s="3" t="n">
        <v>0</v>
      </c>
      <c r="AP404" s="3" t="n">
        <v>0</v>
      </c>
      <c r="AQ404" s="3">
        <f>N(X404)*N(BJ404)</f>
        <v/>
      </c>
      <c r="AR404" s="3" t="n">
        <v>0.7437492341118994</v>
      </c>
      <c r="AS404" s="3" t="n">
        <v>-0.5312990096912251</v>
      </c>
      <c r="AT404" s="3" t="n">
        <v>-0.0683156702064885</v>
      </c>
      <c r="AU404" s="3">
        <f>SUM(AO404:AT404)</f>
        <v/>
      </c>
      <c r="AV404" s="7">
        <f>IF(OR(N(W404)&lt;=0,N(BH404)=0),0,N(W404)*IF(N(R404)/N(W404)&gt;=60,N(BH404),1))</f>
        <v/>
      </c>
      <c r="AW404" s="7">
        <f>N(W404)*N(AF404)*N(BI404)</f>
        <v/>
      </c>
      <c r="AX404" s="3">
        <f>IF(N(BH404)=0,0,N(W404)*N(AH404))</f>
        <v/>
      </c>
      <c r="AY404" s="7">
        <f>N(AM404)*(Assumptions!$B$13*N(BK404)-(1-Assumptions!$B$13)*Assumptions!$B$14)+N(AN404)</f>
        <v/>
      </c>
      <c r="AZ404" s="7">
        <f>N(AU404)*N(R404)/90+N(AV404)+N(AW404)+N(AX404)+N(AY404)</f>
        <v/>
      </c>
      <c r="BA404" s="3">
        <f>IF(N(R404)&lt;=0,0,(N(AZ404)-N(AY404))*90/N(R404))</f>
        <v/>
      </c>
      <c r="BB404" s="7">
        <f>IFERROR(AZ404-VLOOKUP($E404,Assumptions!$A$40:$C$43,3,FALSE),"")</f>
        <v/>
      </c>
      <c r="BC404" s="3">
        <f>IFERROR(BB404/H404,"")</f>
        <v/>
      </c>
      <c r="BD404">
        <f>IF(AND($G404=TRUE,$E404="GKP"),AZ404,"")</f>
        <v/>
      </c>
      <c r="BE404">
        <f>IF(AND($G404=TRUE,$E404="DEF"),AZ404,"")</f>
        <v/>
      </c>
      <c r="BF404">
        <f>IF(AND($G404=TRUE,$E404="MID"),AZ404,"")</f>
        <v/>
      </c>
      <c r="BG404">
        <f>IF(AND($G404=TRUE,$E404="FWD"),AZ404,"")</f>
        <v/>
      </c>
      <c r="BH404" t="n">
        <v>2</v>
      </c>
      <c r="BI404" t="n">
        <v>0</v>
      </c>
      <c r="BJ404" t="n">
        <v>4</v>
      </c>
      <c r="BK404" t="n">
        <v>10</v>
      </c>
    </row>
    <row r="405">
      <c r="A405" t="inlineStr">
        <is>
          <t>Antoni Milambo</t>
        </is>
      </c>
      <c r="B405" t="inlineStr">
        <is>
          <t>BRE</t>
        </is>
      </c>
      <c r="C405" t="inlineStr">
        <is>
          <t>BRE</t>
        </is>
      </c>
      <c r="D405" t="b">
        <v>0</v>
      </c>
      <c r="E405" t="inlineStr">
        <is>
          <t>MID</t>
        </is>
      </c>
      <c r="F405" t="inlineStr">
        <is>
          <t>MID</t>
        </is>
      </c>
      <c r="G405" t="b">
        <v>1</v>
      </c>
      <c r="H405" s="2" t="n">
        <v>5</v>
      </c>
      <c r="I405" t="inlineStr">
        <is>
          <t>d</t>
        </is>
      </c>
      <c r="J405" t="inlineStr">
        <is>
          <t>Knee injury - 75% chance of playing</t>
        </is>
      </c>
      <c r="K405" s="2" t="n">
        <v>45</v>
      </c>
      <c r="L405" t="n">
        <v>1</v>
      </c>
      <c r="M405" s="3" t="n">
        <v>0</v>
      </c>
      <c r="N405" s="8" t="n">
        <v>0</v>
      </c>
      <c r="O405" s="8" t="n">
        <v>0</v>
      </c>
      <c r="Q405" t="inlineStr">
        <is>
          <t>flat</t>
        </is>
      </c>
      <c r="R405" s="6" t="n">
        <v>0</v>
      </c>
      <c r="S405" t="inlineStr">
        <is>
          <t>Solio</t>
        </is>
      </c>
      <c r="U405" s="6" t="n">
        <v>76.90000000000001</v>
      </c>
      <c r="V405" s="2" t="n">
        <v>1</v>
      </c>
      <c r="W405" s="7">
        <f>IF(N(U405)&lt;=0,0,MIN(Assumptions!$B$15,N(R405)/N(U405)))</f>
        <v/>
      </c>
      <c r="X405" s="6" t="n">
        <v>0.228</v>
      </c>
      <c r="Y405" s="3" t="n">
        <v>0</v>
      </c>
      <c r="Z405" t="inlineStr">
        <is>
          <t>blended xG</t>
        </is>
      </c>
      <c r="AA405" s="3" t="n">
        <v>1</v>
      </c>
      <c r="AB405" s="3" t="n">
        <v>1</v>
      </c>
      <c r="AC405" s="3" t="n">
        <v>0</v>
      </c>
      <c r="AD405" s="3" t="n">
        <v>0.01</v>
      </c>
      <c r="AE405" s="3" t="n">
        <v>8.542999999999999</v>
      </c>
      <c r="AF405" s="3" t="n">
        <v>0.06805562115055974</v>
      </c>
      <c r="AG405" s="3" t="n">
        <v>6.875</v>
      </c>
      <c r="AH405" s="3" t="n">
        <v>0.0149458611</v>
      </c>
      <c r="AI405" s="3" t="n">
        <v>1</v>
      </c>
      <c r="AJ405" s="3" t="n">
        <v>3.2371</v>
      </c>
      <c r="AK405" s="3" t="n">
        <v>1.5396</v>
      </c>
      <c r="AL405" s="3" t="n">
        <v>-0.21000072881914</v>
      </c>
      <c r="AM405" s="6" t="n">
        <v>0</v>
      </c>
      <c r="AN405" s="3" t="n">
        <v>0</v>
      </c>
      <c r="AO405" s="3" t="n">
        <v>0</v>
      </c>
      <c r="AP405" s="3" t="n">
        <v>0.0396</v>
      </c>
      <c r="AQ405" s="3">
        <f>N(X405)*N(BJ405)</f>
        <v/>
      </c>
      <c r="AR405" s="3" t="n">
        <v>0</v>
      </c>
      <c r="AS405" s="3" t="n">
        <v>-0</v>
      </c>
      <c r="AT405" s="3" t="n">
        <v>-0.21000072881914</v>
      </c>
      <c r="AU405" s="3">
        <f>SUM(AO405:AT405)</f>
        <v/>
      </c>
      <c r="AV405" s="7">
        <f>IF(OR(N(W405)&lt;=0,N(BH405)=0),0,N(W405)*IF(N(R405)/N(W405)&gt;=60,N(BH405),1))</f>
        <v/>
      </c>
      <c r="AW405" s="7">
        <f>N(W405)*N(AF405)*N(BI405)</f>
        <v/>
      </c>
      <c r="AX405" s="3">
        <f>IF(N(BH405)=0,0,N(W405)*N(AH405))</f>
        <v/>
      </c>
      <c r="AY405" s="7">
        <f>N(AM405)*(Assumptions!$B$13*N(BK405)-(1-Assumptions!$B$13)*Assumptions!$B$14)+N(AN405)</f>
        <v/>
      </c>
      <c r="AZ405" s="7">
        <f>N(AU405)*N(R405)/90+N(AV405)+N(AW405)+N(AX405)+N(AY405)</f>
        <v/>
      </c>
      <c r="BA405" s="3">
        <f>IF(N(R405)&lt;=0,0,(N(AZ405)-N(AY405))*90/N(R405))</f>
        <v/>
      </c>
      <c r="BB405" s="7">
        <f>IFERROR(AZ405-VLOOKUP($E405,Assumptions!$A$40:$C$43,3,FALSE),"")</f>
        <v/>
      </c>
      <c r="BC405" s="3">
        <f>IFERROR(BB405/H405,"")</f>
        <v/>
      </c>
      <c r="BD405">
        <f>IF(AND($G405=TRUE,$E405="GKP"),AZ405,"")</f>
        <v/>
      </c>
      <c r="BE405">
        <f>IF(AND($G405=TRUE,$E405="DEF"),AZ405,"")</f>
        <v/>
      </c>
      <c r="BF405">
        <f>IF(AND($G405=TRUE,$E405="MID"),AZ405,"")</f>
        <v/>
      </c>
      <c r="BG405">
        <f>IF(AND($G405=TRUE,$E405="FWD"),AZ405,"")</f>
        <v/>
      </c>
      <c r="BH405" t="n">
        <v>2</v>
      </c>
      <c r="BI405" t="n">
        <v>2</v>
      </c>
      <c r="BJ405" t="n">
        <v>1</v>
      </c>
      <c r="BK405" t="n">
        <v>5</v>
      </c>
    </row>
    <row r="406">
      <c r="A406" t="inlineStr">
        <is>
          <t>Tyler Fredricson</t>
        </is>
      </c>
      <c r="B406" t="inlineStr">
        <is>
          <t>MUN</t>
        </is>
      </c>
      <c r="C406" t="inlineStr">
        <is>
          <t>MUN</t>
        </is>
      </c>
      <c r="D406" t="b">
        <v>0</v>
      </c>
      <c r="E406" t="inlineStr">
        <is>
          <t>DEF</t>
        </is>
      </c>
      <c r="F406" t="inlineStr">
        <is>
          <t>DEF</t>
        </is>
      </c>
      <c r="G406" t="b">
        <v>1</v>
      </c>
      <c r="H406" s="2" t="n">
        <v>4</v>
      </c>
      <c r="I406" t="inlineStr">
        <is>
          <t>a</t>
        </is>
      </c>
      <c r="K406" s="2" t="n">
        <v>2</v>
      </c>
      <c r="L406" t="n">
        <v>1</v>
      </c>
      <c r="M406" s="3" t="n">
        <v>0</v>
      </c>
      <c r="N406" s="8" t="n">
        <v>0</v>
      </c>
      <c r="O406" s="8" t="n">
        <v>0</v>
      </c>
      <c r="Q406" t="inlineStr">
        <is>
          <t>flat</t>
        </is>
      </c>
      <c r="R406" s="6" t="n">
        <v>0</v>
      </c>
      <c r="S406" t="inlineStr">
        <is>
          <t>Solio</t>
        </is>
      </c>
      <c r="U406" s="6" t="n">
        <v>85.5</v>
      </c>
      <c r="V406" s="2" t="n">
        <v>0</v>
      </c>
      <c r="W406" s="7">
        <f>IF(N(U406)&lt;=0,0,MIN(Assumptions!$B$15,N(R406)/N(U406)))</f>
        <v/>
      </c>
      <c r="X406" s="6" t="n">
        <v>0.334</v>
      </c>
      <c r="Y406" s="3" t="n">
        <v>0</v>
      </c>
      <c r="Z406" t="inlineStr">
        <is>
          <t>blended xG</t>
        </is>
      </c>
      <c r="AA406" s="3" t="n">
        <v>1</v>
      </c>
      <c r="AB406" s="3" t="n">
        <v>1</v>
      </c>
      <c r="AC406" s="3" t="n">
        <v>0</v>
      </c>
      <c r="AD406" s="3" t="n">
        <v>0</v>
      </c>
      <c r="AE406" s="3" t="n">
        <v>7.913</v>
      </c>
      <c r="AF406" s="3" t="n">
        <v>0.2255813624920678</v>
      </c>
      <c r="AG406" s="3" t="n">
        <v>8.153</v>
      </c>
      <c r="AH406" s="3" t="n">
        <v>0.14193864</v>
      </c>
      <c r="AI406" s="3" t="n">
        <v>1</v>
      </c>
      <c r="AJ406" s="3" t="n">
        <v>2.2165</v>
      </c>
      <c r="AK406" s="3" t="n">
        <v>1.1467</v>
      </c>
      <c r="AL406" s="3" t="n">
        <v>-0.1924405994730319</v>
      </c>
      <c r="AM406" s="6" t="n">
        <v>0</v>
      </c>
      <c r="AN406" s="3" t="n">
        <v>0</v>
      </c>
      <c r="AO406" s="3" t="n">
        <v>0</v>
      </c>
      <c r="AP406" s="3" t="n">
        <v>0</v>
      </c>
      <c r="AQ406" s="3">
        <f>N(X406)*N(BJ406)</f>
        <v/>
      </c>
      <c r="AR406" s="3" t="n">
        <v>0</v>
      </c>
      <c r="AS406" s="3" t="n">
        <v>-0.348580685135232</v>
      </c>
      <c r="AT406" s="3" t="n">
        <v>-0.1924405994730319</v>
      </c>
      <c r="AU406" s="3">
        <f>SUM(AO406:AT406)</f>
        <v/>
      </c>
      <c r="AV406" s="7">
        <f>IF(OR(N(W406)&lt;=0,N(BH406)=0),0,N(W406)*IF(N(R406)/N(W406)&gt;=60,N(BH406),1))</f>
        <v/>
      </c>
      <c r="AW406" s="7">
        <f>N(W406)*N(AF406)*N(BI406)</f>
        <v/>
      </c>
      <c r="AX406" s="3">
        <f>IF(N(BH406)=0,0,N(W406)*N(AH406))</f>
        <v/>
      </c>
      <c r="AY406" s="7">
        <f>N(AM406)*(Assumptions!$B$13*N(BK406)-(1-Assumptions!$B$13)*Assumptions!$B$14)+N(AN406)</f>
        <v/>
      </c>
      <c r="AZ406" s="7">
        <f>N(AU406)*N(R406)/90+N(AV406)+N(AW406)+N(AX406)+N(AY406)</f>
        <v/>
      </c>
      <c r="BA406" s="3">
        <f>IF(N(R406)&lt;=0,0,(N(AZ406)-N(AY406))*90/N(R406))</f>
        <v/>
      </c>
      <c r="BB406" s="7">
        <f>IFERROR(AZ406-VLOOKUP($E406,Assumptions!$A$40:$C$43,3,FALSE),"")</f>
        <v/>
      </c>
      <c r="BC406" s="3">
        <f>IFERROR(BB406/H406,"")</f>
        <v/>
      </c>
      <c r="BD406">
        <f>IF(AND($G406=TRUE,$E406="GKP"),AZ406,"")</f>
        <v/>
      </c>
      <c r="BE406">
        <f>IF(AND($G406=TRUE,$E406="DEF"),AZ406,"")</f>
        <v/>
      </c>
      <c r="BF406">
        <f>IF(AND($G406=TRUE,$E406="MID"),AZ406,"")</f>
        <v/>
      </c>
      <c r="BG406">
        <f>IF(AND($G406=TRUE,$E406="FWD"),AZ406,"")</f>
        <v/>
      </c>
      <c r="BH406" t="n">
        <v>2</v>
      </c>
      <c r="BI406" t="n">
        <v>2</v>
      </c>
      <c r="BJ406" t="n">
        <v>4</v>
      </c>
      <c r="BK406" t="n">
        <v>6</v>
      </c>
    </row>
    <row r="407">
      <c r="A407" s="9" t="inlineStr">
        <is>
          <t>Illan Meslier</t>
        </is>
      </c>
      <c r="B407" t="inlineStr">
        <is>
          <t>ARS</t>
        </is>
      </c>
      <c r="C407" s="9" t="inlineStr">
        <is>
          <t>LEE</t>
        </is>
      </c>
      <c r="D407" t="b">
        <v>1</v>
      </c>
      <c r="E407" t="inlineStr">
        <is>
          <t>GKP</t>
        </is>
      </c>
      <c r="F407" t="inlineStr">
        <is>
          <t>GKP</t>
        </is>
      </c>
      <c r="G407" t="b">
        <v>1</v>
      </c>
      <c r="H407" s="2" t="n">
        <v>5</v>
      </c>
      <c r="I407" t="inlineStr">
        <is>
          <t>a</t>
        </is>
      </c>
      <c r="K407" s="2" t="n">
        <v>0</v>
      </c>
      <c r="L407" t="n">
        <v>0</v>
      </c>
      <c r="M407" s="3" t="n">
        <v>0</v>
      </c>
      <c r="N407" s="4" t="n">
        <v>20</v>
      </c>
      <c r="O407" s="4" t="n">
        <v>20</v>
      </c>
      <c r="P407" s="5" t="inlineStr">
        <is>
          <t>low</t>
        </is>
      </c>
      <c r="Q407" t="inlineStr">
        <is>
          <t>flat</t>
        </is>
      </c>
      <c r="R407" s="6" t="n">
        <v>20</v>
      </c>
      <c r="S407" t="inlineStr">
        <is>
          <t>research</t>
        </is>
      </c>
      <c r="T407" s="5" t="inlineStr">
        <is>
          <t>Solio has Meslier at zero and still attached to Leeds. He joined Arsenal as a free agent on 9 July as the back-up goalkeeper, so he should carry a non-zero share of the small back-up allocation behind Raya. Counterpart to the Kepa entry; net effect on the club total is zero.</t>
        </is>
      </c>
      <c r="U407" s="6" t="n">
        <v>85</v>
      </c>
      <c r="V407" s="2" t="n"/>
      <c r="W407" s="7">
        <f>IF(N(U407)&lt;=0,0,MIN(Assumptions!$B$15,N(R407)/N(U407)))</f>
        <v/>
      </c>
      <c r="X407" s="6" t="n">
        <v>0.391</v>
      </c>
      <c r="Y407" s="10" t="n"/>
      <c r="Z407" t="inlineStr"/>
      <c r="AA407" s="3" t="n">
        <v>1</v>
      </c>
      <c r="AB407" s="3" t="n"/>
      <c r="AC407" s="3" t="n"/>
      <c r="AD407" s="10" t="n"/>
      <c r="AE407" s="3" t="n">
        <v>0</v>
      </c>
      <c r="AF407" s="3" t="n">
        <v>0</v>
      </c>
      <c r="AG407" s="3" t="n"/>
      <c r="AH407" s="3" t="n">
        <v>0</v>
      </c>
      <c r="AI407" s="3" t="n">
        <v>0</v>
      </c>
      <c r="AJ407" s="3" t="n">
        <v>2.067</v>
      </c>
      <c r="AK407" s="3" t="n">
        <v>0.9838</v>
      </c>
      <c r="AL407" s="3" t="n">
        <v>-0.0763216474948735</v>
      </c>
      <c r="AM407" s="6" t="n">
        <v>0</v>
      </c>
      <c r="AN407" s="3" t="n">
        <v>0</v>
      </c>
      <c r="AO407" s="10" t="n">
        <v>0</v>
      </c>
      <c r="AP407" s="10" t="n">
        <v>0</v>
      </c>
      <c r="AQ407" s="3">
        <f>N(X407)*N(BJ407)</f>
        <v/>
      </c>
      <c r="AR407" s="3" t="n">
        <v>0.3608597487600056</v>
      </c>
      <c r="AS407" s="3" t="n">
        <v>-0.2768479886568037</v>
      </c>
      <c r="AT407" s="3" t="n">
        <v>-0.0763216474948735</v>
      </c>
      <c r="AU407" s="3">
        <f>SUM(AO407:AT407)</f>
        <v/>
      </c>
      <c r="AV407" s="7">
        <f>IF(OR(N(W407)&lt;=0,N(BH407)=0),0,N(W407)*IF(N(R407)/N(W407)&gt;=60,N(BH407),1))</f>
        <v/>
      </c>
      <c r="AW407" s="7">
        <f>N(W407)*N(AF407)*N(BI407)</f>
        <v/>
      </c>
      <c r="AX407" s="3">
        <f>IF(N(BH407)=0,0,N(W407)*N(AH407))</f>
        <v/>
      </c>
      <c r="AY407" s="7">
        <f>N(AM407)*(Assumptions!$B$13*N(BK407)-(1-Assumptions!$B$13)*Assumptions!$B$14)+N(AN407)</f>
        <v/>
      </c>
      <c r="AZ407" s="7">
        <f>N(AU407)*N(R407)/90+N(AV407)+N(AW407)+N(AX407)+N(AY407)</f>
        <v/>
      </c>
      <c r="BA407" s="3">
        <f>IF(N(R407)&lt;=0,0,(N(AZ407)-N(AY407))*90/N(R407))</f>
        <v/>
      </c>
      <c r="BB407" s="7">
        <f>IFERROR(AZ407-VLOOKUP($E407,Assumptions!$A$40:$C$43,3,FALSE),"")</f>
        <v/>
      </c>
      <c r="BC407" s="3">
        <f>IFERROR(BB407/H407,"")</f>
        <v/>
      </c>
      <c r="BD407">
        <f>IF(AND($G407=TRUE,$E407="GKP"),AZ407,"")</f>
        <v/>
      </c>
      <c r="BE407">
        <f>IF(AND($G407=TRUE,$E407="DEF"),AZ407,"")</f>
        <v/>
      </c>
      <c r="BF407">
        <f>IF(AND($G407=TRUE,$E407="MID"),AZ407,"")</f>
        <v/>
      </c>
      <c r="BG407">
        <f>IF(AND($G407=TRUE,$E407="FWD"),AZ407,"")</f>
        <v/>
      </c>
      <c r="BH407" t="n">
        <v>2</v>
      </c>
      <c r="BI407" t="n">
        <v>0</v>
      </c>
      <c r="BJ407" t="n">
        <v>4</v>
      </c>
      <c r="BK407" t="n">
        <v>10</v>
      </c>
    </row>
    <row r="408">
      <c r="A408" t="inlineStr">
        <is>
          <t>Julián Araujo Zúñiga</t>
        </is>
      </c>
      <c r="B408" t="inlineStr">
        <is>
          <t>BOU</t>
        </is>
      </c>
      <c r="C408" t="inlineStr">
        <is>
          <t>BOU</t>
        </is>
      </c>
      <c r="D408" t="b">
        <v>0</v>
      </c>
      <c r="E408" t="inlineStr">
        <is>
          <t>DEF</t>
        </is>
      </c>
      <c r="F408" t="inlineStr">
        <is>
          <t>DEF</t>
        </is>
      </c>
      <c r="G408" t="b">
        <v>1</v>
      </c>
      <c r="H408" s="2" t="n">
        <v>4.5</v>
      </c>
      <c r="I408" t="inlineStr">
        <is>
          <t>i</t>
        </is>
      </c>
      <c r="J408" t="inlineStr">
        <is>
          <t>Thigh injury - Unknown return date</t>
        </is>
      </c>
      <c r="K408" s="2" t="n">
        <v>0</v>
      </c>
      <c r="L408" t="n">
        <v>0</v>
      </c>
      <c r="M408" s="3" t="n">
        <v>0</v>
      </c>
      <c r="N408" s="8" t="n">
        <v>0</v>
      </c>
      <c r="O408" s="8" t="n">
        <v>0</v>
      </c>
      <c r="Q408" t="inlineStr">
        <is>
          <t>flat</t>
        </is>
      </c>
      <c r="R408" s="6" t="n">
        <v>0</v>
      </c>
      <c r="S408" t="inlineStr">
        <is>
          <t>Solio</t>
        </is>
      </c>
      <c r="U408" s="6" t="n">
        <v>85</v>
      </c>
      <c r="V408" s="2" t="n"/>
      <c r="W408" s="7">
        <f>IF(N(U408)&lt;=0,0,MIN(Assumptions!$B$15,N(R408)/N(U408)))</f>
        <v/>
      </c>
      <c r="X408" s="6" t="n">
        <v>0.23</v>
      </c>
      <c r="Y408" s="3" t="n"/>
      <c r="Z408" t="inlineStr"/>
      <c r="AA408" s="3" t="n">
        <v>1</v>
      </c>
      <c r="AB408" s="3" t="n"/>
      <c r="AC408" s="3" t="n"/>
      <c r="AD408" s="3" t="n"/>
      <c r="AE408" s="3" t="n"/>
      <c r="AF408" s="3" t="n">
        <v>0</v>
      </c>
      <c r="AG408" s="3" t="n"/>
      <c r="AH408" s="3" t="n">
        <v>0</v>
      </c>
      <c r="AI408" s="3" t="n">
        <v>0</v>
      </c>
      <c r="AJ408" s="3" t="n">
        <v>3.0957</v>
      </c>
      <c r="AK408" s="3" t="n">
        <v>1.53</v>
      </c>
      <c r="AL408" s="3" t="n">
        <v>-0.2355754748814301</v>
      </c>
      <c r="AM408" s="6" t="n">
        <v>0</v>
      </c>
      <c r="AN408" s="3" t="n">
        <v>0</v>
      </c>
      <c r="AO408" s="3" t="n">
        <v>0</v>
      </c>
      <c r="AP408" s="3" t="n">
        <v>0</v>
      </c>
      <c r="AQ408" s="3">
        <f>N(X408)*N(BJ408)</f>
        <v/>
      </c>
      <c r="AR408" s="3" t="n">
        <v>0</v>
      </c>
      <c r="AS408" s="3" t="n">
        <v>-0.5267219238049191</v>
      </c>
      <c r="AT408" s="3" t="n">
        <v>-0.2355754748814301</v>
      </c>
      <c r="AU408" s="3">
        <f>SUM(AO408:AT408)</f>
        <v/>
      </c>
      <c r="AV408" s="7">
        <f>IF(OR(N(W408)&lt;=0,N(BH408)=0),0,N(W408)*IF(N(R408)/N(W408)&gt;=60,N(BH408),1))</f>
        <v/>
      </c>
      <c r="AW408" s="7">
        <f>N(W408)*N(AF408)*N(BI408)</f>
        <v/>
      </c>
      <c r="AX408" s="3">
        <f>IF(N(BH408)=0,0,N(W408)*N(AH408))</f>
        <v/>
      </c>
      <c r="AY408" s="7">
        <f>N(AM408)*(Assumptions!$B$13*N(BK408)-(1-Assumptions!$B$13)*Assumptions!$B$14)+N(AN408)</f>
        <v/>
      </c>
      <c r="AZ408" s="7">
        <f>N(AU408)*N(R408)/90+N(AV408)+N(AW408)+N(AX408)+N(AY408)</f>
        <v/>
      </c>
      <c r="BA408" s="3">
        <f>IF(N(R408)&lt;=0,0,(N(AZ408)-N(AY408))*90/N(R408))</f>
        <v/>
      </c>
      <c r="BB408" s="7">
        <f>IFERROR(AZ408-VLOOKUP($E408,Assumptions!$A$40:$C$43,3,FALSE),"")</f>
        <v/>
      </c>
      <c r="BC408" s="3">
        <f>IFERROR(BB408/H408,"")</f>
        <v/>
      </c>
      <c r="BD408">
        <f>IF(AND($G408=TRUE,$E408="GKP"),AZ408,"")</f>
        <v/>
      </c>
      <c r="BE408">
        <f>IF(AND($G408=TRUE,$E408="DEF"),AZ408,"")</f>
        <v/>
      </c>
      <c r="BF408">
        <f>IF(AND($G408=TRUE,$E408="MID"),AZ408,"")</f>
        <v/>
      </c>
      <c r="BG408">
        <f>IF(AND($G408=TRUE,$E408="FWD"),AZ408,"")</f>
        <v/>
      </c>
      <c r="BH408" t="n">
        <v>2</v>
      </c>
      <c r="BI408" t="n">
        <v>2</v>
      </c>
      <c r="BJ408" t="n">
        <v>4</v>
      </c>
      <c r="BK408" t="n">
        <v>6</v>
      </c>
    </row>
    <row r="409">
      <c r="A409" s="9" t="inlineStr">
        <is>
          <t>Kjell Scherpen</t>
        </is>
      </c>
      <c r="B409" t="inlineStr">
        <is>
          <t>IPS</t>
        </is>
      </c>
      <c r="C409" s="9" t="inlineStr">
        <is>
          <t>BHA</t>
        </is>
      </c>
      <c r="D409" t="b">
        <v>1</v>
      </c>
      <c r="E409" t="inlineStr">
        <is>
          <t>GKP</t>
        </is>
      </c>
      <c r="F409" t="inlineStr">
        <is>
          <t>GKP</t>
        </is>
      </c>
      <c r="G409" t="b">
        <v>1</v>
      </c>
      <c r="H409" s="2" t="n">
        <v>4.5</v>
      </c>
      <c r="I409" t="inlineStr">
        <is>
          <t>a</t>
        </is>
      </c>
      <c r="K409" s="2" t="n">
        <v>0</v>
      </c>
      <c r="L409" t="n">
        <v>0</v>
      </c>
      <c r="M409" s="3" t="n">
        <v>3317</v>
      </c>
      <c r="N409" s="8" t="n">
        <v>3317</v>
      </c>
      <c r="O409" s="8" t="n">
        <v>0</v>
      </c>
      <c r="Q409" t="inlineStr">
        <is>
          <t>flat</t>
        </is>
      </c>
      <c r="R409" s="6" t="n">
        <v>3317</v>
      </c>
      <c r="S409" t="inlineStr">
        <is>
          <t>Solio</t>
        </is>
      </c>
      <c r="U409" s="6" t="n">
        <v>85</v>
      </c>
      <c r="V409" s="2" t="n"/>
      <c r="W409" s="7">
        <f>IF(N(U409)&lt;=0,0,MIN(Assumptions!$B$15,N(R409)/N(U409)))</f>
        <v/>
      </c>
      <c r="X409" s="6" t="n">
        <v>0.17</v>
      </c>
      <c r="Y409" s="10" t="n"/>
      <c r="Z409" t="inlineStr"/>
      <c r="AA409" s="3" t="n">
        <v>1</v>
      </c>
      <c r="AB409" s="3" t="n"/>
      <c r="AC409" s="3" t="n"/>
      <c r="AD409" s="10" t="n"/>
      <c r="AE409" s="3" t="n">
        <v>0</v>
      </c>
      <c r="AF409" s="3" t="n">
        <v>0</v>
      </c>
      <c r="AG409" s="3" t="n"/>
      <c r="AH409" s="3" t="n">
        <v>0</v>
      </c>
      <c r="AI409" s="3" t="n">
        <v>0</v>
      </c>
      <c r="AJ409" s="3" t="n">
        <v>3.5741</v>
      </c>
      <c r="AK409" s="3" t="n">
        <v>1.8319</v>
      </c>
      <c r="AL409" s="3" t="n">
        <v>-0.0763216474948735</v>
      </c>
      <c r="AM409" s="6" t="n">
        <v>0</v>
      </c>
      <c r="AN409" s="3" t="n">
        <v>3.792999458017947</v>
      </c>
      <c r="AO409" s="10" t="n">
        <v>0</v>
      </c>
      <c r="AP409" s="10" t="n">
        <v>0</v>
      </c>
      <c r="AQ409" s="3">
        <f>N(X409)*N(BJ409)</f>
        <v/>
      </c>
      <c r="AR409" s="3" t="n">
        <v>0.8565116974562608</v>
      </c>
      <c r="AS409" s="3" t="n">
        <v>-0.6723587286814016</v>
      </c>
      <c r="AT409" s="3" t="n">
        <v>-0.0763216474948735</v>
      </c>
      <c r="AU409" s="3">
        <f>SUM(AO409:AT409)</f>
        <v/>
      </c>
      <c r="AV409" s="7">
        <f>IF(OR(N(W409)&lt;=0,N(BH409)=0),0,N(W409)*IF(N(R409)/N(W409)&gt;=60,N(BH409),1))</f>
        <v/>
      </c>
      <c r="AW409" s="7">
        <f>N(W409)*N(AF409)*N(BI409)</f>
        <v/>
      </c>
      <c r="AX409" s="3">
        <f>IF(N(BH409)=0,0,N(W409)*N(AH409))</f>
        <v/>
      </c>
      <c r="AY409" s="7">
        <f>N(AM409)*(Assumptions!$B$13*N(BK409)-(1-Assumptions!$B$13)*Assumptions!$B$14)+N(AN409)</f>
        <v/>
      </c>
      <c r="AZ409" s="7">
        <f>N(AU409)*N(R409)/90+N(AV409)+N(AW409)+N(AX409)+N(AY409)</f>
        <v/>
      </c>
      <c r="BA409" s="3">
        <f>IF(N(R409)&lt;=0,0,(N(AZ409)-N(AY409))*90/N(R409))</f>
        <v/>
      </c>
      <c r="BB409" s="7">
        <f>IFERROR(AZ409-VLOOKUP($E409,Assumptions!$A$40:$C$43,3,FALSE),"")</f>
        <v/>
      </c>
      <c r="BC409" s="3">
        <f>IFERROR(BB409/H409,"")</f>
        <v/>
      </c>
      <c r="BD409">
        <f>IF(AND($G409=TRUE,$E409="GKP"),AZ409,"")</f>
        <v/>
      </c>
      <c r="BE409">
        <f>IF(AND($G409=TRUE,$E409="DEF"),AZ409,"")</f>
        <v/>
      </c>
      <c r="BF409">
        <f>IF(AND($G409=TRUE,$E409="MID"),AZ409,"")</f>
        <v/>
      </c>
      <c r="BG409">
        <f>IF(AND($G409=TRUE,$E409="FWD"),AZ409,"")</f>
        <v/>
      </c>
      <c r="BH409" t="n">
        <v>2</v>
      </c>
      <c r="BI409" t="n">
        <v>0</v>
      </c>
      <c r="BJ409" t="n">
        <v>4</v>
      </c>
      <c r="BK409" t="n">
        <v>10</v>
      </c>
    </row>
    <row r="410">
      <c r="A410" t="inlineStr">
        <is>
          <t>Tom Heaton</t>
        </is>
      </c>
      <c r="B410" t="inlineStr">
        <is>
          <t>MUN</t>
        </is>
      </c>
      <c r="C410" t="inlineStr">
        <is>
          <t>MUN</t>
        </is>
      </c>
      <c r="D410" t="b">
        <v>0</v>
      </c>
      <c r="E410" t="inlineStr">
        <is>
          <t>GKP</t>
        </is>
      </c>
      <c r="F410" t="inlineStr">
        <is>
          <t>GKP</t>
        </is>
      </c>
      <c r="G410" t="b">
        <v>1</v>
      </c>
      <c r="H410" s="2" t="n">
        <v>4</v>
      </c>
      <c r="I410" t="inlineStr">
        <is>
          <t>a</t>
        </is>
      </c>
      <c r="K410" s="2" t="n">
        <v>0</v>
      </c>
      <c r="L410" t="n">
        <v>0</v>
      </c>
      <c r="M410" s="3" t="n">
        <v>0</v>
      </c>
      <c r="N410" s="8" t="n">
        <v>0</v>
      </c>
      <c r="O410" s="8" t="n">
        <v>0</v>
      </c>
      <c r="Q410" t="inlineStr">
        <is>
          <t>flat</t>
        </is>
      </c>
      <c r="R410" s="6" t="n">
        <v>0</v>
      </c>
      <c r="S410" t="inlineStr">
        <is>
          <t>Solio</t>
        </is>
      </c>
      <c r="U410" s="6" t="n">
        <v>85</v>
      </c>
      <c r="V410" s="2" t="n"/>
      <c r="W410" s="7">
        <f>IF(N(U410)&lt;=0,0,MIN(Assumptions!$B$15,N(R410)/N(U410)))</f>
        <v/>
      </c>
      <c r="X410" s="6" t="n">
        <v>0.334</v>
      </c>
      <c r="Y410" s="3" t="n"/>
      <c r="Z410" t="inlineStr"/>
      <c r="AA410" s="3" t="n">
        <v>1</v>
      </c>
      <c r="AB410" s="3" t="n"/>
      <c r="AC410" s="3" t="n"/>
      <c r="AD410" s="3" t="n"/>
      <c r="AE410" s="3" t="n">
        <v>0</v>
      </c>
      <c r="AF410" s="3" t="n">
        <v>0</v>
      </c>
      <c r="AG410" s="3" t="n"/>
      <c r="AH410" s="3" t="n">
        <v>0</v>
      </c>
      <c r="AI410" s="3" t="n">
        <v>0</v>
      </c>
      <c r="AJ410" s="3" t="n">
        <v>2.2165</v>
      </c>
      <c r="AK410" s="3" t="n">
        <v>1.1467</v>
      </c>
      <c r="AL410" s="3" t="n">
        <v>-0.0763216474948735</v>
      </c>
      <c r="AM410" s="6" t="n">
        <v>0</v>
      </c>
      <c r="AN410" s="3" t="n">
        <v>0</v>
      </c>
      <c r="AO410" s="3" t="n">
        <v>0</v>
      </c>
      <c r="AP410" s="3" t="n">
        <v>0</v>
      </c>
      <c r="AQ410" s="3">
        <f>N(X410)*N(BJ410)</f>
        <v/>
      </c>
      <c r="AR410" s="3" t="n">
        <v>0.407909225741714</v>
      </c>
      <c r="AS410" s="3" t="n">
        <v>-0.348580685135232</v>
      </c>
      <c r="AT410" s="3" t="n">
        <v>-0.0763216474948735</v>
      </c>
      <c r="AU410" s="3">
        <f>SUM(AO410:AT410)</f>
        <v/>
      </c>
      <c r="AV410" s="7">
        <f>IF(OR(N(W410)&lt;=0,N(BH410)=0),0,N(W410)*IF(N(R410)/N(W410)&gt;=60,N(BH410),1))</f>
        <v/>
      </c>
      <c r="AW410" s="7">
        <f>N(W410)*N(AF410)*N(BI410)</f>
        <v/>
      </c>
      <c r="AX410" s="3">
        <f>IF(N(BH410)=0,0,N(W410)*N(AH410))</f>
        <v/>
      </c>
      <c r="AY410" s="7">
        <f>N(AM410)*(Assumptions!$B$13*N(BK410)-(1-Assumptions!$B$13)*Assumptions!$B$14)+N(AN410)</f>
        <v/>
      </c>
      <c r="AZ410" s="7">
        <f>N(AU410)*N(R410)/90+N(AV410)+N(AW410)+N(AX410)+N(AY410)</f>
        <v/>
      </c>
      <c r="BA410" s="3">
        <f>IF(N(R410)&lt;=0,0,(N(AZ410)-N(AY410))*90/N(R410))</f>
        <v/>
      </c>
      <c r="BB410" s="7">
        <f>IFERROR(AZ410-VLOOKUP($E410,Assumptions!$A$40:$C$43,3,FALSE),"")</f>
        <v/>
      </c>
      <c r="BC410" s="3">
        <f>IFERROR(BB410/H410,"")</f>
        <v/>
      </c>
      <c r="BD410">
        <f>IF(AND($G410=TRUE,$E410="GKP"),AZ410,"")</f>
        <v/>
      </c>
      <c r="BE410">
        <f>IF(AND($G410=TRUE,$E410="DEF"),AZ410,"")</f>
        <v/>
      </c>
      <c r="BF410">
        <f>IF(AND($G410=TRUE,$E410="MID"),AZ410,"")</f>
        <v/>
      </c>
      <c r="BG410">
        <f>IF(AND($G410=TRUE,$E410="FWD"),AZ410,"")</f>
        <v/>
      </c>
      <c r="BH410" t="n">
        <v>2</v>
      </c>
      <c r="BI410" t="n">
        <v>0</v>
      </c>
      <c r="BJ410" t="n">
        <v>4</v>
      </c>
      <c r="BK410" t="n">
        <v>10</v>
      </c>
    </row>
    <row r="411">
      <c r="A411" t="inlineStr">
        <is>
          <t>Anthony Patterson</t>
        </is>
      </c>
      <c r="B411" t="inlineStr">
        <is>
          <t>SUN</t>
        </is>
      </c>
      <c r="C411" t="inlineStr">
        <is>
          <t>SUN</t>
        </is>
      </c>
      <c r="D411" t="b">
        <v>0</v>
      </c>
      <c r="E411" t="inlineStr">
        <is>
          <t>GKP</t>
        </is>
      </c>
      <c r="F411" t="inlineStr">
        <is>
          <t>GKP</t>
        </is>
      </c>
      <c r="G411" t="b">
        <v>1</v>
      </c>
      <c r="H411" s="2" t="n">
        <v>4</v>
      </c>
      <c r="I411" t="inlineStr">
        <is>
          <t>u</t>
        </is>
      </c>
      <c r="J411" t="inlineStr">
        <is>
          <t>Has joined Wrexham permanently</t>
        </is>
      </c>
      <c r="K411" s="2" t="n">
        <v>0</v>
      </c>
      <c r="L411" t="n">
        <v>0</v>
      </c>
      <c r="M411" s="3" t="n"/>
      <c r="N411" s="8" t="n">
        <v>0</v>
      </c>
      <c r="O411" s="8" t="n">
        <v>0</v>
      </c>
      <c r="R411" s="6" t="n">
        <v>0</v>
      </c>
      <c r="S411" t="inlineStr">
        <is>
          <t>25/26 actual</t>
        </is>
      </c>
      <c r="U411" s="6" t="n">
        <v>85</v>
      </c>
      <c r="V411" s="2" t="n"/>
      <c r="W411" s="7">
        <f>IF(N(U411)&lt;=0,0,MIN(Assumptions!$B$15,N(R411)/N(U411)))</f>
        <v/>
      </c>
      <c r="X411" s="6" t="n">
        <v>0.204</v>
      </c>
      <c r="Y411" s="3" t="n"/>
      <c r="Z411" t="inlineStr"/>
      <c r="AA411" s="3" t="n">
        <v>1</v>
      </c>
      <c r="AB411" s="3" t="n"/>
      <c r="AC411" s="3" t="n"/>
      <c r="AD411" s="3" t="n"/>
      <c r="AE411" s="3" t="n">
        <v>0</v>
      </c>
      <c r="AF411" s="3" t="n">
        <v>0</v>
      </c>
      <c r="AG411" s="3" t="n"/>
      <c r="AH411" s="3" t="n">
        <v>0</v>
      </c>
      <c r="AI411" s="3" t="n">
        <v>0</v>
      </c>
      <c r="AJ411" s="3" t="n">
        <v>3.3348</v>
      </c>
      <c r="AK411" s="3" t="n">
        <v>1.6498</v>
      </c>
      <c r="AL411" s="3" t="n">
        <v>-0.0763216474948735</v>
      </c>
      <c r="AM411" s="6" t="n">
        <v>0</v>
      </c>
      <c r="AN411" s="3" t="n">
        <v>0</v>
      </c>
      <c r="AO411" s="3" t="n">
        <v>0</v>
      </c>
      <c r="AP411" s="3" t="n">
        <v>0</v>
      </c>
      <c r="AQ411" s="3">
        <f>N(X411)*N(BJ411)</f>
        <v/>
      </c>
      <c r="AR411" s="3" t="n">
        <v>0.7764218657798218</v>
      </c>
      <c r="AS411" s="3" t="n">
        <v>-0.5841244809045405</v>
      </c>
      <c r="AT411" s="3" t="n">
        <v>-0.0763216474948735</v>
      </c>
      <c r="AU411" s="3">
        <f>SUM(AO411:AT411)</f>
        <v/>
      </c>
      <c r="AV411" s="7">
        <f>IF(OR(N(W411)&lt;=0,N(BH411)=0),0,N(W411)*IF(N(R411)/N(W411)&gt;=60,N(BH411),1))</f>
        <v/>
      </c>
      <c r="AW411" s="7">
        <f>N(W411)*N(AF411)*N(BI411)</f>
        <v/>
      </c>
      <c r="AX411" s="3">
        <f>IF(N(BH411)=0,0,N(W411)*N(AH411))</f>
        <v/>
      </c>
      <c r="AY411" s="7">
        <f>N(AM411)*(Assumptions!$B$13*N(BK411)-(1-Assumptions!$B$13)*Assumptions!$B$14)+N(AN411)</f>
        <v/>
      </c>
      <c r="AZ411" s="7">
        <f>N(AU411)*N(R411)/90+N(AV411)+N(AW411)+N(AX411)+N(AY411)</f>
        <v/>
      </c>
      <c r="BA411" s="3">
        <f>IF(N(R411)&lt;=0,0,(N(AZ411)-N(AY411))*90/N(R411))</f>
        <v/>
      </c>
      <c r="BB411" s="7">
        <f>IFERROR(AZ411-VLOOKUP($E411,Assumptions!$A$40:$C$43,3,FALSE),"")</f>
        <v/>
      </c>
      <c r="BC411" s="3">
        <f>IFERROR(BB411/H411,"")</f>
        <v/>
      </c>
      <c r="BD411">
        <f>IF(AND($G411=TRUE,$E411="GKP"),AZ411,"")</f>
        <v/>
      </c>
      <c r="BE411">
        <f>IF(AND($G411=TRUE,$E411="DEF"),AZ411,"")</f>
        <v/>
      </c>
      <c r="BF411">
        <f>IF(AND($G411=TRUE,$E411="MID"),AZ411,"")</f>
        <v/>
      </c>
      <c r="BG411">
        <f>IF(AND($G411=TRUE,$E411="FWD"),AZ411,"")</f>
        <v/>
      </c>
      <c r="BH411" t="n">
        <v>2</v>
      </c>
      <c r="BI411" t="n">
        <v>0</v>
      </c>
      <c r="BJ411" t="n">
        <v>4</v>
      </c>
      <c r="BK411" t="n">
        <v>10</v>
      </c>
    </row>
    <row r="412">
      <c r="A412" t="inlineStr">
        <is>
          <t>Mark Travers</t>
        </is>
      </c>
      <c r="B412" t="inlineStr">
        <is>
          <t>EVE</t>
        </is>
      </c>
      <c r="C412" t="inlineStr">
        <is>
          <t>EVE</t>
        </is>
      </c>
      <c r="D412" t="b">
        <v>0</v>
      </c>
      <c r="E412" t="inlineStr">
        <is>
          <t>GKP</t>
        </is>
      </c>
      <c r="F412" t="inlineStr">
        <is>
          <t>GKP</t>
        </is>
      </c>
      <c r="G412" t="b">
        <v>1</v>
      </c>
      <c r="H412" s="2" t="n">
        <v>5</v>
      </c>
      <c r="I412" t="inlineStr">
        <is>
          <t>a</t>
        </is>
      </c>
      <c r="K412" s="2" t="n">
        <v>0</v>
      </c>
      <c r="L412" t="n">
        <v>0</v>
      </c>
      <c r="M412" s="3" t="n">
        <v>35</v>
      </c>
      <c r="N412" s="8" t="n">
        <v>35</v>
      </c>
      <c r="O412" s="8" t="n">
        <v>0</v>
      </c>
      <c r="Q412" t="inlineStr">
        <is>
          <t>flat</t>
        </is>
      </c>
      <c r="R412" s="6" t="n">
        <v>35</v>
      </c>
      <c r="S412" t="inlineStr">
        <is>
          <t>Solio</t>
        </is>
      </c>
      <c r="U412" s="6" t="n">
        <v>85</v>
      </c>
      <c r="V412" s="2" t="n"/>
      <c r="W412" s="7">
        <f>IF(N(U412)&lt;=0,0,MIN(Assumptions!$B$15,N(R412)/N(U412)))</f>
        <v/>
      </c>
      <c r="X412" s="6" t="n">
        <v>0.231</v>
      </c>
      <c r="Y412" s="3" t="n"/>
      <c r="Z412" t="inlineStr"/>
      <c r="AA412" s="3" t="n">
        <v>1</v>
      </c>
      <c r="AB412" s="3" t="n"/>
      <c r="AC412" s="3" t="n"/>
      <c r="AD412" s="3" t="n"/>
      <c r="AE412" s="3" t="n">
        <v>0</v>
      </c>
      <c r="AF412" s="3" t="n">
        <v>0</v>
      </c>
      <c r="AG412" s="3" t="n"/>
      <c r="AH412" s="3" t="n">
        <v>0</v>
      </c>
      <c r="AI412" s="3" t="n">
        <v>0</v>
      </c>
      <c r="AJ412" s="3" t="n">
        <v>3.0311</v>
      </c>
      <c r="AK412" s="3" t="n">
        <v>1.5252</v>
      </c>
      <c r="AL412" s="3" t="n">
        <v>-0.0599400886565237</v>
      </c>
      <c r="AM412" s="6" t="n">
        <v>0</v>
      </c>
      <c r="AN412" s="3" t="n">
        <v>0.0333233277425541</v>
      </c>
      <c r="AO412" s="3" t="n">
        <v>0</v>
      </c>
      <c r="AP412" s="3" t="n">
        <v>0</v>
      </c>
      <c r="AQ412" s="3">
        <f>N(X412)*N(BJ412)</f>
        <v/>
      </c>
      <c r="AR412" s="3" t="n">
        <v>0.67496810501903</v>
      </c>
      <c r="AS412" s="3" t="n">
        <v>-0.524434996152324</v>
      </c>
      <c r="AT412" s="3" t="n">
        <v>-0.0599400886565237</v>
      </c>
      <c r="AU412" s="3">
        <f>SUM(AO412:AT412)</f>
        <v/>
      </c>
      <c r="AV412" s="7">
        <f>IF(OR(N(W412)&lt;=0,N(BH412)=0),0,N(W412)*IF(N(R412)/N(W412)&gt;=60,N(BH412),1))</f>
        <v/>
      </c>
      <c r="AW412" s="7">
        <f>N(W412)*N(AF412)*N(BI412)</f>
        <v/>
      </c>
      <c r="AX412" s="3">
        <f>IF(N(BH412)=0,0,N(W412)*N(AH412))</f>
        <v/>
      </c>
      <c r="AY412" s="7">
        <f>N(AM412)*(Assumptions!$B$13*N(BK412)-(1-Assumptions!$B$13)*Assumptions!$B$14)+N(AN412)</f>
        <v/>
      </c>
      <c r="AZ412" s="7">
        <f>N(AU412)*N(R412)/90+N(AV412)+N(AW412)+N(AX412)+N(AY412)</f>
        <v/>
      </c>
      <c r="BA412" s="3">
        <f>IF(N(R412)&lt;=0,0,(N(AZ412)-N(AY412))*90/N(R412))</f>
        <v/>
      </c>
      <c r="BB412" s="7">
        <f>IFERROR(AZ412-VLOOKUP($E412,Assumptions!$A$40:$C$43,3,FALSE),"")</f>
        <v/>
      </c>
      <c r="BC412" s="3">
        <f>IFERROR(BB412/H412,"")</f>
        <v/>
      </c>
      <c r="BD412">
        <f>IF(AND($G412=TRUE,$E412="GKP"),AZ412,"")</f>
        <v/>
      </c>
      <c r="BE412">
        <f>IF(AND($G412=TRUE,$E412="DEF"),AZ412,"")</f>
        <v/>
      </c>
      <c r="BF412">
        <f>IF(AND($G412=TRUE,$E412="MID"),AZ412,"")</f>
        <v/>
      </c>
      <c r="BG412">
        <f>IF(AND($G412=TRUE,$E412="FWD"),AZ412,"")</f>
        <v/>
      </c>
      <c r="BH412" t="n">
        <v>2</v>
      </c>
      <c r="BI412" t="n">
        <v>0</v>
      </c>
      <c r="BJ412" t="n">
        <v>4</v>
      </c>
      <c r="BK412" t="n">
        <v>10</v>
      </c>
    </row>
    <row r="413">
      <c r="A413" s="9" t="inlineStr">
        <is>
          <t>Luka Vušković</t>
        </is>
      </c>
      <c r="B413" t="inlineStr">
        <is>
          <t>BHA</t>
        </is>
      </c>
      <c r="C413" s="9" t="inlineStr">
        <is>
          <t>TOT</t>
        </is>
      </c>
      <c r="D413" t="b">
        <v>1</v>
      </c>
      <c r="E413" t="inlineStr">
        <is>
          <t>DEF</t>
        </is>
      </c>
      <c r="F413" t="inlineStr">
        <is>
          <t>DEF</t>
        </is>
      </c>
      <c r="G413" t="b">
        <v>1</v>
      </c>
      <c r="H413" s="2" t="n">
        <v>5</v>
      </c>
      <c r="I413" t="inlineStr">
        <is>
          <t>a</t>
        </is>
      </c>
      <c r="K413" s="2" t="n">
        <v>0</v>
      </c>
      <c r="L413" t="n">
        <v>0</v>
      </c>
      <c r="M413" s="3" t="n">
        <v>1708</v>
      </c>
      <c r="N413" s="4" t="n">
        <v>2450</v>
      </c>
      <c r="O413" s="4" t="n">
        <v>742</v>
      </c>
      <c r="P413" s="5" t="inlineStr">
        <is>
          <t>high</t>
        </is>
      </c>
      <c r="Q413" t="inlineStr">
        <is>
          <t>flat</t>
        </is>
      </c>
      <c r="R413" s="6" t="n">
        <v>2450</v>
      </c>
      <c r="S413" t="inlineStr">
        <is>
          <t>research</t>
        </is>
      </c>
      <c r="T413" s="5" t="inlineStr">
        <is>
          <t>Brighton's record signing (GBP 46m guaranteed, rising to GBP 50m) from Tottenham on 14 Jul 2026, reported as primed for an immediate first-team role having made 28 Bundesliga appearances on loan at Hamburg. He started both August friendlies at centre-back. Solio's 1708 (about 20 starts) reads like a squad-player allocation for a club-record buy. Not pushed to a full 3000+ because he is 19, has four competitions to be managed across, and has four senior centre-backs behind him.</t>
        </is>
      </c>
      <c r="U413" s="6" t="n">
        <v>85</v>
      </c>
      <c r="V413" s="2" t="n"/>
      <c r="W413" s="7">
        <f>IF(N(U413)&lt;=0,0,MIN(Assumptions!$B$15,N(R413)/N(U413)))</f>
        <v/>
      </c>
      <c r="X413" s="6" t="n">
        <v>0.252</v>
      </c>
      <c r="Y413" s="10" t="n"/>
      <c r="Z413" t="inlineStr"/>
      <c r="AA413" s="3" t="n">
        <v>1</v>
      </c>
      <c r="AB413" s="3" t="n"/>
      <c r="AC413" s="3" t="n"/>
      <c r="AD413" s="10" t="n"/>
      <c r="AE413" s="3" t="n"/>
      <c r="AF413" s="3" t="n">
        <v>0</v>
      </c>
      <c r="AG413" s="3" t="n"/>
      <c r="AH413" s="3" t="n">
        <v>0</v>
      </c>
      <c r="AI413" s="3" t="n">
        <v>0</v>
      </c>
      <c r="AJ413" s="3" t="n">
        <v>2.8404</v>
      </c>
      <c r="AK413" s="3" t="n">
        <v>1.439</v>
      </c>
      <c r="AL413" s="3" t="n">
        <v>-0.2045226422080557</v>
      </c>
      <c r="AM413" s="6" t="n">
        <v>0</v>
      </c>
      <c r="AN413" s="3" t="n">
        <v>0</v>
      </c>
      <c r="AO413" s="10" t="n">
        <v>0</v>
      </c>
      <c r="AP413" s="10" t="n">
        <v>0</v>
      </c>
      <c r="AQ413" s="3">
        <f>N(X413)*N(BJ413)</f>
        <v/>
      </c>
      <c r="AR413" s="3" t="n">
        <v>0</v>
      </c>
      <c r="AS413" s="3" t="n">
        <v>-0.4835617861760246</v>
      </c>
      <c r="AT413" s="3" t="n">
        <v>-0.2045226422080557</v>
      </c>
      <c r="AU413" s="3">
        <f>SUM(AO413:AT413)</f>
        <v/>
      </c>
      <c r="AV413" s="7">
        <f>IF(OR(N(W413)&lt;=0,N(BH413)=0),0,N(W413)*IF(N(R413)/N(W413)&gt;=60,N(BH413),1))</f>
        <v/>
      </c>
      <c r="AW413" s="7">
        <f>N(W413)*N(AF413)*N(BI413)</f>
        <v/>
      </c>
      <c r="AX413" s="3">
        <f>IF(N(BH413)=0,0,N(W413)*N(AH413))</f>
        <v/>
      </c>
      <c r="AY413" s="7">
        <f>N(AM413)*(Assumptions!$B$13*N(BK413)-(1-Assumptions!$B$13)*Assumptions!$B$14)+N(AN413)</f>
        <v/>
      </c>
      <c r="AZ413" s="7">
        <f>N(AU413)*N(R413)/90+N(AV413)+N(AW413)+N(AX413)+N(AY413)</f>
        <v/>
      </c>
      <c r="BA413" s="3">
        <f>IF(N(R413)&lt;=0,0,(N(AZ413)-N(AY413))*90/N(R413))</f>
        <v/>
      </c>
      <c r="BB413" s="7">
        <f>IFERROR(AZ413-VLOOKUP($E413,Assumptions!$A$40:$C$43,3,FALSE),"")</f>
        <v/>
      </c>
      <c r="BC413" s="3">
        <f>IFERROR(BB413/H413,"")</f>
        <v/>
      </c>
      <c r="BD413">
        <f>IF(AND($G413=TRUE,$E413="GKP"),AZ413,"")</f>
        <v/>
      </c>
      <c r="BE413">
        <f>IF(AND($G413=TRUE,$E413="DEF"),AZ413,"")</f>
        <v/>
      </c>
      <c r="BF413">
        <f>IF(AND($G413=TRUE,$E413="MID"),AZ413,"")</f>
        <v/>
      </c>
      <c r="BG413">
        <f>IF(AND($G413=TRUE,$E413="FWD"),AZ413,"")</f>
        <v/>
      </c>
      <c r="BH413" t="n">
        <v>2</v>
      </c>
      <c r="BI413" t="n">
        <v>2</v>
      </c>
      <c r="BJ413" t="n">
        <v>4</v>
      </c>
      <c r="BK413" t="n">
        <v>6</v>
      </c>
    </row>
    <row r="414">
      <c r="A414" t="inlineStr">
        <is>
          <t>Brandon Austin</t>
        </is>
      </c>
      <c r="B414" t="inlineStr">
        <is>
          <t>TOT</t>
        </is>
      </c>
      <c r="C414" t="inlineStr">
        <is>
          <t>TOT</t>
        </is>
      </c>
      <c r="D414" t="b">
        <v>0</v>
      </c>
      <c r="E414" t="inlineStr">
        <is>
          <t>GKP</t>
        </is>
      </c>
      <c r="F414" t="inlineStr">
        <is>
          <t>GKP</t>
        </is>
      </c>
      <c r="G414" t="b">
        <v>1</v>
      </c>
      <c r="H414" s="2" t="n">
        <v>4</v>
      </c>
      <c r="I414" t="inlineStr">
        <is>
          <t>a</t>
        </is>
      </c>
      <c r="K414" s="2" t="n">
        <v>0</v>
      </c>
      <c r="L414" t="n">
        <v>0</v>
      </c>
      <c r="M414" s="3" t="n">
        <v>0</v>
      </c>
      <c r="N414" s="8" t="n">
        <v>0</v>
      </c>
      <c r="O414" s="8" t="n">
        <v>0</v>
      </c>
      <c r="Q414" t="inlineStr">
        <is>
          <t>flat</t>
        </is>
      </c>
      <c r="R414" s="6" t="n">
        <v>0</v>
      </c>
      <c r="S414" t="inlineStr">
        <is>
          <t>Solio</t>
        </is>
      </c>
      <c r="U414" s="6" t="n">
        <v>85</v>
      </c>
      <c r="V414" s="2" t="n"/>
      <c r="W414" s="7">
        <f>IF(N(U414)&lt;=0,0,MIN(Assumptions!$B$15,N(R414)/N(U414)))</f>
        <v/>
      </c>
      <c r="X414" s="6" t="n">
        <v>0.286</v>
      </c>
      <c r="Y414" s="3" t="n"/>
      <c r="Z414" t="inlineStr"/>
      <c r="AA414" s="3" t="n">
        <v>1</v>
      </c>
      <c r="AB414" s="3" t="n"/>
      <c r="AC414" s="3" t="n"/>
      <c r="AD414" s="3" t="n"/>
      <c r="AE414" s="3" t="n">
        <v>0</v>
      </c>
      <c r="AF414" s="3" t="n">
        <v>0</v>
      </c>
      <c r="AG414" s="3" t="n"/>
      <c r="AH414" s="3" t="n">
        <v>0</v>
      </c>
      <c r="AI414" s="3" t="n">
        <v>0</v>
      </c>
      <c r="AJ414" s="3" t="n">
        <v>2.5739</v>
      </c>
      <c r="AK414" s="3" t="n">
        <v>1.3096</v>
      </c>
      <c r="AL414" s="3" t="n">
        <v>-0.0736700489191532</v>
      </c>
      <c r="AM414" s="6" t="n">
        <v>0</v>
      </c>
      <c r="AN414" s="3" t="n">
        <v>0</v>
      </c>
      <c r="AO414" s="3" t="n">
        <v>0</v>
      </c>
      <c r="AP414" s="3" t="n">
        <v>0</v>
      </c>
      <c r="AQ414" s="3">
        <f>N(X414)*N(BJ414)</f>
        <v/>
      </c>
      <c r="AR414" s="3" t="n">
        <v>0.5235455255089686</v>
      </c>
      <c r="AS414" s="3" t="n">
        <v>-0.4230152821052008</v>
      </c>
      <c r="AT414" s="3" t="n">
        <v>-0.0736700489191532</v>
      </c>
      <c r="AU414" s="3">
        <f>SUM(AO414:AT414)</f>
        <v/>
      </c>
      <c r="AV414" s="7">
        <f>IF(OR(N(W414)&lt;=0,N(BH414)=0),0,N(W414)*IF(N(R414)/N(W414)&gt;=60,N(BH414),1))</f>
        <v/>
      </c>
      <c r="AW414" s="7">
        <f>N(W414)*N(AF414)*N(BI414)</f>
        <v/>
      </c>
      <c r="AX414" s="3">
        <f>IF(N(BH414)=0,0,N(W414)*N(AH414))</f>
        <v/>
      </c>
      <c r="AY414" s="7">
        <f>N(AM414)*(Assumptions!$B$13*N(BK414)-(1-Assumptions!$B$13)*Assumptions!$B$14)+N(AN414)</f>
        <v/>
      </c>
      <c r="AZ414" s="7">
        <f>N(AU414)*N(R414)/90+N(AV414)+N(AW414)+N(AX414)+N(AY414)</f>
        <v/>
      </c>
      <c r="BA414" s="3">
        <f>IF(N(R414)&lt;=0,0,(N(AZ414)-N(AY414))*90/N(R414))</f>
        <v/>
      </c>
      <c r="BB414" s="7">
        <f>IFERROR(AZ414-VLOOKUP($E414,Assumptions!$A$40:$C$43,3,FALSE),"")</f>
        <v/>
      </c>
      <c r="BC414" s="3">
        <f>IFERROR(BB414/H414,"")</f>
        <v/>
      </c>
      <c r="BD414">
        <f>IF(AND($G414=TRUE,$E414="GKP"),AZ414,"")</f>
        <v/>
      </c>
      <c r="BE414">
        <f>IF(AND($G414=TRUE,$E414="DEF"),AZ414,"")</f>
        <v/>
      </c>
      <c r="BF414">
        <f>IF(AND($G414=TRUE,$E414="MID"),AZ414,"")</f>
        <v/>
      </c>
      <c r="BG414">
        <f>IF(AND($G414=TRUE,$E414="FWD"),AZ414,"")</f>
        <v/>
      </c>
      <c r="BH414" t="n">
        <v>2</v>
      </c>
      <c r="BI414" t="n">
        <v>0</v>
      </c>
      <c r="BJ414" t="n">
        <v>4</v>
      </c>
      <c r="BK414" t="n">
        <v>10</v>
      </c>
    </row>
    <row r="415">
      <c r="A415" t="inlineStr">
        <is>
          <t>Kostas Tsimikas</t>
        </is>
      </c>
      <c r="B415" t="inlineStr">
        <is>
          <t>LIV</t>
        </is>
      </c>
      <c r="C415" t="inlineStr">
        <is>
          <t>LIV</t>
        </is>
      </c>
      <c r="D415" t="b">
        <v>0</v>
      </c>
      <c r="E415" t="inlineStr">
        <is>
          <t>DEF</t>
        </is>
      </c>
      <c r="F415" t="inlineStr">
        <is>
          <t>DEF</t>
        </is>
      </c>
      <c r="G415" t="b">
        <v>1</v>
      </c>
      <c r="H415" s="2" t="n">
        <v>5</v>
      </c>
      <c r="I415" t="inlineStr">
        <is>
          <t>a</t>
        </is>
      </c>
      <c r="K415" s="2" t="n">
        <v>0</v>
      </c>
      <c r="L415" t="n">
        <v>0</v>
      </c>
      <c r="M415" s="3" t="n">
        <v>256</v>
      </c>
      <c r="N415" s="8" t="n">
        <v>256</v>
      </c>
      <c r="O415" s="8" t="n">
        <v>0</v>
      </c>
      <c r="Q415" t="inlineStr">
        <is>
          <t>flat</t>
        </is>
      </c>
      <c r="R415" s="6" t="n">
        <v>256</v>
      </c>
      <c r="S415" t="inlineStr">
        <is>
          <t>Solio</t>
        </is>
      </c>
      <c r="U415" s="6" t="n">
        <v>85</v>
      </c>
      <c r="V415" s="2" t="n"/>
      <c r="W415" s="7">
        <f>IF(N(U415)&lt;=0,0,MIN(Assumptions!$B$15,N(R415)/N(U415)))</f>
        <v/>
      </c>
      <c r="X415" s="6" t="n">
        <v>0.342</v>
      </c>
      <c r="Y415" s="3" t="n"/>
      <c r="Z415" t="inlineStr"/>
      <c r="AA415" s="3" t="n">
        <v>1</v>
      </c>
      <c r="AB415" s="3" t="n"/>
      <c r="AC415" s="3" t="n"/>
      <c r="AD415" s="3" t="n"/>
      <c r="AE415" s="3" t="n"/>
      <c r="AF415" s="3" t="n">
        <v>0</v>
      </c>
      <c r="AG415" s="3" t="n"/>
      <c r="AH415" s="3" t="n">
        <v>0</v>
      </c>
      <c r="AI415" s="3" t="n">
        <v>0</v>
      </c>
      <c r="AJ415" s="3" t="n">
        <v>2.409</v>
      </c>
      <c r="AK415" s="3" t="n">
        <v>1.1228</v>
      </c>
      <c r="AL415" s="3" t="n">
        <v>-0.1897167504321107</v>
      </c>
      <c r="AM415" s="6" t="n">
        <v>0</v>
      </c>
      <c r="AN415" s="3" t="n">
        <v>0</v>
      </c>
      <c r="AO415" s="3" t="n">
        <v>0</v>
      </c>
      <c r="AP415" s="3" t="n">
        <v>0</v>
      </c>
      <c r="AQ415" s="3">
        <f>N(X415)*N(BJ415)</f>
        <v/>
      </c>
      <c r="AR415" s="3" t="n">
        <v>0</v>
      </c>
      <c r="AS415" s="3" t="n">
        <v>-0.3378660007281162</v>
      </c>
      <c r="AT415" s="3" t="n">
        <v>-0.1897167504321107</v>
      </c>
      <c r="AU415" s="3">
        <f>SUM(AO415:AT415)</f>
        <v/>
      </c>
      <c r="AV415" s="7">
        <f>IF(OR(N(W415)&lt;=0,N(BH415)=0),0,N(W415)*IF(N(R415)/N(W415)&gt;=60,N(BH415),1))</f>
        <v/>
      </c>
      <c r="AW415" s="7">
        <f>N(W415)*N(AF415)*N(BI415)</f>
        <v/>
      </c>
      <c r="AX415" s="3">
        <f>IF(N(BH415)=0,0,N(W415)*N(AH415))</f>
        <v/>
      </c>
      <c r="AY415" s="7">
        <f>N(AM415)*(Assumptions!$B$13*N(BK415)-(1-Assumptions!$B$13)*Assumptions!$B$14)+N(AN415)</f>
        <v/>
      </c>
      <c r="AZ415" s="7">
        <f>N(AU415)*N(R415)/90+N(AV415)+N(AW415)+N(AX415)+N(AY415)</f>
        <v/>
      </c>
      <c r="BA415" s="3">
        <f>IF(N(R415)&lt;=0,0,(N(AZ415)-N(AY415))*90/N(R415))</f>
        <v/>
      </c>
      <c r="BB415" s="7">
        <f>IFERROR(AZ415-VLOOKUP($E415,Assumptions!$A$40:$C$43,3,FALSE),"")</f>
        <v/>
      </c>
      <c r="BC415" s="3">
        <f>IFERROR(BB415/H415,"")</f>
        <v/>
      </c>
      <c r="BD415">
        <f>IF(AND($G415=TRUE,$E415="GKP"),AZ415,"")</f>
        <v/>
      </c>
      <c r="BE415">
        <f>IF(AND($G415=TRUE,$E415="DEF"),AZ415,"")</f>
        <v/>
      </c>
      <c r="BF415">
        <f>IF(AND($G415=TRUE,$E415="MID"),AZ415,"")</f>
        <v/>
      </c>
      <c r="BG415">
        <f>IF(AND($G415=TRUE,$E415="FWD"),AZ415,"")</f>
        <v/>
      </c>
      <c r="BH415" t="n">
        <v>2</v>
      </c>
      <c r="BI415" t="n">
        <v>2</v>
      </c>
      <c r="BJ415" t="n">
        <v>4</v>
      </c>
      <c r="BK415" t="n">
        <v>6</v>
      </c>
    </row>
    <row r="416">
      <c r="A416" t="inlineStr">
        <is>
          <t>Omar Richards</t>
        </is>
      </c>
      <c r="B416" t="inlineStr">
        <is>
          <t>NFO</t>
        </is>
      </c>
      <c r="C416" t="inlineStr">
        <is>
          <t>NFO</t>
        </is>
      </c>
      <c r="D416" t="b">
        <v>0</v>
      </c>
      <c r="E416" t="inlineStr">
        <is>
          <t>DEF</t>
        </is>
      </c>
      <c r="F416" t="inlineStr">
        <is>
          <t>DEF</t>
        </is>
      </c>
      <c r="G416" t="b">
        <v>1</v>
      </c>
      <c r="H416" s="2" t="n">
        <v>4</v>
      </c>
      <c r="I416" t="inlineStr">
        <is>
          <t>a</t>
        </is>
      </c>
      <c r="K416" s="2" t="n">
        <v>0</v>
      </c>
      <c r="L416" t="n">
        <v>0</v>
      </c>
      <c r="M416" s="3" t="n">
        <v>0</v>
      </c>
      <c r="N416" s="8" t="n">
        <v>0</v>
      </c>
      <c r="O416" s="8" t="n">
        <v>0</v>
      </c>
      <c r="Q416" t="inlineStr">
        <is>
          <t>flat</t>
        </is>
      </c>
      <c r="R416" s="6" t="n">
        <v>0</v>
      </c>
      <c r="S416" t="inlineStr">
        <is>
          <t>Solio</t>
        </is>
      </c>
      <c r="U416" s="6" t="n">
        <v>85</v>
      </c>
      <c r="V416" s="2" t="n"/>
      <c r="W416" s="7">
        <f>IF(N(U416)&lt;=0,0,MIN(Assumptions!$B$15,N(R416)/N(U416)))</f>
        <v/>
      </c>
      <c r="X416" s="6" t="n">
        <v>0.224</v>
      </c>
      <c r="Y416" s="3" t="n"/>
      <c r="Z416" t="inlineStr"/>
      <c r="AA416" s="3" t="n">
        <v>1</v>
      </c>
      <c r="AB416" s="3" t="n"/>
      <c r="AC416" s="3" t="n"/>
      <c r="AD416" s="3" t="n"/>
      <c r="AE416" s="3" t="n"/>
      <c r="AF416" s="3" t="n">
        <v>0</v>
      </c>
      <c r="AG416" s="3" t="n"/>
      <c r="AH416" s="3" t="n">
        <v>0</v>
      </c>
      <c r="AI416" s="3" t="n">
        <v>0</v>
      </c>
      <c r="AJ416" s="3" t="n">
        <v>3.1134</v>
      </c>
      <c r="AK416" s="3" t="n">
        <v>1.5588</v>
      </c>
      <c r="AL416" s="3" t="n">
        <v>-0.2045226422080557</v>
      </c>
      <c r="AM416" s="6" t="n">
        <v>0</v>
      </c>
      <c r="AN416" s="3" t="n">
        <v>0</v>
      </c>
      <c r="AO416" s="3" t="n">
        <v>0</v>
      </c>
      <c r="AP416" s="3" t="n">
        <v>0</v>
      </c>
      <c r="AQ416" s="3">
        <f>N(X416)*N(BJ416)</f>
        <v/>
      </c>
      <c r="AR416" s="3" t="n">
        <v>0</v>
      </c>
      <c r="AS416" s="3" t="n">
        <v>-0.5404658182244797</v>
      </c>
      <c r="AT416" s="3" t="n">
        <v>-0.2045226422080557</v>
      </c>
      <c r="AU416" s="3">
        <f>SUM(AO416:AT416)</f>
        <v/>
      </c>
      <c r="AV416" s="7">
        <f>IF(OR(N(W416)&lt;=0,N(BH416)=0),0,N(W416)*IF(N(R416)/N(W416)&gt;=60,N(BH416),1))</f>
        <v/>
      </c>
      <c r="AW416" s="7">
        <f>N(W416)*N(AF416)*N(BI416)</f>
        <v/>
      </c>
      <c r="AX416" s="3">
        <f>IF(N(BH416)=0,0,N(W416)*N(AH416))</f>
        <v/>
      </c>
      <c r="AY416" s="7">
        <f>N(AM416)*(Assumptions!$B$13*N(BK416)-(1-Assumptions!$B$13)*Assumptions!$B$14)+N(AN416)</f>
        <v/>
      </c>
      <c r="AZ416" s="7">
        <f>N(AU416)*N(R416)/90+N(AV416)+N(AW416)+N(AX416)+N(AY416)</f>
        <v/>
      </c>
      <c r="BA416" s="3">
        <f>IF(N(R416)&lt;=0,0,(N(AZ416)-N(AY416))*90/N(R416))</f>
        <v/>
      </c>
      <c r="BB416" s="7">
        <f>IFERROR(AZ416-VLOOKUP($E416,Assumptions!$A$40:$C$43,3,FALSE),"")</f>
        <v/>
      </c>
      <c r="BC416" s="3">
        <f>IFERROR(BB416/H416,"")</f>
        <v/>
      </c>
      <c r="BD416">
        <f>IF(AND($G416=TRUE,$E416="GKP"),AZ416,"")</f>
        <v/>
      </c>
      <c r="BE416">
        <f>IF(AND($G416=TRUE,$E416="DEF"),AZ416,"")</f>
        <v/>
      </c>
      <c r="BF416">
        <f>IF(AND($G416=TRUE,$E416="MID"),AZ416,"")</f>
        <v/>
      </c>
      <c r="BG416">
        <f>IF(AND($G416=TRUE,$E416="FWD"),AZ416,"")</f>
        <v/>
      </c>
      <c r="BH416" t="n">
        <v>2</v>
      </c>
      <c r="BI416" t="n">
        <v>2</v>
      </c>
      <c r="BJ416" t="n">
        <v>4</v>
      </c>
      <c r="BK416" t="n">
        <v>6</v>
      </c>
    </row>
    <row r="417">
      <c r="A417" t="inlineStr">
        <is>
          <t>Marcus Rashford</t>
        </is>
      </c>
      <c r="B417" t="inlineStr">
        <is>
          <t>MUN</t>
        </is>
      </c>
      <c r="C417" t="inlineStr">
        <is>
          <t>MUN</t>
        </is>
      </c>
      <c r="D417" t="b">
        <v>0</v>
      </c>
      <c r="E417" t="inlineStr">
        <is>
          <t>MID</t>
        </is>
      </c>
      <c r="F417" t="inlineStr">
        <is>
          <t>MID</t>
        </is>
      </c>
      <c r="G417" t="b">
        <v>1</v>
      </c>
      <c r="H417" s="2" t="n">
        <v>7</v>
      </c>
      <c r="I417" t="inlineStr">
        <is>
          <t>a</t>
        </is>
      </c>
      <c r="K417" s="2" t="n">
        <v>0</v>
      </c>
      <c r="L417" t="n">
        <v>0</v>
      </c>
      <c r="M417" s="3" t="n">
        <v>176</v>
      </c>
      <c r="N417" s="4" t="n">
        <v>550</v>
      </c>
      <c r="O417" s="4" t="n">
        <v>374</v>
      </c>
      <c r="P417" s="5" t="inlineStr">
        <is>
          <t>medium</t>
        </is>
      </c>
      <c r="Q417" t="inlineStr">
        <is>
          <t>flat</t>
        </is>
      </c>
      <c r="R417" s="6" t="n">
        <v>550</v>
      </c>
      <c r="S417" t="inlineStr">
        <is>
          <t>research</t>
        </is>
      </c>
      <c r="T417" s="5" t="inlineStr">
        <is>
          <t>Solio's 176 minutes treats him as gone. He is not: Barcelona declined the EUR30m purchase option, no other club has made a concrete offer, his GBP325,000-a-week wage blocks a move, and ESPN reports he is set to be part of Carrick's squad. He came off the bench against Milan on 15 August for his first United appearance in 20 months. He is on 550 rather than higher because Cunha, Mbeumo, Amad, Dorgu and Sesko are all ahead of or level with him, and ESPN notes United now consider a forward signing unlikely precisely because Rashford covers that need as depth.</t>
        </is>
      </c>
      <c r="U417" s="6" t="n">
        <v>85</v>
      </c>
      <c r="V417" s="2" t="n"/>
      <c r="W417" s="7">
        <f>IF(N(U417)&lt;=0,0,MIN(Assumptions!$B$15,N(R417)/N(U417)))</f>
        <v/>
      </c>
      <c r="X417" s="6" t="n">
        <v>0.334</v>
      </c>
      <c r="Y417" s="3" t="n"/>
      <c r="Z417" t="inlineStr"/>
      <c r="AA417" s="3" t="n">
        <v>1</v>
      </c>
      <c r="AB417" s="3" t="n"/>
      <c r="AC417" s="3" t="n"/>
      <c r="AD417" s="3" t="n"/>
      <c r="AE417" s="3" t="n"/>
      <c r="AF417" s="3" t="n">
        <v>0</v>
      </c>
      <c r="AG417" s="3" t="n"/>
      <c r="AH417" s="3" t="n">
        <v>0</v>
      </c>
      <c r="AI417" s="3" t="n">
        <v>0</v>
      </c>
      <c r="AJ417" s="3" t="n">
        <v>2.2165</v>
      </c>
      <c r="AK417" s="3" t="n">
        <v>1.1467</v>
      </c>
      <c r="AL417" s="3" t="n">
        <v>-0.162892867107631</v>
      </c>
      <c r="AM417" s="6" t="n">
        <v>0</v>
      </c>
      <c r="AN417" s="3" t="n">
        <v>0</v>
      </c>
      <c r="AO417" s="3" t="n">
        <v>0</v>
      </c>
      <c r="AP417" s="3" t="n">
        <v>0</v>
      </c>
      <c r="AQ417" s="3">
        <f>N(X417)*N(BJ417)</f>
        <v/>
      </c>
      <c r="AR417" s="3" t="n">
        <v>0</v>
      </c>
      <c r="AS417" s="3" t="n">
        <v>-0</v>
      </c>
      <c r="AT417" s="3" t="n">
        <v>-0.162892867107631</v>
      </c>
      <c r="AU417" s="3">
        <f>SUM(AO417:AT417)</f>
        <v/>
      </c>
      <c r="AV417" s="7">
        <f>IF(OR(N(W417)&lt;=0,N(BH417)=0),0,N(W417)*IF(N(R417)/N(W417)&gt;=60,N(BH417),1))</f>
        <v/>
      </c>
      <c r="AW417" s="7">
        <f>N(W417)*N(AF417)*N(BI417)</f>
        <v/>
      </c>
      <c r="AX417" s="3">
        <f>IF(N(BH417)=0,0,N(W417)*N(AH417))</f>
        <v/>
      </c>
      <c r="AY417" s="7">
        <f>N(AM417)*(Assumptions!$B$13*N(BK417)-(1-Assumptions!$B$13)*Assumptions!$B$14)+N(AN417)</f>
        <v/>
      </c>
      <c r="AZ417" s="7">
        <f>N(AU417)*N(R417)/90+N(AV417)+N(AW417)+N(AX417)+N(AY417)</f>
        <v/>
      </c>
      <c r="BA417" s="3">
        <f>IF(N(R417)&lt;=0,0,(N(AZ417)-N(AY417))*90/N(R417))</f>
        <v/>
      </c>
      <c r="BB417" s="7">
        <f>IFERROR(AZ417-VLOOKUP($E417,Assumptions!$A$40:$C$43,3,FALSE),"")</f>
        <v/>
      </c>
      <c r="BC417" s="3">
        <f>IFERROR(BB417/H417,"")</f>
        <v/>
      </c>
      <c r="BD417">
        <f>IF(AND($G417=TRUE,$E417="GKP"),AZ417,"")</f>
        <v/>
      </c>
      <c r="BE417">
        <f>IF(AND($G417=TRUE,$E417="DEF"),AZ417,"")</f>
        <v/>
      </c>
      <c r="BF417">
        <f>IF(AND($G417=TRUE,$E417="MID"),AZ417,"")</f>
        <v/>
      </c>
      <c r="BG417">
        <f>IF(AND($G417=TRUE,$E417="FWD"),AZ417,"")</f>
        <v/>
      </c>
      <c r="BH417" t="n">
        <v>2</v>
      </c>
      <c r="BI417" t="n">
        <v>2</v>
      </c>
      <c r="BJ417" t="n">
        <v>1</v>
      </c>
      <c r="BK417" t="n">
        <v>5</v>
      </c>
    </row>
    <row r="418">
      <c r="A418" t="inlineStr">
        <is>
          <t>Vitor de Oliveira Nunes dos Reis</t>
        </is>
      </c>
      <c r="B418" t="inlineStr">
        <is>
          <t>MCI</t>
        </is>
      </c>
      <c r="C418" t="inlineStr">
        <is>
          <t>MCI</t>
        </is>
      </c>
      <c r="D418" t="b">
        <v>0</v>
      </c>
      <c r="E418" t="inlineStr">
        <is>
          <t>DEF</t>
        </is>
      </c>
      <c r="F418" t="inlineStr">
        <is>
          <t>DEF</t>
        </is>
      </c>
      <c r="G418" t="b">
        <v>1</v>
      </c>
      <c r="H418" s="2" t="n">
        <v>4.5</v>
      </c>
      <c r="I418" t="inlineStr">
        <is>
          <t>a</t>
        </is>
      </c>
      <c r="K418" s="2" t="n">
        <v>0</v>
      </c>
      <c r="L418" t="n">
        <v>0</v>
      </c>
      <c r="M418" s="3" t="n">
        <v>0</v>
      </c>
      <c r="N418" s="4" t="n">
        <v>250</v>
      </c>
      <c r="O418" s="4" t="n">
        <v>250</v>
      </c>
      <c r="P418" s="5" t="inlineStr">
        <is>
          <t>low</t>
        </is>
      </c>
      <c r="Q418" t="inlineStr">
        <is>
          <t>flat</t>
        </is>
      </c>
      <c r="R418" s="6" t="n">
        <v>250</v>
      </c>
      <c r="S418" t="inlineStr">
        <is>
          <t>research</t>
        </is>
      </c>
      <c r="T418" s="5" t="inlineStr">
        <is>
          <t>Zero is too absolute. He is back from a full season at Girona (30-plus La Liga appearances, first Brazil call-up), holds squad number 22 on a contract to 2029, is named among the centre-back options in the City-specific previews, and Maresca had signalled an intention to re-integrate him. Set low rather than absent because a second loan is still openly on the table and Maresca has stayed coy.</t>
        </is>
      </c>
      <c r="U418" s="6" t="n">
        <v>85</v>
      </c>
      <c r="V418" s="2" t="n"/>
      <c r="W418" s="7">
        <f>IF(N(U418)&lt;=0,0,MIN(Assumptions!$B$15,N(R418)/N(U418)))</f>
        <v/>
      </c>
      <c r="X418" s="6" t="n">
        <v>0.371</v>
      </c>
      <c r="Y418" s="3" t="n"/>
      <c r="Z418" t="inlineStr"/>
      <c r="AA418" s="3" t="n">
        <v>1</v>
      </c>
      <c r="AB418" s="3" t="n"/>
      <c r="AC418" s="3" t="n"/>
      <c r="AD418" s="3" t="n"/>
      <c r="AE418" s="3" t="n"/>
      <c r="AF418" s="3" t="n">
        <v>0</v>
      </c>
      <c r="AG418" s="3" t="n"/>
      <c r="AH418" s="3" t="n">
        <v>0</v>
      </c>
      <c r="AI418" s="3" t="n">
        <v>0</v>
      </c>
      <c r="AJ418" s="3" t="n">
        <v>1.9737</v>
      </c>
      <c r="AK418" s="3" t="n">
        <v>1.0365</v>
      </c>
      <c r="AL418" s="3" t="n">
        <v>-0.2044462891912668</v>
      </c>
      <c r="AM418" s="6" t="n">
        <v>0</v>
      </c>
      <c r="AN418" s="3" t="n">
        <v>0</v>
      </c>
      <c r="AO418" s="3" t="n">
        <v>0</v>
      </c>
      <c r="AP418" s="3" t="n">
        <v>0</v>
      </c>
      <c r="AQ418" s="3">
        <f>N(X418)*N(BJ418)</f>
        <v/>
      </c>
      <c r="AR418" s="3" t="n">
        <v>0</v>
      </c>
      <c r="AS418" s="3" t="n">
        <v>-0.2997019479071323</v>
      </c>
      <c r="AT418" s="3" t="n">
        <v>-0.2044462891912668</v>
      </c>
      <c r="AU418" s="3">
        <f>SUM(AO418:AT418)</f>
        <v/>
      </c>
      <c r="AV418" s="7">
        <f>IF(OR(N(W418)&lt;=0,N(BH418)=0),0,N(W418)*IF(N(R418)/N(W418)&gt;=60,N(BH418),1))</f>
        <v/>
      </c>
      <c r="AW418" s="7">
        <f>N(W418)*N(AF418)*N(BI418)</f>
        <v/>
      </c>
      <c r="AX418" s="3">
        <f>IF(N(BH418)=0,0,N(W418)*N(AH418))</f>
        <v/>
      </c>
      <c r="AY418" s="7">
        <f>N(AM418)*(Assumptions!$B$13*N(BK418)-(1-Assumptions!$B$13)*Assumptions!$B$14)+N(AN418)</f>
        <v/>
      </c>
      <c r="AZ418" s="7">
        <f>N(AU418)*N(R418)/90+N(AV418)+N(AW418)+N(AX418)+N(AY418)</f>
        <v/>
      </c>
      <c r="BA418" s="3">
        <f>IF(N(R418)&lt;=0,0,(N(AZ418)-N(AY418))*90/N(R418))</f>
        <v/>
      </c>
      <c r="BB418" s="7">
        <f>IFERROR(AZ418-VLOOKUP($E418,Assumptions!$A$40:$C$43,3,FALSE),"")</f>
        <v/>
      </c>
      <c r="BC418" s="3">
        <f>IFERROR(BB418/H418,"")</f>
        <v/>
      </c>
      <c r="BD418">
        <f>IF(AND($G418=TRUE,$E418="GKP"),AZ418,"")</f>
        <v/>
      </c>
      <c r="BE418">
        <f>IF(AND($G418=TRUE,$E418="DEF"),AZ418,"")</f>
        <v/>
      </c>
      <c r="BF418">
        <f>IF(AND($G418=TRUE,$E418="MID"),AZ418,"")</f>
        <v/>
      </c>
      <c r="BG418">
        <f>IF(AND($G418=TRUE,$E418="FWD"),AZ418,"")</f>
        <v/>
      </c>
      <c r="BH418" t="n">
        <v>2</v>
      </c>
      <c r="BI418" t="n">
        <v>2</v>
      </c>
      <c r="BJ418" t="n">
        <v>4</v>
      </c>
      <c r="BK418" t="n">
        <v>6</v>
      </c>
    </row>
    <row r="419">
      <c r="A419" t="inlineStr">
        <is>
          <t>Mike Penders</t>
        </is>
      </c>
      <c r="B419" t="inlineStr">
        <is>
          <t>CHE</t>
        </is>
      </c>
      <c r="C419" t="inlineStr">
        <is>
          <t>CHE</t>
        </is>
      </c>
      <c r="D419" t="b">
        <v>0</v>
      </c>
      <c r="E419" t="inlineStr">
        <is>
          <t>GKP</t>
        </is>
      </c>
      <c r="F419" t="inlineStr">
        <is>
          <t>GKP</t>
        </is>
      </c>
      <c r="G419" t="b">
        <v>1</v>
      </c>
      <c r="H419" s="2" t="n">
        <v>4.5</v>
      </c>
      <c r="I419" t="inlineStr">
        <is>
          <t>a</t>
        </is>
      </c>
      <c r="K419" s="2" t="n">
        <v>0</v>
      </c>
      <c r="L419" t="n">
        <v>0</v>
      </c>
      <c r="M419" s="3" t="n">
        <v>274</v>
      </c>
      <c r="N419" s="8" t="n">
        <v>274</v>
      </c>
      <c r="O419" s="8" t="n">
        <v>0</v>
      </c>
      <c r="Q419" t="inlineStr">
        <is>
          <t>flat</t>
        </is>
      </c>
      <c r="R419" s="6" t="n">
        <v>274</v>
      </c>
      <c r="S419" t="inlineStr">
        <is>
          <t>Solio</t>
        </is>
      </c>
      <c r="U419" s="6" t="n">
        <v>85</v>
      </c>
      <c r="V419" s="2" t="n"/>
      <c r="W419" s="7">
        <f>IF(N(U419)&lt;=0,0,MIN(Assumptions!$B$15,N(R419)/N(U419)))</f>
        <v/>
      </c>
      <c r="X419" s="6" t="n">
        <v>0.322</v>
      </c>
      <c r="Y419" s="3" t="n"/>
      <c r="Z419" t="inlineStr"/>
      <c r="AA419" s="3" t="n">
        <v>1</v>
      </c>
      <c r="AB419" s="3" t="n"/>
      <c r="AC419" s="3" t="n"/>
      <c r="AD419" s="3" t="n"/>
      <c r="AE419" s="3" t="n">
        <v>0</v>
      </c>
      <c r="AF419" s="3" t="n">
        <v>0</v>
      </c>
      <c r="AG419" s="3" t="n"/>
      <c r="AH419" s="3" t="n">
        <v>0</v>
      </c>
      <c r="AI419" s="3" t="n">
        <v>0</v>
      </c>
      <c r="AJ419" s="3" t="n">
        <v>2.4232</v>
      </c>
      <c r="AK419" s="3" t="n">
        <v>1.1851</v>
      </c>
      <c r="AL419" s="3" t="n">
        <v>-0.0763216474948735</v>
      </c>
      <c r="AM419" s="6" t="n">
        <v>0</v>
      </c>
      <c r="AN419" s="3" t="n">
        <v>0.2026894923275023</v>
      </c>
      <c r="AO419" s="3" t="n">
        <v>0</v>
      </c>
      <c r="AP419" s="3" t="n">
        <v>0</v>
      </c>
      <c r="AQ419" s="3">
        <f>N(X419)*N(BJ419)</f>
        <v/>
      </c>
      <c r="AR419" s="3" t="n">
        <v>0.474357769926339</v>
      </c>
      <c r="AS419" s="3" t="n">
        <v>-0.365915508000572</v>
      </c>
      <c r="AT419" s="3" t="n">
        <v>-0.0763216474948735</v>
      </c>
      <c r="AU419" s="3">
        <f>SUM(AO419:AT419)</f>
        <v/>
      </c>
      <c r="AV419" s="7">
        <f>IF(OR(N(W419)&lt;=0,N(BH419)=0),0,N(W419)*IF(N(R419)/N(W419)&gt;=60,N(BH419),1))</f>
        <v/>
      </c>
      <c r="AW419" s="7">
        <f>N(W419)*N(AF419)*N(BI419)</f>
        <v/>
      </c>
      <c r="AX419" s="3">
        <f>IF(N(BH419)=0,0,N(W419)*N(AH419))</f>
        <v/>
      </c>
      <c r="AY419" s="7">
        <f>N(AM419)*(Assumptions!$B$13*N(BK419)-(1-Assumptions!$B$13)*Assumptions!$B$14)+N(AN419)</f>
        <v/>
      </c>
      <c r="AZ419" s="7">
        <f>N(AU419)*N(R419)/90+N(AV419)+N(AW419)+N(AX419)+N(AY419)</f>
        <v/>
      </c>
      <c r="BA419" s="3">
        <f>IF(N(R419)&lt;=0,0,(N(AZ419)-N(AY419))*90/N(R419))</f>
        <v/>
      </c>
      <c r="BB419" s="7">
        <f>IFERROR(AZ419-VLOOKUP($E419,Assumptions!$A$40:$C$43,3,FALSE),"")</f>
        <v/>
      </c>
      <c r="BC419" s="3">
        <f>IFERROR(BB419/H419,"")</f>
        <v/>
      </c>
      <c r="BD419">
        <f>IF(AND($G419=TRUE,$E419="GKP"),AZ419,"")</f>
        <v/>
      </c>
      <c r="BE419">
        <f>IF(AND($G419=TRUE,$E419="DEF"),AZ419,"")</f>
        <v/>
      </c>
      <c r="BF419">
        <f>IF(AND($G419=TRUE,$E419="MID"),AZ419,"")</f>
        <v/>
      </c>
      <c r="BG419">
        <f>IF(AND($G419=TRUE,$E419="FWD"),AZ419,"")</f>
        <v/>
      </c>
      <c r="BH419" t="n">
        <v>2</v>
      </c>
      <c r="BI419" t="n">
        <v>0</v>
      </c>
      <c r="BJ419" t="n">
        <v>4</v>
      </c>
      <c r="BK419" t="n">
        <v>10</v>
      </c>
    </row>
    <row r="420">
      <c r="A420" t="inlineStr">
        <is>
          <t>Remi Matthews</t>
        </is>
      </c>
      <c r="B420" t="inlineStr">
        <is>
          <t>CRY</t>
        </is>
      </c>
      <c r="C420" t="inlineStr">
        <is>
          <t>CRY</t>
        </is>
      </c>
      <c r="D420" t="b">
        <v>0</v>
      </c>
      <c r="E420" t="inlineStr">
        <is>
          <t>GKP</t>
        </is>
      </c>
      <c r="F420" t="inlineStr">
        <is>
          <t>GKP</t>
        </is>
      </c>
      <c r="G420" t="b">
        <v>1</v>
      </c>
      <c r="H420" s="2" t="n">
        <v>4</v>
      </c>
      <c r="I420" t="inlineStr">
        <is>
          <t>a</t>
        </is>
      </c>
      <c r="K420" s="2" t="n">
        <v>0</v>
      </c>
      <c r="L420" t="n">
        <v>0</v>
      </c>
      <c r="M420" s="3" t="n">
        <v>0</v>
      </c>
      <c r="N420" s="8" t="n">
        <v>0</v>
      </c>
      <c r="O420" s="8" t="n">
        <v>0</v>
      </c>
      <c r="Q420" t="inlineStr">
        <is>
          <t>flat</t>
        </is>
      </c>
      <c r="R420" s="6" t="n">
        <v>0</v>
      </c>
      <c r="S420" t="inlineStr">
        <is>
          <t>Solio</t>
        </is>
      </c>
      <c r="U420" s="6" t="n">
        <v>85</v>
      </c>
      <c r="V420" s="2" t="n"/>
      <c r="W420" s="7">
        <f>IF(N(U420)&lt;=0,0,MIN(Assumptions!$B$15,N(R420)/N(U420)))</f>
        <v/>
      </c>
      <c r="X420" s="6" t="n">
        <v>0.216</v>
      </c>
      <c r="Y420" s="3" t="n"/>
      <c r="Z420" t="inlineStr"/>
      <c r="AA420" s="3" t="n">
        <v>1</v>
      </c>
      <c r="AB420" s="3" t="n"/>
      <c r="AC420" s="3" t="n"/>
      <c r="AD420" s="3" t="n"/>
      <c r="AE420" s="3" t="n">
        <v>0</v>
      </c>
      <c r="AF420" s="3" t="n">
        <v>0</v>
      </c>
      <c r="AG420" s="3" t="n"/>
      <c r="AH420" s="3" t="n">
        <v>0</v>
      </c>
      <c r="AI420" s="3" t="n">
        <v>0</v>
      </c>
      <c r="AJ420" s="3" t="n">
        <v>3.2035</v>
      </c>
      <c r="AK420" s="3" t="n">
        <v>1.5923</v>
      </c>
      <c r="AL420" s="3" t="n">
        <v>-0.0762605643192463</v>
      </c>
      <c r="AM420" s="6" t="n">
        <v>0</v>
      </c>
      <c r="AN420" s="3" t="n">
        <v>0</v>
      </c>
      <c r="AO420" s="3" t="n">
        <v>0</v>
      </c>
      <c r="AP420" s="3" t="n">
        <v>0</v>
      </c>
      <c r="AQ420" s="3">
        <f>N(X420)*N(BJ420)</f>
        <v/>
      </c>
      <c r="AR420" s="3" t="n">
        <v>0.7325188478059661</v>
      </c>
      <c r="AS420" s="3" t="n">
        <v>-0.5564987001023466</v>
      </c>
      <c r="AT420" s="3" t="n">
        <v>-0.0762605643192463</v>
      </c>
      <c r="AU420" s="3">
        <f>SUM(AO420:AT420)</f>
        <v/>
      </c>
      <c r="AV420" s="7">
        <f>IF(OR(N(W420)&lt;=0,N(BH420)=0),0,N(W420)*IF(N(R420)/N(W420)&gt;=60,N(BH420),1))</f>
        <v/>
      </c>
      <c r="AW420" s="7">
        <f>N(W420)*N(AF420)*N(BI420)</f>
        <v/>
      </c>
      <c r="AX420" s="3">
        <f>IF(N(BH420)=0,0,N(W420)*N(AH420))</f>
        <v/>
      </c>
      <c r="AY420" s="7">
        <f>N(AM420)*(Assumptions!$B$13*N(BK420)-(1-Assumptions!$B$13)*Assumptions!$B$14)+N(AN420)</f>
        <v/>
      </c>
      <c r="AZ420" s="7">
        <f>N(AU420)*N(R420)/90+N(AV420)+N(AW420)+N(AX420)+N(AY420)</f>
        <v/>
      </c>
      <c r="BA420" s="3">
        <f>IF(N(R420)&lt;=0,0,(N(AZ420)-N(AY420))*90/N(R420))</f>
        <v/>
      </c>
      <c r="BB420" s="7">
        <f>IFERROR(AZ420-VLOOKUP($E420,Assumptions!$A$40:$C$43,3,FALSE),"")</f>
        <v/>
      </c>
      <c r="BC420" s="3">
        <f>IFERROR(BB420/H420,"")</f>
        <v/>
      </c>
      <c r="BD420">
        <f>IF(AND($G420=TRUE,$E420="GKP"),AZ420,"")</f>
        <v/>
      </c>
      <c r="BE420">
        <f>IF(AND($G420=TRUE,$E420="DEF"),AZ420,"")</f>
        <v/>
      </c>
      <c r="BF420">
        <f>IF(AND($G420=TRUE,$E420="MID"),AZ420,"")</f>
        <v/>
      </c>
      <c r="BG420">
        <f>IF(AND($G420=TRUE,$E420="FWD"),AZ420,"")</f>
        <v/>
      </c>
      <c r="BH420" t="n">
        <v>2</v>
      </c>
      <c r="BI420" t="n">
        <v>0</v>
      </c>
      <c r="BJ420" t="n">
        <v>4</v>
      </c>
      <c r="BK420" t="n">
        <v>10</v>
      </c>
    </row>
    <row r="421">
      <c r="A421" t="inlineStr">
        <is>
          <t>Aaron Anselmino</t>
        </is>
      </c>
      <c r="B421" t="inlineStr">
        <is>
          <t>CHE</t>
        </is>
      </c>
      <c r="C421" t="inlineStr">
        <is>
          <t>CHE</t>
        </is>
      </c>
      <c r="D421" t="b">
        <v>0</v>
      </c>
      <c r="E421" t="inlineStr">
        <is>
          <t>DEF</t>
        </is>
      </c>
      <c r="F421" t="inlineStr">
        <is>
          <t>DEF</t>
        </is>
      </c>
      <c r="G421" t="b">
        <v>1</v>
      </c>
      <c r="H421" s="2" t="n">
        <v>4.5</v>
      </c>
      <c r="I421" t="inlineStr">
        <is>
          <t>a</t>
        </is>
      </c>
      <c r="K421" s="2" t="n">
        <v>0</v>
      </c>
      <c r="L421" t="n">
        <v>0</v>
      </c>
      <c r="M421" s="3" t="n">
        <v>0</v>
      </c>
      <c r="N421" s="8" t="n">
        <v>0</v>
      </c>
      <c r="O421" s="8" t="n">
        <v>0</v>
      </c>
      <c r="Q421" t="inlineStr">
        <is>
          <t>flat</t>
        </is>
      </c>
      <c r="R421" s="6" t="n">
        <v>0</v>
      </c>
      <c r="S421" t="inlineStr">
        <is>
          <t>Solio</t>
        </is>
      </c>
      <c r="U421" s="6" t="n">
        <v>85</v>
      </c>
      <c r="V421" s="2" t="n"/>
      <c r="W421" s="7">
        <f>IF(N(U421)&lt;=0,0,MIN(Assumptions!$B$15,N(R421)/N(U421)))</f>
        <v/>
      </c>
      <c r="X421" s="6" t="n">
        <v>0.322</v>
      </c>
      <c r="Y421" s="3" t="n"/>
      <c r="Z421" t="inlineStr"/>
      <c r="AA421" s="3" t="n">
        <v>1</v>
      </c>
      <c r="AB421" s="3" t="n"/>
      <c r="AC421" s="3" t="n"/>
      <c r="AD421" s="3" t="n"/>
      <c r="AE421" s="3" t="n"/>
      <c r="AF421" s="3" t="n">
        <v>0</v>
      </c>
      <c r="AG421" s="3" t="n"/>
      <c r="AH421" s="3" t="n">
        <v>0</v>
      </c>
      <c r="AI421" s="3" t="n">
        <v>0</v>
      </c>
      <c r="AJ421" s="3" t="n">
        <v>2.4232</v>
      </c>
      <c r="AK421" s="3" t="n">
        <v>1.1851</v>
      </c>
      <c r="AL421" s="3" t="n">
        <v>-0.2045226422080557</v>
      </c>
      <c r="AM421" s="6" t="n">
        <v>0</v>
      </c>
      <c r="AN421" s="3" t="n">
        <v>0</v>
      </c>
      <c r="AO421" s="3" t="n">
        <v>0</v>
      </c>
      <c r="AP421" s="3" t="n">
        <v>0</v>
      </c>
      <c r="AQ421" s="3">
        <f>N(X421)*N(BJ421)</f>
        <v/>
      </c>
      <c r="AR421" s="3" t="n">
        <v>0</v>
      </c>
      <c r="AS421" s="3" t="n">
        <v>-0.365915508000572</v>
      </c>
      <c r="AT421" s="3" t="n">
        <v>-0.2045226422080557</v>
      </c>
      <c r="AU421" s="3">
        <f>SUM(AO421:AT421)</f>
        <v/>
      </c>
      <c r="AV421" s="7">
        <f>IF(OR(N(W421)&lt;=0,N(BH421)=0),0,N(W421)*IF(N(R421)/N(W421)&gt;=60,N(BH421),1))</f>
        <v/>
      </c>
      <c r="AW421" s="7">
        <f>N(W421)*N(AF421)*N(BI421)</f>
        <v/>
      </c>
      <c r="AX421" s="3">
        <f>IF(N(BH421)=0,0,N(W421)*N(AH421))</f>
        <v/>
      </c>
      <c r="AY421" s="7">
        <f>N(AM421)*(Assumptions!$B$13*N(BK421)-(1-Assumptions!$B$13)*Assumptions!$B$14)+N(AN421)</f>
        <v/>
      </c>
      <c r="AZ421" s="7">
        <f>N(AU421)*N(R421)/90+N(AV421)+N(AW421)+N(AX421)+N(AY421)</f>
        <v/>
      </c>
      <c r="BA421" s="3">
        <f>IF(N(R421)&lt;=0,0,(N(AZ421)-N(AY421))*90/N(R421))</f>
        <v/>
      </c>
      <c r="BB421" s="7">
        <f>IFERROR(AZ421-VLOOKUP($E421,Assumptions!$A$40:$C$43,3,FALSE),"")</f>
        <v/>
      </c>
      <c r="BC421" s="3">
        <f>IFERROR(BB421/H421,"")</f>
        <v/>
      </c>
      <c r="BD421">
        <f>IF(AND($G421=TRUE,$E421="GKP"),AZ421,"")</f>
        <v/>
      </c>
      <c r="BE421">
        <f>IF(AND($G421=TRUE,$E421="DEF"),AZ421,"")</f>
        <v/>
      </c>
      <c r="BF421">
        <f>IF(AND($G421=TRUE,$E421="MID"),AZ421,"")</f>
        <v/>
      </c>
      <c r="BG421">
        <f>IF(AND($G421=TRUE,$E421="FWD"),AZ421,"")</f>
        <v/>
      </c>
      <c r="BH421" t="n">
        <v>2</v>
      </c>
      <c r="BI421" t="n">
        <v>2</v>
      </c>
      <c r="BJ421" t="n">
        <v>4</v>
      </c>
      <c r="BK421" t="n">
        <v>6</v>
      </c>
    </row>
    <row r="422">
      <c r="A422" t="inlineStr">
        <is>
          <t>Will Dennis</t>
        </is>
      </c>
      <c r="B422" t="inlineStr">
        <is>
          <t>BOU</t>
        </is>
      </c>
      <c r="C422" t="inlineStr">
        <is>
          <t>BOU</t>
        </is>
      </c>
      <c r="D422" t="b">
        <v>0</v>
      </c>
      <c r="E422" t="inlineStr">
        <is>
          <t>GKP</t>
        </is>
      </c>
      <c r="F422" t="inlineStr">
        <is>
          <t>GKP</t>
        </is>
      </c>
      <c r="G422" t="b">
        <v>1</v>
      </c>
      <c r="H422" s="2" t="n">
        <v>4</v>
      </c>
      <c r="I422" t="inlineStr">
        <is>
          <t>a</t>
        </is>
      </c>
      <c r="K422" s="2" t="n">
        <v>0</v>
      </c>
      <c r="L422" t="n">
        <v>0</v>
      </c>
      <c r="M422" s="3" t="n">
        <v>35</v>
      </c>
      <c r="N422" s="8" t="n">
        <v>35</v>
      </c>
      <c r="O422" s="8" t="n">
        <v>0</v>
      </c>
      <c r="Q422" t="inlineStr">
        <is>
          <t>flat</t>
        </is>
      </c>
      <c r="R422" s="6" t="n">
        <v>35</v>
      </c>
      <c r="S422" t="inlineStr">
        <is>
          <t>Solio</t>
        </is>
      </c>
      <c r="U422" s="6" t="n">
        <v>85</v>
      </c>
      <c r="V422" s="2" t="n"/>
      <c r="W422" s="7">
        <f>IF(N(U422)&lt;=0,0,MIN(Assumptions!$B$15,N(R422)/N(U422)))</f>
        <v/>
      </c>
      <c r="X422" s="6" t="n">
        <v>0.23</v>
      </c>
      <c r="Y422" s="3" t="n"/>
      <c r="Z422" t="inlineStr"/>
      <c r="AA422" s="3" t="n">
        <v>1</v>
      </c>
      <c r="AB422" s="3" t="n"/>
      <c r="AC422" s="3" t="n"/>
      <c r="AD422" s="3" t="n"/>
      <c r="AE422" s="3" t="n">
        <v>0</v>
      </c>
      <c r="AF422" s="3" t="n">
        <v>0</v>
      </c>
      <c r="AG422" s="3" t="n"/>
      <c r="AH422" s="3" t="n">
        <v>0</v>
      </c>
      <c r="AI422" s="3" t="n">
        <v>0</v>
      </c>
      <c r="AJ422" s="3" t="n">
        <v>3.0957</v>
      </c>
      <c r="AK422" s="3" t="n">
        <v>1.53</v>
      </c>
      <c r="AL422" s="3" t="n">
        <v>-0.0763216474948735</v>
      </c>
      <c r="AM422" s="6" t="n">
        <v>0</v>
      </c>
      <c r="AN422" s="3" t="n">
        <v>0.0334279680166987</v>
      </c>
      <c r="AO422" s="3" t="n">
        <v>0</v>
      </c>
      <c r="AP422" s="3" t="n">
        <v>0</v>
      </c>
      <c r="AQ422" s="3">
        <f>N(X422)*N(BJ422)</f>
        <v/>
      </c>
      <c r="AR422" s="3" t="n">
        <v>0.6965164635997099</v>
      </c>
      <c r="AS422" s="3" t="n">
        <v>-0.5267219238049191</v>
      </c>
      <c r="AT422" s="3" t="n">
        <v>-0.0763216474948735</v>
      </c>
      <c r="AU422" s="3">
        <f>SUM(AO422:AT422)</f>
        <v/>
      </c>
      <c r="AV422" s="7">
        <f>IF(OR(N(W422)&lt;=0,N(BH422)=0),0,N(W422)*IF(N(R422)/N(W422)&gt;=60,N(BH422),1))</f>
        <v/>
      </c>
      <c r="AW422" s="7">
        <f>N(W422)*N(AF422)*N(BI422)</f>
        <v/>
      </c>
      <c r="AX422" s="3">
        <f>IF(N(BH422)=0,0,N(W422)*N(AH422))</f>
        <v/>
      </c>
      <c r="AY422" s="7">
        <f>N(AM422)*(Assumptions!$B$13*N(BK422)-(1-Assumptions!$B$13)*Assumptions!$B$14)+N(AN422)</f>
        <v/>
      </c>
      <c r="AZ422" s="7">
        <f>N(AU422)*N(R422)/90+N(AV422)+N(AW422)+N(AX422)+N(AY422)</f>
        <v/>
      </c>
      <c r="BA422" s="3">
        <f>IF(N(R422)&lt;=0,0,(N(AZ422)-N(AY422))*90/N(R422))</f>
        <v/>
      </c>
      <c r="BB422" s="7">
        <f>IFERROR(AZ422-VLOOKUP($E422,Assumptions!$A$40:$C$43,3,FALSE),"")</f>
        <v/>
      </c>
      <c r="BC422" s="3">
        <f>IFERROR(BB422/H422,"")</f>
        <v/>
      </c>
      <c r="BD422">
        <f>IF(AND($G422=TRUE,$E422="GKP"),AZ422,"")</f>
        <v/>
      </c>
      <c r="BE422">
        <f>IF(AND($G422=TRUE,$E422="DEF"),AZ422,"")</f>
        <v/>
      </c>
      <c r="BF422">
        <f>IF(AND($G422=TRUE,$E422="MID"),AZ422,"")</f>
        <v/>
      </c>
      <c r="BG422">
        <f>IF(AND($G422=TRUE,$E422="FWD"),AZ422,"")</f>
        <v/>
      </c>
      <c r="BH422" t="n">
        <v>2</v>
      </c>
      <c r="BI422" t="n">
        <v>0</v>
      </c>
      <c r="BJ422" t="n">
        <v>4</v>
      </c>
      <c r="BK422" t="n">
        <v>10</v>
      </c>
    </row>
    <row r="423">
      <c r="A423" s="9" t="inlineStr">
        <is>
          <t>Matt Targett</t>
        </is>
      </c>
      <c r="B423" t="inlineStr">
        <is>
          <t>HUL</t>
        </is>
      </c>
      <c r="C423" s="9" t="inlineStr">
        <is>
          <t>NEW</t>
        </is>
      </c>
      <c r="D423" t="b">
        <v>1</v>
      </c>
      <c r="E423" t="inlineStr">
        <is>
          <t>DEF</t>
        </is>
      </c>
      <c r="F423" t="inlineStr">
        <is>
          <t>DEF</t>
        </is>
      </c>
      <c r="G423" t="b">
        <v>1</v>
      </c>
      <c r="H423" s="2" t="n">
        <v>4</v>
      </c>
      <c r="I423" t="inlineStr">
        <is>
          <t>a</t>
        </is>
      </c>
      <c r="K423" s="2" t="n">
        <v>0</v>
      </c>
      <c r="L423" t="n">
        <v>0</v>
      </c>
      <c r="M423" s="3" t="n">
        <v>421</v>
      </c>
      <c r="N423" s="8" t="n">
        <v>421</v>
      </c>
      <c r="O423" s="8" t="n">
        <v>0</v>
      </c>
      <c r="Q423" t="inlineStr">
        <is>
          <t>flat</t>
        </is>
      </c>
      <c r="R423" s="6" t="n">
        <v>421</v>
      </c>
      <c r="S423" t="inlineStr">
        <is>
          <t>Solio</t>
        </is>
      </c>
      <c r="U423" s="6" t="n">
        <v>85</v>
      </c>
      <c r="V423" s="2" t="n"/>
      <c r="W423" s="7">
        <f>IF(N(U423)&lt;=0,0,MIN(Assumptions!$B$15,N(R423)/N(U423)))</f>
        <v/>
      </c>
      <c r="X423" s="6" t="n">
        <v>0.143</v>
      </c>
      <c r="Y423" s="10" t="n"/>
      <c r="Z423" t="inlineStr"/>
      <c r="AA423" s="3" t="n">
        <v>1</v>
      </c>
      <c r="AB423" s="3" t="n"/>
      <c r="AC423" s="3" t="n"/>
      <c r="AD423" s="10" t="n"/>
      <c r="AE423" s="3" t="n"/>
      <c r="AF423" s="3" t="n">
        <v>0</v>
      </c>
      <c r="AG423" s="3" t="n"/>
      <c r="AH423" s="3" t="n">
        <v>0</v>
      </c>
      <c r="AI423" s="3" t="n">
        <v>0</v>
      </c>
      <c r="AJ423" s="3" t="n">
        <v>3.9421</v>
      </c>
      <c r="AK423" s="3" t="n">
        <v>1.99</v>
      </c>
      <c r="AL423" s="3" t="n">
        <v>-0.2235095252713987</v>
      </c>
      <c r="AM423" s="6" t="n">
        <v>0</v>
      </c>
      <c r="AN423" s="3" t="n">
        <v>0</v>
      </c>
      <c r="AO423" s="10" t="n">
        <v>0</v>
      </c>
      <c r="AP423" s="10" t="n">
        <v>0</v>
      </c>
      <c r="AQ423" s="3">
        <f>N(X423)*N(BJ423)</f>
        <v/>
      </c>
      <c r="AR423" s="3" t="n">
        <v>0</v>
      </c>
      <c r="AS423" s="3" t="n">
        <v>-0.7496714098286652</v>
      </c>
      <c r="AT423" s="3" t="n">
        <v>-0.2235095252713987</v>
      </c>
      <c r="AU423" s="3">
        <f>SUM(AO423:AT423)</f>
        <v/>
      </c>
      <c r="AV423" s="7">
        <f>IF(OR(N(W423)&lt;=0,N(BH423)=0),0,N(W423)*IF(N(R423)/N(W423)&gt;=60,N(BH423),1))</f>
        <v/>
      </c>
      <c r="AW423" s="7">
        <f>N(W423)*N(AF423)*N(BI423)</f>
        <v/>
      </c>
      <c r="AX423" s="3">
        <f>IF(N(BH423)=0,0,N(W423)*N(AH423))</f>
        <v/>
      </c>
      <c r="AY423" s="7">
        <f>N(AM423)*(Assumptions!$B$13*N(BK423)-(1-Assumptions!$B$13)*Assumptions!$B$14)+N(AN423)</f>
        <v/>
      </c>
      <c r="AZ423" s="7">
        <f>N(AU423)*N(R423)/90+N(AV423)+N(AW423)+N(AX423)+N(AY423)</f>
        <v/>
      </c>
      <c r="BA423" s="3">
        <f>IF(N(R423)&lt;=0,0,(N(AZ423)-N(AY423))*90/N(R423))</f>
        <v/>
      </c>
      <c r="BB423" s="7">
        <f>IFERROR(AZ423-VLOOKUP($E423,Assumptions!$A$40:$C$43,3,FALSE),"")</f>
        <v/>
      </c>
      <c r="BC423" s="3">
        <f>IFERROR(BB423/H423,"")</f>
        <v/>
      </c>
      <c r="BD423">
        <f>IF(AND($G423=TRUE,$E423="GKP"),AZ423,"")</f>
        <v/>
      </c>
      <c r="BE423">
        <f>IF(AND($G423=TRUE,$E423="DEF"),AZ423,"")</f>
        <v/>
      </c>
      <c r="BF423">
        <f>IF(AND($G423=TRUE,$E423="MID"),AZ423,"")</f>
        <v/>
      </c>
      <c r="BG423">
        <f>IF(AND($G423=TRUE,$E423="FWD"),AZ423,"")</f>
        <v/>
      </c>
      <c r="BH423" t="n">
        <v>2</v>
      </c>
      <c r="BI423" t="n">
        <v>2</v>
      </c>
      <c r="BJ423" t="n">
        <v>4</v>
      </c>
      <c r="BK423" t="n">
        <v>6</v>
      </c>
    </row>
    <row r="424">
      <c r="A424" t="inlineStr">
        <is>
          <t>Kalvin Phillips</t>
        </is>
      </c>
      <c r="B424" t="inlineStr">
        <is>
          <t>MCI</t>
        </is>
      </c>
      <c r="C424" t="inlineStr">
        <is>
          <t>MCI</t>
        </is>
      </c>
      <c r="D424" t="b">
        <v>0</v>
      </c>
      <c r="E424" t="inlineStr">
        <is>
          <t>MID</t>
        </is>
      </c>
      <c r="F424" t="inlineStr">
        <is>
          <t>MID</t>
        </is>
      </c>
      <c r="G424" t="b">
        <v>1</v>
      </c>
      <c r="H424" s="2" t="n">
        <v>5</v>
      </c>
      <c r="I424" t="inlineStr">
        <is>
          <t>a</t>
        </is>
      </c>
      <c r="K424" s="2" t="n">
        <v>0</v>
      </c>
      <c r="L424" t="n">
        <v>0</v>
      </c>
      <c r="M424" s="3" t="n">
        <v>0</v>
      </c>
      <c r="N424" s="8" t="n">
        <v>0</v>
      </c>
      <c r="O424" s="8" t="n">
        <v>0</v>
      </c>
      <c r="Q424" t="inlineStr">
        <is>
          <t>flat</t>
        </is>
      </c>
      <c r="R424" s="6" t="n">
        <v>0</v>
      </c>
      <c r="S424" t="inlineStr">
        <is>
          <t>Solio</t>
        </is>
      </c>
      <c r="U424" s="6" t="n">
        <v>85</v>
      </c>
      <c r="V424" s="2" t="n"/>
      <c r="W424" s="7">
        <f>IF(N(U424)&lt;=0,0,MIN(Assumptions!$B$15,N(R424)/N(U424)))</f>
        <v/>
      </c>
      <c r="X424" s="6" t="n">
        <v>0.371</v>
      </c>
      <c r="Y424" s="3" t="n"/>
      <c r="Z424" t="inlineStr"/>
      <c r="AA424" s="3" t="n">
        <v>1</v>
      </c>
      <c r="AB424" s="3" t="n"/>
      <c r="AC424" s="3" t="n"/>
      <c r="AD424" s="3" t="n"/>
      <c r="AE424" s="3" t="n"/>
      <c r="AF424" s="3" t="n">
        <v>0</v>
      </c>
      <c r="AG424" s="3" t="n"/>
      <c r="AH424" s="3" t="n">
        <v>0</v>
      </c>
      <c r="AI424" s="3" t="n">
        <v>0</v>
      </c>
      <c r="AJ424" s="3" t="n">
        <v>1.9737</v>
      </c>
      <c r="AK424" s="3" t="n">
        <v>1.0365</v>
      </c>
      <c r="AL424" s="3" t="n">
        <v>-0.2474148426271219</v>
      </c>
      <c r="AM424" s="6" t="n">
        <v>0</v>
      </c>
      <c r="AN424" s="3" t="n">
        <v>0</v>
      </c>
      <c r="AO424" s="3" t="n">
        <v>0</v>
      </c>
      <c r="AP424" s="3" t="n">
        <v>0</v>
      </c>
      <c r="AQ424" s="3">
        <f>N(X424)*N(BJ424)</f>
        <v/>
      </c>
      <c r="AR424" s="3" t="n">
        <v>0</v>
      </c>
      <c r="AS424" s="3" t="n">
        <v>-0</v>
      </c>
      <c r="AT424" s="3" t="n">
        <v>-0.2474148426271219</v>
      </c>
      <c r="AU424" s="3">
        <f>SUM(AO424:AT424)</f>
        <v/>
      </c>
      <c r="AV424" s="7">
        <f>IF(OR(N(W424)&lt;=0,N(BH424)=0),0,N(W424)*IF(N(R424)/N(W424)&gt;=60,N(BH424),1))</f>
        <v/>
      </c>
      <c r="AW424" s="7">
        <f>N(W424)*N(AF424)*N(BI424)</f>
        <v/>
      </c>
      <c r="AX424" s="3">
        <f>IF(N(BH424)=0,0,N(W424)*N(AH424))</f>
        <v/>
      </c>
      <c r="AY424" s="7">
        <f>N(AM424)*(Assumptions!$B$13*N(BK424)-(1-Assumptions!$B$13)*Assumptions!$B$14)+N(AN424)</f>
        <v/>
      </c>
      <c r="AZ424" s="7">
        <f>N(AU424)*N(R424)/90+N(AV424)+N(AW424)+N(AX424)+N(AY424)</f>
        <v/>
      </c>
      <c r="BA424" s="3">
        <f>IF(N(R424)&lt;=0,0,(N(AZ424)-N(AY424))*90/N(R424))</f>
        <v/>
      </c>
      <c r="BB424" s="7">
        <f>IFERROR(AZ424-VLOOKUP($E424,Assumptions!$A$40:$C$43,3,FALSE),"")</f>
        <v/>
      </c>
      <c r="BC424" s="3">
        <f>IFERROR(BB424/H424,"")</f>
        <v/>
      </c>
      <c r="BD424">
        <f>IF(AND($G424=TRUE,$E424="GKP"),AZ424,"")</f>
        <v/>
      </c>
      <c r="BE424">
        <f>IF(AND($G424=TRUE,$E424="DEF"),AZ424,"")</f>
        <v/>
      </c>
      <c r="BF424">
        <f>IF(AND($G424=TRUE,$E424="MID"),AZ424,"")</f>
        <v/>
      </c>
      <c r="BG424">
        <f>IF(AND($G424=TRUE,$E424="FWD"),AZ424,"")</f>
        <v/>
      </c>
      <c r="BH424" t="n">
        <v>2</v>
      </c>
      <c r="BI424" t="n">
        <v>2</v>
      </c>
      <c r="BJ424" t="n">
        <v>1</v>
      </c>
      <c r="BK424" t="n">
        <v>5</v>
      </c>
    </row>
    <row r="425">
      <c r="A425" t="inlineStr">
        <is>
          <t>Tom King</t>
        </is>
      </c>
      <c r="B425" t="inlineStr">
        <is>
          <t>EVE</t>
        </is>
      </c>
      <c r="C425" t="inlineStr">
        <is>
          <t>EVE</t>
        </is>
      </c>
      <c r="D425" t="b">
        <v>0</v>
      </c>
      <c r="E425" t="inlineStr">
        <is>
          <t>GKP</t>
        </is>
      </c>
      <c r="F425" t="inlineStr">
        <is>
          <t>GKP</t>
        </is>
      </c>
      <c r="G425" t="b">
        <v>1</v>
      </c>
      <c r="H425" s="2" t="n">
        <v>4.5</v>
      </c>
      <c r="I425" t="inlineStr">
        <is>
          <t>a</t>
        </is>
      </c>
      <c r="K425" s="2" t="n">
        <v>0</v>
      </c>
      <c r="L425" t="n">
        <v>0</v>
      </c>
      <c r="M425" s="3" t="n">
        <v>0</v>
      </c>
      <c r="N425" s="8" t="n">
        <v>0</v>
      </c>
      <c r="O425" s="8" t="n">
        <v>0</v>
      </c>
      <c r="Q425" t="inlineStr">
        <is>
          <t>flat</t>
        </is>
      </c>
      <c r="R425" s="6" t="n">
        <v>0</v>
      </c>
      <c r="S425" t="inlineStr">
        <is>
          <t>Solio</t>
        </is>
      </c>
      <c r="U425" s="6" t="n">
        <v>85</v>
      </c>
      <c r="V425" s="2" t="n"/>
      <c r="W425" s="7">
        <f>IF(N(U425)&lt;=0,0,MIN(Assumptions!$B$15,N(R425)/N(U425)))</f>
        <v/>
      </c>
      <c r="X425" s="6" t="n">
        <v>0.231</v>
      </c>
      <c r="Y425" s="3" t="n"/>
      <c r="Z425" t="inlineStr"/>
      <c r="AA425" s="3" t="n">
        <v>1</v>
      </c>
      <c r="AB425" s="3" t="n"/>
      <c r="AC425" s="3" t="n"/>
      <c r="AD425" s="3" t="n"/>
      <c r="AE425" s="3" t="n">
        <v>0</v>
      </c>
      <c r="AF425" s="3" t="n">
        <v>0</v>
      </c>
      <c r="AG425" s="3" t="n"/>
      <c r="AH425" s="3" t="n">
        <v>0</v>
      </c>
      <c r="AI425" s="3" t="n">
        <v>0</v>
      </c>
      <c r="AJ425" s="3" t="n">
        <v>3.0311</v>
      </c>
      <c r="AK425" s="3" t="n">
        <v>1.5252</v>
      </c>
      <c r="AL425" s="3" t="n">
        <v>-0.0762910931866984</v>
      </c>
      <c r="AM425" s="6" t="n">
        <v>0</v>
      </c>
      <c r="AN425" s="3" t="n">
        <v>0</v>
      </c>
      <c r="AO425" s="3" t="n">
        <v>0</v>
      </c>
      <c r="AP425" s="3" t="n">
        <v>0</v>
      </c>
      <c r="AQ425" s="3">
        <f>N(X425)*N(BJ425)</f>
        <v/>
      </c>
      <c r="AR425" s="3" t="n">
        <v>0.67496810501903</v>
      </c>
      <c r="AS425" s="3" t="n">
        <v>-0.524434996152324</v>
      </c>
      <c r="AT425" s="3" t="n">
        <v>-0.0762910931866984</v>
      </c>
      <c r="AU425" s="3">
        <f>SUM(AO425:AT425)</f>
        <v/>
      </c>
      <c r="AV425" s="7">
        <f>IF(OR(N(W425)&lt;=0,N(BH425)=0),0,N(W425)*IF(N(R425)/N(W425)&gt;=60,N(BH425),1))</f>
        <v/>
      </c>
      <c r="AW425" s="7">
        <f>N(W425)*N(AF425)*N(BI425)</f>
        <v/>
      </c>
      <c r="AX425" s="3">
        <f>IF(N(BH425)=0,0,N(W425)*N(AH425))</f>
        <v/>
      </c>
      <c r="AY425" s="7">
        <f>N(AM425)*(Assumptions!$B$13*N(BK425)-(1-Assumptions!$B$13)*Assumptions!$B$14)+N(AN425)</f>
        <v/>
      </c>
      <c r="AZ425" s="7">
        <f>N(AU425)*N(R425)/90+N(AV425)+N(AW425)+N(AX425)+N(AY425)</f>
        <v/>
      </c>
      <c r="BA425" s="3">
        <f>IF(N(R425)&lt;=0,0,(N(AZ425)-N(AY425))*90/N(R425))</f>
        <v/>
      </c>
      <c r="BB425" s="7">
        <f>IFERROR(AZ425-VLOOKUP($E425,Assumptions!$A$40:$C$43,3,FALSE),"")</f>
        <v/>
      </c>
      <c r="BC425" s="3">
        <f>IFERROR(BB425/H425,"")</f>
        <v/>
      </c>
      <c r="BD425">
        <f>IF(AND($G425=TRUE,$E425="GKP"),AZ425,"")</f>
        <v/>
      </c>
      <c r="BE425">
        <f>IF(AND($G425=TRUE,$E425="DEF"),AZ425,"")</f>
        <v/>
      </c>
      <c r="BF425">
        <f>IF(AND($G425=TRUE,$E425="MID"),AZ425,"")</f>
        <v/>
      </c>
      <c r="BG425">
        <f>IF(AND($G425=TRUE,$E425="FWD"),AZ425,"")</f>
        <v/>
      </c>
      <c r="BH425" t="n">
        <v>2</v>
      </c>
      <c r="BI425" t="n">
        <v>0</v>
      </c>
      <c r="BJ425" t="n">
        <v>4</v>
      </c>
      <c r="BK425" t="n">
        <v>10</v>
      </c>
    </row>
    <row r="426">
      <c r="A426" t="inlineStr">
        <is>
          <t>Marcus Bettinelli</t>
        </is>
      </c>
      <c r="B426" t="inlineStr">
        <is>
          <t>MCI</t>
        </is>
      </c>
      <c r="C426" t="inlineStr">
        <is>
          <t>MCI</t>
        </is>
      </c>
      <c r="D426" t="b">
        <v>0</v>
      </c>
      <c r="E426" t="inlineStr">
        <is>
          <t>GKP</t>
        </is>
      </c>
      <c r="F426" t="inlineStr">
        <is>
          <t>GKP</t>
        </is>
      </c>
      <c r="G426" t="b">
        <v>1</v>
      </c>
      <c r="H426" s="2" t="n">
        <v>4.5</v>
      </c>
      <c r="I426" t="inlineStr">
        <is>
          <t>a</t>
        </is>
      </c>
      <c r="K426" s="2" t="n">
        <v>0</v>
      </c>
      <c r="L426" t="n">
        <v>0</v>
      </c>
      <c r="M426" s="3" t="n">
        <v>0</v>
      </c>
      <c r="N426" s="8" t="n">
        <v>0</v>
      </c>
      <c r="O426" s="8" t="n">
        <v>0</v>
      </c>
      <c r="Q426" t="inlineStr">
        <is>
          <t>flat</t>
        </is>
      </c>
      <c r="R426" s="6" t="n">
        <v>0</v>
      </c>
      <c r="S426" t="inlineStr">
        <is>
          <t>Solio</t>
        </is>
      </c>
      <c r="U426" s="6" t="n">
        <v>85</v>
      </c>
      <c r="V426" s="2" t="n"/>
      <c r="W426" s="7">
        <f>IF(N(U426)&lt;=0,0,MIN(Assumptions!$B$15,N(R426)/N(U426)))</f>
        <v/>
      </c>
      <c r="X426" s="6" t="n">
        <v>0.371</v>
      </c>
      <c r="Y426" s="3" t="n"/>
      <c r="Z426" t="inlineStr"/>
      <c r="AA426" s="3" t="n">
        <v>1</v>
      </c>
      <c r="AB426" s="3" t="n"/>
      <c r="AC426" s="3" t="n"/>
      <c r="AD426" s="3" t="n"/>
      <c r="AE426" s="3" t="n">
        <v>0</v>
      </c>
      <c r="AF426" s="3" t="n">
        <v>0</v>
      </c>
      <c r="AG426" s="3" t="n"/>
      <c r="AH426" s="3" t="n">
        <v>0</v>
      </c>
      <c r="AI426" s="3" t="n">
        <v>0</v>
      </c>
      <c r="AJ426" s="3" t="n">
        <v>1.9737</v>
      </c>
      <c r="AK426" s="3" t="n">
        <v>1.0365</v>
      </c>
      <c r="AL426" s="3" t="n">
        <v>-0.0763216474948735</v>
      </c>
      <c r="AM426" s="6" t="n">
        <v>0</v>
      </c>
      <c r="AN426" s="3" t="n">
        <v>0</v>
      </c>
      <c r="AO426" s="3" t="n">
        <v>0</v>
      </c>
      <c r="AP426" s="3" t="n">
        <v>0</v>
      </c>
      <c r="AQ426" s="3">
        <f>N(X426)*N(BJ426)</f>
        <v/>
      </c>
      <c r="AR426" s="3" t="n">
        <v>0.3320553475083804</v>
      </c>
      <c r="AS426" s="3" t="n">
        <v>-0.2997019479071323</v>
      </c>
      <c r="AT426" s="3" t="n">
        <v>-0.0763216474948735</v>
      </c>
      <c r="AU426" s="3">
        <f>SUM(AO426:AT426)</f>
        <v/>
      </c>
      <c r="AV426" s="7">
        <f>IF(OR(N(W426)&lt;=0,N(BH426)=0),0,N(W426)*IF(N(R426)/N(W426)&gt;=60,N(BH426),1))</f>
        <v/>
      </c>
      <c r="AW426" s="7">
        <f>N(W426)*N(AF426)*N(BI426)</f>
        <v/>
      </c>
      <c r="AX426" s="3">
        <f>IF(N(BH426)=0,0,N(W426)*N(AH426))</f>
        <v/>
      </c>
      <c r="AY426" s="7">
        <f>N(AM426)*(Assumptions!$B$13*N(BK426)-(1-Assumptions!$B$13)*Assumptions!$B$14)+N(AN426)</f>
        <v/>
      </c>
      <c r="AZ426" s="7">
        <f>N(AU426)*N(R426)/90+N(AV426)+N(AW426)+N(AX426)+N(AY426)</f>
        <v/>
      </c>
      <c r="BA426" s="3">
        <f>IF(N(R426)&lt;=0,0,(N(AZ426)-N(AY426))*90/N(R426))</f>
        <v/>
      </c>
      <c r="BB426" s="7">
        <f>IFERROR(AZ426-VLOOKUP($E426,Assumptions!$A$40:$C$43,3,FALSE),"")</f>
        <v/>
      </c>
      <c r="BC426" s="3">
        <f>IFERROR(BB426/H426,"")</f>
        <v/>
      </c>
      <c r="BD426">
        <f>IF(AND($G426=TRUE,$E426="GKP"),AZ426,"")</f>
        <v/>
      </c>
      <c r="BE426">
        <f>IF(AND($G426=TRUE,$E426="DEF"),AZ426,"")</f>
        <v/>
      </c>
      <c r="BF426">
        <f>IF(AND($G426=TRUE,$E426="MID"),AZ426,"")</f>
        <v/>
      </c>
      <c r="BG426">
        <f>IF(AND($G426=TRUE,$E426="FWD"),AZ426,"")</f>
        <v/>
      </c>
      <c r="BH426" t="n">
        <v>2</v>
      </c>
      <c r="BI426" t="n">
        <v>0</v>
      </c>
      <c r="BJ426" t="n">
        <v>4</v>
      </c>
      <c r="BK426" t="n">
        <v>10</v>
      </c>
    </row>
    <row r="427">
      <c r="A427" t="inlineStr">
        <is>
          <t>Giovanni Leoni</t>
        </is>
      </c>
      <c r="B427" t="inlineStr">
        <is>
          <t>LIV</t>
        </is>
      </c>
      <c r="C427" t="inlineStr">
        <is>
          <t>LIV</t>
        </is>
      </c>
      <c r="D427" t="b">
        <v>0</v>
      </c>
      <c r="E427" t="inlineStr">
        <is>
          <t>DEF</t>
        </is>
      </c>
      <c r="F427" t="inlineStr">
        <is>
          <t>DEF</t>
        </is>
      </c>
      <c r="G427" t="b">
        <v>1</v>
      </c>
      <c r="H427" s="2" t="n">
        <v>4</v>
      </c>
      <c r="I427" t="inlineStr">
        <is>
          <t>i</t>
        </is>
      </c>
      <c r="J427" t="inlineStr">
        <is>
          <t>Knee injury - Unknown return date</t>
        </is>
      </c>
      <c r="K427" s="2" t="n">
        <v>0</v>
      </c>
      <c r="L427" t="n">
        <v>0</v>
      </c>
      <c r="M427" s="3" t="n">
        <v>28</v>
      </c>
      <c r="N427" s="4" t="n">
        <v>550</v>
      </c>
      <c r="O427" s="4" t="n">
        <v>522</v>
      </c>
      <c r="P427" s="5" t="inlineStr">
        <is>
          <t>medium</t>
        </is>
      </c>
      <c r="Q427" t="inlineStr">
        <is>
          <t>flat</t>
        </is>
      </c>
      <c r="R427" s="6" t="n">
        <v>550</v>
      </c>
      <c r="S427" t="inlineStr">
        <is>
          <t>research</t>
        </is>
      </c>
      <c r="T427" s="5" t="inlineStr">
        <is>
          <t>Solio gives 28 minutes. This Is Anfield's training report states Leoni 'is expected to return to full training later this month, with September intended to be his return to playing' after his ACL tear, and Liverpool's own fitness update named him the closest of the three long-term absentees to returning. He is behind Van Dijk, Araujo and Jacquet, so this is a squad-CB allocation rather than a starter's.</t>
        </is>
      </c>
      <c r="U427" s="6" t="n">
        <v>85</v>
      </c>
      <c r="V427" s="2" t="n"/>
      <c r="W427" s="7">
        <f>IF(N(U427)&lt;=0,0,MIN(Assumptions!$B$15,N(R427)/N(U427)))</f>
        <v/>
      </c>
      <c r="X427" s="6" t="n">
        <v>0.342</v>
      </c>
      <c r="Y427" s="3" t="n"/>
      <c r="Z427" t="inlineStr"/>
      <c r="AA427" s="3" t="n">
        <v>1</v>
      </c>
      <c r="AB427" s="3" t="n"/>
      <c r="AC427" s="3" t="n"/>
      <c r="AD427" s="3" t="n"/>
      <c r="AE427" s="3" t="n"/>
      <c r="AF427" s="3" t="n">
        <v>0</v>
      </c>
      <c r="AG427" s="3" t="n"/>
      <c r="AH427" s="3" t="n">
        <v>0</v>
      </c>
      <c r="AI427" s="3" t="n">
        <v>0</v>
      </c>
      <c r="AJ427" s="3" t="n">
        <v>2.409</v>
      </c>
      <c r="AK427" s="3" t="n">
        <v>1.1228</v>
      </c>
      <c r="AL427" s="3" t="n">
        <v>-0.2045226422080557</v>
      </c>
      <c r="AM427" s="6" t="n">
        <v>0</v>
      </c>
      <c r="AN427" s="3" t="n">
        <v>0</v>
      </c>
      <c r="AO427" s="3" t="n">
        <v>0</v>
      </c>
      <c r="AP427" s="3" t="n">
        <v>0</v>
      </c>
      <c r="AQ427" s="3">
        <f>N(X427)*N(BJ427)</f>
        <v/>
      </c>
      <c r="AR427" s="3" t="n">
        <v>0</v>
      </c>
      <c r="AS427" s="3" t="n">
        <v>-0.3378660007281162</v>
      </c>
      <c r="AT427" s="3" t="n">
        <v>-0.2045226422080557</v>
      </c>
      <c r="AU427" s="3">
        <f>SUM(AO427:AT427)</f>
        <v/>
      </c>
      <c r="AV427" s="7">
        <f>IF(OR(N(W427)&lt;=0,N(BH427)=0),0,N(W427)*IF(N(R427)/N(W427)&gt;=60,N(BH427),1))</f>
        <v/>
      </c>
      <c r="AW427" s="7">
        <f>N(W427)*N(AF427)*N(BI427)</f>
        <v/>
      </c>
      <c r="AX427" s="3">
        <f>IF(N(BH427)=0,0,N(W427)*N(AH427))</f>
        <v/>
      </c>
      <c r="AY427" s="7">
        <f>N(AM427)*(Assumptions!$B$13*N(BK427)-(1-Assumptions!$B$13)*Assumptions!$B$14)+N(AN427)</f>
        <v/>
      </c>
      <c r="AZ427" s="7">
        <f>N(AU427)*N(R427)/90+N(AV427)+N(AW427)+N(AX427)+N(AY427)</f>
        <v/>
      </c>
      <c r="BA427" s="3">
        <f>IF(N(R427)&lt;=0,0,(N(AZ427)-N(AY427))*90/N(R427))</f>
        <v/>
      </c>
      <c r="BB427" s="7">
        <f>IFERROR(AZ427-VLOOKUP($E427,Assumptions!$A$40:$C$43,3,FALSE),"")</f>
        <v/>
      </c>
      <c r="BC427" s="3">
        <f>IFERROR(BB427/H427,"")</f>
        <v/>
      </c>
      <c r="BD427">
        <f>IF(AND($G427=TRUE,$E427="GKP"),AZ427,"")</f>
        <v/>
      </c>
      <c r="BE427">
        <f>IF(AND($G427=TRUE,$E427="DEF"),AZ427,"")</f>
        <v/>
      </c>
      <c r="BF427">
        <f>IF(AND($G427=TRUE,$E427="MID"),AZ427,"")</f>
        <v/>
      </c>
      <c r="BG427">
        <f>IF(AND($G427=TRUE,$E427="FWD"),AZ427,"")</f>
        <v/>
      </c>
      <c r="BH427" t="n">
        <v>2</v>
      </c>
      <c r="BI427" t="n">
        <v>2</v>
      </c>
      <c r="BJ427" t="n">
        <v>4</v>
      </c>
      <c r="BK427" t="n">
        <v>6</v>
      </c>
    </row>
    <row r="428">
      <c r="A428" t="inlineStr">
        <is>
          <t>Benjamin Lecomte</t>
        </is>
      </c>
      <c r="B428" t="inlineStr">
        <is>
          <t>FUL</t>
        </is>
      </c>
      <c r="C428" t="inlineStr">
        <is>
          <t>FUL</t>
        </is>
      </c>
      <c r="D428" t="b">
        <v>0</v>
      </c>
      <c r="E428" t="inlineStr">
        <is>
          <t>GKP</t>
        </is>
      </c>
      <c r="F428" t="inlineStr">
        <is>
          <t>GKP</t>
        </is>
      </c>
      <c r="G428" t="b">
        <v>1</v>
      </c>
      <c r="H428" s="2" t="n">
        <v>4</v>
      </c>
      <c r="I428" t="inlineStr">
        <is>
          <t>a</t>
        </is>
      </c>
      <c r="K428" s="2" t="n">
        <v>0</v>
      </c>
      <c r="L428" t="n">
        <v>0</v>
      </c>
      <c r="M428" s="3" t="n">
        <v>11</v>
      </c>
      <c r="N428" s="8" t="n">
        <v>11</v>
      </c>
      <c r="O428" s="8" t="n">
        <v>0</v>
      </c>
      <c r="Q428" t="inlineStr">
        <is>
          <t>flat</t>
        </is>
      </c>
      <c r="R428" s="6" t="n">
        <v>11</v>
      </c>
      <c r="S428" t="inlineStr">
        <is>
          <t>Solio</t>
        </is>
      </c>
      <c r="U428" s="6" t="n">
        <v>85</v>
      </c>
      <c r="V428" s="2" t="n"/>
      <c r="W428" s="7">
        <f>IF(N(U428)&lt;=0,0,MIN(Assumptions!$B$15,N(R428)/N(U428)))</f>
        <v/>
      </c>
      <c r="X428" s="6" t="n">
        <v>0.214</v>
      </c>
      <c r="Y428" s="3" t="n"/>
      <c r="Z428" t="inlineStr"/>
      <c r="AA428" s="3" t="n">
        <v>1</v>
      </c>
      <c r="AB428" s="3" t="n"/>
      <c r="AC428" s="3" t="n"/>
      <c r="AD428" s="3" t="n"/>
      <c r="AE428" s="3" t="n">
        <v>0</v>
      </c>
      <c r="AF428" s="3" t="n">
        <v>0</v>
      </c>
      <c r="AG428" s="3" t="n"/>
      <c r="AH428" s="3" t="n">
        <v>0</v>
      </c>
      <c r="AI428" s="3" t="n">
        <v>0</v>
      </c>
      <c r="AJ428" s="3" t="n">
        <v>3.22</v>
      </c>
      <c r="AK428" s="3" t="n">
        <v>1.6019</v>
      </c>
      <c r="AL428" s="3" t="n">
        <v>-0.0763216474948735</v>
      </c>
      <c r="AM428" s="6" t="n">
        <v>0</v>
      </c>
      <c r="AN428" s="3" t="n">
        <v>0.0109994176522775</v>
      </c>
      <c r="AO428" s="3" t="n">
        <v>0</v>
      </c>
      <c r="AP428" s="3" t="n">
        <v>0</v>
      </c>
      <c r="AQ428" s="3">
        <f>N(X428)*N(BJ428)</f>
        <v/>
      </c>
      <c r="AR428" s="3" t="n">
        <v>0.7380333201454712</v>
      </c>
      <c r="AS428" s="3" t="n">
        <v>-0.5611019003833156</v>
      </c>
      <c r="AT428" s="3" t="n">
        <v>-0.0763216474948735</v>
      </c>
      <c r="AU428" s="3">
        <f>SUM(AO428:AT428)</f>
        <v/>
      </c>
      <c r="AV428" s="7">
        <f>IF(OR(N(W428)&lt;=0,N(BH428)=0),0,N(W428)*IF(N(R428)/N(W428)&gt;=60,N(BH428),1))</f>
        <v/>
      </c>
      <c r="AW428" s="7">
        <f>N(W428)*N(AF428)*N(BI428)</f>
        <v/>
      </c>
      <c r="AX428" s="3">
        <f>IF(N(BH428)=0,0,N(W428)*N(AH428))</f>
        <v/>
      </c>
      <c r="AY428" s="7">
        <f>N(AM428)*(Assumptions!$B$13*N(BK428)-(1-Assumptions!$B$13)*Assumptions!$B$14)+N(AN428)</f>
        <v/>
      </c>
      <c r="AZ428" s="7">
        <f>N(AU428)*N(R428)/90+N(AV428)+N(AW428)+N(AX428)+N(AY428)</f>
        <v/>
      </c>
      <c r="BA428" s="3">
        <f>IF(N(R428)&lt;=0,0,(N(AZ428)-N(AY428))*90/N(R428))</f>
        <v/>
      </c>
      <c r="BB428" s="7">
        <f>IFERROR(AZ428-VLOOKUP($E428,Assumptions!$A$40:$C$43,3,FALSE),"")</f>
        <v/>
      </c>
      <c r="BC428" s="3">
        <f>IFERROR(BB428/H428,"")</f>
        <v/>
      </c>
      <c r="BD428">
        <f>IF(AND($G428=TRUE,$E428="GKP"),AZ428,"")</f>
        <v/>
      </c>
      <c r="BE428">
        <f>IF(AND($G428=TRUE,$E428="DEF"),AZ428,"")</f>
        <v/>
      </c>
      <c r="BF428">
        <f>IF(AND($G428=TRUE,$E428="MID"),AZ428,"")</f>
        <v/>
      </c>
      <c r="BG428">
        <f>IF(AND($G428=TRUE,$E428="FWD"),AZ428,"")</f>
        <v/>
      </c>
      <c r="BH428" t="n">
        <v>2</v>
      </c>
      <c r="BI428" t="n">
        <v>0</v>
      </c>
      <c r="BJ428" t="n">
        <v>4</v>
      </c>
      <c r="BK428" t="n">
        <v>10</v>
      </c>
    </row>
    <row r="429">
      <c r="A429" t="inlineStr">
        <is>
          <t>Mark Gillespie</t>
        </is>
      </c>
      <c r="B429" t="inlineStr">
        <is>
          <t>NEW</t>
        </is>
      </c>
      <c r="C429" t="inlineStr">
        <is>
          <t>NEW</t>
        </is>
      </c>
      <c r="D429" t="b">
        <v>0</v>
      </c>
      <c r="E429" t="inlineStr">
        <is>
          <t>GKP</t>
        </is>
      </c>
      <c r="F429" t="inlineStr">
        <is>
          <t>GKP</t>
        </is>
      </c>
      <c r="G429" t="b">
        <v>1</v>
      </c>
      <c r="H429" s="2" t="n">
        <v>4.5</v>
      </c>
      <c r="I429" t="inlineStr">
        <is>
          <t>a</t>
        </is>
      </c>
      <c r="K429" s="2" t="n">
        <v>0</v>
      </c>
      <c r="L429" t="n">
        <v>0</v>
      </c>
      <c r="M429" s="3" t="n">
        <v>0</v>
      </c>
      <c r="N429" s="8" t="n">
        <v>0</v>
      </c>
      <c r="O429" s="8" t="n">
        <v>0</v>
      </c>
      <c r="Q429" t="inlineStr">
        <is>
          <t>flat</t>
        </is>
      </c>
      <c r="R429" s="6" t="n">
        <v>0</v>
      </c>
      <c r="S429" t="inlineStr">
        <is>
          <t>Solio</t>
        </is>
      </c>
      <c r="U429" s="6" t="n">
        <v>85</v>
      </c>
      <c r="V429" s="2" t="n"/>
      <c r="W429" s="7">
        <f>IF(N(U429)&lt;=0,0,MIN(Assumptions!$B$15,N(R429)/N(U429)))</f>
        <v/>
      </c>
      <c r="X429" s="6" t="n">
        <v>0.248</v>
      </c>
      <c r="Y429" s="3" t="n"/>
      <c r="Z429" t="inlineStr"/>
      <c r="AA429" s="3" t="n">
        <v>1</v>
      </c>
      <c r="AB429" s="3" t="n"/>
      <c r="AC429" s="3" t="n"/>
      <c r="AD429" s="3" t="n"/>
      <c r="AE429" s="3" t="n">
        <v>0</v>
      </c>
      <c r="AF429" s="3" t="n">
        <v>0</v>
      </c>
      <c r="AG429" s="3" t="n"/>
      <c r="AH429" s="3" t="n">
        <v>0</v>
      </c>
      <c r="AI429" s="3" t="n">
        <v>0</v>
      </c>
      <c r="AJ429" s="3" t="n">
        <v>3.0912</v>
      </c>
      <c r="AK429" s="3" t="n">
        <v>1.4534</v>
      </c>
      <c r="AL429" s="3" t="n">
        <v>-0.0763216474948735</v>
      </c>
      <c r="AM429" s="6" t="n">
        <v>0</v>
      </c>
      <c r="AN429" s="3" t="n">
        <v>0</v>
      </c>
      <c r="AO429" s="3" t="n">
        <v>0</v>
      </c>
      <c r="AP429" s="3" t="n">
        <v>0</v>
      </c>
      <c r="AQ429" s="3">
        <f>N(X429)*N(BJ429)</f>
        <v/>
      </c>
      <c r="AR429" s="3" t="n">
        <v>0.6950146973483665</v>
      </c>
      <c r="AS429" s="3" t="n">
        <v>-0.4903625828545308</v>
      </c>
      <c r="AT429" s="3" t="n">
        <v>-0.0763216474948735</v>
      </c>
      <c r="AU429" s="3">
        <f>SUM(AO429:AT429)</f>
        <v/>
      </c>
      <c r="AV429" s="7">
        <f>IF(OR(N(W429)&lt;=0,N(BH429)=0),0,N(W429)*IF(N(R429)/N(W429)&gt;=60,N(BH429),1))</f>
        <v/>
      </c>
      <c r="AW429" s="7">
        <f>N(W429)*N(AF429)*N(BI429)</f>
        <v/>
      </c>
      <c r="AX429" s="3">
        <f>IF(N(BH429)=0,0,N(W429)*N(AH429))</f>
        <v/>
      </c>
      <c r="AY429" s="7">
        <f>N(AM429)*(Assumptions!$B$13*N(BK429)-(1-Assumptions!$B$13)*Assumptions!$B$14)+N(AN429)</f>
        <v/>
      </c>
      <c r="AZ429" s="7">
        <f>N(AU429)*N(R429)/90+N(AV429)+N(AW429)+N(AX429)+N(AY429)</f>
        <v/>
      </c>
      <c r="BA429" s="3">
        <f>IF(N(R429)&lt;=0,0,(N(AZ429)-N(AY429))*90/N(R429))</f>
        <v/>
      </c>
      <c r="BB429" s="7">
        <f>IFERROR(AZ429-VLOOKUP($E429,Assumptions!$A$40:$C$43,3,FALSE),"")</f>
        <v/>
      </c>
      <c r="BC429" s="3">
        <f>IFERROR(BB429/H429,"")</f>
        <v/>
      </c>
      <c r="BD429">
        <f>IF(AND($G429=TRUE,$E429="GKP"),AZ429,"")</f>
        <v/>
      </c>
      <c r="BE429">
        <f>IF(AND($G429=TRUE,$E429="DEF"),AZ429,"")</f>
        <v/>
      </c>
      <c r="BF429">
        <f>IF(AND($G429=TRUE,$E429="MID"),AZ429,"")</f>
        <v/>
      </c>
      <c r="BG429">
        <f>IF(AND($G429=TRUE,$E429="FWD"),AZ429,"")</f>
        <v/>
      </c>
      <c r="BH429" t="n">
        <v>2</v>
      </c>
      <c r="BI429" t="n">
        <v>0</v>
      </c>
      <c r="BJ429" t="n">
        <v>4</v>
      </c>
      <c r="BK429" t="n">
        <v>10</v>
      </c>
    </row>
    <row r="430">
      <c r="A430" t="inlineStr">
        <is>
          <t>Jason Steele</t>
        </is>
      </c>
      <c r="B430" t="inlineStr">
        <is>
          <t>BHA</t>
        </is>
      </c>
      <c r="C430" t="inlineStr">
        <is>
          <t>BHA</t>
        </is>
      </c>
      <c r="D430" t="b">
        <v>0</v>
      </c>
      <c r="E430" t="inlineStr">
        <is>
          <t>GKP</t>
        </is>
      </c>
      <c r="F430" t="inlineStr">
        <is>
          <t>GKP</t>
        </is>
      </c>
      <c r="G430" t="b">
        <v>1</v>
      </c>
      <c r="H430" s="2" t="n">
        <v>4</v>
      </c>
      <c r="I430" t="inlineStr">
        <is>
          <t>a</t>
        </is>
      </c>
      <c r="K430" s="2" t="n">
        <v>0</v>
      </c>
      <c r="L430" t="n">
        <v>0</v>
      </c>
      <c r="M430" s="3" t="n">
        <v>35</v>
      </c>
      <c r="N430" s="8" t="n">
        <v>35</v>
      </c>
      <c r="O430" s="8" t="n">
        <v>0</v>
      </c>
      <c r="Q430" t="inlineStr">
        <is>
          <t>flat</t>
        </is>
      </c>
      <c r="R430" s="6" t="n">
        <v>35</v>
      </c>
      <c r="S430" t="inlineStr">
        <is>
          <t>Solio</t>
        </is>
      </c>
      <c r="U430" s="6" t="n">
        <v>85</v>
      </c>
      <c r="V430" s="2" t="n"/>
      <c r="W430" s="7">
        <f>IF(N(U430)&lt;=0,0,MIN(Assumptions!$B$15,N(R430)/N(U430)))</f>
        <v/>
      </c>
      <c r="X430" s="6" t="n">
        <v>0.252</v>
      </c>
      <c r="Y430" s="3" t="n"/>
      <c r="Z430" t="inlineStr"/>
      <c r="AA430" s="3" t="n">
        <v>1</v>
      </c>
      <c r="AB430" s="3" t="n"/>
      <c r="AC430" s="3" t="n"/>
      <c r="AD430" s="3" t="n"/>
      <c r="AE430" s="3" t="n">
        <v>0</v>
      </c>
      <c r="AF430" s="3" t="n">
        <v>0</v>
      </c>
      <c r="AG430" s="3" t="n"/>
      <c r="AH430" s="3" t="n">
        <v>0</v>
      </c>
      <c r="AI430" s="3" t="n">
        <v>0</v>
      </c>
      <c r="AJ430" s="3" t="n">
        <v>2.8404</v>
      </c>
      <c r="AK430" s="3" t="n">
        <v>1.439</v>
      </c>
      <c r="AL430" s="3" t="n">
        <v>-0.0518680161854528</v>
      </c>
      <c r="AM430" s="6" t="n">
        <v>0</v>
      </c>
      <c r="AN430" s="3" t="n">
        <v>0.0314386529148295</v>
      </c>
      <c r="AO430" s="3" t="n">
        <v>0</v>
      </c>
      <c r="AP430" s="3" t="n">
        <v>0</v>
      </c>
      <c r="AQ430" s="3">
        <f>N(X430)*N(BJ430)</f>
        <v/>
      </c>
      <c r="AR430" s="3" t="n">
        <v>0.6115252178851747</v>
      </c>
      <c r="AS430" s="3" t="n">
        <v>-0.4835617861760246</v>
      </c>
      <c r="AT430" s="3" t="n">
        <v>-0.0518680161854528</v>
      </c>
      <c r="AU430" s="3">
        <f>SUM(AO430:AT430)</f>
        <v/>
      </c>
      <c r="AV430" s="7">
        <f>IF(OR(N(W430)&lt;=0,N(BH430)=0),0,N(W430)*IF(N(R430)/N(W430)&gt;=60,N(BH430),1))</f>
        <v/>
      </c>
      <c r="AW430" s="7">
        <f>N(W430)*N(AF430)*N(BI430)</f>
        <v/>
      </c>
      <c r="AX430" s="3">
        <f>IF(N(BH430)=0,0,N(W430)*N(AH430))</f>
        <v/>
      </c>
      <c r="AY430" s="7">
        <f>N(AM430)*(Assumptions!$B$13*N(BK430)-(1-Assumptions!$B$13)*Assumptions!$B$14)+N(AN430)</f>
        <v/>
      </c>
      <c r="AZ430" s="7">
        <f>N(AU430)*N(R430)/90+N(AV430)+N(AW430)+N(AX430)+N(AY430)</f>
        <v/>
      </c>
      <c r="BA430" s="3">
        <f>IF(N(R430)&lt;=0,0,(N(AZ430)-N(AY430))*90/N(R430))</f>
        <v/>
      </c>
      <c r="BB430" s="7">
        <f>IFERROR(AZ430-VLOOKUP($E430,Assumptions!$A$40:$C$43,3,FALSE),"")</f>
        <v/>
      </c>
      <c r="BC430" s="3">
        <f>IFERROR(BB430/H430,"")</f>
        <v/>
      </c>
      <c r="BD430">
        <f>IF(AND($G430=TRUE,$E430="GKP"),AZ430,"")</f>
        <v/>
      </c>
      <c r="BE430">
        <f>IF(AND($G430=TRUE,$E430="DEF"),AZ430,"")</f>
        <v/>
      </c>
      <c r="BF430">
        <f>IF(AND($G430=TRUE,$E430="MID"),AZ430,"")</f>
        <v/>
      </c>
      <c r="BG430">
        <f>IF(AND($G430=TRUE,$E430="FWD"),AZ430,"")</f>
        <v/>
      </c>
      <c r="BH430" t="n">
        <v>2</v>
      </c>
      <c r="BI430" t="n">
        <v>0</v>
      </c>
      <c r="BJ430" t="n">
        <v>4</v>
      </c>
      <c r="BK430" t="n">
        <v>10</v>
      </c>
    </row>
    <row r="431">
      <c r="A431" t="inlineStr">
        <is>
          <t>Fraser Forster</t>
        </is>
      </c>
      <c r="B431" t="inlineStr">
        <is>
          <t>BOU</t>
        </is>
      </c>
      <c r="C431" t="inlineStr">
        <is>
          <t>BOU</t>
        </is>
      </c>
      <c r="D431" t="b">
        <v>0</v>
      </c>
      <c r="E431" t="inlineStr">
        <is>
          <t>GKP</t>
        </is>
      </c>
      <c r="F431" t="inlineStr">
        <is>
          <t>GKP</t>
        </is>
      </c>
      <c r="G431" t="b">
        <v>1</v>
      </c>
      <c r="H431" s="2" t="n">
        <v>4</v>
      </c>
      <c r="I431" t="inlineStr">
        <is>
          <t>a</t>
        </is>
      </c>
      <c r="K431" s="2" t="n">
        <v>0</v>
      </c>
      <c r="L431" t="n">
        <v>0</v>
      </c>
      <c r="M431" s="3" t="n">
        <v>0</v>
      </c>
      <c r="N431" s="8" t="n">
        <v>0</v>
      </c>
      <c r="O431" s="8" t="n">
        <v>0</v>
      </c>
      <c r="Q431" t="inlineStr">
        <is>
          <t>flat</t>
        </is>
      </c>
      <c r="R431" s="6" t="n">
        <v>0</v>
      </c>
      <c r="S431" t="inlineStr">
        <is>
          <t>Solio</t>
        </is>
      </c>
      <c r="U431" s="6" t="n">
        <v>85</v>
      </c>
      <c r="V431" s="2" t="n"/>
      <c r="W431" s="7">
        <f>IF(N(U431)&lt;=0,0,MIN(Assumptions!$B$15,N(R431)/N(U431)))</f>
        <v/>
      </c>
      <c r="X431" s="6" t="n">
        <v>0.23</v>
      </c>
      <c r="Y431" s="3" t="n"/>
      <c r="Z431" t="inlineStr"/>
      <c r="AA431" s="3" t="n">
        <v>1</v>
      </c>
      <c r="AB431" s="3" t="n"/>
      <c r="AC431" s="3" t="n"/>
      <c r="AD431" s="3" t="n"/>
      <c r="AE431" s="3" t="n">
        <v>0</v>
      </c>
      <c r="AF431" s="3" t="n">
        <v>0</v>
      </c>
      <c r="AG431" s="3" t="n"/>
      <c r="AH431" s="3" t="n">
        <v>0</v>
      </c>
      <c r="AI431" s="3" t="n">
        <v>0</v>
      </c>
      <c r="AJ431" s="3" t="n">
        <v>3.0957</v>
      </c>
      <c r="AK431" s="3" t="n">
        <v>1.53</v>
      </c>
      <c r="AL431" s="3" t="n">
        <v>-0.0610683923216705</v>
      </c>
      <c r="AM431" s="6" t="n">
        <v>0</v>
      </c>
      <c r="AN431" s="3" t="n">
        <v>0</v>
      </c>
      <c r="AO431" s="3" t="n">
        <v>0</v>
      </c>
      <c r="AP431" s="3" t="n">
        <v>0</v>
      </c>
      <c r="AQ431" s="3">
        <f>N(X431)*N(BJ431)</f>
        <v/>
      </c>
      <c r="AR431" s="3" t="n">
        <v>0.6965164635997099</v>
      </c>
      <c r="AS431" s="3" t="n">
        <v>-0.5267219238049191</v>
      </c>
      <c r="AT431" s="3" t="n">
        <v>-0.0610683923216705</v>
      </c>
      <c r="AU431" s="3">
        <f>SUM(AO431:AT431)</f>
        <v/>
      </c>
      <c r="AV431" s="7">
        <f>IF(OR(N(W431)&lt;=0,N(BH431)=0),0,N(W431)*IF(N(R431)/N(W431)&gt;=60,N(BH431),1))</f>
        <v/>
      </c>
      <c r="AW431" s="7">
        <f>N(W431)*N(AF431)*N(BI431)</f>
        <v/>
      </c>
      <c r="AX431" s="3">
        <f>IF(N(BH431)=0,0,N(W431)*N(AH431))</f>
        <v/>
      </c>
      <c r="AY431" s="7">
        <f>N(AM431)*(Assumptions!$B$13*N(BK431)-(1-Assumptions!$B$13)*Assumptions!$B$14)+N(AN431)</f>
        <v/>
      </c>
      <c r="AZ431" s="7">
        <f>N(AU431)*N(R431)/90+N(AV431)+N(AW431)+N(AX431)+N(AY431)</f>
        <v/>
      </c>
      <c r="BA431" s="3">
        <f>IF(N(R431)&lt;=0,0,(N(AZ431)-N(AY431))*90/N(R431))</f>
        <v/>
      </c>
      <c r="BB431" s="7">
        <f>IFERROR(AZ431-VLOOKUP($E431,Assumptions!$A$40:$C$43,3,FALSE),"")</f>
        <v/>
      </c>
      <c r="BC431" s="3">
        <f>IFERROR(BB431/H431,"")</f>
        <v/>
      </c>
      <c r="BD431">
        <f>IF(AND($G431=TRUE,$E431="GKP"),AZ431,"")</f>
        <v/>
      </c>
      <c r="BE431">
        <f>IF(AND($G431=TRUE,$E431="DEF"),AZ431,"")</f>
        <v/>
      </c>
      <c r="BF431">
        <f>IF(AND($G431=TRUE,$E431="MID"),AZ431,"")</f>
        <v/>
      </c>
      <c r="BG431">
        <f>IF(AND($G431=TRUE,$E431="FWD"),AZ431,"")</f>
        <v/>
      </c>
      <c r="BH431" t="n">
        <v>2</v>
      </c>
      <c r="BI431" t="n">
        <v>0</v>
      </c>
      <c r="BJ431" t="n">
        <v>4</v>
      </c>
      <c r="BK431" t="n">
        <v>10</v>
      </c>
    </row>
    <row r="432">
      <c r="A432" t="inlineStr">
        <is>
          <t>Cheick Doucouré</t>
        </is>
      </c>
      <c r="B432" t="inlineStr">
        <is>
          <t>CRY</t>
        </is>
      </c>
      <c r="C432" t="inlineStr">
        <is>
          <t>CRY</t>
        </is>
      </c>
      <c r="D432" t="b">
        <v>0</v>
      </c>
      <c r="E432" t="inlineStr">
        <is>
          <t>MID</t>
        </is>
      </c>
      <c r="F432" t="inlineStr">
        <is>
          <t>MID</t>
        </is>
      </c>
      <c r="G432" t="b">
        <v>1</v>
      </c>
      <c r="H432" s="2" t="n">
        <v>5</v>
      </c>
      <c r="I432" t="inlineStr">
        <is>
          <t>a</t>
        </is>
      </c>
      <c r="K432" s="2" t="n">
        <v>0</v>
      </c>
      <c r="L432" t="n">
        <v>0</v>
      </c>
      <c r="M432" s="3" t="n">
        <v>0</v>
      </c>
      <c r="N432" s="8" t="n">
        <v>0</v>
      </c>
      <c r="O432" s="8" t="n">
        <v>0</v>
      </c>
      <c r="Q432" t="inlineStr">
        <is>
          <t>flat</t>
        </is>
      </c>
      <c r="R432" s="6" t="n">
        <v>0</v>
      </c>
      <c r="S432" t="inlineStr">
        <is>
          <t>Solio</t>
        </is>
      </c>
      <c r="U432" s="6" t="n">
        <v>85</v>
      </c>
      <c r="V432" s="2" t="n"/>
      <c r="W432" s="7">
        <f>IF(N(U432)&lt;=0,0,MIN(Assumptions!$B$15,N(R432)/N(U432)))</f>
        <v/>
      </c>
      <c r="X432" s="6" t="n">
        <v>0.216</v>
      </c>
      <c r="Y432" s="3" t="n"/>
      <c r="Z432" t="inlineStr"/>
      <c r="AA432" s="3" t="n">
        <v>1</v>
      </c>
      <c r="AB432" s="3" t="n"/>
      <c r="AC432" s="3" t="n"/>
      <c r="AD432" s="3" t="n"/>
      <c r="AE432" s="3" t="n"/>
      <c r="AF432" s="3" t="n">
        <v>0</v>
      </c>
      <c r="AG432" s="3" t="n"/>
      <c r="AH432" s="3" t="n">
        <v>0</v>
      </c>
      <c r="AI432" s="3" t="n">
        <v>0</v>
      </c>
      <c r="AJ432" s="3" t="n">
        <v>3.2035</v>
      </c>
      <c r="AK432" s="3" t="n">
        <v>1.5923</v>
      </c>
      <c r="AL432" s="3" t="n">
        <v>-0.2158576550328143</v>
      </c>
      <c r="AM432" s="6" t="n">
        <v>0</v>
      </c>
      <c r="AN432" s="3" t="n">
        <v>0</v>
      </c>
      <c r="AO432" s="3" t="n">
        <v>0</v>
      </c>
      <c r="AP432" s="3" t="n">
        <v>0</v>
      </c>
      <c r="AQ432" s="3">
        <f>N(X432)*N(BJ432)</f>
        <v/>
      </c>
      <c r="AR432" s="3" t="n">
        <v>0</v>
      </c>
      <c r="AS432" s="3" t="n">
        <v>-0</v>
      </c>
      <c r="AT432" s="3" t="n">
        <v>-0.2158576550328143</v>
      </c>
      <c r="AU432" s="3">
        <f>SUM(AO432:AT432)</f>
        <v/>
      </c>
      <c r="AV432" s="7">
        <f>IF(OR(N(W432)&lt;=0,N(BH432)=0),0,N(W432)*IF(N(R432)/N(W432)&gt;=60,N(BH432),1))</f>
        <v/>
      </c>
      <c r="AW432" s="7">
        <f>N(W432)*N(AF432)*N(BI432)</f>
        <v/>
      </c>
      <c r="AX432" s="3">
        <f>IF(N(BH432)=0,0,N(W432)*N(AH432))</f>
        <v/>
      </c>
      <c r="AY432" s="7">
        <f>N(AM432)*(Assumptions!$B$13*N(BK432)-(1-Assumptions!$B$13)*Assumptions!$B$14)+N(AN432)</f>
        <v/>
      </c>
      <c r="AZ432" s="7">
        <f>N(AU432)*N(R432)/90+N(AV432)+N(AW432)+N(AX432)+N(AY432)</f>
        <v/>
      </c>
      <c r="BA432" s="3">
        <f>IF(N(R432)&lt;=0,0,(N(AZ432)-N(AY432))*90/N(R432))</f>
        <v/>
      </c>
      <c r="BB432" s="7">
        <f>IFERROR(AZ432-VLOOKUP($E432,Assumptions!$A$40:$C$43,3,FALSE),"")</f>
        <v/>
      </c>
      <c r="BC432" s="3">
        <f>IFERROR(BB432/H432,"")</f>
        <v/>
      </c>
      <c r="BD432">
        <f>IF(AND($G432=TRUE,$E432="GKP"),AZ432,"")</f>
        <v/>
      </c>
      <c r="BE432">
        <f>IF(AND($G432=TRUE,$E432="DEF"),AZ432,"")</f>
        <v/>
      </c>
      <c r="BF432">
        <f>IF(AND($G432=TRUE,$E432="MID"),AZ432,"")</f>
        <v/>
      </c>
      <c r="BG432">
        <f>IF(AND($G432=TRUE,$E432="FWD"),AZ432,"")</f>
        <v/>
      </c>
      <c r="BH432" t="n">
        <v>2</v>
      </c>
      <c r="BI432" t="n">
        <v>2</v>
      </c>
      <c r="BJ432" t="n">
        <v>1</v>
      </c>
      <c r="BK432" t="n">
        <v>5</v>
      </c>
    </row>
    <row r="433">
      <c r="A433" t="inlineStr">
        <is>
          <t>Joe Gelhardt</t>
        </is>
      </c>
      <c r="B433" t="inlineStr">
        <is>
          <t>LEE</t>
        </is>
      </c>
      <c r="C433" t="inlineStr">
        <is>
          <t>LEE</t>
        </is>
      </c>
      <c r="D433" t="b">
        <v>0</v>
      </c>
      <c r="E433" t="inlineStr">
        <is>
          <t>MID</t>
        </is>
      </c>
      <c r="F433" t="inlineStr">
        <is>
          <t>MID</t>
        </is>
      </c>
      <c r="G433" t="b">
        <v>1</v>
      </c>
      <c r="H433" s="2" t="n">
        <v>5</v>
      </c>
      <c r="I433" t="inlineStr">
        <is>
          <t>a</t>
        </is>
      </c>
      <c r="K433" s="2" t="n">
        <v>0</v>
      </c>
      <c r="L433" t="n">
        <v>0</v>
      </c>
      <c r="M433" s="3" t="n">
        <v>0</v>
      </c>
      <c r="N433" s="8" t="n">
        <v>0</v>
      </c>
      <c r="O433" s="8" t="n">
        <v>0</v>
      </c>
      <c r="Q433" t="inlineStr">
        <is>
          <t>flat</t>
        </is>
      </c>
      <c r="R433" s="6" t="n">
        <v>0</v>
      </c>
      <c r="S433" t="inlineStr">
        <is>
          <t>Solio</t>
        </is>
      </c>
      <c r="U433" s="6" t="n">
        <v>85</v>
      </c>
      <c r="V433" s="2" t="n"/>
      <c r="W433" s="7">
        <f>IF(N(U433)&lt;=0,0,MIN(Assumptions!$B$15,N(R433)/N(U433)))</f>
        <v/>
      </c>
      <c r="X433" s="6" t="n">
        <v>0.218</v>
      </c>
      <c r="Y433" s="3" t="n"/>
      <c r="Z433" t="inlineStr"/>
      <c r="AA433" s="3" t="n">
        <v>1</v>
      </c>
      <c r="AB433" s="3" t="n"/>
      <c r="AC433" s="3" t="n"/>
      <c r="AD433" s="3" t="n"/>
      <c r="AE433" s="3" t="n"/>
      <c r="AF433" s="3" t="n">
        <v>0</v>
      </c>
      <c r="AG433" s="3" t="n"/>
      <c r="AH433" s="3" t="n">
        <v>0</v>
      </c>
      <c r="AI433" s="3" t="n">
        <v>0</v>
      </c>
      <c r="AJ433" s="3" t="n">
        <v>3.0611</v>
      </c>
      <c r="AK433" s="3" t="n">
        <v>1.5875</v>
      </c>
      <c r="AL433" s="3" t="n">
        <v>-0.2160434166173144</v>
      </c>
      <c r="AM433" s="6" t="n">
        <v>0</v>
      </c>
      <c r="AN433" s="3" t="n">
        <v>0</v>
      </c>
      <c r="AO433" s="3" t="n">
        <v>0</v>
      </c>
      <c r="AP433" s="3" t="n">
        <v>0</v>
      </c>
      <c r="AQ433" s="3">
        <f>N(X433)*N(BJ433)</f>
        <v/>
      </c>
      <c r="AR433" s="3" t="n">
        <v>0</v>
      </c>
      <c r="AS433" s="3" t="n">
        <v>-0</v>
      </c>
      <c r="AT433" s="3" t="n">
        <v>-0.2160434166173144</v>
      </c>
      <c r="AU433" s="3">
        <f>SUM(AO433:AT433)</f>
        <v/>
      </c>
      <c r="AV433" s="7">
        <f>IF(OR(N(W433)&lt;=0,N(BH433)=0),0,N(W433)*IF(N(R433)/N(W433)&gt;=60,N(BH433),1))</f>
        <v/>
      </c>
      <c r="AW433" s="7">
        <f>N(W433)*N(AF433)*N(BI433)</f>
        <v/>
      </c>
      <c r="AX433" s="3">
        <f>IF(N(BH433)=0,0,N(W433)*N(AH433))</f>
        <v/>
      </c>
      <c r="AY433" s="7">
        <f>N(AM433)*(Assumptions!$B$13*N(BK433)-(1-Assumptions!$B$13)*Assumptions!$B$14)+N(AN433)</f>
        <v/>
      </c>
      <c r="AZ433" s="7">
        <f>N(AU433)*N(R433)/90+N(AV433)+N(AW433)+N(AX433)+N(AY433)</f>
        <v/>
      </c>
      <c r="BA433" s="3">
        <f>IF(N(R433)&lt;=0,0,(N(AZ433)-N(AY433))*90/N(R433))</f>
        <v/>
      </c>
      <c r="BB433" s="7">
        <f>IFERROR(AZ433-VLOOKUP($E433,Assumptions!$A$40:$C$43,3,FALSE),"")</f>
        <v/>
      </c>
      <c r="BC433" s="3">
        <f>IFERROR(BB433/H433,"")</f>
        <v/>
      </c>
      <c r="BD433">
        <f>IF(AND($G433=TRUE,$E433="GKP"),AZ433,"")</f>
        <v/>
      </c>
      <c r="BE433">
        <f>IF(AND($G433=TRUE,$E433="DEF"),AZ433,"")</f>
        <v/>
      </c>
      <c r="BF433">
        <f>IF(AND($G433=TRUE,$E433="MID"),AZ433,"")</f>
        <v/>
      </c>
      <c r="BG433">
        <f>IF(AND($G433=TRUE,$E433="FWD"),AZ433,"")</f>
        <v/>
      </c>
      <c r="BH433" t="n">
        <v>2</v>
      </c>
      <c r="BI433" t="n">
        <v>2</v>
      </c>
      <c r="BJ433" t="n">
        <v>1</v>
      </c>
      <c r="BK433" t="n">
        <v>5</v>
      </c>
    </row>
    <row r="434">
      <c r="A434" t="inlineStr">
        <is>
          <t>Dejan Kulusevski</t>
        </is>
      </c>
      <c r="B434" t="inlineStr">
        <is>
          <t>TOT</t>
        </is>
      </c>
      <c r="C434" t="inlineStr">
        <is>
          <t>TOT</t>
        </is>
      </c>
      <c r="D434" t="b">
        <v>0</v>
      </c>
      <c r="E434" t="inlineStr">
        <is>
          <t>MID</t>
        </is>
      </c>
      <c r="F434" t="inlineStr">
        <is>
          <t>MID</t>
        </is>
      </c>
      <c r="G434" t="b">
        <v>1</v>
      </c>
      <c r="H434" s="2" t="n">
        <v>6.5</v>
      </c>
      <c r="I434" t="inlineStr">
        <is>
          <t>i</t>
        </is>
      </c>
      <c r="J434" t="inlineStr">
        <is>
          <t>Knee injury - Unknown return date</t>
        </is>
      </c>
      <c r="K434" s="2" t="n">
        <v>0</v>
      </c>
      <c r="L434" t="n">
        <v>0</v>
      </c>
      <c r="M434" s="3" t="n">
        <v>280</v>
      </c>
      <c r="N434" s="8" t="n">
        <v>280</v>
      </c>
      <c r="O434" s="8" t="n">
        <v>0</v>
      </c>
      <c r="Q434" t="inlineStr">
        <is>
          <t>flat</t>
        </is>
      </c>
      <c r="R434" s="6" t="n">
        <v>280</v>
      </c>
      <c r="S434" t="inlineStr">
        <is>
          <t>Solio</t>
        </is>
      </c>
      <c r="U434" s="6" t="n">
        <v>85</v>
      </c>
      <c r="V434" s="2" t="n"/>
      <c r="W434" s="7">
        <f>IF(N(U434)&lt;=0,0,MIN(Assumptions!$B$15,N(R434)/N(U434)))</f>
        <v/>
      </c>
      <c r="X434" s="6" t="n">
        <v>0.286</v>
      </c>
      <c r="Y434" s="3" t="n"/>
      <c r="Z434" t="inlineStr"/>
      <c r="AA434" s="3" t="n">
        <v>1</v>
      </c>
      <c r="AB434" s="3" t="n"/>
      <c r="AC434" s="3" t="n"/>
      <c r="AD434" s="3" t="n"/>
      <c r="AE434" s="3" t="n"/>
      <c r="AF434" s="3" t="n">
        <v>0</v>
      </c>
      <c r="AG434" s="3" t="n"/>
      <c r="AH434" s="3" t="n">
        <v>0</v>
      </c>
      <c r="AI434" s="3" t="n">
        <v>0</v>
      </c>
      <c r="AJ434" s="3" t="n">
        <v>2.5739</v>
      </c>
      <c r="AK434" s="3" t="n">
        <v>1.3096</v>
      </c>
      <c r="AL434" s="3" t="n">
        <v>-0.1930154106061087</v>
      </c>
      <c r="AM434" s="6" t="n">
        <v>0</v>
      </c>
      <c r="AN434" s="3" t="n">
        <v>0</v>
      </c>
      <c r="AO434" s="3" t="n">
        <v>0</v>
      </c>
      <c r="AP434" s="3" t="n">
        <v>0</v>
      </c>
      <c r="AQ434" s="3">
        <f>N(X434)*N(BJ434)</f>
        <v/>
      </c>
      <c r="AR434" s="3" t="n">
        <v>0</v>
      </c>
      <c r="AS434" s="3" t="n">
        <v>-0</v>
      </c>
      <c r="AT434" s="3" t="n">
        <v>-0.1930154106061087</v>
      </c>
      <c r="AU434" s="3">
        <f>SUM(AO434:AT434)</f>
        <v/>
      </c>
      <c r="AV434" s="7">
        <f>IF(OR(N(W434)&lt;=0,N(BH434)=0),0,N(W434)*IF(N(R434)/N(W434)&gt;=60,N(BH434),1))</f>
        <v/>
      </c>
      <c r="AW434" s="7">
        <f>N(W434)*N(AF434)*N(BI434)</f>
        <v/>
      </c>
      <c r="AX434" s="3">
        <f>IF(N(BH434)=0,0,N(W434)*N(AH434))</f>
        <v/>
      </c>
      <c r="AY434" s="7">
        <f>N(AM434)*(Assumptions!$B$13*N(BK434)-(1-Assumptions!$B$13)*Assumptions!$B$14)+N(AN434)</f>
        <v/>
      </c>
      <c r="AZ434" s="7">
        <f>N(AU434)*N(R434)/90+N(AV434)+N(AW434)+N(AX434)+N(AY434)</f>
        <v/>
      </c>
      <c r="BA434" s="3">
        <f>IF(N(R434)&lt;=0,0,(N(AZ434)-N(AY434))*90/N(R434))</f>
        <v/>
      </c>
      <c r="BB434" s="7">
        <f>IFERROR(AZ434-VLOOKUP($E434,Assumptions!$A$40:$C$43,3,FALSE),"")</f>
        <v/>
      </c>
      <c r="BC434" s="3">
        <f>IFERROR(BB434/H434,"")</f>
        <v/>
      </c>
      <c r="BD434">
        <f>IF(AND($G434=TRUE,$E434="GKP"),AZ434,"")</f>
        <v/>
      </c>
      <c r="BE434">
        <f>IF(AND($G434=TRUE,$E434="DEF"),AZ434,"")</f>
        <v/>
      </c>
      <c r="BF434">
        <f>IF(AND($G434=TRUE,$E434="MID"),AZ434,"")</f>
        <v/>
      </c>
      <c r="BG434">
        <f>IF(AND($G434=TRUE,$E434="FWD"),AZ434,"")</f>
        <v/>
      </c>
      <c r="BH434" t="n">
        <v>2</v>
      </c>
      <c r="BI434" t="n">
        <v>2</v>
      </c>
      <c r="BJ434" t="n">
        <v>1</v>
      </c>
      <c r="BK434" t="n">
        <v>5</v>
      </c>
    </row>
    <row r="435">
      <c r="A435" t="inlineStr">
        <is>
          <t>James McConnell</t>
        </is>
      </c>
      <c r="B435" t="inlineStr">
        <is>
          <t>LIV</t>
        </is>
      </c>
      <c r="C435" t="inlineStr">
        <is>
          <t>LIV</t>
        </is>
      </c>
      <c r="D435" t="b">
        <v>0</v>
      </c>
      <c r="E435" t="inlineStr">
        <is>
          <t>MID</t>
        </is>
      </c>
      <c r="F435" t="inlineStr">
        <is>
          <t>MID</t>
        </is>
      </c>
      <c r="G435" t="b">
        <v>1</v>
      </c>
      <c r="H435" s="2" t="n">
        <v>4.5</v>
      </c>
      <c r="I435" t="inlineStr">
        <is>
          <t>a</t>
        </is>
      </c>
      <c r="K435" s="2" t="n">
        <v>0</v>
      </c>
      <c r="L435" t="n">
        <v>0</v>
      </c>
      <c r="M435" s="3" t="n">
        <v>0</v>
      </c>
      <c r="N435" s="8" t="n">
        <v>0</v>
      </c>
      <c r="O435" s="8" t="n">
        <v>0</v>
      </c>
      <c r="Q435" t="inlineStr">
        <is>
          <t>flat</t>
        </is>
      </c>
      <c r="R435" s="6" t="n">
        <v>0</v>
      </c>
      <c r="S435" t="inlineStr">
        <is>
          <t>Solio</t>
        </is>
      </c>
      <c r="U435" s="6" t="n">
        <v>85</v>
      </c>
      <c r="V435" s="2" t="n"/>
      <c r="W435" s="7">
        <f>IF(N(U435)&lt;=0,0,MIN(Assumptions!$B$15,N(R435)/N(U435)))</f>
        <v/>
      </c>
      <c r="X435" s="6" t="n">
        <v>0.342</v>
      </c>
      <c r="Y435" s="3" t="n"/>
      <c r="Z435" t="inlineStr"/>
      <c r="AA435" s="3" t="n">
        <v>1</v>
      </c>
      <c r="AB435" s="3" t="n"/>
      <c r="AC435" s="3" t="n"/>
      <c r="AD435" s="3" t="n"/>
      <c r="AE435" s="3" t="n"/>
      <c r="AF435" s="3" t="n">
        <v>0</v>
      </c>
      <c r="AG435" s="3" t="n"/>
      <c r="AH435" s="3" t="n">
        <v>0</v>
      </c>
      <c r="AI435" s="3" t="n">
        <v>0</v>
      </c>
      <c r="AJ435" s="3" t="n">
        <v>2.409</v>
      </c>
      <c r="AK435" s="3" t="n">
        <v>1.1228</v>
      </c>
      <c r="AL435" s="3" t="n">
        <v>-0.2158773810658242</v>
      </c>
      <c r="AM435" s="6" t="n">
        <v>0</v>
      </c>
      <c r="AN435" s="3" t="n">
        <v>0</v>
      </c>
      <c r="AO435" s="3" t="n">
        <v>0</v>
      </c>
      <c r="AP435" s="3" t="n">
        <v>0</v>
      </c>
      <c r="AQ435" s="3">
        <f>N(X435)*N(BJ435)</f>
        <v/>
      </c>
      <c r="AR435" s="3" t="n">
        <v>0</v>
      </c>
      <c r="AS435" s="3" t="n">
        <v>-0</v>
      </c>
      <c r="AT435" s="3" t="n">
        <v>-0.2158773810658242</v>
      </c>
      <c r="AU435" s="3">
        <f>SUM(AO435:AT435)</f>
        <v/>
      </c>
      <c r="AV435" s="7">
        <f>IF(OR(N(W435)&lt;=0,N(BH435)=0),0,N(W435)*IF(N(R435)/N(W435)&gt;=60,N(BH435),1))</f>
        <v/>
      </c>
      <c r="AW435" s="7">
        <f>N(W435)*N(AF435)*N(BI435)</f>
        <v/>
      </c>
      <c r="AX435" s="3">
        <f>IF(N(BH435)=0,0,N(W435)*N(AH435))</f>
        <v/>
      </c>
      <c r="AY435" s="7">
        <f>N(AM435)*(Assumptions!$B$13*N(BK435)-(1-Assumptions!$B$13)*Assumptions!$B$14)+N(AN435)</f>
        <v/>
      </c>
      <c r="AZ435" s="7">
        <f>N(AU435)*N(R435)/90+N(AV435)+N(AW435)+N(AX435)+N(AY435)</f>
        <v/>
      </c>
      <c r="BA435" s="3">
        <f>IF(N(R435)&lt;=0,0,(N(AZ435)-N(AY435))*90/N(R435))</f>
        <v/>
      </c>
      <c r="BB435" s="7">
        <f>IFERROR(AZ435-VLOOKUP($E435,Assumptions!$A$40:$C$43,3,FALSE),"")</f>
        <v/>
      </c>
      <c r="BC435" s="3">
        <f>IFERROR(BB435/H435,"")</f>
        <v/>
      </c>
      <c r="BD435">
        <f>IF(AND($G435=TRUE,$E435="GKP"),AZ435,"")</f>
        <v/>
      </c>
      <c r="BE435">
        <f>IF(AND($G435=TRUE,$E435="DEF"),AZ435,"")</f>
        <v/>
      </c>
      <c r="BF435">
        <f>IF(AND($G435=TRUE,$E435="MID"),AZ435,"")</f>
        <v/>
      </c>
      <c r="BG435">
        <f>IF(AND($G435=TRUE,$E435="FWD"),AZ435,"")</f>
        <v/>
      </c>
      <c r="BH435" t="n">
        <v>2</v>
      </c>
      <c r="BI435" t="n">
        <v>2</v>
      </c>
      <c r="BJ435" t="n">
        <v>1</v>
      </c>
      <c r="BK435" t="n">
        <v>5</v>
      </c>
    </row>
    <row r="436">
      <c r="A436" t="inlineStr">
        <is>
          <t>Matheus França de Oliveira</t>
        </is>
      </c>
      <c r="B436" t="inlineStr">
        <is>
          <t>CRY</t>
        </is>
      </c>
      <c r="C436" t="inlineStr">
        <is>
          <t>CRY</t>
        </is>
      </c>
      <c r="D436" t="b">
        <v>0</v>
      </c>
      <c r="E436" t="inlineStr">
        <is>
          <t>MID</t>
        </is>
      </c>
      <c r="F436" t="inlineStr">
        <is>
          <t>MID</t>
        </is>
      </c>
      <c r="G436" t="b">
        <v>1</v>
      </c>
      <c r="H436" s="2" t="n">
        <v>5</v>
      </c>
      <c r="I436" t="inlineStr">
        <is>
          <t>a</t>
        </is>
      </c>
      <c r="K436" s="2" t="n">
        <v>0</v>
      </c>
      <c r="L436" t="n">
        <v>0</v>
      </c>
      <c r="M436" s="3" t="n">
        <v>0</v>
      </c>
      <c r="N436" s="8" t="n">
        <v>0</v>
      </c>
      <c r="O436" s="8" t="n">
        <v>0</v>
      </c>
      <c r="Q436" t="inlineStr">
        <is>
          <t>flat</t>
        </is>
      </c>
      <c r="R436" s="6" t="n">
        <v>0</v>
      </c>
      <c r="S436" t="inlineStr">
        <is>
          <t>Solio</t>
        </is>
      </c>
      <c r="U436" s="6" t="n">
        <v>85</v>
      </c>
      <c r="V436" s="2" t="n"/>
      <c r="W436" s="7">
        <f>IF(N(U436)&lt;=0,0,MIN(Assumptions!$B$15,N(R436)/N(U436)))</f>
        <v/>
      </c>
      <c r="X436" s="6" t="n">
        <v>0.216</v>
      </c>
      <c r="Y436" s="3" t="n"/>
      <c r="Z436" t="inlineStr"/>
      <c r="AA436" s="3" t="n">
        <v>1</v>
      </c>
      <c r="AB436" s="3" t="n"/>
      <c r="AC436" s="3" t="n"/>
      <c r="AD436" s="3" t="n"/>
      <c r="AE436" s="3" t="n"/>
      <c r="AF436" s="3" t="n">
        <v>0</v>
      </c>
      <c r="AG436" s="3" t="n"/>
      <c r="AH436" s="3" t="n">
        <v>0</v>
      </c>
      <c r="AI436" s="3" t="n">
        <v>0</v>
      </c>
      <c r="AJ436" s="3" t="n">
        <v>3.2035</v>
      </c>
      <c r="AK436" s="3" t="n">
        <v>1.5923</v>
      </c>
      <c r="AL436" s="3" t="n">
        <v>-0.2236750346089582</v>
      </c>
      <c r="AM436" s="6" t="n">
        <v>0</v>
      </c>
      <c r="AN436" s="3" t="n">
        <v>0</v>
      </c>
      <c r="AO436" s="3" t="n">
        <v>0</v>
      </c>
      <c r="AP436" s="3" t="n">
        <v>0</v>
      </c>
      <c r="AQ436" s="3">
        <f>N(X436)*N(BJ436)</f>
        <v/>
      </c>
      <c r="AR436" s="3" t="n">
        <v>0</v>
      </c>
      <c r="AS436" s="3" t="n">
        <v>-0</v>
      </c>
      <c r="AT436" s="3" t="n">
        <v>-0.2236750346089582</v>
      </c>
      <c r="AU436" s="3">
        <f>SUM(AO436:AT436)</f>
        <v/>
      </c>
      <c r="AV436" s="7">
        <f>IF(OR(N(W436)&lt;=0,N(BH436)=0),0,N(W436)*IF(N(R436)/N(W436)&gt;=60,N(BH436),1))</f>
        <v/>
      </c>
      <c r="AW436" s="7">
        <f>N(W436)*N(AF436)*N(BI436)</f>
        <v/>
      </c>
      <c r="AX436" s="3">
        <f>IF(N(BH436)=0,0,N(W436)*N(AH436))</f>
        <v/>
      </c>
      <c r="AY436" s="7">
        <f>N(AM436)*(Assumptions!$B$13*N(BK436)-(1-Assumptions!$B$13)*Assumptions!$B$14)+N(AN436)</f>
        <v/>
      </c>
      <c r="AZ436" s="7">
        <f>N(AU436)*N(R436)/90+N(AV436)+N(AW436)+N(AX436)+N(AY436)</f>
        <v/>
      </c>
      <c r="BA436" s="3">
        <f>IF(N(R436)&lt;=0,0,(N(AZ436)-N(AY436))*90/N(R436))</f>
        <v/>
      </c>
      <c r="BB436" s="7">
        <f>IFERROR(AZ436-VLOOKUP($E436,Assumptions!$A$40:$C$43,3,FALSE),"")</f>
        <v/>
      </c>
      <c r="BC436" s="3">
        <f>IFERROR(BB436/H436,"")</f>
        <v/>
      </c>
      <c r="BD436">
        <f>IF(AND($G436=TRUE,$E436="GKP"),AZ436,"")</f>
        <v/>
      </c>
      <c r="BE436">
        <f>IF(AND($G436=TRUE,$E436="DEF"),AZ436,"")</f>
        <v/>
      </c>
      <c r="BF436">
        <f>IF(AND($G436=TRUE,$E436="MID"),AZ436,"")</f>
        <v/>
      </c>
      <c r="BG436">
        <f>IF(AND($G436=TRUE,$E436="FWD"),AZ436,"")</f>
        <v/>
      </c>
      <c r="BH436" t="n">
        <v>2</v>
      </c>
      <c r="BI436" t="n">
        <v>2</v>
      </c>
      <c r="BJ436" t="n">
        <v>1</v>
      </c>
      <c r="BK436" t="n">
        <v>5</v>
      </c>
    </row>
    <row r="437">
      <c r="A437" t="inlineStr">
        <is>
          <t>Stefan Bajčetić Maquieira</t>
        </is>
      </c>
      <c r="B437" t="inlineStr">
        <is>
          <t>LIV</t>
        </is>
      </c>
      <c r="C437" t="inlineStr">
        <is>
          <t>LIV</t>
        </is>
      </c>
      <c r="D437" t="b">
        <v>0</v>
      </c>
      <c r="E437" t="inlineStr">
        <is>
          <t>MID</t>
        </is>
      </c>
      <c r="F437" t="inlineStr">
        <is>
          <t>MID</t>
        </is>
      </c>
      <c r="G437" t="b">
        <v>1</v>
      </c>
      <c r="H437" s="2" t="n">
        <v>5</v>
      </c>
      <c r="I437" t="inlineStr">
        <is>
          <t>i</t>
        </is>
      </c>
      <c r="J437" t="inlineStr">
        <is>
          <t>Hamstring injury - Expected back 23 Aug</t>
        </is>
      </c>
      <c r="K437" s="2" t="n">
        <v>0</v>
      </c>
      <c r="L437" t="n">
        <v>0</v>
      </c>
      <c r="M437" s="3" t="n">
        <v>0</v>
      </c>
      <c r="N437" s="8" t="n">
        <v>0</v>
      </c>
      <c r="O437" s="8" t="n">
        <v>0</v>
      </c>
      <c r="Q437" t="inlineStr">
        <is>
          <t>flat</t>
        </is>
      </c>
      <c r="R437" s="6" t="n">
        <v>0</v>
      </c>
      <c r="S437" t="inlineStr">
        <is>
          <t>Solio</t>
        </is>
      </c>
      <c r="U437" s="6" t="n">
        <v>85</v>
      </c>
      <c r="V437" s="2" t="n"/>
      <c r="W437" s="7">
        <f>IF(N(U437)&lt;=0,0,MIN(Assumptions!$B$15,N(R437)/N(U437)))</f>
        <v/>
      </c>
      <c r="X437" s="6" t="n">
        <v>0.342</v>
      </c>
      <c r="Y437" s="3" t="n"/>
      <c r="Z437" t="inlineStr"/>
      <c r="AA437" s="3" t="n">
        <v>1</v>
      </c>
      <c r="AB437" s="3" t="n"/>
      <c r="AC437" s="3" t="n"/>
      <c r="AD437" s="3" t="n"/>
      <c r="AE437" s="3" t="n"/>
      <c r="AF437" s="3" t="n">
        <v>0</v>
      </c>
      <c r="AG437" s="3" t="n"/>
      <c r="AH437" s="3" t="n">
        <v>0</v>
      </c>
      <c r="AI437" s="3" t="n">
        <v>0</v>
      </c>
      <c r="AJ437" s="3" t="n">
        <v>2.409</v>
      </c>
      <c r="AK437" s="3" t="n">
        <v>1.1228</v>
      </c>
      <c r="AL437" s="3" t="n">
        <v>-0.2146681842218678</v>
      </c>
      <c r="AM437" s="6" t="n">
        <v>0</v>
      </c>
      <c r="AN437" s="3" t="n">
        <v>0</v>
      </c>
      <c r="AO437" s="3" t="n">
        <v>0</v>
      </c>
      <c r="AP437" s="3" t="n">
        <v>0</v>
      </c>
      <c r="AQ437" s="3">
        <f>N(X437)*N(BJ437)</f>
        <v/>
      </c>
      <c r="AR437" s="3" t="n">
        <v>0</v>
      </c>
      <c r="AS437" s="3" t="n">
        <v>-0</v>
      </c>
      <c r="AT437" s="3" t="n">
        <v>-0.2146681842218678</v>
      </c>
      <c r="AU437" s="3">
        <f>SUM(AO437:AT437)</f>
        <v/>
      </c>
      <c r="AV437" s="7">
        <f>IF(OR(N(W437)&lt;=0,N(BH437)=0),0,N(W437)*IF(N(R437)/N(W437)&gt;=60,N(BH437),1))</f>
        <v/>
      </c>
      <c r="AW437" s="7">
        <f>N(W437)*N(AF437)*N(BI437)</f>
        <v/>
      </c>
      <c r="AX437" s="3">
        <f>IF(N(BH437)=0,0,N(W437)*N(AH437))</f>
        <v/>
      </c>
      <c r="AY437" s="7">
        <f>N(AM437)*(Assumptions!$B$13*N(BK437)-(1-Assumptions!$B$13)*Assumptions!$B$14)+N(AN437)</f>
        <v/>
      </c>
      <c r="AZ437" s="7">
        <f>N(AU437)*N(R437)/90+N(AV437)+N(AW437)+N(AX437)+N(AY437)</f>
        <v/>
      </c>
      <c r="BA437" s="3">
        <f>IF(N(R437)&lt;=0,0,(N(AZ437)-N(AY437))*90/N(R437))</f>
        <v/>
      </c>
      <c r="BB437" s="7">
        <f>IFERROR(AZ437-VLOOKUP($E437,Assumptions!$A$40:$C$43,3,FALSE),"")</f>
        <v/>
      </c>
      <c r="BC437" s="3">
        <f>IFERROR(BB437/H437,"")</f>
        <v/>
      </c>
      <c r="BD437">
        <f>IF(AND($G437=TRUE,$E437="GKP"),AZ437,"")</f>
        <v/>
      </c>
      <c r="BE437">
        <f>IF(AND($G437=TRUE,$E437="DEF"),AZ437,"")</f>
        <v/>
      </c>
      <c r="BF437">
        <f>IF(AND($G437=TRUE,$E437="MID"),AZ437,"")</f>
        <v/>
      </c>
      <c r="BG437">
        <f>IF(AND($G437=TRUE,$E437="FWD"),AZ437,"")</f>
        <v/>
      </c>
      <c r="BH437" t="n">
        <v>2</v>
      </c>
      <c r="BI437" t="n">
        <v>2</v>
      </c>
      <c r="BJ437" t="n">
        <v>1</v>
      </c>
      <c r="BK437" t="n">
        <v>5</v>
      </c>
    </row>
    <row r="438">
      <c r="A438" t="inlineStr">
        <is>
          <t>Wellity Lucky</t>
        </is>
      </c>
      <c r="B438" t="inlineStr">
        <is>
          <t>LIV</t>
        </is>
      </c>
      <c r="C438" t="inlineStr">
        <is>
          <t>LIV</t>
        </is>
      </c>
      <c r="D438" t="b">
        <v>0</v>
      </c>
      <c r="E438" t="inlineStr">
        <is>
          <t>DEF</t>
        </is>
      </c>
      <c r="F438" t="inlineStr">
        <is>
          <t>DEF</t>
        </is>
      </c>
      <c r="G438" t="b">
        <v>1</v>
      </c>
      <c r="H438" s="2" t="n">
        <v>4</v>
      </c>
      <c r="I438" t="inlineStr">
        <is>
          <t>a</t>
        </is>
      </c>
      <c r="K438" s="2" t="n">
        <v>0</v>
      </c>
      <c r="L438" t="n">
        <v>0</v>
      </c>
      <c r="M438" s="3" t="n">
        <v>0</v>
      </c>
      <c r="N438" s="8" t="n">
        <v>0</v>
      </c>
      <c r="O438" s="8" t="n">
        <v>0</v>
      </c>
      <c r="Q438" t="inlineStr">
        <is>
          <t>flat</t>
        </is>
      </c>
      <c r="R438" s="6" t="n">
        <v>0</v>
      </c>
      <c r="S438" t="inlineStr">
        <is>
          <t>Solio</t>
        </is>
      </c>
      <c r="U438" s="6" t="n">
        <v>85</v>
      </c>
      <c r="V438" s="2" t="n"/>
      <c r="W438" s="7">
        <f>IF(N(U438)&lt;=0,0,MIN(Assumptions!$B$15,N(R438)/N(U438)))</f>
        <v/>
      </c>
      <c r="X438" s="6" t="n">
        <v>0.342</v>
      </c>
      <c r="Y438" s="3" t="n"/>
      <c r="Z438" t="inlineStr"/>
      <c r="AA438" s="3" t="n">
        <v>1</v>
      </c>
      <c r="AB438" s="3" t="n"/>
      <c r="AC438" s="3" t="n"/>
      <c r="AD438" s="3" t="n"/>
      <c r="AE438" s="3" t="n"/>
      <c r="AF438" s="3" t="n">
        <v>0</v>
      </c>
      <c r="AG438" s="3" t="n"/>
      <c r="AH438" s="3" t="n">
        <v>0</v>
      </c>
      <c r="AI438" s="3" t="n">
        <v>0</v>
      </c>
      <c r="AJ438" s="3" t="n">
        <v>2.409</v>
      </c>
      <c r="AK438" s="3" t="n">
        <v>1.1228</v>
      </c>
      <c r="AL438" s="3" t="n">
        <v>-0.2045226422080557</v>
      </c>
      <c r="AM438" s="6" t="n">
        <v>0</v>
      </c>
      <c r="AN438" s="3" t="n">
        <v>0</v>
      </c>
      <c r="AO438" s="3" t="n">
        <v>0</v>
      </c>
      <c r="AP438" s="3" t="n">
        <v>0</v>
      </c>
      <c r="AQ438" s="3">
        <f>N(X438)*N(BJ438)</f>
        <v/>
      </c>
      <c r="AR438" s="3" t="n">
        <v>0</v>
      </c>
      <c r="AS438" s="3" t="n">
        <v>-0.3378660007281162</v>
      </c>
      <c r="AT438" s="3" t="n">
        <v>-0.2045226422080557</v>
      </c>
      <c r="AU438" s="3">
        <f>SUM(AO438:AT438)</f>
        <v/>
      </c>
      <c r="AV438" s="7">
        <f>IF(OR(N(W438)&lt;=0,N(BH438)=0),0,N(W438)*IF(N(R438)/N(W438)&gt;=60,N(BH438),1))</f>
        <v/>
      </c>
      <c r="AW438" s="7">
        <f>N(W438)*N(AF438)*N(BI438)</f>
        <v/>
      </c>
      <c r="AX438" s="3">
        <f>IF(N(BH438)=0,0,N(W438)*N(AH438))</f>
        <v/>
      </c>
      <c r="AY438" s="7">
        <f>N(AM438)*(Assumptions!$B$13*N(BK438)-(1-Assumptions!$B$13)*Assumptions!$B$14)+N(AN438)</f>
        <v/>
      </c>
      <c r="AZ438" s="7">
        <f>N(AU438)*N(R438)/90+N(AV438)+N(AW438)+N(AX438)+N(AY438)</f>
        <v/>
      </c>
      <c r="BA438" s="3">
        <f>IF(N(R438)&lt;=0,0,(N(AZ438)-N(AY438))*90/N(R438))</f>
        <v/>
      </c>
      <c r="BB438" s="7">
        <f>IFERROR(AZ438-VLOOKUP($E438,Assumptions!$A$40:$C$43,3,FALSE),"")</f>
        <v/>
      </c>
      <c r="BC438" s="3">
        <f>IFERROR(BB438/H438,"")</f>
        <v/>
      </c>
      <c r="BD438">
        <f>IF(AND($G438=TRUE,$E438="GKP"),AZ438,"")</f>
        <v/>
      </c>
      <c r="BE438">
        <f>IF(AND($G438=TRUE,$E438="DEF"),AZ438,"")</f>
        <v/>
      </c>
      <c r="BF438">
        <f>IF(AND($G438=TRUE,$E438="MID"),AZ438,"")</f>
        <v/>
      </c>
      <c r="BG438">
        <f>IF(AND($G438=TRUE,$E438="FWD"),AZ438,"")</f>
        <v/>
      </c>
      <c r="BH438" t="n">
        <v>2</v>
      </c>
      <c r="BI438" t="n">
        <v>2</v>
      </c>
      <c r="BJ438" t="n">
        <v>4</v>
      </c>
      <c r="BK438" t="n">
        <v>6</v>
      </c>
    </row>
    <row r="439">
      <c r="A439" t="inlineStr">
        <is>
          <t>Nicolas Jackson</t>
        </is>
      </c>
      <c r="B439" t="inlineStr">
        <is>
          <t>CHE</t>
        </is>
      </c>
      <c r="C439" t="inlineStr">
        <is>
          <t>CHE</t>
        </is>
      </c>
      <c r="D439" t="b">
        <v>0</v>
      </c>
      <c r="E439" t="inlineStr">
        <is>
          <t>FWD</t>
        </is>
      </c>
      <c r="F439" t="inlineStr">
        <is>
          <t>FWD</t>
        </is>
      </c>
      <c r="G439" t="b">
        <v>1</v>
      </c>
      <c r="H439" s="2" t="n">
        <v>6.5</v>
      </c>
      <c r="I439" t="inlineStr">
        <is>
          <t>a</t>
        </is>
      </c>
      <c r="K439" s="2" t="n">
        <v>0</v>
      </c>
      <c r="L439" t="n">
        <v>0</v>
      </c>
      <c r="M439" s="3" t="n">
        <v>10</v>
      </c>
      <c r="N439" s="4" t="n">
        <v>0</v>
      </c>
      <c r="O439" s="4" t="n">
        <v>-10</v>
      </c>
      <c r="P439" s="5" t="inlineStr">
        <is>
          <t>medium</t>
        </is>
      </c>
      <c r="Q439" t="inlineStr">
        <is>
          <t>flat</t>
        </is>
      </c>
      <c r="R439" s="6" t="n">
        <v>0</v>
      </c>
      <c r="S439" t="inlineStr">
        <is>
          <t>research</t>
        </is>
      </c>
      <c r="T439" s="5" t="inlineStr">
        <is>
          <t>Named on Last Word on Football's 'unwanted list' after being left out of the final pre-season matchday squad entirely; the club has stated it expects further sales before the 1 September deadline and Chelsea must cut a 47-man squad down to a 25-man Premier League registration list.</t>
        </is>
      </c>
      <c r="U439" s="6" t="n">
        <v>85</v>
      </c>
      <c r="V439" s="2" t="n"/>
      <c r="W439" s="7">
        <f>IF(N(U439)&lt;=0,0,MIN(Assumptions!$B$15,N(R439)/N(U439)))</f>
        <v/>
      </c>
      <c r="X439" s="6" t="n">
        <v>0.322</v>
      </c>
      <c r="Y439" s="3" t="n"/>
      <c r="Z439" t="inlineStr"/>
      <c r="AA439" s="3" t="n">
        <v>1</v>
      </c>
      <c r="AB439" s="3" t="n"/>
      <c r="AC439" s="3" t="n"/>
      <c r="AD439" s="3" t="n"/>
      <c r="AE439" s="3" t="n"/>
      <c r="AF439" s="3" t="n">
        <v>0</v>
      </c>
      <c r="AG439" s="3" t="n"/>
      <c r="AH439" s="3" t="n">
        <v>0</v>
      </c>
      <c r="AI439" s="3" t="n">
        <v>0</v>
      </c>
      <c r="AJ439" s="3" t="n">
        <v>2.4232</v>
      </c>
      <c r="AK439" s="3" t="n">
        <v>1.1851</v>
      </c>
      <c r="AL439" s="3" t="n">
        <v>-0.2615526627267724</v>
      </c>
      <c r="AM439" s="6" t="n">
        <v>0</v>
      </c>
      <c r="AN439" s="3" t="n">
        <v>0</v>
      </c>
      <c r="AO439" s="3" t="n">
        <v>0</v>
      </c>
      <c r="AP439" s="3" t="n">
        <v>0</v>
      </c>
      <c r="AQ439" s="3">
        <f>N(X439)*N(BJ439)</f>
        <v/>
      </c>
      <c r="AR439" s="3" t="n">
        <v>0</v>
      </c>
      <c r="AS439" s="3" t="n">
        <v>-0</v>
      </c>
      <c r="AT439" s="3" t="n">
        <v>-0.2615526627267724</v>
      </c>
      <c r="AU439" s="3">
        <f>SUM(AO439:AT439)</f>
        <v/>
      </c>
      <c r="AV439" s="7">
        <f>IF(OR(N(W439)&lt;=0,N(BH439)=0),0,N(W439)*IF(N(R439)/N(W439)&gt;=60,N(BH439),1))</f>
        <v/>
      </c>
      <c r="AW439" s="7">
        <f>N(W439)*N(AF439)*N(BI439)</f>
        <v/>
      </c>
      <c r="AX439" s="3">
        <f>IF(N(BH439)=0,0,N(W439)*N(AH439))</f>
        <v/>
      </c>
      <c r="AY439" s="7">
        <f>N(AM439)*(Assumptions!$B$13*N(BK439)-(1-Assumptions!$B$13)*Assumptions!$B$14)+N(AN439)</f>
        <v/>
      </c>
      <c r="AZ439" s="7">
        <f>N(AU439)*N(R439)/90+N(AV439)+N(AW439)+N(AX439)+N(AY439)</f>
        <v/>
      </c>
      <c r="BA439" s="3">
        <f>IF(N(R439)&lt;=0,0,(N(AZ439)-N(AY439))*90/N(R439))</f>
        <v/>
      </c>
      <c r="BB439" s="7">
        <f>IFERROR(AZ439-VLOOKUP($E439,Assumptions!$A$40:$C$43,3,FALSE),"")</f>
        <v/>
      </c>
      <c r="BC439" s="3">
        <f>IFERROR(BB439/H439,"")</f>
        <v/>
      </c>
      <c r="BD439">
        <f>IF(AND($G439=TRUE,$E439="GKP"),AZ439,"")</f>
        <v/>
      </c>
      <c r="BE439">
        <f>IF(AND($G439=TRUE,$E439="DEF"),AZ439,"")</f>
        <v/>
      </c>
      <c r="BF439">
        <f>IF(AND($G439=TRUE,$E439="MID"),AZ439,"")</f>
        <v/>
      </c>
      <c r="BG439">
        <f>IF(AND($G439=TRUE,$E439="FWD"),AZ439,"")</f>
        <v/>
      </c>
      <c r="BH439" t="n">
        <v>2</v>
      </c>
      <c r="BI439" t="n">
        <v>2</v>
      </c>
      <c r="BJ439" t="n">
        <v>0</v>
      </c>
      <c r="BK439" t="n">
        <v>4</v>
      </c>
    </row>
    <row r="440">
      <c r="A440" t="inlineStr">
        <is>
          <t>Mateo Joseph Fernández-Regatillo</t>
        </is>
      </c>
      <c r="B440" t="inlineStr">
        <is>
          <t>LEE</t>
        </is>
      </c>
      <c r="C440" t="inlineStr">
        <is>
          <t>LEE</t>
        </is>
      </c>
      <c r="D440" t="b">
        <v>0</v>
      </c>
      <c r="E440" t="inlineStr">
        <is>
          <t>FWD</t>
        </is>
      </c>
      <c r="F440" t="inlineStr">
        <is>
          <t>FWD</t>
        </is>
      </c>
      <c r="G440" t="b">
        <v>1</v>
      </c>
      <c r="H440" s="2" t="n">
        <v>4.5</v>
      </c>
      <c r="I440" t="inlineStr">
        <is>
          <t>i</t>
        </is>
      </c>
      <c r="J440" t="inlineStr">
        <is>
          <t>Knee injury - Unknown return date</t>
        </is>
      </c>
      <c r="K440" s="2" t="n">
        <v>0</v>
      </c>
      <c r="L440" t="n">
        <v>0</v>
      </c>
      <c r="M440" s="3" t="n">
        <v>0</v>
      </c>
      <c r="N440" s="8" t="n">
        <v>0</v>
      </c>
      <c r="O440" s="8" t="n">
        <v>0</v>
      </c>
      <c r="Q440" t="inlineStr">
        <is>
          <t>flat</t>
        </is>
      </c>
      <c r="R440" s="6" t="n">
        <v>0</v>
      </c>
      <c r="S440" t="inlineStr">
        <is>
          <t>Solio</t>
        </is>
      </c>
      <c r="U440" s="6" t="n">
        <v>85</v>
      </c>
      <c r="V440" s="2" t="n"/>
      <c r="W440" s="7">
        <f>IF(N(U440)&lt;=0,0,MIN(Assumptions!$B$15,N(R440)/N(U440)))</f>
        <v/>
      </c>
      <c r="X440" s="6" t="n">
        <v>0.218</v>
      </c>
      <c r="Y440" s="3" t="n"/>
      <c r="Z440" t="inlineStr"/>
      <c r="AA440" s="3" t="n">
        <v>1</v>
      </c>
      <c r="AB440" s="3" t="n"/>
      <c r="AC440" s="3" t="n"/>
      <c r="AD440" s="3" t="n"/>
      <c r="AE440" s="3" t="n"/>
      <c r="AF440" s="3" t="n">
        <v>0</v>
      </c>
      <c r="AG440" s="3" t="n"/>
      <c r="AH440" s="3" t="n">
        <v>0</v>
      </c>
      <c r="AI440" s="3" t="n">
        <v>0</v>
      </c>
      <c r="AJ440" s="3" t="n">
        <v>3.0611</v>
      </c>
      <c r="AK440" s="3" t="n">
        <v>1.5875</v>
      </c>
      <c r="AL440" s="3" t="n">
        <v>-0.174691292596322</v>
      </c>
      <c r="AM440" s="6" t="n">
        <v>0</v>
      </c>
      <c r="AN440" s="3" t="n">
        <v>0</v>
      </c>
      <c r="AO440" s="3" t="n">
        <v>0</v>
      </c>
      <c r="AP440" s="3" t="n">
        <v>0</v>
      </c>
      <c r="AQ440" s="3">
        <f>N(X440)*N(BJ440)</f>
        <v/>
      </c>
      <c r="AR440" s="3" t="n">
        <v>0</v>
      </c>
      <c r="AS440" s="3" t="n">
        <v>-0</v>
      </c>
      <c r="AT440" s="3" t="n">
        <v>-0.174691292596322</v>
      </c>
      <c r="AU440" s="3">
        <f>SUM(AO440:AT440)</f>
        <v/>
      </c>
      <c r="AV440" s="7">
        <f>IF(OR(N(W440)&lt;=0,N(BH440)=0),0,N(W440)*IF(N(R440)/N(W440)&gt;=60,N(BH440),1))</f>
        <v/>
      </c>
      <c r="AW440" s="7">
        <f>N(W440)*N(AF440)*N(BI440)</f>
        <v/>
      </c>
      <c r="AX440" s="3">
        <f>IF(N(BH440)=0,0,N(W440)*N(AH440))</f>
        <v/>
      </c>
      <c r="AY440" s="7">
        <f>N(AM440)*(Assumptions!$B$13*N(BK440)-(1-Assumptions!$B$13)*Assumptions!$B$14)+N(AN440)</f>
        <v/>
      </c>
      <c r="AZ440" s="7">
        <f>N(AU440)*N(R440)/90+N(AV440)+N(AW440)+N(AX440)+N(AY440)</f>
        <v/>
      </c>
      <c r="BA440" s="3">
        <f>IF(N(R440)&lt;=0,0,(N(AZ440)-N(AY440))*90/N(R440))</f>
        <v/>
      </c>
      <c r="BB440" s="7">
        <f>IFERROR(AZ440-VLOOKUP($E440,Assumptions!$A$40:$C$43,3,FALSE),"")</f>
        <v/>
      </c>
      <c r="BC440" s="3">
        <f>IFERROR(BB440/H440,"")</f>
        <v/>
      </c>
      <c r="BD440">
        <f>IF(AND($G440=TRUE,$E440="GKP"),AZ440,"")</f>
        <v/>
      </c>
      <c r="BE440">
        <f>IF(AND($G440=TRUE,$E440="DEF"),AZ440,"")</f>
        <v/>
      </c>
      <c r="BF440">
        <f>IF(AND($G440=TRUE,$E440="MID"),AZ440,"")</f>
        <v/>
      </c>
      <c r="BG440">
        <f>IF(AND($G440=TRUE,$E440="FWD"),AZ440,"")</f>
        <v/>
      </c>
      <c r="BH440" t="n">
        <v>2</v>
      </c>
      <c r="BI440" t="n">
        <v>2</v>
      </c>
      <c r="BJ440" t="n">
        <v>0</v>
      </c>
      <c r="BK440" t="n">
        <v>4</v>
      </c>
    </row>
    <row r="441">
      <c r="A441" t="inlineStr">
        <is>
          <t>Kim Ji-soo</t>
        </is>
      </c>
      <c r="B441" t="inlineStr">
        <is>
          <t>BRE</t>
        </is>
      </c>
      <c r="C441" t="inlineStr">
        <is>
          <t>BRE</t>
        </is>
      </c>
      <c r="D441" t="b">
        <v>0</v>
      </c>
      <c r="E441" t="inlineStr">
        <is>
          <t>DEF</t>
        </is>
      </c>
      <c r="F441" t="inlineStr">
        <is>
          <t>DEF</t>
        </is>
      </c>
      <c r="G441" t="b">
        <v>1</v>
      </c>
      <c r="H441" s="2" t="n">
        <v>4.5</v>
      </c>
      <c r="I441" t="inlineStr">
        <is>
          <t>a</t>
        </is>
      </c>
      <c r="K441" s="2" t="n">
        <v>0</v>
      </c>
      <c r="L441" t="n">
        <v>0</v>
      </c>
      <c r="M441" s="3" t="n">
        <v>0</v>
      </c>
      <c r="N441" s="8" t="n">
        <v>0</v>
      </c>
      <c r="O441" s="8" t="n">
        <v>0</v>
      </c>
      <c r="Q441" t="inlineStr">
        <is>
          <t>flat</t>
        </is>
      </c>
      <c r="R441" s="6" t="n">
        <v>0</v>
      </c>
      <c r="S441" t="inlineStr">
        <is>
          <t>Solio</t>
        </is>
      </c>
      <c r="U441" s="6" t="n">
        <v>85</v>
      </c>
      <c r="V441" s="2" t="n"/>
      <c r="W441" s="7">
        <f>IF(N(U441)&lt;=0,0,MIN(Assumptions!$B$15,N(R441)/N(U441)))</f>
        <v/>
      </c>
      <c r="X441" s="6" t="n">
        <v>0.228</v>
      </c>
      <c r="Y441" s="3" t="n"/>
      <c r="Z441" t="inlineStr"/>
      <c r="AA441" s="3" t="n">
        <v>1</v>
      </c>
      <c r="AB441" s="3" t="n"/>
      <c r="AC441" s="3" t="n"/>
      <c r="AD441" s="3" t="n"/>
      <c r="AE441" s="3" t="n"/>
      <c r="AF441" s="3" t="n">
        <v>0</v>
      </c>
      <c r="AG441" s="3" t="n"/>
      <c r="AH441" s="3" t="n">
        <v>0</v>
      </c>
      <c r="AI441" s="3" t="n">
        <v>0</v>
      </c>
      <c r="AJ441" s="3" t="n">
        <v>3.2371</v>
      </c>
      <c r="AK441" s="3" t="n">
        <v>1.5396</v>
      </c>
      <c r="AL441" s="3" t="n">
        <v>-0.2024085315768018</v>
      </c>
      <c r="AM441" s="6" t="n">
        <v>0</v>
      </c>
      <c r="AN441" s="3" t="n">
        <v>0</v>
      </c>
      <c r="AO441" s="3" t="n">
        <v>0</v>
      </c>
      <c r="AP441" s="3" t="n">
        <v>0</v>
      </c>
      <c r="AQ441" s="3">
        <f>N(X441)*N(BJ441)</f>
        <v/>
      </c>
      <c r="AR441" s="3" t="n">
        <v>0</v>
      </c>
      <c r="AS441" s="3" t="n">
        <v>-0.5312990096912251</v>
      </c>
      <c r="AT441" s="3" t="n">
        <v>-0.2024085315768018</v>
      </c>
      <c r="AU441" s="3">
        <f>SUM(AO441:AT441)</f>
        <v/>
      </c>
      <c r="AV441" s="7">
        <f>IF(OR(N(W441)&lt;=0,N(BH441)=0),0,N(W441)*IF(N(R441)/N(W441)&gt;=60,N(BH441),1))</f>
        <v/>
      </c>
      <c r="AW441" s="7">
        <f>N(W441)*N(AF441)*N(BI441)</f>
        <v/>
      </c>
      <c r="AX441" s="3">
        <f>IF(N(BH441)=0,0,N(W441)*N(AH441))</f>
        <v/>
      </c>
      <c r="AY441" s="7">
        <f>N(AM441)*(Assumptions!$B$13*N(BK441)-(1-Assumptions!$B$13)*Assumptions!$B$14)+N(AN441)</f>
        <v/>
      </c>
      <c r="AZ441" s="7">
        <f>N(AU441)*N(R441)/90+N(AV441)+N(AW441)+N(AX441)+N(AY441)</f>
        <v/>
      </c>
      <c r="BA441" s="3">
        <f>IF(N(R441)&lt;=0,0,(N(AZ441)-N(AY441))*90/N(R441))</f>
        <v/>
      </c>
      <c r="BB441" s="7">
        <f>IFERROR(AZ441-VLOOKUP($E441,Assumptions!$A$40:$C$43,3,FALSE),"")</f>
        <v/>
      </c>
      <c r="BC441" s="3">
        <f>IFERROR(BB441/H441,"")</f>
        <v/>
      </c>
      <c r="BD441">
        <f>IF(AND($G441=TRUE,$E441="GKP"),AZ441,"")</f>
        <v/>
      </c>
      <c r="BE441">
        <f>IF(AND($G441=TRUE,$E441="DEF"),AZ441,"")</f>
        <v/>
      </c>
      <c r="BF441">
        <f>IF(AND($G441=TRUE,$E441="MID"),AZ441,"")</f>
        <v/>
      </c>
      <c r="BG441">
        <f>IF(AND($G441=TRUE,$E441="FWD"),AZ441,"")</f>
        <v/>
      </c>
      <c r="BH441" t="n">
        <v>2</v>
      </c>
      <c r="BI441" t="n">
        <v>2</v>
      </c>
      <c r="BJ441" t="n">
        <v>4</v>
      </c>
      <c r="BK441" t="n">
        <v>6</v>
      </c>
    </row>
    <row r="442">
      <c r="A442" t="inlineStr">
        <is>
          <t>Alfie McNally</t>
        </is>
      </c>
      <c r="B442" t="inlineStr">
        <is>
          <t>FUL</t>
        </is>
      </c>
      <c r="C442" t="inlineStr">
        <is>
          <t>FUL</t>
        </is>
      </c>
      <c r="D442" t="b">
        <v>0</v>
      </c>
      <c r="E442" t="inlineStr">
        <is>
          <t>GKP</t>
        </is>
      </c>
      <c r="F442" t="inlineStr">
        <is>
          <t>GKP</t>
        </is>
      </c>
      <c r="G442" t="b">
        <v>1</v>
      </c>
      <c r="H442" s="2" t="n">
        <v>4</v>
      </c>
      <c r="I442" t="inlineStr">
        <is>
          <t>a</t>
        </is>
      </c>
      <c r="K442" s="2" t="n">
        <v>0</v>
      </c>
      <c r="L442" t="n">
        <v>0</v>
      </c>
      <c r="M442" s="3" t="n">
        <v>0</v>
      </c>
      <c r="N442" s="8" t="n">
        <v>0</v>
      </c>
      <c r="O442" s="8" t="n">
        <v>0</v>
      </c>
      <c r="Q442" t="inlineStr">
        <is>
          <t>flat</t>
        </is>
      </c>
      <c r="R442" s="6" t="n">
        <v>0</v>
      </c>
      <c r="S442" t="inlineStr">
        <is>
          <t>Solio</t>
        </is>
      </c>
      <c r="U442" s="6" t="n">
        <v>85</v>
      </c>
      <c r="V442" s="2" t="n"/>
      <c r="W442" s="7">
        <f>IF(N(U442)&lt;=0,0,MIN(Assumptions!$B$15,N(R442)/N(U442)))</f>
        <v/>
      </c>
      <c r="X442" s="6" t="n">
        <v>0.214</v>
      </c>
      <c r="Y442" s="3" t="n"/>
      <c r="Z442" t="inlineStr"/>
      <c r="AA442" s="3" t="n">
        <v>1</v>
      </c>
      <c r="AB442" s="3" t="n"/>
      <c r="AC442" s="3" t="n"/>
      <c r="AD442" s="3" t="n"/>
      <c r="AE442" s="3" t="n">
        <v>0</v>
      </c>
      <c r="AF442" s="3" t="n">
        <v>0</v>
      </c>
      <c r="AG442" s="3" t="n"/>
      <c r="AH442" s="3" t="n">
        <v>0</v>
      </c>
      <c r="AI442" s="3" t="n">
        <v>0</v>
      </c>
      <c r="AJ442" s="3" t="n">
        <v>3.22</v>
      </c>
      <c r="AK442" s="3" t="n">
        <v>1.6019</v>
      </c>
      <c r="AL442" s="3" t="n">
        <v>-0.0763216474948735</v>
      </c>
      <c r="AM442" s="6" t="n">
        <v>0</v>
      </c>
      <c r="AN442" s="3" t="n">
        <v>0</v>
      </c>
      <c r="AO442" s="3" t="n">
        <v>0</v>
      </c>
      <c r="AP442" s="3" t="n">
        <v>0</v>
      </c>
      <c r="AQ442" s="3">
        <f>N(X442)*N(BJ442)</f>
        <v/>
      </c>
      <c r="AR442" s="3" t="n">
        <v>0.7380333201454712</v>
      </c>
      <c r="AS442" s="3" t="n">
        <v>-0.5611019003833156</v>
      </c>
      <c r="AT442" s="3" t="n">
        <v>-0.0763216474948735</v>
      </c>
      <c r="AU442" s="3">
        <f>SUM(AO442:AT442)</f>
        <v/>
      </c>
      <c r="AV442" s="7">
        <f>IF(OR(N(W442)&lt;=0,N(BH442)=0),0,N(W442)*IF(N(R442)/N(W442)&gt;=60,N(BH442),1))</f>
        <v/>
      </c>
      <c r="AW442" s="7">
        <f>N(W442)*N(AF442)*N(BI442)</f>
        <v/>
      </c>
      <c r="AX442" s="3">
        <f>IF(N(BH442)=0,0,N(W442)*N(AH442))</f>
        <v/>
      </c>
      <c r="AY442" s="7">
        <f>N(AM442)*(Assumptions!$B$13*N(BK442)-(1-Assumptions!$B$13)*Assumptions!$B$14)+N(AN442)</f>
        <v/>
      </c>
      <c r="AZ442" s="7">
        <f>N(AU442)*N(R442)/90+N(AV442)+N(AW442)+N(AX442)+N(AY442)</f>
        <v/>
      </c>
      <c r="BA442" s="3">
        <f>IF(N(R442)&lt;=0,0,(N(AZ442)-N(AY442))*90/N(R442))</f>
        <v/>
      </c>
      <c r="BB442" s="7">
        <f>IFERROR(AZ442-VLOOKUP($E442,Assumptions!$A$40:$C$43,3,FALSE),"")</f>
        <v/>
      </c>
      <c r="BC442" s="3">
        <f>IFERROR(BB442/H442,"")</f>
        <v/>
      </c>
      <c r="BD442">
        <f>IF(AND($G442=TRUE,$E442="GKP"),AZ442,"")</f>
        <v/>
      </c>
      <c r="BE442">
        <f>IF(AND($G442=TRUE,$E442="DEF"),AZ442,"")</f>
        <v/>
      </c>
      <c r="BF442">
        <f>IF(AND($G442=TRUE,$E442="MID"),AZ442,"")</f>
        <v/>
      </c>
      <c r="BG442">
        <f>IF(AND($G442=TRUE,$E442="FWD"),AZ442,"")</f>
        <v/>
      </c>
      <c r="BH442" t="n">
        <v>2</v>
      </c>
      <c r="BI442" t="n">
        <v>0</v>
      </c>
      <c r="BJ442" t="n">
        <v>4</v>
      </c>
      <c r="BK442" t="n">
        <v>10</v>
      </c>
    </row>
    <row r="443">
      <c r="A443" t="inlineStr">
        <is>
          <t>Jayden Danns</t>
        </is>
      </c>
      <c r="B443" t="inlineStr">
        <is>
          <t>LIV</t>
        </is>
      </c>
      <c r="C443" t="inlineStr">
        <is>
          <t>LIV</t>
        </is>
      </c>
      <c r="D443" t="b">
        <v>0</v>
      </c>
      <c r="E443" t="inlineStr">
        <is>
          <t>FWD</t>
        </is>
      </c>
      <c r="F443" t="inlineStr">
        <is>
          <t>FWD</t>
        </is>
      </c>
      <c r="G443" t="b">
        <v>1</v>
      </c>
      <c r="H443" s="2" t="n">
        <v>4.5</v>
      </c>
      <c r="I443" t="inlineStr">
        <is>
          <t>i</t>
        </is>
      </c>
      <c r="J443" t="inlineStr">
        <is>
          <t>Unspecified injury - Unknown return date</t>
        </is>
      </c>
      <c r="K443" s="2" t="n">
        <v>0</v>
      </c>
      <c r="L443" t="n">
        <v>0</v>
      </c>
      <c r="M443" s="3" t="n">
        <v>0</v>
      </c>
      <c r="N443" s="8" t="n">
        <v>0</v>
      </c>
      <c r="O443" s="8" t="n">
        <v>0</v>
      </c>
      <c r="Q443" t="inlineStr">
        <is>
          <t>flat</t>
        </is>
      </c>
      <c r="R443" s="6" t="n">
        <v>0</v>
      </c>
      <c r="S443" t="inlineStr">
        <is>
          <t>Solio</t>
        </is>
      </c>
      <c r="U443" s="6" t="n">
        <v>85</v>
      </c>
      <c r="V443" s="2" t="n"/>
      <c r="W443" s="7">
        <f>IF(N(U443)&lt;=0,0,MIN(Assumptions!$B$15,N(R443)/N(U443)))</f>
        <v/>
      </c>
      <c r="X443" s="6" t="n">
        <v>0.342</v>
      </c>
      <c r="Y443" s="3" t="n"/>
      <c r="Z443" t="inlineStr"/>
      <c r="AA443" s="3" t="n">
        <v>1</v>
      </c>
      <c r="AB443" s="3" t="n"/>
      <c r="AC443" s="3" t="n"/>
      <c r="AD443" s="3" t="n"/>
      <c r="AE443" s="3" t="n"/>
      <c r="AF443" s="3" t="n">
        <v>0</v>
      </c>
      <c r="AG443" s="3" t="n"/>
      <c r="AH443" s="3" t="n">
        <v>0</v>
      </c>
      <c r="AI443" s="3" t="n">
        <v>0</v>
      </c>
      <c r="AJ443" s="3" t="n">
        <v>2.409</v>
      </c>
      <c r="AK443" s="3" t="n">
        <v>1.1228</v>
      </c>
      <c r="AL443" s="3" t="n">
        <v>-0.1985489867524817</v>
      </c>
      <c r="AM443" s="6" t="n">
        <v>0</v>
      </c>
      <c r="AN443" s="3" t="n">
        <v>0</v>
      </c>
      <c r="AO443" s="3" t="n">
        <v>0</v>
      </c>
      <c r="AP443" s="3" t="n">
        <v>0</v>
      </c>
      <c r="AQ443" s="3">
        <f>N(X443)*N(BJ443)</f>
        <v/>
      </c>
      <c r="AR443" s="3" t="n">
        <v>0</v>
      </c>
      <c r="AS443" s="3" t="n">
        <v>-0</v>
      </c>
      <c r="AT443" s="3" t="n">
        <v>-0.1985489867524817</v>
      </c>
      <c r="AU443" s="3">
        <f>SUM(AO443:AT443)</f>
        <v/>
      </c>
      <c r="AV443" s="7">
        <f>IF(OR(N(W443)&lt;=0,N(BH443)=0),0,N(W443)*IF(N(R443)/N(W443)&gt;=60,N(BH443),1))</f>
        <v/>
      </c>
      <c r="AW443" s="7">
        <f>N(W443)*N(AF443)*N(BI443)</f>
        <v/>
      </c>
      <c r="AX443" s="3">
        <f>IF(N(BH443)=0,0,N(W443)*N(AH443))</f>
        <v/>
      </c>
      <c r="AY443" s="7">
        <f>N(AM443)*(Assumptions!$B$13*N(BK443)-(1-Assumptions!$B$13)*Assumptions!$B$14)+N(AN443)</f>
        <v/>
      </c>
      <c r="AZ443" s="7">
        <f>N(AU443)*N(R443)/90+N(AV443)+N(AW443)+N(AX443)+N(AY443)</f>
        <v/>
      </c>
      <c r="BA443" s="3">
        <f>IF(N(R443)&lt;=0,0,(N(AZ443)-N(AY443))*90/N(R443))</f>
        <v/>
      </c>
      <c r="BB443" s="7">
        <f>IFERROR(AZ443-VLOOKUP($E443,Assumptions!$A$40:$C$43,3,FALSE),"")</f>
        <v/>
      </c>
      <c r="BC443" s="3">
        <f>IFERROR(BB443/H443,"")</f>
        <v/>
      </c>
      <c r="BD443">
        <f>IF(AND($G443=TRUE,$E443="GKP"),AZ443,"")</f>
        <v/>
      </c>
      <c r="BE443">
        <f>IF(AND($G443=TRUE,$E443="DEF"),AZ443,"")</f>
        <v/>
      </c>
      <c r="BF443">
        <f>IF(AND($G443=TRUE,$E443="MID"),AZ443,"")</f>
        <v/>
      </c>
      <c r="BG443">
        <f>IF(AND($G443=TRUE,$E443="FWD"),AZ443,"")</f>
        <v/>
      </c>
      <c r="BH443" t="n">
        <v>2</v>
      </c>
      <c r="BI443" t="n">
        <v>2</v>
      </c>
      <c r="BJ443" t="n">
        <v>0</v>
      </c>
      <c r="BK443" t="n">
        <v>4</v>
      </c>
    </row>
    <row r="444">
      <c r="A444" t="inlineStr">
        <is>
          <t>Claudio Echeverri</t>
        </is>
      </c>
      <c r="B444" t="inlineStr">
        <is>
          <t>MCI</t>
        </is>
      </c>
      <c r="C444" t="inlineStr">
        <is>
          <t>MCI</t>
        </is>
      </c>
      <c r="D444" t="b">
        <v>0</v>
      </c>
      <c r="E444" t="inlineStr">
        <is>
          <t>MID</t>
        </is>
      </c>
      <c r="F444" t="inlineStr">
        <is>
          <t>MID</t>
        </is>
      </c>
      <c r="G444" t="b">
        <v>1</v>
      </c>
      <c r="H444" s="2" t="n">
        <v>5</v>
      </c>
      <c r="I444" t="inlineStr">
        <is>
          <t>a</t>
        </is>
      </c>
      <c r="K444" s="2" t="n">
        <v>0</v>
      </c>
      <c r="L444" t="n">
        <v>0</v>
      </c>
      <c r="M444" s="3" t="n">
        <v>0</v>
      </c>
      <c r="N444" s="8" t="n">
        <v>0</v>
      </c>
      <c r="O444" s="8" t="n">
        <v>0</v>
      </c>
      <c r="Q444" t="inlineStr">
        <is>
          <t>flat</t>
        </is>
      </c>
      <c r="R444" s="6" t="n">
        <v>0</v>
      </c>
      <c r="S444" t="inlineStr">
        <is>
          <t>Solio</t>
        </is>
      </c>
      <c r="U444" s="6" t="n">
        <v>85</v>
      </c>
      <c r="V444" s="2" t="n"/>
      <c r="W444" s="7">
        <f>IF(N(U444)&lt;=0,0,MIN(Assumptions!$B$15,N(R444)/N(U444)))</f>
        <v/>
      </c>
      <c r="X444" s="6" t="n">
        <v>0.371</v>
      </c>
      <c r="Y444" s="3" t="n"/>
      <c r="Z444" t="inlineStr"/>
      <c r="AA444" s="3" t="n">
        <v>1</v>
      </c>
      <c r="AB444" s="3" t="n"/>
      <c r="AC444" s="3" t="n"/>
      <c r="AD444" s="3" t="n"/>
      <c r="AE444" s="3" t="n"/>
      <c r="AF444" s="3" t="n">
        <v>0</v>
      </c>
      <c r="AG444" s="3" t="n"/>
      <c r="AH444" s="3" t="n">
        <v>0</v>
      </c>
      <c r="AI444" s="3" t="n">
        <v>0</v>
      </c>
      <c r="AJ444" s="3" t="n">
        <v>1.9737</v>
      </c>
      <c r="AK444" s="3" t="n">
        <v>1.0365</v>
      </c>
      <c r="AL444" s="3" t="n">
        <v>-0.2156288455209739</v>
      </c>
      <c r="AM444" s="6" t="n">
        <v>0</v>
      </c>
      <c r="AN444" s="3" t="n">
        <v>0</v>
      </c>
      <c r="AO444" s="3" t="n">
        <v>0</v>
      </c>
      <c r="AP444" s="3" t="n">
        <v>0</v>
      </c>
      <c r="AQ444" s="3">
        <f>N(X444)*N(BJ444)</f>
        <v/>
      </c>
      <c r="AR444" s="3" t="n">
        <v>0</v>
      </c>
      <c r="AS444" s="3" t="n">
        <v>-0</v>
      </c>
      <c r="AT444" s="3" t="n">
        <v>-0.2156288455209739</v>
      </c>
      <c r="AU444" s="3">
        <f>SUM(AO444:AT444)</f>
        <v/>
      </c>
      <c r="AV444" s="7">
        <f>IF(OR(N(W444)&lt;=0,N(BH444)=0),0,N(W444)*IF(N(R444)/N(W444)&gt;=60,N(BH444),1))</f>
        <v/>
      </c>
      <c r="AW444" s="7">
        <f>N(W444)*N(AF444)*N(BI444)</f>
        <v/>
      </c>
      <c r="AX444" s="3">
        <f>IF(N(BH444)=0,0,N(W444)*N(AH444))</f>
        <v/>
      </c>
      <c r="AY444" s="7">
        <f>N(AM444)*(Assumptions!$B$13*N(BK444)-(1-Assumptions!$B$13)*Assumptions!$B$14)+N(AN444)</f>
        <v/>
      </c>
      <c r="AZ444" s="7">
        <f>N(AU444)*N(R444)/90+N(AV444)+N(AW444)+N(AX444)+N(AY444)</f>
        <v/>
      </c>
      <c r="BA444" s="3">
        <f>IF(N(R444)&lt;=0,0,(N(AZ444)-N(AY444))*90/N(R444))</f>
        <v/>
      </c>
      <c r="BB444" s="7">
        <f>IFERROR(AZ444-VLOOKUP($E444,Assumptions!$A$40:$C$43,3,FALSE),"")</f>
        <v/>
      </c>
      <c r="BC444" s="3">
        <f>IFERROR(BB444/H444,"")</f>
        <v/>
      </c>
      <c r="BD444">
        <f>IF(AND($G444=TRUE,$E444="GKP"),AZ444,"")</f>
        <v/>
      </c>
      <c r="BE444">
        <f>IF(AND($G444=TRUE,$E444="DEF"),AZ444,"")</f>
        <v/>
      </c>
      <c r="BF444">
        <f>IF(AND($G444=TRUE,$E444="MID"),AZ444,"")</f>
        <v/>
      </c>
      <c r="BG444">
        <f>IF(AND($G444=TRUE,$E444="FWD"),AZ444,"")</f>
        <v/>
      </c>
      <c r="BH444" t="n">
        <v>2</v>
      </c>
      <c r="BI444" t="n">
        <v>2</v>
      </c>
      <c r="BJ444" t="n">
        <v>1</v>
      </c>
      <c r="BK444" t="n">
        <v>5</v>
      </c>
    </row>
    <row r="445">
      <c r="A445" t="inlineStr">
        <is>
          <t>Mikey Moore</t>
        </is>
      </c>
      <c r="B445" t="inlineStr">
        <is>
          <t>TOT</t>
        </is>
      </c>
      <c r="C445" t="inlineStr">
        <is>
          <t>TOT</t>
        </is>
      </c>
      <c r="D445" t="b">
        <v>0</v>
      </c>
      <c r="E445" t="inlineStr">
        <is>
          <t>MID</t>
        </is>
      </c>
      <c r="F445" t="inlineStr">
        <is>
          <t>MID</t>
        </is>
      </c>
      <c r="G445" t="b">
        <v>1</v>
      </c>
      <c r="H445" s="2" t="n">
        <v>5</v>
      </c>
      <c r="I445" t="inlineStr">
        <is>
          <t>a</t>
        </is>
      </c>
      <c r="K445" s="2" t="n">
        <v>0</v>
      </c>
      <c r="L445" t="n">
        <v>0</v>
      </c>
      <c r="M445" s="3" t="n">
        <v>0</v>
      </c>
      <c r="N445" s="8" t="n">
        <v>0</v>
      </c>
      <c r="O445" s="8" t="n">
        <v>0</v>
      </c>
      <c r="Q445" t="inlineStr">
        <is>
          <t>flat</t>
        </is>
      </c>
      <c r="R445" s="6" t="n">
        <v>0</v>
      </c>
      <c r="S445" t="inlineStr">
        <is>
          <t>Solio</t>
        </is>
      </c>
      <c r="U445" s="6" t="n">
        <v>85</v>
      </c>
      <c r="V445" s="2" t="n"/>
      <c r="W445" s="7">
        <f>IF(N(U445)&lt;=0,0,MIN(Assumptions!$B$15,N(R445)/N(U445)))</f>
        <v/>
      </c>
      <c r="X445" s="6" t="n">
        <v>0.286</v>
      </c>
      <c r="Y445" s="3" t="n"/>
      <c r="Z445" t="inlineStr"/>
      <c r="AA445" s="3" t="n">
        <v>1</v>
      </c>
      <c r="AB445" s="3" t="n"/>
      <c r="AC445" s="3" t="n"/>
      <c r="AD445" s="3" t="n"/>
      <c r="AE445" s="3" t="n"/>
      <c r="AF445" s="3" t="n">
        <v>0</v>
      </c>
      <c r="AG445" s="3" t="n"/>
      <c r="AH445" s="3" t="n">
        <v>0</v>
      </c>
      <c r="AI445" s="3" t="n">
        <v>0</v>
      </c>
      <c r="AJ445" s="3" t="n">
        <v>2.5739</v>
      </c>
      <c r="AK445" s="3" t="n">
        <v>1.3096</v>
      </c>
      <c r="AL445" s="3" t="n">
        <v>-0.1899707836076616</v>
      </c>
      <c r="AM445" s="6" t="n">
        <v>0</v>
      </c>
      <c r="AN445" s="3" t="n">
        <v>0</v>
      </c>
      <c r="AO445" s="3" t="n">
        <v>0</v>
      </c>
      <c r="AP445" s="3" t="n">
        <v>0</v>
      </c>
      <c r="AQ445" s="3">
        <f>N(X445)*N(BJ445)</f>
        <v/>
      </c>
      <c r="AR445" s="3" t="n">
        <v>0</v>
      </c>
      <c r="AS445" s="3" t="n">
        <v>-0</v>
      </c>
      <c r="AT445" s="3" t="n">
        <v>-0.1899707836076616</v>
      </c>
      <c r="AU445" s="3">
        <f>SUM(AO445:AT445)</f>
        <v/>
      </c>
      <c r="AV445" s="7">
        <f>IF(OR(N(W445)&lt;=0,N(BH445)=0),0,N(W445)*IF(N(R445)/N(W445)&gt;=60,N(BH445),1))</f>
        <v/>
      </c>
      <c r="AW445" s="7">
        <f>N(W445)*N(AF445)*N(BI445)</f>
        <v/>
      </c>
      <c r="AX445" s="3">
        <f>IF(N(BH445)=0,0,N(W445)*N(AH445))</f>
        <v/>
      </c>
      <c r="AY445" s="7">
        <f>N(AM445)*(Assumptions!$B$13*N(BK445)-(1-Assumptions!$B$13)*Assumptions!$B$14)+N(AN445)</f>
        <v/>
      </c>
      <c r="AZ445" s="7">
        <f>N(AU445)*N(R445)/90+N(AV445)+N(AW445)+N(AX445)+N(AY445)</f>
        <v/>
      </c>
      <c r="BA445" s="3">
        <f>IF(N(R445)&lt;=0,0,(N(AZ445)-N(AY445))*90/N(R445))</f>
        <v/>
      </c>
      <c r="BB445" s="7">
        <f>IFERROR(AZ445-VLOOKUP($E445,Assumptions!$A$40:$C$43,3,FALSE),"")</f>
        <v/>
      </c>
      <c r="BC445" s="3">
        <f>IFERROR(BB445/H445,"")</f>
        <v/>
      </c>
      <c r="BD445">
        <f>IF(AND($G445=TRUE,$E445="GKP"),AZ445,"")</f>
        <v/>
      </c>
      <c r="BE445">
        <f>IF(AND($G445=TRUE,$E445="DEF"),AZ445,"")</f>
        <v/>
      </c>
      <c r="BF445">
        <f>IF(AND($G445=TRUE,$E445="MID"),AZ445,"")</f>
        <v/>
      </c>
      <c r="BG445">
        <f>IF(AND($G445=TRUE,$E445="FWD"),AZ445,"")</f>
        <v/>
      </c>
      <c r="BH445" t="n">
        <v>2</v>
      </c>
      <c r="BI445" t="n">
        <v>2</v>
      </c>
      <c r="BJ445" t="n">
        <v>1</v>
      </c>
      <c r="BK445" t="n">
        <v>5</v>
      </c>
    </row>
    <row r="446">
      <c r="A446" t="inlineStr">
        <is>
          <t>Adam Aznou</t>
        </is>
      </c>
      <c r="B446" t="inlineStr">
        <is>
          <t>EVE</t>
        </is>
      </c>
      <c r="C446" t="inlineStr">
        <is>
          <t>EVE</t>
        </is>
      </c>
      <c r="D446" t="b">
        <v>0</v>
      </c>
      <c r="E446" t="inlineStr">
        <is>
          <t>DEF</t>
        </is>
      </c>
      <c r="F446" t="inlineStr">
        <is>
          <t>DEF</t>
        </is>
      </c>
      <c r="G446" t="b">
        <v>1</v>
      </c>
      <c r="H446" s="2" t="n">
        <v>4</v>
      </c>
      <c r="I446" t="inlineStr">
        <is>
          <t>a</t>
        </is>
      </c>
      <c r="K446" s="2" t="n">
        <v>0</v>
      </c>
      <c r="L446" t="n">
        <v>0</v>
      </c>
      <c r="M446" s="3" t="n">
        <v>0</v>
      </c>
      <c r="N446" s="4" t="n">
        <v>700</v>
      </c>
      <c r="O446" s="4" t="n">
        <v>700</v>
      </c>
      <c r="P446" s="5" t="inlineStr">
        <is>
          <t>medium</t>
        </is>
      </c>
      <c r="Q446" t="inlineStr">
        <is>
          <t>flat</t>
        </is>
      </c>
      <c r="R446" s="6" t="n">
        <v>700</v>
      </c>
      <c r="S446" t="inlineStr">
        <is>
          <t>research</t>
        </is>
      </c>
      <c r="T446" s="5" t="inlineStr">
        <is>
          <t>Solio has him at zero. Read Everton's transfer tracker on 15 August states he has ruled out a summer loan - despite reported PSV interest - and is 'preparing to compete with Vitaliy Mykolenko for the left-back position' after impressing in pre-season. He was among the substitutes for both the Newcastle (12 Aug) and Lille (15 Aug) friendlies. Zero minutes for a fit, retained, matchday-squad left-back who is the only cover at the position is wrong regardless of whether he wins the shirt.</t>
        </is>
      </c>
      <c r="U446" s="6" t="n">
        <v>85</v>
      </c>
      <c r="V446" s="2" t="n"/>
      <c r="W446" s="7">
        <f>IF(N(U446)&lt;=0,0,MIN(Assumptions!$B$15,N(R446)/N(U446)))</f>
        <v/>
      </c>
      <c r="X446" s="6" t="n">
        <v>0.231</v>
      </c>
      <c r="Y446" s="3" t="n"/>
      <c r="Z446" t="inlineStr"/>
      <c r="AA446" s="3" t="n">
        <v>1</v>
      </c>
      <c r="AB446" s="3" t="n"/>
      <c r="AC446" s="3" t="n"/>
      <c r="AD446" s="3" t="n"/>
      <c r="AE446" s="3" t="n"/>
      <c r="AF446" s="3" t="n">
        <v>0</v>
      </c>
      <c r="AG446" s="3" t="n"/>
      <c r="AH446" s="3" t="n">
        <v>0</v>
      </c>
      <c r="AI446" s="3" t="n">
        <v>0</v>
      </c>
      <c r="AJ446" s="3" t="n">
        <v>3.0311</v>
      </c>
      <c r="AK446" s="3" t="n">
        <v>1.5252</v>
      </c>
      <c r="AL446" s="3" t="n">
        <v>-0.2045226422080557</v>
      </c>
      <c r="AM446" s="6" t="n">
        <v>0</v>
      </c>
      <c r="AN446" s="3" t="n">
        <v>0</v>
      </c>
      <c r="AO446" s="3" t="n">
        <v>0</v>
      </c>
      <c r="AP446" s="3" t="n">
        <v>0</v>
      </c>
      <c r="AQ446" s="3">
        <f>N(X446)*N(BJ446)</f>
        <v/>
      </c>
      <c r="AR446" s="3" t="n">
        <v>0</v>
      </c>
      <c r="AS446" s="3" t="n">
        <v>-0.524434996152324</v>
      </c>
      <c r="AT446" s="3" t="n">
        <v>-0.2045226422080557</v>
      </c>
      <c r="AU446" s="3">
        <f>SUM(AO446:AT446)</f>
        <v/>
      </c>
      <c r="AV446" s="7">
        <f>IF(OR(N(W446)&lt;=0,N(BH446)=0),0,N(W446)*IF(N(R446)/N(W446)&gt;=60,N(BH446),1))</f>
        <v/>
      </c>
      <c r="AW446" s="7">
        <f>N(W446)*N(AF446)*N(BI446)</f>
        <v/>
      </c>
      <c r="AX446" s="3">
        <f>IF(N(BH446)=0,0,N(W446)*N(AH446))</f>
        <v/>
      </c>
      <c r="AY446" s="7">
        <f>N(AM446)*(Assumptions!$B$13*N(BK446)-(1-Assumptions!$B$13)*Assumptions!$B$14)+N(AN446)</f>
        <v/>
      </c>
      <c r="AZ446" s="7">
        <f>N(AU446)*N(R446)/90+N(AV446)+N(AW446)+N(AX446)+N(AY446)</f>
        <v/>
      </c>
      <c r="BA446" s="3">
        <f>IF(N(R446)&lt;=0,0,(N(AZ446)-N(AY446))*90/N(R446))</f>
        <v/>
      </c>
      <c r="BB446" s="7">
        <f>IFERROR(AZ446-VLOOKUP($E446,Assumptions!$A$40:$C$43,3,FALSE),"")</f>
        <v/>
      </c>
      <c r="BC446" s="3">
        <f>IFERROR(BB446/H446,"")</f>
        <v/>
      </c>
      <c r="BD446">
        <f>IF(AND($G446=TRUE,$E446="GKP"),AZ446,"")</f>
        <v/>
      </c>
      <c r="BE446">
        <f>IF(AND($G446=TRUE,$E446="DEF"),AZ446,"")</f>
        <v/>
      </c>
      <c r="BF446">
        <f>IF(AND($G446=TRUE,$E446="MID"),AZ446,"")</f>
        <v/>
      </c>
      <c r="BG446">
        <f>IF(AND($G446=TRUE,$E446="FWD"),AZ446,"")</f>
        <v/>
      </c>
      <c r="BH446" t="n">
        <v>2</v>
      </c>
      <c r="BI446" t="n">
        <v>2</v>
      </c>
      <c r="BJ446" t="n">
        <v>4</v>
      </c>
      <c r="BK446" t="n">
        <v>6</v>
      </c>
    </row>
    <row r="447">
      <c r="A447" t="inlineStr">
        <is>
          <t>Toby Collyer</t>
        </is>
      </c>
      <c r="B447" t="inlineStr">
        <is>
          <t>MUN</t>
        </is>
      </c>
      <c r="C447" t="inlineStr">
        <is>
          <t>MUN</t>
        </is>
      </c>
      <c r="D447" t="b">
        <v>0</v>
      </c>
      <c r="E447" t="inlineStr">
        <is>
          <t>MID</t>
        </is>
      </c>
      <c r="F447" t="inlineStr">
        <is>
          <t>MID</t>
        </is>
      </c>
      <c r="G447" t="b">
        <v>1</v>
      </c>
      <c r="H447" s="2" t="n">
        <v>5</v>
      </c>
      <c r="I447" t="inlineStr">
        <is>
          <t>a</t>
        </is>
      </c>
      <c r="K447" s="2" t="n">
        <v>0</v>
      </c>
      <c r="L447" t="n">
        <v>0</v>
      </c>
      <c r="M447" s="3" t="n">
        <v>0</v>
      </c>
      <c r="N447" s="8" t="n">
        <v>0</v>
      </c>
      <c r="O447" s="8" t="n">
        <v>0</v>
      </c>
      <c r="Q447" t="inlineStr">
        <is>
          <t>flat</t>
        </is>
      </c>
      <c r="R447" s="6" t="n">
        <v>0</v>
      </c>
      <c r="S447" t="inlineStr">
        <is>
          <t>Solio</t>
        </is>
      </c>
      <c r="U447" s="6" t="n">
        <v>85</v>
      </c>
      <c r="V447" s="2" t="n"/>
      <c r="W447" s="7">
        <f>IF(N(U447)&lt;=0,0,MIN(Assumptions!$B$15,N(R447)/N(U447)))</f>
        <v/>
      </c>
      <c r="X447" s="6" t="n">
        <v>0.334</v>
      </c>
      <c r="Y447" s="3" t="n"/>
      <c r="Z447" t="inlineStr"/>
      <c r="AA447" s="3" t="n">
        <v>1</v>
      </c>
      <c r="AB447" s="3" t="n"/>
      <c r="AC447" s="3" t="n"/>
      <c r="AD447" s="3" t="n"/>
      <c r="AE447" s="3" t="n"/>
      <c r="AF447" s="3" t="n">
        <v>0</v>
      </c>
      <c r="AG447" s="3" t="n"/>
      <c r="AH447" s="3" t="n">
        <v>0</v>
      </c>
      <c r="AI447" s="3" t="n">
        <v>0</v>
      </c>
      <c r="AJ447" s="3" t="n">
        <v>2.2165</v>
      </c>
      <c r="AK447" s="3" t="n">
        <v>1.1467</v>
      </c>
      <c r="AL447" s="3" t="n">
        <v>-0.2025635746060023</v>
      </c>
      <c r="AM447" s="6" t="n">
        <v>0</v>
      </c>
      <c r="AN447" s="3" t="n">
        <v>0</v>
      </c>
      <c r="AO447" s="3" t="n">
        <v>0</v>
      </c>
      <c r="AP447" s="3" t="n">
        <v>0</v>
      </c>
      <c r="AQ447" s="3">
        <f>N(X447)*N(BJ447)</f>
        <v/>
      </c>
      <c r="AR447" s="3" t="n">
        <v>0</v>
      </c>
      <c r="AS447" s="3" t="n">
        <v>-0</v>
      </c>
      <c r="AT447" s="3" t="n">
        <v>-0.2025635746060023</v>
      </c>
      <c r="AU447" s="3">
        <f>SUM(AO447:AT447)</f>
        <v/>
      </c>
      <c r="AV447" s="7">
        <f>IF(OR(N(W447)&lt;=0,N(BH447)=0),0,N(W447)*IF(N(R447)/N(W447)&gt;=60,N(BH447),1))</f>
        <v/>
      </c>
      <c r="AW447" s="7">
        <f>N(W447)*N(AF447)*N(BI447)</f>
        <v/>
      </c>
      <c r="AX447" s="3">
        <f>IF(N(BH447)=0,0,N(W447)*N(AH447))</f>
        <v/>
      </c>
      <c r="AY447" s="7">
        <f>N(AM447)*(Assumptions!$B$13*N(BK447)-(1-Assumptions!$B$13)*Assumptions!$B$14)+N(AN447)</f>
        <v/>
      </c>
      <c r="AZ447" s="7">
        <f>N(AU447)*N(R447)/90+N(AV447)+N(AW447)+N(AX447)+N(AY447)</f>
        <v/>
      </c>
      <c r="BA447" s="3">
        <f>IF(N(R447)&lt;=0,0,(N(AZ447)-N(AY447))*90/N(R447))</f>
        <v/>
      </c>
      <c r="BB447" s="7">
        <f>IFERROR(AZ447-VLOOKUP($E447,Assumptions!$A$40:$C$43,3,FALSE),"")</f>
        <v/>
      </c>
      <c r="BC447" s="3">
        <f>IFERROR(BB447/H447,"")</f>
        <v/>
      </c>
      <c r="BD447">
        <f>IF(AND($G447=TRUE,$E447="GKP"),AZ447,"")</f>
        <v/>
      </c>
      <c r="BE447">
        <f>IF(AND($G447=TRUE,$E447="DEF"),AZ447,"")</f>
        <v/>
      </c>
      <c r="BF447">
        <f>IF(AND($G447=TRUE,$E447="MID"),AZ447,"")</f>
        <v/>
      </c>
      <c r="BG447">
        <f>IF(AND($G447=TRUE,$E447="FWD"),AZ447,"")</f>
        <v/>
      </c>
      <c r="BH447" t="n">
        <v>2</v>
      </c>
      <c r="BI447" t="n">
        <v>2</v>
      </c>
      <c r="BJ447" t="n">
        <v>1</v>
      </c>
      <c r="BK447" t="n">
        <v>5</v>
      </c>
    </row>
    <row r="448">
      <c r="A448" t="inlineStr">
        <is>
          <t>Chido Obi</t>
        </is>
      </c>
      <c r="B448" t="inlineStr">
        <is>
          <t>MUN</t>
        </is>
      </c>
      <c r="C448" t="inlineStr">
        <is>
          <t>MUN</t>
        </is>
      </c>
      <c r="D448" t="b">
        <v>0</v>
      </c>
      <c r="E448" t="inlineStr">
        <is>
          <t>FWD</t>
        </is>
      </c>
      <c r="F448" t="inlineStr">
        <is>
          <t>FWD</t>
        </is>
      </c>
      <c r="G448" t="b">
        <v>1</v>
      </c>
      <c r="H448" s="2" t="n">
        <v>4.5</v>
      </c>
      <c r="I448" t="inlineStr">
        <is>
          <t>a</t>
        </is>
      </c>
      <c r="K448" s="2" t="n">
        <v>0</v>
      </c>
      <c r="L448" t="n">
        <v>0</v>
      </c>
      <c r="M448" s="3" t="n">
        <v>0</v>
      </c>
      <c r="N448" s="8" t="n">
        <v>0</v>
      </c>
      <c r="O448" s="8" t="n">
        <v>0</v>
      </c>
      <c r="Q448" t="inlineStr">
        <is>
          <t>flat</t>
        </is>
      </c>
      <c r="R448" s="6" t="n">
        <v>0</v>
      </c>
      <c r="S448" t="inlineStr">
        <is>
          <t>Solio</t>
        </is>
      </c>
      <c r="U448" s="6" t="n">
        <v>85</v>
      </c>
      <c r="V448" s="2" t="n"/>
      <c r="W448" s="7">
        <f>IF(N(U448)&lt;=0,0,MIN(Assumptions!$B$15,N(R448)/N(U448)))</f>
        <v/>
      </c>
      <c r="X448" s="6" t="n">
        <v>0.334</v>
      </c>
      <c r="Y448" s="3" t="n"/>
      <c r="Z448" t="inlineStr"/>
      <c r="AA448" s="3" t="n">
        <v>1</v>
      </c>
      <c r="AB448" s="3" t="n"/>
      <c r="AC448" s="3" t="n"/>
      <c r="AD448" s="3" t="n"/>
      <c r="AE448" s="3" t="n"/>
      <c r="AF448" s="3" t="n">
        <v>0</v>
      </c>
      <c r="AG448" s="3" t="n"/>
      <c r="AH448" s="3" t="n">
        <v>0</v>
      </c>
      <c r="AI448" s="3" t="n">
        <v>0</v>
      </c>
      <c r="AJ448" s="3" t="n">
        <v>2.2165</v>
      </c>
      <c r="AK448" s="3" t="n">
        <v>1.1467</v>
      </c>
      <c r="AL448" s="3" t="n">
        <v>-0.1996559750781705</v>
      </c>
      <c r="AM448" s="6" t="n">
        <v>0</v>
      </c>
      <c r="AN448" s="3" t="n">
        <v>0</v>
      </c>
      <c r="AO448" s="3" t="n">
        <v>0</v>
      </c>
      <c r="AP448" s="3" t="n">
        <v>0</v>
      </c>
      <c r="AQ448" s="3">
        <f>N(X448)*N(BJ448)</f>
        <v/>
      </c>
      <c r="AR448" s="3" t="n">
        <v>0</v>
      </c>
      <c r="AS448" s="3" t="n">
        <v>-0</v>
      </c>
      <c r="AT448" s="3" t="n">
        <v>-0.1996559750781705</v>
      </c>
      <c r="AU448" s="3">
        <f>SUM(AO448:AT448)</f>
        <v/>
      </c>
      <c r="AV448" s="7">
        <f>IF(OR(N(W448)&lt;=0,N(BH448)=0),0,N(W448)*IF(N(R448)/N(W448)&gt;=60,N(BH448),1))</f>
        <v/>
      </c>
      <c r="AW448" s="7">
        <f>N(W448)*N(AF448)*N(BI448)</f>
        <v/>
      </c>
      <c r="AX448" s="3">
        <f>IF(N(BH448)=0,0,N(W448)*N(AH448))</f>
        <v/>
      </c>
      <c r="AY448" s="7">
        <f>N(AM448)*(Assumptions!$B$13*N(BK448)-(1-Assumptions!$B$13)*Assumptions!$B$14)+N(AN448)</f>
        <v/>
      </c>
      <c r="AZ448" s="7">
        <f>N(AU448)*N(R448)/90+N(AV448)+N(AW448)+N(AX448)+N(AY448)</f>
        <v/>
      </c>
      <c r="BA448" s="3">
        <f>IF(N(R448)&lt;=0,0,(N(AZ448)-N(AY448))*90/N(R448))</f>
        <v/>
      </c>
      <c r="BB448" s="7">
        <f>IFERROR(AZ448-VLOOKUP($E448,Assumptions!$A$40:$C$43,3,FALSE),"")</f>
        <v/>
      </c>
      <c r="BC448" s="3">
        <f>IFERROR(BB448/H448,"")</f>
        <v/>
      </c>
      <c r="BD448">
        <f>IF(AND($G448=TRUE,$E448="GKP"),AZ448,"")</f>
        <v/>
      </c>
      <c r="BE448">
        <f>IF(AND($G448=TRUE,$E448="DEF"),AZ448,"")</f>
        <v/>
      </c>
      <c r="BF448">
        <f>IF(AND($G448=TRUE,$E448="MID"),AZ448,"")</f>
        <v/>
      </c>
      <c r="BG448">
        <f>IF(AND($G448=TRUE,$E448="FWD"),AZ448,"")</f>
        <v/>
      </c>
      <c r="BH448" t="n">
        <v>2</v>
      </c>
      <c r="BI448" t="n">
        <v>2</v>
      </c>
      <c r="BJ448" t="n">
        <v>0</v>
      </c>
      <c r="BK448" t="n">
        <v>4</v>
      </c>
    </row>
    <row r="449">
      <c r="A449" t="inlineStr">
        <is>
          <t>Calvin Ramsay</t>
        </is>
      </c>
      <c r="B449" t="inlineStr">
        <is>
          <t>LIV</t>
        </is>
      </c>
      <c r="C449" t="inlineStr">
        <is>
          <t>LIV</t>
        </is>
      </c>
      <c r="D449" t="b">
        <v>0</v>
      </c>
      <c r="E449" t="inlineStr">
        <is>
          <t>DEF</t>
        </is>
      </c>
      <c r="F449" t="inlineStr">
        <is>
          <t>DEF</t>
        </is>
      </c>
      <c r="G449" t="b">
        <v>1</v>
      </c>
      <c r="H449" s="2" t="n">
        <v>4</v>
      </c>
      <c r="I449" t="inlineStr">
        <is>
          <t>a</t>
        </is>
      </c>
      <c r="K449" s="2" t="n">
        <v>0</v>
      </c>
      <c r="L449" t="n">
        <v>0</v>
      </c>
      <c r="M449" s="3" t="n">
        <v>103</v>
      </c>
      <c r="N449" s="8" t="n">
        <v>103</v>
      </c>
      <c r="O449" s="8" t="n">
        <v>0</v>
      </c>
      <c r="Q449" t="inlineStr">
        <is>
          <t>flat</t>
        </is>
      </c>
      <c r="R449" s="6" t="n">
        <v>103</v>
      </c>
      <c r="S449" t="inlineStr">
        <is>
          <t>Solio</t>
        </is>
      </c>
      <c r="U449" s="6" t="n">
        <v>85</v>
      </c>
      <c r="V449" s="2" t="n"/>
      <c r="W449" s="7">
        <f>IF(N(U449)&lt;=0,0,MIN(Assumptions!$B$15,N(R449)/N(U449)))</f>
        <v/>
      </c>
      <c r="X449" s="6" t="n">
        <v>0.342</v>
      </c>
      <c r="Y449" s="3" t="n"/>
      <c r="Z449" t="inlineStr"/>
      <c r="AA449" s="3" t="n">
        <v>1</v>
      </c>
      <c r="AB449" s="3" t="n"/>
      <c r="AC449" s="3" t="n"/>
      <c r="AD449" s="3" t="n"/>
      <c r="AE449" s="3" t="n"/>
      <c r="AF449" s="3" t="n">
        <v>0</v>
      </c>
      <c r="AG449" s="3" t="n"/>
      <c r="AH449" s="3" t="n">
        <v>0</v>
      </c>
      <c r="AI449" s="3" t="n">
        <v>0</v>
      </c>
      <c r="AJ449" s="3" t="n">
        <v>2.409</v>
      </c>
      <c r="AK449" s="3" t="n">
        <v>1.1228</v>
      </c>
      <c r="AL449" s="3" t="n">
        <v>-0.2045226422080557</v>
      </c>
      <c r="AM449" s="6" t="n">
        <v>0</v>
      </c>
      <c r="AN449" s="3" t="n">
        <v>0</v>
      </c>
      <c r="AO449" s="3" t="n">
        <v>0</v>
      </c>
      <c r="AP449" s="3" t="n">
        <v>0</v>
      </c>
      <c r="AQ449" s="3">
        <f>N(X449)*N(BJ449)</f>
        <v/>
      </c>
      <c r="AR449" s="3" t="n">
        <v>0</v>
      </c>
      <c r="AS449" s="3" t="n">
        <v>-0.3378660007281162</v>
      </c>
      <c r="AT449" s="3" t="n">
        <v>-0.2045226422080557</v>
      </c>
      <c r="AU449" s="3">
        <f>SUM(AO449:AT449)</f>
        <v/>
      </c>
      <c r="AV449" s="7">
        <f>IF(OR(N(W449)&lt;=0,N(BH449)=0),0,N(W449)*IF(N(R449)/N(W449)&gt;=60,N(BH449),1))</f>
        <v/>
      </c>
      <c r="AW449" s="7">
        <f>N(W449)*N(AF449)*N(BI449)</f>
        <v/>
      </c>
      <c r="AX449" s="3">
        <f>IF(N(BH449)=0,0,N(W449)*N(AH449))</f>
        <v/>
      </c>
      <c r="AY449" s="7">
        <f>N(AM449)*(Assumptions!$B$13*N(BK449)-(1-Assumptions!$B$13)*Assumptions!$B$14)+N(AN449)</f>
        <v/>
      </c>
      <c r="AZ449" s="7">
        <f>N(AU449)*N(R449)/90+N(AV449)+N(AW449)+N(AX449)+N(AY449)</f>
        <v/>
      </c>
      <c r="BA449" s="3">
        <f>IF(N(R449)&lt;=0,0,(N(AZ449)-N(AY449))*90/N(R449))</f>
        <v/>
      </c>
      <c r="BB449" s="7">
        <f>IFERROR(AZ449-VLOOKUP($E449,Assumptions!$A$40:$C$43,3,FALSE),"")</f>
        <v/>
      </c>
      <c r="BC449" s="3">
        <f>IFERROR(BB449/H449,"")</f>
        <v/>
      </c>
      <c r="BD449">
        <f>IF(AND($G449=TRUE,$E449="GKP"),AZ449,"")</f>
        <v/>
      </c>
      <c r="BE449">
        <f>IF(AND($G449=TRUE,$E449="DEF"),AZ449,"")</f>
        <v/>
      </c>
      <c r="BF449">
        <f>IF(AND($G449=TRUE,$E449="MID"),AZ449,"")</f>
        <v/>
      </c>
      <c r="BG449">
        <f>IF(AND($G449=TRUE,$E449="FWD"),AZ449,"")</f>
        <v/>
      </c>
      <c r="BH449" t="n">
        <v>2</v>
      </c>
      <c r="BI449" t="n">
        <v>2</v>
      </c>
      <c r="BJ449" t="n">
        <v>4</v>
      </c>
      <c r="BK449" t="n">
        <v>6</v>
      </c>
    </row>
    <row r="450">
      <c r="A450" t="inlineStr">
        <is>
          <t>Evan Ferguson</t>
        </is>
      </c>
      <c r="B450" t="inlineStr">
        <is>
          <t>BHA</t>
        </is>
      </c>
      <c r="C450" t="inlineStr">
        <is>
          <t>BHA</t>
        </is>
      </c>
      <c r="D450" t="b">
        <v>0</v>
      </c>
      <c r="E450" t="inlineStr">
        <is>
          <t>FWD</t>
        </is>
      </c>
      <c r="F450" t="inlineStr">
        <is>
          <t>FWD</t>
        </is>
      </c>
      <c r="G450" t="b">
        <v>1</v>
      </c>
      <c r="H450" s="2" t="n">
        <v>5</v>
      </c>
      <c r="I450" t="inlineStr">
        <is>
          <t>i</t>
        </is>
      </c>
      <c r="J450" t="inlineStr">
        <is>
          <t>Ankle injury - Expected back 10 Oct</t>
        </is>
      </c>
      <c r="K450" s="2" t="n">
        <v>0</v>
      </c>
      <c r="L450" t="n">
        <v>0</v>
      </c>
      <c r="M450" s="3" t="n">
        <v>0</v>
      </c>
      <c r="N450" s="4" t="n">
        <v>450</v>
      </c>
      <c r="O450" s="4" t="n">
        <v>450</v>
      </c>
      <c r="P450" s="5" t="inlineStr">
        <is>
          <t>medium</t>
        </is>
      </c>
      <c r="Q450" t="inlineStr">
        <is>
          <t>flat</t>
        </is>
      </c>
      <c r="R450" s="6" t="n">
        <v>450</v>
      </c>
      <c r="S450" t="inlineStr">
        <is>
          <t>research</t>
        </is>
      </c>
      <c r="T450" s="5" t="inlineStr">
        <is>
          <t>Solio gives him zero, but he is a registered Brighton player, is back from his Roma loan rather than being sent out for a third straight season, and is under contract to 2029. He had ankle surgery in March 2026; FPL's flag says 'Expected back 10 Oct'. With Welbeck sold to Chelsea and only Rutter, Kostoulas and a 75%-fit Tzimas ahead of him, some Premier League minutes from October are more likely than none. Kept small because he could still leave on loan before 1 Sep and has a poor recent fitness record.</t>
        </is>
      </c>
      <c r="U450" s="6" t="n">
        <v>85</v>
      </c>
      <c r="V450" s="2" t="n"/>
      <c r="W450" s="7">
        <f>IF(N(U450)&lt;=0,0,MIN(Assumptions!$B$15,N(R450)/N(U450)))</f>
        <v/>
      </c>
      <c r="X450" s="6" t="n">
        <v>0.252</v>
      </c>
      <c r="Y450" s="3" t="n"/>
      <c r="Z450" t="inlineStr"/>
      <c r="AA450" s="3" t="n">
        <v>1</v>
      </c>
      <c r="AB450" s="3" t="n"/>
      <c r="AC450" s="3" t="n"/>
      <c r="AD450" s="3" t="n"/>
      <c r="AE450" s="3" t="n"/>
      <c r="AF450" s="3" t="n">
        <v>0</v>
      </c>
      <c r="AG450" s="3" t="n"/>
      <c r="AH450" s="3" t="n">
        <v>0</v>
      </c>
      <c r="AI450" s="3" t="n">
        <v>0</v>
      </c>
      <c r="AJ450" s="3" t="n">
        <v>2.8404</v>
      </c>
      <c r="AK450" s="3" t="n">
        <v>1.439</v>
      </c>
      <c r="AL450" s="3" t="n">
        <v>-0.1339781214132491</v>
      </c>
      <c r="AM450" s="6" t="n">
        <v>0</v>
      </c>
      <c r="AN450" s="3" t="n">
        <v>0</v>
      </c>
      <c r="AO450" s="3" t="n">
        <v>0</v>
      </c>
      <c r="AP450" s="3" t="n">
        <v>0</v>
      </c>
      <c r="AQ450" s="3">
        <f>N(X450)*N(BJ450)</f>
        <v/>
      </c>
      <c r="AR450" s="3" t="n">
        <v>0</v>
      </c>
      <c r="AS450" s="3" t="n">
        <v>-0</v>
      </c>
      <c r="AT450" s="3" t="n">
        <v>-0.1339781214132491</v>
      </c>
      <c r="AU450" s="3">
        <f>SUM(AO450:AT450)</f>
        <v/>
      </c>
      <c r="AV450" s="7">
        <f>IF(OR(N(W450)&lt;=0,N(BH450)=0),0,N(W450)*IF(N(R450)/N(W450)&gt;=60,N(BH450),1))</f>
        <v/>
      </c>
      <c r="AW450" s="7">
        <f>N(W450)*N(AF450)*N(BI450)</f>
        <v/>
      </c>
      <c r="AX450" s="3">
        <f>IF(N(BH450)=0,0,N(W450)*N(AH450))</f>
        <v/>
      </c>
      <c r="AY450" s="7">
        <f>N(AM450)*(Assumptions!$B$13*N(BK450)-(1-Assumptions!$B$13)*Assumptions!$B$14)+N(AN450)</f>
        <v/>
      </c>
      <c r="AZ450" s="7">
        <f>N(AU450)*N(R450)/90+N(AV450)+N(AW450)+N(AX450)+N(AY450)</f>
        <v/>
      </c>
      <c r="BA450" s="3">
        <f>IF(N(R450)&lt;=0,0,(N(AZ450)-N(AY450))*90/N(R450))</f>
        <v/>
      </c>
      <c r="BB450" s="7">
        <f>IFERROR(AZ450-VLOOKUP($E450,Assumptions!$A$40:$C$43,3,FALSE),"")</f>
        <v/>
      </c>
      <c r="BC450" s="3">
        <f>IFERROR(BB450/H450,"")</f>
        <v/>
      </c>
      <c r="BD450">
        <f>IF(AND($G450=TRUE,$E450="GKP"),AZ450,"")</f>
        <v/>
      </c>
      <c r="BE450">
        <f>IF(AND($G450=TRUE,$E450="DEF"),AZ450,"")</f>
        <v/>
      </c>
      <c r="BF450">
        <f>IF(AND($G450=TRUE,$E450="MID"),AZ450,"")</f>
        <v/>
      </c>
      <c r="BG450">
        <f>IF(AND($G450=TRUE,$E450="FWD"),AZ450,"")</f>
        <v/>
      </c>
      <c r="BH450" t="n">
        <v>2</v>
      </c>
      <c r="BI450" t="n">
        <v>2</v>
      </c>
      <c r="BJ450" t="n">
        <v>0</v>
      </c>
      <c r="BK450" t="n">
        <v>4</v>
      </c>
    </row>
    <row r="451">
      <c r="A451" t="inlineStr">
        <is>
          <t>Harry Amass</t>
        </is>
      </c>
      <c r="B451" t="inlineStr">
        <is>
          <t>MUN</t>
        </is>
      </c>
      <c r="C451" t="inlineStr">
        <is>
          <t>MUN</t>
        </is>
      </c>
      <c r="D451" t="b">
        <v>0</v>
      </c>
      <c r="E451" t="inlineStr">
        <is>
          <t>DEF</t>
        </is>
      </c>
      <c r="F451" t="inlineStr">
        <is>
          <t>DEF</t>
        </is>
      </c>
      <c r="G451" t="b">
        <v>1</v>
      </c>
      <c r="H451" s="2" t="n">
        <v>4</v>
      </c>
      <c r="I451" t="inlineStr">
        <is>
          <t>a</t>
        </is>
      </c>
      <c r="K451" s="2" t="n">
        <v>0</v>
      </c>
      <c r="L451" t="n">
        <v>0</v>
      </c>
      <c r="M451" s="3" t="n">
        <v>79</v>
      </c>
      <c r="N451" s="8" t="n">
        <v>79</v>
      </c>
      <c r="O451" s="8" t="n">
        <v>0</v>
      </c>
      <c r="Q451" t="inlineStr">
        <is>
          <t>flat</t>
        </is>
      </c>
      <c r="R451" s="6" t="n">
        <v>79</v>
      </c>
      <c r="S451" t="inlineStr">
        <is>
          <t>Solio</t>
        </is>
      </c>
      <c r="U451" s="6" t="n">
        <v>85</v>
      </c>
      <c r="V451" s="2" t="n"/>
      <c r="W451" s="7">
        <f>IF(N(U451)&lt;=0,0,MIN(Assumptions!$B$15,N(R451)/N(U451)))</f>
        <v/>
      </c>
      <c r="X451" s="6" t="n">
        <v>0.334</v>
      </c>
      <c r="Y451" s="3" t="n"/>
      <c r="Z451" t="inlineStr"/>
      <c r="AA451" s="3" t="n">
        <v>1</v>
      </c>
      <c r="AB451" s="3" t="n"/>
      <c r="AC451" s="3" t="n"/>
      <c r="AD451" s="3" t="n"/>
      <c r="AE451" s="3" t="n"/>
      <c r="AF451" s="3" t="n">
        <v>0</v>
      </c>
      <c r="AG451" s="3" t="n"/>
      <c r="AH451" s="3" t="n">
        <v>0</v>
      </c>
      <c r="AI451" s="3" t="n">
        <v>0</v>
      </c>
      <c r="AJ451" s="3" t="n">
        <v>2.2165</v>
      </c>
      <c r="AK451" s="3" t="n">
        <v>1.1467</v>
      </c>
      <c r="AL451" s="3" t="n">
        <v>-0.1814819720106033</v>
      </c>
      <c r="AM451" s="6" t="n">
        <v>0</v>
      </c>
      <c r="AN451" s="3" t="n">
        <v>0</v>
      </c>
      <c r="AO451" s="3" t="n">
        <v>0</v>
      </c>
      <c r="AP451" s="3" t="n">
        <v>0</v>
      </c>
      <c r="AQ451" s="3">
        <f>N(X451)*N(BJ451)</f>
        <v/>
      </c>
      <c r="AR451" s="3" t="n">
        <v>0</v>
      </c>
      <c r="AS451" s="3" t="n">
        <v>-0.348580685135232</v>
      </c>
      <c r="AT451" s="3" t="n">
        <v>-0.1814819720106033</v>
      </c>
      <c r="AU451" s="3">
        <f>SUM(AO451:AT451)</f>
        <v/>
      </c>
      <c r="AV451" s="7">
        <f>IF(OR(N(W451)&lt;=0,N(BH451)=0),0,N(W451)*IF(N(R451)/N(W451)&gt;=60,N(BH451),1))</f>
        <v/>
      </c>
      <c r="AW451" s="7">
        <f>N(W451)*N(AF451)*N(BI451)</f>
        <v/>
      </c>
      <c r="AX451" s="3">
        <f>IF(N(BH451)=0,0,N(W451)*N(AH451))</f>
        <v/>
      </c>
      <c r="AY451" s="7">
        <f>N(AM451)*(Assumptions!$B$13*N(BK451)-(1-Assumptions!$B$13)*Assumptions!$B$14)+N(AN451)</f>
        <v/>
      </c>
      <c r="AZ451" s="7">
        <f>N(AU451)*N(R451)/90+N(AV451)+N(AW451)+N(AX451)+N(AY451)</f>
        <v/>
      </c>
      <c r="BA451" s="3">
        <f>IF(N(R451)&lt;=0,0,(N(AZ451)-N(AY451))*90/N(R451))</f>
        <v/>
      </c>
      <c r="BB451" s="7">
        <f>IFERROR(AZ451-VLOOKUP($E451,Assumptions!$A$40:$C$43,3,FALSE),"")</f>
        <v/>
      </c>
      <c r="BC451" s="3">
        <f>IFERROR(BB451/H451,"")</f>
        <v/>
      </c>
      <c r="BD451">
        <f>IF(AND($G451=TRUE,$E451="GKP"),AZ451,"")</f>
        <v/>
      </c>
      <c r="BE451">
        <f>IF(AND($G451=TRUE,$E451="DEF"),AZ451,"")</f>
        <v/>
      </c>
      <c r="BF451">
        <f>IF(AND($G451=TRUE,$E451="MID"),AZ451,"")</f>
        <v/>
      </c>
      <c r="BG451">
        <f>IF(AND($G451=TRUE,$E451="FWD"),AZ451,"")</f>
        <v/>
      </c>
      <c r="BH451" t="n">
        <v>2</v>
      </c>
      <c r="BI451" t="n">
        <v>2</v>
      </c>
      <c r="BJ451" t="n">
        <v>4</v>
      </c>
      <c r="BK451" t="n">
        <v>6</v>
      </c>
    </row>
    <row r="452">
      <c r="A452" t="inlineStr">
        <is>
          <t>Leo Fuhr Hjelde</t>
        </is>
      </c>
      <c r="B452" t="inlineStr">
        <is>
          <t>SUN</t>
        </is>
      </c>
      <c r="C452" t="inlineStr">
        <is>
          <t>SUN</t>
        </is>
      </c>
      <c r="D452" t="b">
        <v>0</v>
      </c>
      <c r="E452" t="inlineStr">
        <is>
          <t>DEF</t>
        </is>
      </c>
      <c r="F452" t="inlineStr">
        <is>
          <t>DEF</t>
        </is>
      </c>
      <c r="G452" t="b">
        <v>1</v>
      </c>
      <c r="H452" s="2" t="n">
        <v>4</v>
      </c>
      <c r="I452" t="inlineStr">
        <is>
          <t>u</t>
        </is>
      </c>
      <c r="J452" t="inlineStr">
        <is>
          <t>Has joined KV Mechelen on loan for the rest of the season</t>
        </is>
      </c>
      <c r="K452" s="2" t="n">
        <v>0</v>
      </c>
      <c r="L452" t="n">
        <v>0</v>
      </c>
      <c r="M452" s="3" t="n"/>
      <c r="N452" s="8" t="n">
        <v>0</v>
      </c>
      <c r="O452" s="8" t="n">
        <v>0</v>
      </c>
      <c r="R452" s="6" t="n">
        <v>0</v>
      </c>
      <c r="S452" t="inlineStr">
        <is>
          <t>25/26 actual</t>
        </is>
      </c>
      <c r="U452" s="6" t="n">
        <v>85</v>
      </c>
      <c r="V452" s="2" t="n"/>
      <c r="W452" s="7">
        <f>IF(N(U452)&lt;=0,0,MIN(Assumptions!$B$15,N(R452)/N(U452)))</f>
        <v/>
      </c>
      <c r="X452" s="6" t="n">
        <v>0.204</v>
      </c>
      <c r="Y452" s="3" t="n"/>
      <c r="Z452" t="inlineStr"/>
      <c r="AA452" s="3" t="n">
        <v>1</v>
      </c>
      <c r="AB452" s="3" t="n"/>
      <c r="AC452" s="3" t="n"/>
      <c r="AD452" s="3" t="n"/>
      <c r="AE452" s="3" t="n"/>
      <c r="AF452" s="3" t="n">
        <v>0</v>
      </c>
      <c r="AG452" s="3" t="n"/>
      <c r="AH452" s="3" t="n">
        <v>0</v>
      </c>
      <c r="AI452" s="3" t="n">
        <v>0</v>
      </c>
      <c r="AJ452" s="3" t="n">
        <v>3.3348</v>
      </c>
      <c r="AK452" s="3" t="n">
        <v>1.6498</v>
      </c>
      <c r="AL452" s="3" t="n">
        <v>-0.2045226422080557</v>
      </c>
      <c r="AM452" s="6" t="n">
        <v>0</v>
      </c>
      <c r="AN452" s="3" t="n">
        <v>0</v>
      </c>
      <c r="AO452" s="3" t="n">
        <v>0</v>
      </c>
      <c r="AP452" s="3" t="n">
        <v>0</v>
      </c>
      <c r="AQ452" s="3">
        <f>N(X452)*N(BJ452)</f>
        <v/>
      </c>
      <c r="AR452" s="3" t="n">
        <v>0</v>
      </c>
      <c r="AS452" s="3" t="n">
        <v>-0.5841244809045405</v>
      </c>
      <c r="AT452" s="3" t="n">
        <v>-0.2045226422080557</v>
      </c>
      <c r="AU452" s="3">
        <f>SUM(AO452:AT452)</f>
        <v/>
      </c>
      <c r="AV452" s="7">
        <f>IF(OR(N(W452)&lt;=0,N(BH452)=0),0,N(W452)*IF(N(R452)/N(W452)&gt;=60,N(BH452),1))</f>
        <v/>
      </c>
      <c r="AW452" s="7">
        <f>N(W452)*N(AF452)*N(BI452)</f>
        <v/>
      </c>
      <c r="AX452" s="3">
        <f>IF(N(BH452)=0,0,N(W452)*N(AH452))</f>
        <v/>
      </c>
      <c r="AY452" s="7">
        <f>N(AM452)*(Assumptions!$B$13*N(BK452)-(1-Assumptions!$B$13)*Assumptions!$B$14)+N(AN452)</f>
        <v/>
      </c>
      <c r="AZ452" s="7">
        <f>N(AU452)*N(R452)/90+N(AV452)+N(AW452)+N(AX452)+N(AY452)</f>
        <v/>
      </c>
      <c r="BA452" s="3">
        <f>IF(N(R452)&lt;=0,0,(N(AZ452)-N(AY452))*90/N(R452))</f>
        <v/>
      </c>
      <c r="BB452" s="7">
        <f>IFERROR(AZ452-VLOOKUP($E452,Assumptions!$A$40:$C$43,3,FALSE),"")</f>
        <v/>
      </c>
      <c r="BC452" s="3">
        <f>IFERROR(BB452/H452,"")</f>
        <v/>
      </c>
      <c r="BD452">
        <f>IF(AND($G452=TRUE,$E452="GKP"),AZ452,"")</f>
        <v/>
      </c>
      <c r="BE452">
        <f>IF(AND($G452=TRUE,$E452="DEF"),AZ452,"")</f>
        <v/>
      </c>
      <c r="BF452">
        <f>IF(AND($G452=TRUE,$E452="MID"),AZ452,"")</f>
        <v/>
      </c>
      <c r="BG452">
        <f>IF(AND($G452=TRUE,$E452="FWD"),AZ452,"")</f>
        <v/>
      </c>
      <c r="BH452" t="n">
        <v>2</v>
      </c>
      <c r="BI452" t="n">
        <v>2</v>
      </c>
      <c r="BJ452" t="n">
        <v>4</v>
      </c>
      <c r="BK452" t="n">
        <v>6</v>
      </c>
    </row>
    <row r="453">
      <c r="A453" t="inlineStr">
        <is>
          <t>Armin Pecsi</t>
        </is>
      </c>
      <c r="B453" t="inlineStr">
        <is>
          <t>LIV</t>
        </is>
      </c>
      <c r="C453" t="inlineStr">
        <is>
          <t>LIV</t>
        </is>
      </c>
      <c r="D453" t="b">
        <v>0</v>
      </c>
      <c r="E453" t="inlineStr">
        <is>
          <t>GKP</t>
        </is>
      </c>
      <c r="F453" t="inlineStr">
        <is>
          <t>GKP</t>
        </is>
      </c>
      <c r="G453" t="b">
        <v>1</v>
      </c>
      <c r="H453" s="2" t="n">
        <v>4</v>
      </c>
      <c r="I453" t="inlineStr">
        <is>
          <t>a</t>
        </is>
      </c>
      <c r="K453" s="2" t="n">
        <v>0</v>
      </c>
      <c r="L453" t="n">
        <v>0</v>
      </c>
      <c r="M453" s="3" t="n">
        <v>0</v>
      </c>
      <c r="N453" s="8" t="n">
        <v>0</v>
      </c>
      <c r="O453" s="8" t="n">
        <v>0</v>
      </c>
      <c r="Q453" t="inlineStr">
        <is>
          <t>flat</t>
        </is>
      </c>
      <c r="R453" s="6" t="n">
        <v>0</v>
      </c>
      <c r="S453" t="inlineStr">
        <is>
          <t>Solio</t>
        </is>
      </c>
      <c r="U453" s="6" t="n">
        <v>85</v>
      </c>
      <c r="V453" s="2" t="n"/>
      <c r="W453" s="7">
        <f>IF(N(U453)&lt;=0,0,MIN(Assumptions!$B$15,N(R453)/N(U453)))</f>
        <v/>
      </c>
      <c r="X453" s="6" t="n">
        <v>0.342</v>
      </c>
      <c r="Y453" s="3" t="n"/>
      <c r="Z453" t="inlineStr"/>
      <c r="AA453" s="3" t="n">
        <v>1</v>
      </c>
      <c r="AB453" s="3" t="n"/>
      <c r="AC453" s="3" t="n"/>
      <c r="AD453" s="3" t="n"/>
      <c r="AE453" s="3" t="n">
        <v>0</v>
      </c>
      <c r="AF453" s="3" t="n">
        <v>0</v>
      </c>
      <c r="AG453" s="3" t="n"/>
      <c r="AH453" s="3" t="n">
        <v>0</v>
      </c>
      <c r="AI453" s="3" t="n">
        <v>0</v>
      </c>
      <c r="AJ453" s="3" t="n">
        <v>2.409</v>
      </c>
      <c r="AK453" s="3" t="n">
        <v>1.1228</v>
      </c>
      <c r="AL453" s="3" t="n">
        <v>-0.0763216474948735</v>
      </c>
      <c r="AM453" s="6" t="n">
        <v>0</v>
      </c>
      <c r="AN453" s="3" t="n">
        <v>0</v>
      </c>
      <c r="AO453" s="3" t="n">
        <v>0</v>
      </c>
      <c r="AP453" s="3" t="n">
        <v>0</v>
      </c>
      <c r="AQ453" s="3">
        <f>N(X453)*N(BJ453)</f>
        <v/>
      </c>
      <c r="AR453" s="3" t="n">
        <v>0.4697511244203511</v>
      </c>
      <c r="AS453" s="3" t="n">
        <v>-0.3378660007281162</v>
      </c>
      <c r="AT453" s="3" t="n">
        <v>-0.0763216474948735</v>
      </c>
      <c r="AU453" s="3">
        <f>SUM(AO453:AT453)</f>
        <v/>
      </c>
      <c r="AV453" s="7">
        <f>IF(OR(N(W453)&lt;=0,N(BH453)=0),0,N(W453)*IF(N(R453)/N(W453)&gt;=60,N(BH453),1))</f>
        <v/>
      </c>
      <c r="AW453" s="7">
        <f>N(W453)*N(AF453)*N(BI453)</f>
        <v/>
      </c>
      <c r="AX453" s="3">
        <f>IF(N(BH453)=0,0,N(W453)*N(AH453))</f>
        <v/>
      </c>
      <c r="AY453" s="7">
        <f>N(AM453)*(Assumptions!$B$13*N(BK453)-(1-Assumptions!$B$13)*Assumptions!$B$14)+N(AN453)</f>
        <v/>
      </c>
      <c r="AZ453" s="7">
        <f>N(AU453)*N(R453)/90+N(AV453)+N(AW453)+N(AX453)+N(AY453)</f>
        <v/>
      </c>
      <c r="BA453" s="3">
        <f>IF(N(R453)&lt;=0,0,(N(AZ453)-N(AY453))*90/N(R453))</f>
        <v/>
      </c>
      <c r="BB453" s="7">
        <f>IFERROR(AZ453-VLOOKUP($E453,Assumptions!$A$40:$C$43,3,FALSE),"")</f>
        <v/>
      </c>
      <c r="BC453" s="3">
        <f>IFERROR(BB453/H453,"")</f>
        <v/>
      </c>
      <c r="BD453">
        <f>IF(AND($G453=TRUE,$E453="GKP"),AZ453,"")</f>
        <v/>
      </c>
      <c r="BE453">
        <f>IF(AND($G453=TRUE,$E453="DEF"),AZ453,"")</f>
        <v/>
      </c>
      <c r="BF453">
        <f>IF(AND($G453=TRUE,$E453="MID"),AZ453,"")</f>
        <v/>
      </c>
      <c r="BG453">
        <f>IF(AND($G453=TRUE,$E453="FWD"),AZ453,"")</f>
        <v/>
      </c>
      <c r="BH453" t="n">
        <v>2</v>
      </c>
      <c r="BI453" t="n">
        <v>0</v>
      </c>
      <c r="BJ453" t="n">
        <v>4</v>
      </c>
      <c r="BK453" t="n">
        <v>10</v>
      </c>
    </row>
    <row r="454">
      <c r="A454" s="9" t="inlineStr">
        <is>
          <t>Carl Rushworth</t>
        </is>
      </c>
      <c r="B454" t="inlineStr">
        <is>
          <t>COV</t>
        </is>
      </c>
      <c r="C454" s="9" t="inlineStr">
        <is>
          <t>BHA</t>
        </is>
      </c>
      <c r="D454" t="b">
        <v>1</v>
      </c>
      <c r="E454" t="inlineStr">
        <is>
          <t>GKP</t>
        </is>
      </c>
      <c r="F454" t="inlineStr">
        <is>
          <t>GKP</t>
        </is>
      </c>
      <c r="G454" t="b">
        <v>1</v>
      </c>
      <c r="H454" s="2" t="n">
        <v>4.5</v>
      </c>
      <c r="I454" t="inlineStr">
        <is>
          <t>a</t>
        </is>
      </c>
      <c r="K454" s="2" t="n">
        <v>0</v>
      </c>
      <c r="L454" t="n">
        <v>0</v>
      </c>
      <c r="M454" s="3" t="n">
        <v>3385</v>
      </c>
      <c r="N454" s="8" t="n">
        <v>3385</v>
      </c>
      <c r="O454" s="8" t="n">
        <v>0</v>
      </c>
      <c r="Q454" t="inlineStr">
        <is>
          <t>flat</t>
        </is>
      </c>
      <c r="R454" s="6" t="n">
        <v>3385</v>
      </c>
      <c r="S454" t="inlineStr">
        <is>
          <t>Solio</t>
        </is>
      </c>
      <c r="U454" s="6" t="n">
        <v>85</v>
      </c>
      <c r="V454" s="2" t="n"/>
      <c r="W454" s="7">
        <f>IF(N(U454)&lt;=0,0,MIN(Assumptions!$B$15,N(R454)/N(U454)))</f>
        <v/>
      </c>
      <c r="X454" s="6" t="n">
        <v>0.17</v>
      </c>
      <c r="Y454" s="10" t="n"/>
      <c r="Z454" t="inlineStr"/>
      <c r="AA454" s="3" t="n">
        <v>1</v>
      </c>
      <c r="AB454" s="3" t="n"/>
      <c r="AC454" s="3" t="n"/>
      <c r="AD454" s="10" t="n"/>
      <c r="AE454" s="3" t="n">
        <v>0</v>
      </c>
      <c r="AF454" s="3" t="n">
        <v>0</v>
      </c>
      <c r="AG454" s="3" t="n"/>
      <c r="AH454" s="3" t="n">
        <v>0</v>
      </c>
      <c r="AI454" s="3" t="n">
        <v>0</v>
      </c>
      <c r="AJ454" s="3" t="n">
        <v>3.6194</v>
      </c>
      <c r="AK454" s="3" t="n">
        <v>1.8271</v>
      </c>
      <c r="AL454" s="3" t="n">
        <v>-0.0763216474948735</v>
      </c>
      <c r="AM454" s="6" t="n">
        <v>0</v>
      </c>
      <c r="AN454" s="3" t="n">
        <v>3.86063745279098</v>
      </c>
      <c r="AO454" s="10" t="n">
        <v>0</v>
      </c>
      <c r="AP454" s="10" t="n">
        <v>0</v>
      </c>
      <c r="AQ454" s="3">
        <f>N(X454)*N(BJ454)</f>
        <v/>
      </c>
      <c r="AR454" s="3" t="n">
        <v>0.8716770173844571</v>
      </c>
      <c r="AS454" s="3" t="n">
        <v>-0.670020548738316</v>
      </c>
      <c r="AT454" s="3" t="n">
        <v>-0.0763216474948735</v>
      </c>
      <c r="AU454" s="3">
        <f>SUM(AO454:AT454)</f>
        <v/>
      </c>
      <c r="AV454" s="7">
        <f>IF(OR(N(W454)&lt;=0,N(BH454)=0),0,N(W454)*IF(N(R454)/N(W454)&gt;=60,N(BH454),1))</f>
        <v/>
      </c>
      <c r="AW454" s="7">
        <f>N(W454)*N(AF454)*N(BI454)</f>
        <v/>
      </c>
      <c r="AX454" s="3">
        <f>IF(N(BH454)=0,0,N(W454)*N(AH454))</f>
        <v/>
      </c>
      <c r="AY454" s="7">
        <f>N(AM454)*(Assumptions!$B$13*N(BK454)-(1-Assumptions!$B$13)*Assumptions!$B$14)+N(AN454)</f>
        <v/>
      </c>
      <c r="AZ454" s="7">
        <f>N(AU454)*N(R454)/90+N(AV454)+N(AW454)+N(AX454)+N(AY454)</f>
        <v/>
      </c>
      <c r="BA454" s="3">
        <f>IF(N(R454)&lt;=0,0,(N(AZ454)-N(AY454))*90/N(R454))</f>
        <v/>
      </c>
      <c r="BB454" s="7">
        <f>IFERROR(AZ454-VLOOKUP($E454,Assumptions!$A$40:$C$43,3,FALSE),"")</f>
        <v/>
      </c>
      <c r="BC454" s="3">
        <f>IFERROR(BB454/H454,"")</f>
        <v/>
      </c>
      <c r="BD454">
        <f>IF(AND($G454=TRUE,$E454="GKP"),AZ454,"")</f>
        <v/>
      </c>
      <c r="BE454">
        <f>IF(AND($G454=TRUE,$E454="DEF"),AZ454,"")</f>
        <v/>
      </c>
      <c r="BF454">
        <f>IF(AND($G454=TRUE,$E454="MID"),AZ454,"")</f>
        <v/>
      </c>
      <c r="BG454">
        <f>IF(AND($G454=TRUE,$E454="FWD"),AZ454,"")</f>
        <v/>
      </c>
      <c r="BH454" t="n">
        <v>2</v>
      </c>
      <c r="BI454" t="n">
        <v>0</v>
      </c>
      <c r="BJ454" t="n">
        <v>4</v>
      </c>
      <c r="BK454" t="n">
        <v>10</v>
      </c>
    </row>
    <row r="455">
      <c r="A455" s="9" t="inlineStr">
        <is>
          <t>Darko Gyabi</t>
        </is>
      </c>
      <c r="B455" t="inlineStr">
        <is>
          <t>HUL</t>
        </is>
      </c>
      <c r="C455" s="9" t="inlineStr">
        <is>
          <t>LEE</t>
        </is>
      </c>
      <c r="D455" t="b">
        <v>1</v>
      </c>
      <c r="E455" t="inlineStr">
        <is>
          <t>MID</t>
        </is>
      </c>
      <c r="F455" t="inlineStr">
        <is>
          <t>MID</t>
        </is>
      </c>
      <c r="G455" t="b">
        <v>1</v>
      </c>
      <c r="H455" s="2" t="n">
        <v>4.5</v>
      </c>
      <c r="I455" t="inlineStr">
        <is>
          <t>i</t>
        </is>
      </c>
      <c r="J455" t="inlineStr">
        <is>
          <t>Thigh injury - Unknown return date</t>
        </is>
      </c>
      <c r="K455" s="2" t="n">
        <v>0</v>
      </c>
      <c r="L455" t="n">
        <v>0</v>
      </c>
      <c r="M455" s="3" t="n">
        <v>0</v>
      </c>
      <c r="N455" s="8" t="n">
        <v>0</v>
      </c>
      <c r="O455" s="8" t="n">
        <v>0</v>
      </c>
      <c r="Q455" t="inlineStr">
        <is>
          <t>flat</t>
        </is>
      </c>
      <c r="R455" s="6" t="n">
        <v>0</v>
      </c>
      <c r="S455" t="inlineStr">
        <is>
          <t>Solio</t>
        </is>
      </c>
      <c r="U455" s="6" t="n">
        <v>85</v>
      </c>
      <c r="V455" s="2" t="n"/>
      <c r="W455" s="7">
        <f>IF(N(U455)&lt;=0,0,MIN(Assumptions!$B$15,N(R455)/N(U455)))</f>
        <v/>
      </c>
      <c r="X455" s="6" t="n">
        <v>0.143</v>
      </c>
      <c r="Y455" s="10" t="n"/>
      <c r="Z455" t="inlineStr"/>
      <c r="AA455" s="3" t="n">
        <v>1</v>
      </c>
      <c r="AB455" s="3" t="n"/>
      <c r="AC455" s="3" t="n"/>
      <c r="AD455" s="10" t="n"/>
      <c r="AE455" s="3" t="n"/>
      <c r="AF455" s="3" t="n">
        <v>0</v>
      </c>
      <c r="AG455" s="3" t="n"/>
      <c r="AH455" s="3" t="n">
        <v>0</v>
      </c>
      <c r="AI455" s="3" t="n">
        <v>0</v>
      </c>
      <c r="AJ455" s="3" t="n">
        <v>3.9421</v>
      </c>
      <c r="AK455" s="3" t="n">
        <v>1.99</v>
      </c>
      <c r="AL455" s="3" t="n">
        <v>-0.2160434166173144</v>
      </c>
      <c r="AM455" s="6" t="n">
        <v>0</v>
      </c>
      <c r="AN455" s="3" t="n">
        <v>0</v>
      </c>
      <c r="AO455" s="10" t="n">
        <v>0</v>
      </c>
      <c r="AP455" s="10" t="n">
        <v>0</v>
      </c>
      <c r="AQ455" s="3">
        <f>N(X455)*N(BJ455)</f>
        <v/>
      </c>
      <c r="AR455" s="3" t="n">
        <v>0</v>
      </c>
      <c r="AS455" s="3" t="n">
        <v>-0</v>
      </c>
      <c r="AT455" s="3" t="n">
        <v>-0.2160434166173144</v>
      </c>
      <c r="AU455" s="3">
        <f>SUM(AO455:AT455)</f>
        <v/>
      </c>
      <c r="AV455" s="7">
        <f>IF(OR(N(W455)&lt;=0,N(BH455)=0),0,N(W455)*IF(N(R455)/N(W455)&gt;=60,N(BH455),1))</f>
        <v/>
      </c>
      <c r="AW455" s="7">
        <f>N(W455)*N(AF455)*N(BI455)</f>
        <v/>
      </c>
      <c r="AX455" s="3">
        <f>IF(N(BH455)=0,0,N(W455)*N(AH455))</f>
        <v/>
      </c>
      <c r="AY455" s="7">
        <f>N(AM455)*(Assumptions!$B$13*N(BK455)-(1-Assumptions!$B$13)*Assumptions!$B$14)+N(AN455)</f>
        <v/>
      </c>
      <c r="AZ455" s="7">
        <f>N(AU455)*N(R455)/90+N(AV455)+N(AW455)+N(AX455)+N(AY455)</f>
        <v/>
      </c>
      <c r="BA455" s="3">
        <f>IF(N(R455)&lt;=0,0,(N(AZ455)-N(AY455))*90/N(R455))</f>
        <v/>
      </c>
      <c r="BB455" s="7">
        <f>IFERROR(AZ455-VLOOKUP($E455,Assumptions!$A$40:$C$43,3,FALSE),"")</f>
        <v/>
      </c>
      <c r="BC455" s="3">
        <f>IFERROR(BB455/H455,"")</f>
        <v/>
      </c>
      <c r="BD455">
        <f>IF(AND($G455=TRUE,$E455="GKP"),AZ455,"")</f>
        <v/>
      </c>
      <c r="BE455">
        <f>IF(AND($G455=TRUE,$E455="DEF"),AZ455,"")</f>
        <v/>
      </c>
      <c r="BF455">
        <f>IF(AND($G455=TRUE,$E455="MID"),AZ455,"")</f>
        <v/>
      </c>
      <c r="BG455">
        <f>IF(AND($G455=TRUE,$E455="FWD"),AZ455,"")</f>
        <v/>
      </c>
      <c r="BH455" t="n">
        <v>2</v>
      </c>
      <c r="BI455" t="n">
        <v>2</v>
      </c>
      <c r="BJ455" t="n">
        <v>1</v>
      </c>
      <c r="BK455" t="n">
        <v>5</v>
      </c>
    </row>
    <row r="456">
      <c r="A456" t="inlineStr">
        <is>
          <t>Samuel Iling-Junior</t>
        </is>
      </c>
      <c r="B456" t="inlineStr">
        <is>
          <t>AVL</t>
        </is>
      </c>
      <c r="C456" t="inlineStr">
        <is>
          <t>AVL</t>
        </is>
      </c>
      <c r="D456" t="b">
        <v>0</v>
      </c>
      <c r="E456" t="inlineStr">
        <is>
          <t>MID</t>
        </is>
      </c>
      <c r="F456" t="inlineStr">
        <is>
          <t>MID</t>
        </is>
      </c>
      <c r="G456" t="b">
        <v>1</v>
      </c>
      <c r="H456" s="2" t="n">
        <v>5</v>
      </c>
      <c r="I456" t="inlineStr">
        <is>
          <t>a</t>
        </is>
      </c>
      <c r="K456" s="2" t="n">
        <v>0</v>
      </c>
      <c r="L456" t="n">
        <v>0</v>
      </c>
      <c r="M456" s="3" t="n">
        <v>0</v>
      </c>
      <c r="N456" s="8" t="n">
        <v>0</v>
      </c>
      <c r="O456" s="8" t="n">
        <v>0</v>
      </c>
      <c r="Q456" t="inlineStr">
        <is>
          <t>flat</t>
        </is>
      </c>
      <c r="R456" s="6" t="n">
        <v>0</v>
      </c>
      <c r="S456" t="inlineStr">
        <is>
          <t>Solio</t>
        </is>
      </c>
      <c r="U456" s="6" t="n">
        <v>85</v>
      </c>
      <c r="V456" s="2" t="n"/>
      <c r="W456" s="7">
        <f>IF(N(U456)&lt;=0,0,MIN(Assumptions!$B$15,N(R456)/N(U456)))</f>
        <v/>
      </c>
      <c r="X456" s="6" t="n">
        <v>0.273</v>
      </c>
      <c r="Y456" s="3" t="n"/>
      <c r="Z456" t="inlineStr"/>
      <c r="AA456" s="3" t="n">
        <v>1</v>
      </c>
      <c r="AB456" s="3" t="n"/>
      <c r="AC456" s="3" t="n"/>
      <c r="AD456" s="3" t="n"/>
      <c r="AE456" s="3" t="n"/>
      <c r="AF456" s="3" t="n">
        <v>0</v>
      </c>
      <c r="AG456" s="3" t="n"/>
      <c r="AH456" s="3" t="n">
        <v>0</v>
      </c>
      <c r="AI456" s="3" t="n">
        <v>0</v>
      </c>
      <c r="AJ456" s="3" t="n">
        <v>2.7451</v>
      </c>
      <c r="AK456" s="3" t="n">
        <v>1.3575</v>
      </c>
      <c r="AL456" s="3" t="n">
        <v>-0.2160434166173144</v>
      </c>
      <c r="AM456" s="6" t="n">
        <v>0</v>
      </c>
      <c r="AN456" s="3" t="n">
        <v>0</v>
      </c>
      <c r="AO456" s="3" t="n">
        <v>0</v>
      </c>
      <c r="AP456" s="3" t="n">
        <v>0</v>
      </c>
      <c r="AQ456" s="3">
        <f>N(X456)*N(BJ456)</f>
        <v/>
      </c>
      <c r="AR456" s="3" t="n">
        <v>0</v>
      </c>
      <c r="AS456" s="3" t="n">
        <v>-0</v>
      </c>
      <c r="AT456" s="3" t="n">
        <v>-0.2160434166173144</v>
      </c>
      <c r="AU456" s="3">
        <f>SUM(AO456:AT456)</f>
        <v/>
      </c>
      <c r="AV456" s="7">
        <f>IF(OR(N(W456)&lt;=0,N(BH456)=0),0,N(W456)*IF(N(R456)/N(W456)&gt;=60,N(BH456),1))</f>
        <v/>
      </c>
      <c r="AW456" s="7">
        <f>N(W456)*N(AF456)*N(BI456)</f>
        <v/>
      </c>
      <c r="AX456" s="3">
        <f>IF(N(BH456)=0,0,N(W456)*N(AH456))</f>
        <v/>
      </c>
      <c r="AY456" s="7">
        <f>N(AM456)*(Assumptions!$B$13*N(BK456)-(1-Assumptions!$B$13)*Assumptions!$B$14)+N(AN456)</f>
        <v/>
      </c>
      <c r="AZ456" s="7">
        <f>N(AU456)*N(R456)/90+N(AV456)+N(AW456)+N(AX456)+N(AY456)</f>
        <v/>
      </c>
      <c r="BA456" s="3">
        <f>IF(N(R456)&lt;=0,0,(N(AZ456)-N(AY456))*90/N(R456))</f>
        <v/>
      </c>
      <c r="BB456" s="7">
        <f>IFERROR(AZ456-VLOOKUP($E456,Assumptions!$A$40:$C$43,3,FALSE),"")</f>
        <v/>
      </c>
      <c r="BC456" s="3">
        <f>IFERROR(BB456/H456,"")</f>
        <v/>
      </c>
      <c r="BD456">
        <f>IF(AND($G456=TRUE,$E456="GKP"),AZ456,"")</f>
        <v/>
      </c>
      <c r="BE456">
        <f>IF(AND($G456=TRUE,$E456="DEF"),AZ456,"")</f>
        <v/>
      </c>
      <c r="BF456">
        <f>IF(AND($G456=TRUE,$E456="MID"),AZ456,"")</f>
        <v/>
      </c>
      <c r="BG456">
        <f>IF(AND($G456=TRUE,$E456="FWD"),AZ456,"")</f>
        <v/>
      </c>
      <c r="BH456" t="n">
        <v>2</v>
      </c>
      <c r="BI456" t="n">
        <v>2</v>
      </c>
      <c r="BJ456" t="n">
        <v>1</v>
      </c>
      <c r="BK456" t="n">
        <v>5</v>
      </c>
    </row>
    <row r="457">
      <c r="A457" t="inlineStr">
        <is>
          <t>Mykhailo Mudryk</t>
        </is>
      </c>
      <c r="B457" t="inlineStr">
        <is>
          <t>CHE</t>
        </is>
      </c>
      <c r="C457" t="inlineStr">
        <is>
          <t>CHE</t>
        </is>
      </c>
      <c r="D457" t="b">
        <v>0</v>
      </c>
      <c r="E457" t="inlineStr">
        <is>
          <t>MID</t>
        </is>
      </c>
      <c r="F457" t="inlineStr">
        <is>
          <t>MID</t>
        </is>
      </c>
      <c r="G457" t="b">
        <v>1</v>
      </c>
      <c r="H457" s="2" t="n">
        <v>5.5</v>
      </c>
      <c r="I457" t="inlineStr">
        <is>
          <t>a</t>
        </is>
      </c>
      <c r="K457" s="2" t="n">
        <v>0</v>
      </c>
      <c r="L457" t="n">
        <v>0</v>
      </c>
      <c r="M457" s="3" t="n">
        <v>20</v>
      </c>
      <c r="N457" s="4" t="n">
        <v>0</v>
      </c>
      <c r="O457" s="4" t="n">
        <v>-20</v>
      </c>
      <c r="P457" s="5" t="inlineStr">
        <is>
          <t>low</t>
        </is>
      </c>
      <c r="Q457" t="inlineStr">
        <is>
          <t>flat</t>
        </is>
      </c>
      <c r="R457" s="6" t="n">
        <v>0</v>
      </c>
      <c r="S457" t="inlineStr">
        <is>
          <t>research</t>
        </is>
      </c>
      <c r="T457" s="5" t="inlineStr">
        <is>
          <t>Named on Last Word on Football's 'unwanted list' and omitted from the final pre-season matchday squad; described as a likely loan candidate to regain match fitness after more than a year without professional football.</t>
        </is>
      </c>
      <c r="U457" s="6" t="n">
        <v>85</v>
      </c>
      <c r="V457" s="2" t="n"/>
      <c r="W457" s="7">
        <f>IF(N(U457)&lt;=0,0,MIN(Assumptions!$B$15,N(R457)/N(U457)))</f>
        <v/>
      </c>
      <c r="X457" s="6" t="n">
        <v>0.322</v>
      </c>
      <c r="Y457" s="3" t="n"/>
      <c r="Z457" t="inlineStr"/>
      <c r="AA457" s="3" t="n">
        <v>1</v>
      </c>
      <c r="AB457" s="3" t="n"/>
      <c r="AC457" s="3" t="n"/>
      <c r="AD457" s="3" t="n"/>
      <c r="AE457" s="3" t="n"/>
      <c r="AF457" s="3" t="n">
        <v>0</v>
      </c>
      <c r="AG457" s="3" t="n"/>
      <c r="AH457" s="3" t="n">
        <v>0</v>
      </c>
      <c r="AI457" s="3" t="n">
        <v>0</v>
      </c>
      <c r="AJ457" s="3" t="n">
        <v>2.4232</v>
      </c>
      <c r="AK457" s="3" t="n">
        <v>1.1851</v>
      </c>
      <c r="AL457" s="3" t="n">
        <v>-0.2336506647245759</v>
      </c>
      <c r="AM457" s="6" t="n">
        <v>0</v>
      </c>
      <c r="AN457" s="3" t="n">
        <v>0</v>
      </c>
      <c r="AO457" s="3" t="n">
        <v>0</v>
      </c>
      <c r="AP457" s="3" t="n">
        <v>0</v>
      </c>
      <c r="AQ457" s="3">
        <f>N(X457)*N(BJ457)</f>
        <v/>
      </c>
      <c r="AR457" s="3" t="n">
        <v>0</v>
      </c>
      <c r="AS457" s="3" t="n">
        <v>-0</v>
      </c>
      <c r="AT457" s="3" t="n">
        <v>-0.2336506647245759</v>
      </c>
      <c r="AU457" s="3">
        <f>SUM(AO457:AT457)</f>
        <v/>
      </c>
      <c r="AV457" s="7">
        <f>IF(OR(N(W457)&lt;=0,N(BH457)=0),0,N(W457)*IF(N(R457)/N(W457)&gt;=60,N(BH457),1))</f>
        <v/>
      </c>
      <c r="AW457" s="7">
        <f>N(W457)*N(AF457)*N(BI457)</f>
        <v/>
      </c>
      <c r="AX457" s="3">
        <f>IF(N(BH457)=0,0,N(W457)*N(AH457))</f>
        <v/>
      </c>
      <c r="AY457" s="7">
        <f>N(AM457)*(Assumptions!$B$13*N(BK457)-(1-Assumptions!$B$13)*Assumptions!$B$14)+N(AN457)</f>
        <v/>
      </c>
      <c r="AZ457" s="7">
        <f>N(AU457)*N(R457)/90+N(AV457)+N(AW457)+N(AX457)+N(AY457)</f>
        <v/>
      </c>
      <c r="BA457" s="3">
        <f>IF(N(R457)&lt;=0,0,(N(AZ457)-N(AY457))*90/N(R457))</f>
        <v/>
      </c>
      <c r="BB457" s="7">
        <f>IFERROR(AZ457-VLOOKUP($E457,Assumptions!$A$40:$C$43,3,FALSE),"")</f>
        <v/>
      </c>
      <c r="BC457" s="3">
        <f>IFERROR(BB457/H457,"")</f>
        <v/>
      </c>
      <c r="BD457">
        <f>IF(AND($G457=TRUE,$E457="GKP"),AZ457,"")</f>
        <v/>
      </c>
      <c r="BE457">
        <f>IF(AND($G457=TRUE,$E457="DEF"),AZ457,"")</f>
        <v/>
      </c>
      <c r="BF457">
        <f>IF(AND($G457=TRUE,$E457="MID"),AZ457,"")</f>
        <v/>
      </c>
      <c r="BG457">
        <f>IF(AND($G457=TRUE,$E457="FWD"),AZ457,"")</f>
        <v/>
      </c>
      <c r="BH457" t="n">
        <v>2</v>
      </c>
      <c r="BI457" t="n">
        <v>2</v>
      </c>
      <c r="BJ457" t="n">
        <v>1</v>
      </c>
      <c r="BK457" t="n">
        <v>5</v>
      </c>
    </row>
    <row r="458">
      <c r="A458" t="inlineStr">
        <is>
          <t>Ashley Phillips</t>
        </is>
      </c>
      <c r="B458" t="inlineStr">
        <is>
          <t>TOT</t>
        </is>
      </c>
      <c r="C458" t="inlineStr">
        <is>
          <t>TOT</t>
        </is>
      </c>
      <c r="D458" t="b">
        <v>0</v>
      </c>
      <c r="E458" t="inlineStr">
        <is>
          <t>DEF</t>
        </is>
      </c>
      <c r="F458" t="inlineStr">
        <is>
          <t>DEF</t>
        </is>
      </c>
      <c r="G458" t="b">
        <v>1</v>
      </c>
      <c r="H458" s="2" t="n">
        <v>4.5</v>
      </c>
      <c r="I458" t="inlineStr">
        <is>
          <t>a</t>
        </is>
      </c>
      <c r="K458" s="2" t="n">
        <v>0</v>
      </c>
      <c r="L458" t="n">
        <v>0</v>
      </c>
      <c r="M458" s="3" t="n">
        <v>0</v>
      </c>
      <c r="N458" s="8" t="n">
        <v>0</v>
      </c>
      <c r="O458" s="8" t="n">
        <v>0</v>
      </c>
      <c r="Q458" t="inlineStr">
        <is>
          <t>flat</t>
        </is>
      </c>
      <c r="R458" s="6" t="n">
        <v>0</v>
      </c>
      <c r="S458" t="inlineStr">
        <is>
          <t>Solio</t>
        </is>
      </c>
      <c r="U458" s="6" t="n">
        <v>85</v>
      </c>
      <c r="V458" s="2" t="n"/>
      <c r="W458" s="7">
        <f>IF(N(U458)&lt;=0,0,MIN(Assumptions!$B$15,N(R458)/N(U458)))</f>
        <v/>
      </c>
      <c r="X458" s="6" t="n">
        <v>0.286</v>
      </c>
      <c r="Y458" s="3" t="n"/>
      <c r="Z458" t="inlineStr"/>
      <c r="AA458" s="3" t="n">
        <v>1</v>
      </c>
      <c r="AB458" s="3" t="n"/>
      <c r="AC458" s="3" t="n"/>
      <c r="AD458" s="3" t="n"/>
      <c r="AE458" s="3" t="n"/>
      <c r="AF458" s="3" t="n">
        <v>0</v>
      </c>
      <c r="AG458" s="3" t="n"/>
      <c r="AH458" s="3" t="n">
        <v>0</v>
      </c>
      <c r="AI458" s="3" t="n">
        <v>0</v>
      </c>
      <c r="AJ458" s="3" t="n">
        <v>2.5739</v>
      </c>
      <c r="AK458" s="3" t="n">
        <v>1.3096</v>
      </c>
      <c r="AL458" s="3" t="n">
        <v>-0.2045226422080557</v>
      </c>
      <c r="AM458" s="6" t="n">
        <v>0</v>
      </c>
      <c r="AN458" s="3" t="n">
        <v>0</v>
      </c>
      <c r="AO458" s="3" t="n">
        <v>0</v>
      </c>
      <c r="AP458" s="3" t="n">
        <v>0</v>
      </c>
      <c r="AQ458" s="3">
        <f>N(X458)*N(BJ458)</f>
        <v/>
      </c>
      <c r="AR458" s="3" t="n">
        <v>0</v>
      </c>
      <c r="AS458" s="3" t="n">
        <v>-0.4230152821052008</v>
      </c>
      <c r="AT458" s="3" t="n">
        <v>-0.2045226422080557</v>
      </c>
      <c r="AU458" s="3">
        <f>SUM(AO458:AT458)</f>
        <v/>
      </c>
      <c r="AV458" s="7">
        <f>IF(OR(N(W458)&lt;=0,N(BH458)=0),0,N(W458)*IF(N(R458)/N(W458)&gt;=60,N(BH458),1))</f>
        <v/>
      </c>
      <c r="AW458" s="7">
        <f>N(W458)*N(AF458)*N(BI458)</f>
        <v/>
      </c>
      <c r="AX458" s="3">
        <f>IF(N(BH458)=0,0,N(W458)*N(AH458))</f>
        <v/>
      </c>
      <c r="AY458" s="7">
        <f>N(AM458)*(Assumptions!$B$13*N(BK458)-(1-Assumptions!$B$13)*Assumptions!$B$14)+N(AN458)</f>
        <v/>
      </c>
      <c r="AZ458" s="7">
        <f>N(AU458)*N(R458)/90+N(AV458)+N(AW458)+N(AX458)+N(AY458)</f>
        <v/>
      </c>
      <c r="BA458" s="3">
        <f>IF(N(R458)&lt;=0,0,(N(AZ458)-N(AY458))*90/N(R458))</f>
        <v/>
      </c>
      <c r="BB458" s="7">
        <f>IFERROR(AZ458-VLOOKUP($E458,Assumptions!$A$40:$C$43,3,FALSE),"")</f>
        <v/>
      </c>
      <c r="BC458" s="3">
        <f>IFERROR(BB458/H458,"")</f>
        <v/>
      </c>
      <c r="BD458">
        <f>IF(AND($G458=TRUE,$E458="GKP"),AZ458,"")</f>
        <v/>
      </c>
      <c r="BE458">
        <f>IF(AND($G458=TRUE,$E458="DEF"),AZ458,"")</f>
        <v/>
      </c>
      <c r="BF458">
        <f>IF(AND($G458=TRUE,$E458="MID"),AZ458,"")</f>
        <v/>
      </c>
      <c r="BG458">
        <f>IF(AND($G458=TRUE,$E458="FWD"),AZ458,"")</f>
        <v/>
      </c>
      <c r="BH458" t="n">
        <v>2</v>
      </c>
      <c r="BI458" t="n">
        <v>2</v>
      </c>
      <c r="BJ458" t="n">
        <v>4</v>
      </c>
      <c r="BK458" t="n">
        <v>6</v>
      </c>
    </row>
    <row r="459">
      <c r="A459" t="inlineStr">
        <is>
          <t>Jesurun Rak-Sakyi</t>
        </is>
      </c>
      <c r="B459" t="inlineStr">
        <is>
          <t>CRY</t>
        </is>
      </c>
      <c r="C459" t="inlineStr">
        <is>
          <t>CRY</t>
        </is>
      </c>
      <c r="D459" t="b">
        <v>0</v>
      </c>
      <c r="E459" t="inlineStr">
        <is>
          <t>MID</t>
        </is>
      </c>
      <c r="F459" t="inlineStr">
        <is>
          <t>MID</t>
        </is>
      </c>
      <c r="G459" t="b">
        <v>1</v>
      </c>
      <c r="H459" s="2" t="n">
        <v>5</v>
      </c>
      <c r="I459" t="inlineStr">
        <is>
          <t>a</t>
        </is>
      </c>
      <c r="K459" s="2" t="n">
        <v>0</v>
      </c>
      <c r="L459" t="n">
        <v>0</v>
      </c>
      <c r="M459" s="3" t="n">
        <v>0</v>
      </c>
      <c r="N459" s="8" t="n">
        <v>0</v>
      </c>
      <c r="O459" s="8" t="n">
        <v>0</v>
      </c>
      <c r="Q459" t="inlineStr">
        <is>
          <t>flat</t>
        </is>
      </c>
      <c r="R459" s="6" t="n">
        <v>0</v>
      </c>
      <c r="S459" t="inlineStr">
        <is>
          <t>Solio</t>
        </is>
      </c>
      <c r="U459" s="6" t="n">
        <v>85</v>
      </c>
      <c r="V459" s="2" t="n"/>
      <c r="W459" s="7">
        <f>IF(N(U459)&lt;=0,0,MIN(Assumptions!$B$15,N(R459)/N(U459)))</f>
        <v/>
      </c>
      <c r="X459" s="6" t="n">
        <v>0.216</v>
      </c>
      <c r="Y459" s="3" t="n"/>
      <c r="Z459" t="inlineStr"/>
      <c r="AA459" s="3" t="n">
        <v>1</v>
      </c>
      <c r="AB459" s="3" t="n"/>
      <c r="AC459" s="3" t="n"/>
      <c r="AD459" s="3" t="n"/>
      <c r="AE459" s="3" t="n"/>
      <c r="AF459" s="3" t="n">
        <v>0</v>
      </c>
      <c r="AG459" s="3" t="n"/>
      <c r="AH459" s="3" t="n">
        <v>0</v>
      </c>
      <c r="AI459" s="3" t="n">
        <v>0</v>
      </c>
      <c r="AJ459" s="3" t="n">
        <v>3.2035</v>
      </c>
      <c r="AK459" s="3" t="n">
        <v>1.5923</v>
      </c>
      <c r="AL459" s="3" t="n">
        <v>-0.2089903758753938</v>
      </c>
      <c r="AM459" s="6" t="n">
        <v>0</v>
      </c>
      <c r="AN459" s="3" t="n">
        <v>0</v>
      </c>
      <c r="AO459" s="3" t="n">
        <v>0</v>
      </c>
      <c r="AP459" s="3" t="n">
        <v>0</v>
      </c>
      <c r="AQ459" s="3">
        <f>N(X459)*N(BJ459)</f>
        <v/>
      </c>
      <c r="AR459" s="3" t="n">
        <v>0</v>
      </c>
      <c r="AS459" s="3" t="n">
        <v>-0</v>
      </c>
      <c r="AT459" s="3" t="n">
        <v>-0.2089903758753938</v>
      </c>
      <c r="AU459" s="3">
        <f>SUM(AO459:AT459)</f>
        <v/>
      </c>
      <c r="AV459" s="7">
        <f>IF(OR(N(W459)&lt;=0,N(BH459)=0),0,N(W459)*IF(N(R459)/N(W459)&gt;=60,N(BH459),1))</f>
        <v/>
      </c>
      <c r="AW459" s="7">
        <f>N(W459)*N(AF459)*N(BI459)</f>
        <v/>
      </c>
      <c r="AX459" s="3">
        <f>IF(N(BH459)=0,0,N(W459)*N(AH459))</f>
        <v/>
      </c>
      <c r="AY459" s="7">
        <f>N(AM459)*(Assumptions!$B$13*N(BK459)-(1-Assumptions!$B$13)*Assumptions!$B$14)+N(AN459)</f>
        <v/>
      </c>
      <c r="AZ459" s="7">
        <f>N(AU459)*N(R459)/90+N(AV459)+N(AW459)+N(AX459)+N(AY459)</f>
        <v/>
      </c>
      <c r="BA459" s="3">
        <f>IF(N(R459)&lt;=0,0,(N(AZ459)-N(AY459))*90/N(R459))</f>
        <v/>
      </c>
      <c r="BB459" s="7">
        <f>IFERROR(AZ459-VLOOKUP($E459,Assumptions!$A$40:$C$43,3,FALSE),"")</f>
        <v/>
      </c>
      <c r="BC459" s="3">
        <f>IFERROR(BB459/H459,"")</f>
        <v/>
      </c>
      <c r="BD459">
        <f>IF(AND($G459=TRUE,$E459="GKP"),AZ459,"")</f>
        <v/>
      </c>
      <c r="BE459">
        <f>IF(AND($G459=TRUE,$E459="DEF"),AZ459,"")</f>
        <v/>
      </c>
      <c r="BF459">
        <f>IF(AND($G459=TRUE,$E459="MID"),AZ459,"")</f>
        <v/>
      </c>
      <c r="BG459">
        <f>IF(AND($G459=TRUE,$E459="FWD"),AZ459,"")</f>
        <v/>
      </c>
      <c r="BH459" t="n">
        <v>2</v>
      </c>
      <c r="BI459" t="n">
        <v>2</v>
      </c>
      <c r="BJ459" t="n">
        <v>1</v>
      </c>
      <c r="BK459" t="n">
        <v>5</v>
      </c>
    </row>
    <row r="460">
      <c r="A460" t="inlineStr">
        <is>
          <t>Fábio Ferreira Vieira</t>
        </is>
      </c>
      <c r="B460" t="inlineStr">
        <is>
          <t>ARS</t>
        </is>
      </c>
      <c r="C460" t="inlineStr">
        <is>
          <t>ARS</t>
        </is>
      </c>
      <c r="D460" t="b">
        <v>0</v>
      </c>
      <c r="E460" t="inlineStr">
        <is>
          <t>MID</t>
        </is>
      </c>
      <c r="F460" t="inlineStr">
        <is>
          <t>MID</t>
        </is>
      </c>
      <c r="G460" t="b">
        <v>1</v>
      </c>
      <c r="H460" s="2" t="n">
        <v>5.5</v>
      </c>
      <c r="I460" t="inlineStr">
        <is>
          <t>a</t>
        </is>
      </c>
      <c r="K460" s="2" t="n">
        <v>0</v>
      </c>
      <c r="L460" t="n">
        <v>0</v>
      </c>
      <c r="M460" s="3" t="n">
        <v>0</v>
      </c>
      <c r="N460" s="8" t="n">
        <v>0</v>
      </c>
      <c r="O460" s="8" t="n">
        <v>0</v>
      </c>
      <c r="Q460" t="inlineStr">
        <is>
          <t>flat</t>
        </is>
      </c>
      <c r="R460" s="6" t="n">
        <v>0</v>
      </c>
      <c r="S460" t="inlineStr">
        <is>
          <t>Solio</t>
        </is>
      </c>
      <c r="U460" s="6" t="n">
        <v>85</v>
      </c>
      <c r="V460" s="2" t="n"/>
      <c r="W460" s="7">
        <f>IF(N(U460)&lt;=0,0,MIN(Assumptions!$B$15,N(R460)/N(U460)))</f>
        <v/>
      </c>
      <c r="X460" s="6" t="n">
        <v>0.391</v>
      </c>
      <c r="Y460" s="3" t="n"/>
      <c r="Z460" t="inlineStr"/>
      <c r="AA460" s="3" t="n">
        <v>1</v>
      </c>
      <c r="AB460" s="3" t="n"/>
      <c r="AC460" s="3" t="n"/>
      <c r="AD460" s="3" t="n"/>
      <c r="AE460" s="3" t="n"/>
      <c r="AF460" s="3" t="n">
        <v>0</v>
      </c>
      <c r="AG460" s="3" t="n"/>
      <c r="AH460" s="3" t="n">
        <v>0</v>
      </c>
      <c r="AI460" s="3" t="n">
        <v>0</v>
      </c>
      <c r="AJ460" s="3" t="n">
        <v>2.067</v>
      </c>
      <c r="AK460" s="3" t="n">
        <v>0.9838</v>
      </c>
      <c r="AL460" s="3" t="n">
        <v>-0.2011774725996978</v>
      </c>
      <c r="AM460" s="6" t="n">
        <v>0</v>
      </c>
      <c r="AN460" s="3" t="n">
        <v>0</v>
      </c>
      <c r="AO460" s="3" t="n">
        <v>0</v>
      </c>
      <c r="AP460" s="3" t="n">
        <v>0</v>
      </c>
      <c r="AQ460" s="3">
        <f>N(X460)*N(BJ460)</f>
        <v/>
      </c>
      <c r="AR460" s="3" t="n">
        <v>0</v>
      </c>
      <c r="AS460" s="3" t="n">
        <v>-0</v>
      </c>
      <c r="AT460" s="3" t="n">
        <v>-0.2011774725996978</v>
      </c>
      <c r="AU460" s="3">
        <f>SUM(AO460:AT460)</f>
        <v/>
      </c>
      <c r="AV460" s="7">
        <f>IF(OR(N(W460)&lt;=0,N(BH460)=0),0,N(W460)*IF(N(R460)/N(W460)&gt;=60,N(BH460),1))</f>
        <v/>
      </c>
      <c r="AW460" s="7">
        <f>N(W460)*N(AF460)*N(BI460)</f>
        <v/>
      </c>
      <c r="AX460" s="3">
        <f>IF(N(BH460)=0,0,N(W460)*N(AH460))</f>
        <v/>
      </c>
      <c r="AY460" s="7">
        <f>N(AM460)*(Assumptions!$B$13*N(BK460)-(1-Assumptions!$B$13)*Assumptions!$B$14)+N(AN460)</f>
        <v/>
      </c>
      <c r="AZ460" s="7">
        <f>N(AU460)*N(R460)/90+N(AV460)+N(AW460)+N(AX460)+N(AY460)</f>
        <v/>
      </c>
      <c r="BA460" s="3">
        <f>IF(N(R460)&lt;=0,0,(N(AZ460)-N(AY460))*90/N(R460))</f>
        <v/>
      </c>
      <c r="BB460" s="7">
        <f>IFERROR(AZ460-VLOOKUP($E460,Assumptions!$A$40:$C$43,3,FALSE),"")</f>
        <v/>
      </c>
      <c r="BC460" s="3">
        <f>IFERROR(BB460/H460,"")</f>
        <v/>
      </c>
      <c r="BD460">
        <f>IF(AND($G460=TRUE,$E460="GKP"),AZ460,"")</f>
        <v/>
      </c>
      <c r="BE460">
        <f>IF(AND($G460=TRUE,$E460="DEF"),AZ460,"")</f>
        <v/>
      </c>
      <c r="BF460">
        <f>IF(AND($G460=TRUE,$E460="MID"),AZ460,"")</f>
        <v/>
      </c>
      <c r="BG460">
        <f>IF(AND($G460=TRUE,$E460="FWD"),AZ460,"")</f>
        <v/>
      </c>
      <c r="BH460" t="n">
        <v>2</v>
      </c>
      <c r="BI460" t="n">
        <v>2</v>
      </c>
      <c r="BJ460" t="n">
        <v>1</v>
      </c>
      <c r="BK460" t="n">
        <v>5</v>
      </c>
    </row>
    <row r="461">
      <c r="A461" t="inlineStr">
        <is>
          <t>James Milner</t>
        </is>
      </c>
      <c r="C461" t="inlineStr">
        <is>
          <t>BHA</t>
        </is>
      </c>
      <c r="D461" t="b">
        <v>0</v>
      </c>
      <c r="F461" t="inlineStr">
        <is>
          <t>MID</t>
        </is>
      </c>
      <c r="G461" t="b">
        <v>0</v>
      </c>
      <c r="H461" s="2" t="n"/>
      <c r="K461" s="2" t="n">
        <v>778</v>
      </c>
      <c r="M461" s="3" t="n"/>
      <c r="N461" s="8" t="n">
        <v>778</v>
      </c>
      <c r="O461" s="8" t="n">
        <v>0</v>
      </c>
      <c r="R461" s="6" t="n">
        <v>778</v>
      </c>
      <c r="S461" t="inlineStr">
        <is>
          <t>25/26 actual</t>
        </is>
      </c>
      <c r="U461" s="6" t="n">
        <v>78.5</v>
      </c>
      <c r="V461" s="2" t="n">
        <v>7</v>
      </c>
      <c r="W461" s="7">
        <f>IF(N(U461)&lt;=0,0,MIN(Assumptions!$B$15,N(R461)/N(U461)))</f>
        <v/>
      </c>
      <c r="X461" s="6" t="n"/>
      <c r="Y461" s="3" t="n">
        <v>0.0247</v>
      </c>
      <c r="Z461" t="inlineStr">
        <is>
          <t>adjusted xGOT</t>
        </is>
      </c>
      <c r="AA461" s="3" t="n">
        <v>0.223</v>
      </c>
      <c r="AB461" s="3" t="n">
        <v>0.931</v>
      </c>
      <c r="AC461" s="3" t="n">
        <v>1.9</v>
      </c>
      <c r="AD461" s="3" t="n">
        <v>0.07580000000000001</v>
      </c>
      <c r="AE461" s="3" t="n">
        <v>8.965</v>
      </c>
      <c r="AF461" s="3" t="n">
        <v>0</v>
      </c>
      <c r="AG461" s="3" t="n">
        <v>6.753</v>
      </c>
      <c r="AH461" s="3" t="n">
        <v>0</v>
      </c>
      <c r="AI461" s="3" t="n">
        <v>27</v>
      </c>
      <c r="AJ461" s="3" t="n"/>
      <c r="AK461" s="3" t="n"/>
      <c r="AL461" s="3" t="n"/>
      <c r="AM461" s="6" t="n">
        <v>0</v>
      </c>
      <c r="AN461" s="3" t="n">
        <v>0</v>
      </c>
      <c r="AO461" s="3" t="n">
        <v>0</v>
      </c>
      <c r="AP461" s="3" t="n">
        <v>0</v>
      </c>
      <c r="AQ461" s="3">
        <f>N(X461)*N(BJ461)</f>
        <v/>
      </c>
      <c r="AR461" s="3" t="n">
        <v>0</v>
      </c>
      <c r="AS461" s="3" t="n">
        <v>0</v>
      </c>
      <c r="AT461" s="3" t="n">
        <v>0</v>
      </c>
      <c r="AU461" s="3">
        <f>SUM(AO461:AT461)</f>
        <v/>
      </c>
      <c r="AV461" s="7">
        <f>IF(OR(N(W461)&lt;=0,N(BH461)=0),0,N(W461)*IF(N(R461)/N(W461)&gt;=60,N(BH461),1))</f>
        <v/>
      </c>
      <c r="AW461" s="7">
        <f>N(W461)*N(AF461)*N(BI461)</f>
        <v/>
      </c>
      <c r="AX461" s="3">
        <f>IF(N(BH461)=0,0,N(W461)*N(AH461))</f>
        <v/>
      </c>
      <c r="AY461" s="7">
        <f>N(AM461)*(Assumptions!$B$13*N(BK461)-(1-Assumptions!$B$13)*Assumptions!$B$14)+N(AN461)</f>
        <v/>
      </c>
      <c r="AZ461" s="7">
        <f>N(AU461)*N(R461)/90+N(AV461)+N(AW461)+N(AX461)+N(AY461)</f>
        <v/>
      </c>
      <c r="BA461" s="3">
        <f>IF(N(R461)&lt;=0,0,(N(AZ461)-N(AY461))*90/N(R461))</f>
        <v/>
      </c>
      <c r="BB461" s="7">
        <f>IFERROR(AZ461-VLOOKUP($E461,Assumptions!$A$40:$C$43,3,FALSE),"")</f>
        <v/>
      </c>
      <c r="BC461" s="3">
        <f>IFERROR(BB461/H461,"")</f>
        <v/>
      </c>
      <c r="BD461">
        <f>IF(AND($G461=TRUE,$E461="GKP"),AZ461,"")</f>
        <v/>
      </c>
      <c r="BE461">
        <f>IF(AND($G461=TRUE,$E461="DEF"),AZ461,"")</f>
        <v/>
      </c>
      <c r="BF461">
        <f>IF(AND($G461=TRUE,$E461="MID"),AZ461,"")</f>
        <v/>
      </c>
      <c r="BG461">
        <f>IF(AND($G461=TRUE,$E461="FWD"),AZ461,"")</f>
        <v/>
      </c>
      <c r="BH461" t="n">
        <v>0</v>
      </c>
      <c r="BI461" t="n">
        <v>0</v>
      </c>
      <c r="BJ461" t="n">
        <v>0</v>
      </c>
      <c r="BK461" t="n">
        <v>0</v>
      </c>
    </row>
    <row r="462">
      <c r="A462" t="inlineStr">
        <is>
          <t>Ashley Barnes</t>
        </is>
      </c>
      <c r="C462" t="inlineStr">
        <is>
          <t>BUR</t>
        </is>
      </c>
      <c r="D462" t="b">
        <v>0</v>
      </c>
      <c r="F462" t="inlineStr">
        <is>
          <t>FWD</t>
        </is>
      </c>
      <c r="G462" t="b">
        <v>0</v>
      </c>
      <c r="H462" s="2" t="n"/>
      <c r="K462" s="2" t="n">
        <v>40</v>
      </c>
      <c r="M462" s="3" t="n"/>
      <c r="N462" s="8" t="n">
        <v>40</v>
      </c>
      <c r="O462" s="8" t="n">
        <v>0</v>
      </c>
      <c r="R462" s="6" t="n">
        <v>40</v>
      </c>
      <c r="S462" t="inlineStr">
        <is>
          <t>25/26 actual</t>
        </is>
      </c>
      <c r="U462" s="6" t="n">
        <v>78.5</v>
      </c>
      <c r="V462" s="2" t="n">
        <v>0</v>
      </c>
      <c r="W462" s="7">
        <f>IF(N(U462)&lt;=0,0,MIN(Assumptions!$B$15,N(R462)/N(U462)))</f>
        <v/>
      </c>
      <c r="X462" s="6" t="n"/>
      <c r="Y462" s="3" t="n">
        <v>0.5738</v>
      </c>
      <c r="Z462" t="inlineStr">
        <is>
          <t>adjusted xGOT</t>
        </is>
      </c>
      <c r="AA462" s="3" t="n">
        <v>1</v>
      </c>
      <c r="AB462" s="3" t="n">
        <v>1.018</v>
      </c>
      <c r="AC462" s="3" t="n">
        <v>0.2</v>
      </c>
      <c r="AD462" s="3" t="n">
        <v>0</v>
      </c>
      <c r="AE462" s="3" t="n">
        <v>4.778</v>
      </c>
      <c r="AF462" s="3" t="n">
        <v>0</v>
      </c>
      <c r="AG462" s="3" t="n">
        <v>1.12</v>
      </c>
      <c r="AH462" s="3" t="n">
        <v>0</v>
      </c>
      <c r="AI462" s="3" t="n">
        <v>7</v>
      </c>
      <c r="AJ462" s="3" t="n"/>
      <c r="AK462" s="3" t="n"/>
      <c r="AL462" s="3" t="n"/>
      <c r="AM462" s="6" t="n">
        <v>0</v>
      </c>
      <c r="AN462" s="3" t="n">
        <v>0</v>
      </c>
      <c r="AO462" s="3" t="n">
        <v>0</v>
      </c>
      <c r="AP462" s="3" t="n">
        <v>0</v>
      </c>
      <c r="AQ462" s="3">
        <f>N(X462)*N(BJ462)</f>
        <v/>
      </c>
      <c r="AR462" s="3" t="n">
        <v>0</v>
      </c>
      <c r="AS462" s="3" t="n">
        <v>0</v>
      </c>
      <c r="AT462" s="3" t="n">
        <v>0</v>
      </c>
      <c r="AU462" s="3">
        <f>SUM(AO462:AT462)</f>
        <v/>
      </c>
      <c r="AV462" s="7">
        <f>IF(OR(N(W462)&lt;=0,N(BH462)=0),0,N(W462)*IF(N(R462)/N(W462)&gt;=60,N(BH462),1))</f>
        <v/>
      </c>
      <c r="AW462" s="7">
        <f>N(W462)*N(AF462)*N(BI462)</f>
        <v/>
      </c>
      <c r="AX462" s="3">
        <f>IF(N(BH462)=0,0,N(W462)*N(AH462))</f>
        <v/>
      </c>
      <c r="AY462" s="7">
        <f>N(AM462)*(Assumptions!$B$13*N(BK462)-(1-Assumptions!$B$13)*Assumptions!$B$14)+N(AN462)</f>
        <v/>
      </c>
      <c r="AZ462" s="7">
        <f>N(AU462)*N(R462)/90+N(AV462)+N(AW462)+N(AX462)+N(AY462)</f>
        <v/>
      </c>
      <c r="BA462" s="3">
        <f>IF(N(R462)&lt;=0,0,(N(AZ462)-N(AY462))*90/N(R462))</f>
        <v/>
      </c>
      <c r="BB462" s="7">
        <f>IFERROR(AZ462-VLOOKUP($E462,Assumptions!$A$40:$C$43,3,FALSE),"")</f>
        <v/>
      </c>
      <c r="BC462" s="3">
        <f>IFERROR(BB462/H462,"")</f>
        <v/>
      </c>
      <c r="BD462">
        <f>IF(AND($G462=TRUE,$E462="GKP"),AZ462,"")</f>
        <v/>
      </c>
      <c r="BE462">
        <f>IF(AND($G462=TRUE,$E462="DEF"),AZ462,"")</f>
        <v/>
      </c>
      <c r="BF462">
        <f>IF(AND($G462=TRUE,$E462="MID"),AZ462,"")</f>
        <v/>
      </c>
      <c r="BG462">
        <f>IF(AND($G462=TRUE,$E462="FWD"),AZ462,"")</f>
        <v/>
      </c>
      <c r="BH462" t="n">
        <v>0</v>
      </c>
      <c r="BI462" t="n">
        <v>0</v>
      </c>
      <c r="BJ462" t="n">
        <v>0</v>
      </c>
      <c r="BK462" t="n">
        <v>0</v>
      </c>
    </row>
    <row r="463">
      <c r="A463" t="inlineStr">
        <is>
          <t>David Button</t>
        </is>
      </c>
      <c r="B463" t="inlineStr">
        <is>
          <t>IPS</t>
        </is>
      </c>
      <c r="D463" t="b">
        <v>0</v>
      </c>
      <c r="E463" t="inlineStr">
        <is>
          <t>GKP</t>
        </is>
      </c>
      <c r="G463" t="b">
        <v>1</v>
      </c>
      <c r="H463" s="2" t="n">
        <v>4</v>
      </c>
      <c r="I463" t="inlineStr">
        <is>
          <t>a</t>
        </is>
      </c>
      <c r="K463" s="2" t="n"/>
      <c r="M463" s="3" t="n">
        <v>0</v>
      </c>
      <c r="N463" s="8" t="n">
        <v>0</v>
      </c>
      <c r="O463" s="8" t="n">
        <v>0</v>
      </c>
      <c r="Q463" t="inlineStr">
        <is>
          <t>flat</t>
        </is>
      </c>
      <c r="R463" s="6" t="n">
        <v>0</v>
      </c>
      <c r="S463" t="inlineStr">
        <is>
          <t>Solio</t>
        </is>
      </c>
      <c r="U463" s="6" t="n">
        <v>85</v>
      </c>
      <c r="V463" s="2" t="n"/>
      <c r="W463" s="7">
        <f>IF(N(U463)&lt;=0,0,MIN(Assumptions!$B$15,N(R463)/N(U463)))</f>
        <v/>
      </c>
      <c r="X463" s="6" t="n">
        <v>0.17</v>
      </c>
      <c r="Y463" s="3" t="n"/>
      <c r="Z463" t="inlineStr"/>
      <c r="AA463" s="3" t="n">
        <v>1</v>
      </c>
      <c r="AB463" s="3" t="n"/>
      <c r="AC463" s="3" t="n"/>
      <c r="AD463" s="3" t="n"/>
      <c r="AE463" s="3" t="n">
        <v>0</v>
      </c>
      <c r="AF463" s="3" t="n">
        <v>0</v>
      </c>
      <c r="AG463" s="3" t="n"/>
      <c r="AH463" s="3" t="n">
        <v>0</v>
      </c>
      <c r="AI463" s="3" t="n"/>
      <c r="AJ463" s="3" t="n">
        <v>3.5741</v>
      </c>
      <c r="AK463" s="3" t="n">
        <v>1.8319</v>
      </c>
      <c r="AL463" s="3" t="n">
        <v>-0.0763216474948735</v>
      </c>
      <c r="AM463" s="6" t="n">
        <v>0</v>
      </c>
      <c r="AN463" s="3" t="n">
        <v>0</v>
      </c>
      <c r="AO463" s="3" t="n">
        <v>0</v>
      </c>
      <c r="AP463" s="3" t="n">
        <v>0</v>
      </c>
      <c r="AQ463" s="3">
        <f>N(X463)*N(BJ463)</f>
        <v/>
      </c>
      <c r="AR463" s="3" t="n">
        <v>0.8565116974562608</v>
      </c>
      <c r="AS463" s="3" t="n">
        <v>-0.6723587286814016</v>
      </c>
      <c r="AT463" s="3" t="n">
        <v>-0.0763216474948735</v>
      </c>
      <c r="AU463" s="3">
        <f>SUM(AO463:AT463)</f>
        <v/>
      </c>
      <c r="AV463" s="7">
        <f>IF(OR(N(W463)&lt;=0,N(BH463)=0),0,N(W463)*IF(N(R463)/N(W463)&gt;=60,N(BH463),1))</f>
        <v/>
      </c>
      <c r="AW463" s="7">
        <f>N(W463)*N(AF463)*N(BI463)</f>
        <v/>
      </c>
      <c r="AX463" s="3">
        <f>IF(N(BH463)=0,0,N(W463)*N(AH463))</f>
        <v/>
      </c>
      <c r="AY463" s="7">
        <f>N(AM463)*(Assumptions!$B$13*N(BK463)-(1-Assumptions!$B$13)*Assumptions!$B$14)+N(AN463)</f>
        <v/>
      </c>
      <c r="AZ463" s="7">
        <f>N(AU463)*N(R463)/90+N(AV463)+N(AW463)+N(AX463)+N(AY463)</f>
        <v/>
      </c>
      <c r="BA463" s="3">
        <f>IF(N(R463)&lt;=0,0,(N(AZ463)-N(AY463))*90/N(R463))</f>
        <v/>
      </c>
      <c r="BB463" s="7">
        <f>IFERROR(AZ463-VLOOKUP($E463,Assumptions!$A$40:$C$43,3,FALSE),"")</f>
        <v/>
      </c>
      <c r="BC463" s="3">
        <f>IFERROR(BB463/H463,"")</f>
        <v/>
      </c>
      <c r="BD463">
        <f>IF(AND($G463=TRUE,$E463="GKP"),AZ463,"")</f>
        <v/>
      </c>
      <c r="BE463">
        <f>IF(AND($G463=TRUE,$E463="DEF"),AZ463,"")</f>
        <v/>
      </c>
      <c r="BF463">
        <f>IF(AND($G463=TRUE,$E463="MID"),AZ463,"")</f>
        <v/>
      </c>
      <c r="BG463">
        <f>IF(AND($G463=TRUE,$E463="FWD"),AZ463,"")</f>
        <v/>
      </c>
      <c r="BH463" t="n">
        <v>2</v>
      </c>
      <c r="BI463" t="n">
        <v>0</v>
      </c>
      <c r="BJ463" t="n">
        <v>4</v>
      </c>
      <c r="BK463" t="n">
        <v>10</v>
      </c>
    </row>
    <row r="464">
      <c r="A464" t="inlineStr">
        <is>
          <t>Nathaniel Clyne</t>
        </is>
      </c>
      <c r="C464" t="inlineStr">
        <is>
          <t>CRY</t>
        </is>
      </c>
      <c r="D464" t="b">
        <v>0</v>
      </c>
      <c r="F464" t="inlineStr">
        <is>
          <t>DEF</t>
        </is>
      </c>
      <c r="G464" t="b">
        <v>0</v>
      </c>
      <c r="H464" s="2" t="n"/>
      <c r="K464" s="2" t="n">
        <v>596</v>
      </c>
      <c r="M464" s="3" t="n"/>
      <c r="N464" s="8" t="n">
        <v>596</v>
      </c>
      <c r="O464" s="8" t="n">
        <v>0</v>
      </c>
      <c r="R464" s="6" t="n">
        <v>596</v>
      </c>
      <c r="S464" t="inlineStr">
        <is>
          <t>25/26 actual</t>
        </is>
      </c>
      <c r="U464" s="6" t="n">
        <v>79.90000000000001</v>
      </c>
      <c r="V464" s="2" t="n">
        <v>7</v>
      </c>
      <c r="W464" s="7">
        <f>IF(N(U464)&lt;=0,0,MIN(Assumptions!$B$15,N(R464)/N(U464)))</f>
        <v/>
      </c>
      <c r="X464" s="6" t="n"/>
      <c r="Y464" s="3" t="n">
        <v>0.0599</v>
      </c>
      <c r="Z464" t="inlineStr">
        <is>
          <t>adjusted xGOT</t>
        </is>
      </c>
      <c r="AA464" s="3" t="n">
        <v>1</v>
      </c>
      <c r="AB464" s="3" t="n">
        <v>0.924</v>
      </c>
      <c r="AC464" s="3" t="n">
        <v>0.7</v>
      </c>
      <c r="AD464" s="3" t="n">
        <v>0.1019</v>
      </c>
      <c r="AE464" s="3" t="n">
        <v>7.647</v>
      </c>
      <c r="AF464" s="3" t="n">
        <v>0</v>
      </c>
      <c r="AG464" s="3" t="n">
        <v>7.28</v>
      </c>
      <c r="AH464" s="3" t="n">
        <v>0</v>
      </c>
      <c r="AI464" s="3" t="n">
        <v>16</v>
      </c>
      <c r="AJ464" s="3" t="n"/>
      <c r="AK464" s="3" t="n"/>
      <c r="AL464" s="3" t="n"/>
      <c r="AM464" s="6" t="n">
        <v>0</v>
      </c>
      <c r="AN464" s="3" t="n">
        <v>0</v>
      </c>
      <c r="AO464" s="3" t="n">
        <v>0</v>
      </c>
      <c r="AP464" s="3" t="n">
        <v>0</v>
      </c>
      <c r="AQ464" s="3">
        <f>N(X464)*N(BJ464)</f>
        <v/>
      </c>
      <c r="AR464" s="3" t="n">
        <v>0</v>
      </c>
      <c r="AS464" s="3" t="n">
        <v>0</v>
      </c>
      <c r="AT464" s="3" t="n">
        <v>0</v>
      </c>
      <c r="AU464" s="3">
        <f>SUM(AO464:AT464)</f>
        <v/>
      </c>
      <c r="AV464" s="7">
        <f>IF(OR(N(W464)&lt;=0,N(BH464)=0),0,N(W464)*IF(N(R464)/N(W464)&gt;=60,N(BH464),1))</f>
        <v/>
      </c>
      <c r="AW464" s="7">
        <f>N(W464)*N(AF464)*N(BI464)</f>
        <v/>
      </c>
      <c r="AX464" s="3">
        <f>IF(N(BH464)=0,0,N(W464)*N(AH464))</f>
        <v/>
      </c>
      <c r="AY464" s="7">
        <f>N(AM464)*(Assumptions!$B$13*N(BK464)-(1-Assumptions!$B$13)*Assumptions!$B$14)+N(AN464)</f>
        <v/>
      </c>
      <c r="AZ464" s="7">
        <f>N(AU464)*N(R464)/90+N(AV464)+N(AW464)+N(AX464)+N(AY464)</f>
        <v/>
      </c>
      <c r="BA464" s="3">
        <f>IF(N(R464)&lt;=0,0,(N(AZ464)-N(AY464))*90/N(R464))</f>
        <v/>
      </c>
      <c r="BB464" s="7">
        <f>IFERROR(AZ464-VLOOKUP($E464,Assumptions!$A$40:$C$43,3,FALSE),"")</f>
        <v/>
      </c>
      <c r="BC464" s="3">
        <f>IFERROR(BB464/H464,"")</f>
        <v/>
      </c>
      <c r="BD464">
        <f>IF(AND($G464=TRUE,$E464="GKP"),AZ464,"")</f>
        <v/>
      </c>
      <c r="BE464">
        <f>IF(AND($G464=TRUE,$E464="DEF"),AZ464,"")</f>
        <v/>
      </c>
      <c r="BF464">
        <f>IF(AND($G464=TRUE,$E464="MID"),AZ464,"")</f>
        <v/>
      </c>
      <c r="BG464">
        <f>IF(AND($G464=TRUE,$E464="FWD"),AZ464,"")</f>
        <v/>
      </c>
      <c r="BH464" t="n">
        <v>0</v>
      </c>
      <c r="BI464" t="n">
        <v>0</v>
      </c>
      <c r="BJ464" t="n">
        <v>0</v>
      </c>
      <c r="BK464" t="n">
        <v>0</v>
      </c>
    </row>
    <row r="465">
      <c r="A465" t="inlineStr">
        <is>
          <t>Kyle Walker</t>
        </is>
      </c>
      <c r="C465" t="inlineStr">
        <is>
          <t>BUR</t>
        </is>
      </c>
      <c r="D465" t="b">
        <v>0</v>
      </c>
      <c r="F465" t="inlineStr">
        <is>
          <t>DEF</t>
        </is>
      </c>
      <c r="G465" t="b">
        <v>0</v>
      </c>
      <c r="H465" s="2" t="n"/>
      <c r="K465" s="2" t="n">
        <v>3097</v>
      </c>
      <c r="M465" s="3" t="n"/>
      <c r="N465" s="8" t="n">
        <v>3097</v>
      </c>
      <c r="O465" s="8" t="n">
        <v>0</v>
      </c>
      <c r="R465" s="6" t="n">
        <v>3097</v>
      </c>
      <c r="S465" t="inlineStr">
        <is>
          <t>25/26 actual</t>
        </is>
      </c>
      <c r="U465" s="6" t="n">
        <v>87.59999999999999</v>
      </c>
      <c r="V465" s="2" t="n">
        <v>35</v>
      </c>
      <c r="W465" s="7">
        <f>IF(N(U465)&lt;=0,0,MIN(Assumptions!$B$15,N(R465)/N(U465)))</f>
        <v/>
      </c>
      <c r="X465" s="6" t="n"/>
      <c r="Y465" s="3" t="n">
        <v>0.004</v>
      </c>
      <c r="Z465" t="inlineStr">
        <is>
          <t>adjusted xGOT</t>
        </is>
      </c>
      <c r="AA465" s="3" t="n">
        <v>1</v>
      </c>
      <c r="AB465" s="3" t="n">
        <v>0.916</v>
      </c>
      <c r="AC465" s="3" t="n">
        <v>1.1</v>
      </c>
      <c r="AD465" s="3" t="n">
        <v>0.0484</v>
      </c>
      <c r="AE465" s="3" t="n">
        <v>6.452</v>
      </c>
      <c r="AF465" s="3" t="n">
        <v>0</v>
      </c>
      <c r="AG465" s="3" t="n">
        <v>6.898</v>
      </c>
      <c r="AH465" s="3" t="n">
        <v>0</v>
      </c>
      <c r="AI465" s="3" t="n">
        <v>70</v>
      </c>
      <c r="AJ465" s="3" t="n"/>
      <c r="AK465" s="3" t="n"/>
      <c r="AL465" s="3" t="n"/>
      <c r="AM465" s="6" t="n">
        <v>0</v>
      </c>
      <c r="AN465" s="3" t="n">
        <v>0</v>
      </c>
      <c r="AO465" s="3" t="n">
        <v>0</v>
      </c>
      <c r="AP465" s="3" t="n">
        <v>0</v>
      </c>
      <c r="AQ465" s="3">
        <f>N(X465)*N(BJ465)</f>
        <v/>
      </c>
      <c r="AR465" s="3" t="n">
        <v>0</v>
      </c>
      <c r="AS465" s="3" t="n">
        <v>0</v>
      </c>
      <c r="AT465" s="3" t="n">
        <v>0</v>
      </c>
      <c r="AU465" s="3">
        <f>SUM(AO465:AT465)</f>
        <v/>
      </c>
      <c r="AV465" s="7">
        <f>IF(OR(N(W465)&lt;=0,N(BH465)=0),0,N(W465)*IF(N(R465)/N(W465)&gt;=60,N(BH465),1))</f>
        <v/>
      </c>
      <c r="AW465" s="7">
        <f>N(W465)*N(AF465)*N(BI465)</f>
        <v/>
      </c>
      <c r="AX465" s="3">
        <f>IF(N(BH465)=0,0,N(W465)*N(AH465))</f>
        <v/>
      </c>
      <c r="AY465" s="7">
        <f>N(AM465)*(Assumptions!$B$13*N(BK465)-(1-Assumptions!$B$13)*Assumptions!$B$14)+N(AN465)</f>
        <v/>
      </c>
      <c r="AZ465" s="7">
        <f>N(AU465)*N(R465)/90+N(AV465)+N(AW465)+N(AX465)+N(AY465)</f>
        <v/>
      </c>
      <c r="BA465" s="3">
        <f>IF(N(R465)&lt;=0,0,(N(AZ465)-N(AY465))*90/N(R465))</f>
        <v/>
      </c>
      <c r="BB465" s="7">
        <f>IFERROR(AZ465-VLOOKUP($E465,Assumptions!$A$40:$C$43,3,FALSE),"")</f>
        <v/>
      </c>
      <c r="BC465" s="3">
        <f>IFERROR(BB465/H465,"")</f>
        <v/>
      </c>
      <c r="BD465">
        <f>IF(AND($G465=TRUE,$E465="GKP"),AZ465,"")</f>
        <v/>
      </c>
      <c r="BE465">
        <f>IF(AND($G465=TRUE,$E465="DEF"),AZ465,"")</f>
        <v/>
      </c>
      <c r="BF465">
        <f>IF(AND($G465=TRUE,$E465="MID"),AZ465,"")</f>
        <v/>
      </c>
      <c r="BG465">
        <f>IF(AND($G465=TRUE,$E465="FWD"),AZ465,"")</f>
        <v/>
      </c>
      <c r="BH465" t="n">
        <v>0</v>
      </c>
      <c r="BI465" t="n">
        <v>0</v>
      </c>
      <c r="BJ465" t="n">
        <v>0</v>
      </c>
      <c r="BK465" t="n">
        <v>0</v>
      </c>
    </row>
    <row r="466">
      <c r="A466" t="inlineStr">
        <is>
          <t>Séamus Coleman</t>
        </is>
      </c>
      <c r="C466" t="inlineStr">
        <is>
          <t>EVE</t>
        </is>
      </c>
      <c r="D466" t="b">
        <v>0</v>
      </c>
      <c r="F466" t="inlineStr">
        <is>
          <t>DEF</t>
        </is>
      </c>
      <c r="G466" t="b">
        <v>0</v>
      </c>
      <c r="H466" s="2" t="n"/>
      <c r="K466" s="2" t="n">
        <v>20</v>
      </c>
      <c r="M466" s="3" t="n"/>
      <c r="N466" s="8" t="n">
        <v>20</v>
      </c>
      <c r="O466" s="8" t="n">
        <v>0</v>
      </c>
      <c r="R466" s="6" t="n">
        <v>20</v>
      </c>
      <c r="S466" t="inlineStr">
        <is>
          <t>25/26 actual</t>
        </is>
      </c>
      <c r="U466" s="6" t="n">
        <v>78.5</v>
      </c>
      <c r="V466" s="2" t="n">
        <v>1</v>
      </c>
      <c r="W466" s="7">
        <f>IF(N(U466)&lt;=0,0,MIN(Assumptions!$B$15,N(R466)/N(U466)))</f>
        <v/>
      </c>
      <c r="X466" s="6" t="n"/>
      <c r="Y466" s="3" t="n">
        <v>0</v>
      </c>
      <c r="Z466" t="inlineStr">
        <is>
          <t>adjusted xGOT</t>
        </is>
      </c>
      <c r="AA466" s="3" t="n">
        <v>1</v>
      </c>
      <c r="AB466" s="3" t="n">
        <v>0.93</v>
      </c>
      <c r="AC466" s="3" t="n">
        <v>0.9</v>
      </c>
      <c r="AD466" s="3" t="n">
        <v>0.1706</v>
      </c>
      <c r="AE466" s="3" t="n">
        <v>7.731</v>
      </c>
      <c r="AF466" s="3" t="n">
        <v>0</v>
      </c>
      <c r="AG466" s="3" t="n">
        <v>8.31</v>
      </c>
      <c r="AH466" s="3" t="n">
        <v>0</v>
      </c>
      <c r="AI466" s="3" t="n">
        <v>5</v>
      </c>
      <c r="AJ466" s="3" t="n"/>
      <c r="AK466" s="3" t="n"/>
      <c r="AL466" s="3" t="n"/>
      <c r="AM466" s="6" t="n">
        <v>0</v>
      </c>
      <c r="AN466" s="3" t="n">
        <v>0</v>
      </c>
      <c r="AO466" s="3" t="n">
        <v>0</v>
      </c>
      <c r="AP466" s="3" t="n">
        <v>0</v>
      </c>
      <c r="AQ466" s="3">
        <f>N(X466)*N(BJ466)</f>
        <v/>
      </c>
      <c r="AR466" s="3" t="n">
        <v>0</v>
      </c>
      <c r="AS466" s="3" t="n">
        <v>0</v>
      </c>
      <c r="AT466" s="3" t="n">
        <v>0</v>
      </c>
      <c r="AU466" s="3">
        <f>SUM(AO466:AT466)</f>
        <v/>
      </c>
      <c r="AV466" s="7">
        <f>IF(OR(N(W466)&lt;=0,N(BH466)=0),0,N(W466)*IF(N(R466)/N(W466)&gt;=60,N(BH466),1))</f>
        <v/>
      </c>
      <c r="AW466" s="7">
        <f>N(W466)*N(AF466)*N(BI466)</f>
        <v/>
      </c>
      <c r="AX466" s="3">
        <f>IF(N(BH466)=0,0,N(W466)*N(AH466))</f>
        <v/>
      </c>
      <c r="AY466" s="7">
        <f>N(AM466)*(Assumptions!$B$13*N(BK466)-(1-Assumptions!$B$13)*Assumptions!$B$14)+N(AN466)</f>
        <v/>
      </c>
      <c r="AZ466" s="7">
        <f>N(AU466)*N(R466)/90+N(AV466)+N(AW466)+N(AX466)+N(AY466)</f>
        <v/>
      </c>
      <c r="BA466" s="3">
        <f>IF(N(R466)&lt;=0,0,(N(AZ466)-N(AY466))*90/N(R466))</f>
        <v/>
      </c>
      <c r="BB466" s="7">
        <f>IFERROR(AZ466-VLOOKUP($E466,Assumptions!$A$40:$C$43,3,FALSE),"")</f>
        <v/>
      </c>
      <c r="BC466" s="3">
        <f>IFERROR(BB466/H466,"")</f>
        <v/>
      </c>
      <c r="BD466">
        <f>IF(AND($G466=TRUE,$E466="GKP"),AZ466,"")</f>
        <v/>
      </c>
      <c r="BE466">
        <f>IF(AND($G466=TRUE,$E466="DEF"),AZ466,"")</f>
        <v/>
      </c>
      <c r="BF466">
        <f>IF(AND($G466=TRUE,$E466="MID"),AZ466,"")</f>
        <v/>
      </c>
      <c r="BG466">
        <f>IF(AND($G466=TRUE,$E466="FWD"),AZ466,"")</f>
        <v/>
      </c>
      <c r="BH466" t="n">
        <v>0</v>
      </c>
      <c r="BI466" t="n">
        <v>0</v>
      </c>
      <c r="BJ466" t="n">
        <v>0</v>
      </c>
      <c r="BK466" t="n">
        <v>0</v>
      </c>
    </row>
    <row r="467">
      <c r="A467" t="inlineStr">
        <is>
          <t>Casemiro</t>
        </is>
      </c>
      <c r="C467" t="inlineStr">
        <is>
          <t>MUN</t>
        </is>
      </c>
      <c r="D467" t="b">
        <v>0</v>
      </c>
      <c r="F467" t="inlineStr">
        <is>
          <t>MID</t>
        </is>
      </c>
      <c r="G467" t="b">
        <v>0</v>
      </c>
      <c r="H467" s="2" t="n"/>
      <c r="K467" s="2" t="n">
        <v>2588</v>
      </c>
      <c r="M467" s="3" t="n"/>
      <c r="N467" s="8" t="n">
        <v>2588</v>
      </c>
      <c r="O467" s="8" t="n">
        <v>0</v>
      </c>
      <c r="R467" s="6" t="n">
        <v>2588</v>
      </c>
      <c r="S467" t="inlineStr">
        <is>
          <t>25/26 actual</t>
        </is>
      </c>
      <c r="U467" s="6" t="n">
        <v>79</v>
      </c>
      <c r="V467" s="2" t="n">
        <v>32</v>
      </c>
      <c r="W467" s="7">
        <f>IF(N(U467)&lt;=0,0,MIN(Assumptions!$B$15,N(R467)/N(U467)))</f>
        <v/>
      </c>
      <c r="X467" s="6" t="n"/>
      <c r="Y467" s="3" t="n">
        <v>0.1734</v>
      </c>
      <c r="Z467" t="inlineStr">
        <is>
          <t>adjusted xGOT</t>
        </is>
      </c>
      <c r="AA467" s="3" t="n">
        <v>1</v>
      </c>
      <c r="AB467" s="3" t="n">
        <v>0.916</v>
      </c>
      <c r="AC467" s="3" t="n">
        <v>14.4</v>
      </c>
      <c r="AD467" s="3" t="n">
        <v>0.1105</v>
      </c>
      <c r="AE467" s="3" t="n">
        <v>11.571</v>
      </c>
      <c r="AF467" s="3" t="n">
        <v>0</v>
      </c>
      <c r="AG467" s="3" t="n">
        <v>8.385999999999999</v>
      </c>
      <c r="AH467" s="3" t="n">
        <v>0</v>
      </c>
      <c r="AI467" s="3" t="n">
        <v>63</v>
      </c>
      <c r="AJ467" s="3" t="n"/>
      <c r="AK467" s="3" t="n"/>
      <c r="AL467" s="3" t="n"/>
      <c r="AM467" s="6" t="n">
        <v>0</v>
      </c>
      <c r="AN467" s="3" t="n">
        <v>0</v>
      </c>
      <c r="AO467" s="3" t="n">
        <v>0</v>
      </c>
      <c r="AP467" s="3" t="n">
        <v>0</v>
      </c>
      <c r="AQ467" s="3">
        <f>N(X467)*N(BJ467)</f>
        <v/>
      </c>
      <c r="AR467" s="3" t="n">
        <v>0</v>
      </c>
      <c r="AS467" s="3" t="n">
        <v>0</v>
      </c>
      <c r="AT467" s="3" t="n">
        <v>0</v>
      </c>
      <c r="AU467" s="3">
        <f>SUM(AO467:AT467)</f>
        <v/>
      </c>
      <c r="AV467" s="7">
        <f>IF(OR(N(W467)&lt;=0,N(BH467)=0),0,N(W467)*IF(N(R467)/N(W467)&gt;=60,N(BH467),1))</f>
        <v/>
      </c>
      <c r="AW467" s="7">
        <f>N(W467)*N(AF467)*N(BI467)</f>
        <v/>
      </c>
      <c r="AX467" s="3">
        <f>IF(N(BH467)=0,0,N(W467)*N(AH467))</f>
        <v/>
      </c>
      <c r="AY467" s="7">
        <f>N(AM467)*(Assumptions!$B$13*N(BK467)-(1-Assumptions!$B$13)*Assumptions!$B$14)+N(AN467)</f>
        <v/>
      </c>
      <c r="AZ467" s="7">
        <f>N(AU467)*N(R467)/90+N(AV467)+N(AW467)+N(AX467)+N(AY467)</f>
        <v/>
      </c>
      <c r="BA467" s="3">
        <f>IF(N(R467)&lt;=0,0,(N(AZ467)-N(AY467))*90/N(R467))</f>
        <v/>
      </c>
      <c r="BB467" s="7">
        <f>IFERROR(AZ467-VLOOKUP($E467,Assumptions!$A$40:$C$43,3,FALSE),"")</f>
        <v/>
      </c>
      <c r="BC467" s="3">
        <f>IFERROR(BB467/H467,"")</f>
        <v/>
      </c>
      <c r="BD467">
        <f>IF(AND($G467=TRUE,$E467="GKP"),AZ467,"")</f>
        <v/>
      </c>
      <c r="BE467">
        <f>IF(AND($G467=TRUE,$E467="DEF"),AZ467,"")</f>
        <v/>
      </c>
      <c r="BF467">
        <f>IF(AND($G467=TRUE,$E467="MID"),AZ467,"")</f>
        <v/>
      </c>
      <c r="BG467">
        <f>IF(AND($G467=TRUE,$E467="FWD"),AZ467,"")</f>
        <v/>
      </c>
      <c r="BH467" t="n">
        <v>0</v>
      </c>
      <c r="BI467" t="n">
        <v>0</v>
      </c>
      <c r="BJ467" t="n">
        <v>0</v>
      </c>
      <c r="BK467" t="n">
        <v>0</v>
      </c>
    </row>
    <row r="468">
      <c r="A468" t="inlineStr">
        <is>
          <t>Kieran Trippier</t>
        </is>
      </c>
      <c r="C468" t="inlineStr">
        <is>
          <t>NEW</t>
        </is>
      </c>
      <c r="D468" t="b">
        <v>0</v>
      </c>
      <c r="F468" t="inlineStr">
        <is>
          <t>DEF</t>
        </is>
      </c>
      <c r="G468" t="b">
        <v>0</v>
      </c>
      <c r="H468" s="2" t="n"/>
      <c r="K468" s="2" t="n">
        <v>1592</v>
      </c>
      <c r="M468" s="3" t="n"/>
      <c r="N468" s="8" t="n">
        <v>1592</v>
      </c>
      <c r="O468" s="8" t="n">
        <v>0</v>
      </c>
      <c r="R468" s="6" t="n">
        <v>1592</v>
      </c>
      <c r="S468" t="inlineStr">
        <is>
          <t>25/26 actual</t>
        </is>
      </c>
      <c r="U468" s="6" t="n">
        <v>84.7</v>
      </c>
      <c r="V468" s="2" t="n">
        <v>18</v>
      </c>
      <c r="W468" s="7">
        <f>IF(N(U468)&lt;=0,0,MIN(Assumptions!$B$15,N(R468)/N(U468)))</f>
        <v/>
      </c>
      <c r="X468" s="6" t="n"/>
      <c r="Y468" s="3" t="n">
        <v>0.0047</v>
      </c>
      <c r="Z468" t="inlineStr">
        <is>
          <t>adjusted xGOT</t>
        </is>
      </c>
      <c r="AA468" s="3" t="n">
        <v>1</v>
      </c>
      <c r="AB468" s="3" t="n">
        <v>1.052</v>
      </c>
      <c r="AC468" s="3" t="n">
        <v>1.7</v>
      </c>
      <c r="AD468" s="3" t="n">
        <v>0.1029</v>
      </c>
      <c r="AE468" s="3" t="n">
        <v>5.6</v>
      </c>
      <c r="AF468" s="3" t="n">
        <v>0</v>
      </c>
      <c r="AG468" s="3" t="n">
        <v>8.058999999999999</v>
      </c>
      <c r="AH468" s="3" t="n">
        <v>0</v>
      </c>
      <c r="AI468" s="3" t="n">
        <v>39</v>
      </c>
      <c r="AJ468" s="3" t="n"/>
      <c r="AK468" s="3" t="n"/>
      <c r="AL468" s="3" t="n"/>
      <c r="AM468" s="6" t="n">
        <v>0</v>
      </c>
      <c r="AN468" s="3" t="n">
        <v>0</v>
      </c>
      <c r="AO468" s="3" t="n">
        <v>0</v>
      </c>
      <c r="AP468" s="3" t="n">
        <v>0</v>
      </c>
      <c r="AQ468" s="3">
        <f>N(X468)*N(BJ468)</f>
        <v/>
      </c>
      <c r="AR468" s="3" t="n">
        <v>0</v>
      </c>
      <c r="AS468" s="3" t="n">
        <v>0</v>
      </c>
      <c r="AT468" s="3" t="n">
        <v>0</v>
      </c>
      <c r="AU468" s="3">
        <f>SUM(AO468:AT468)</f>
        <v/>
      </c>
      <c r="AV468" s="7">
        <f>IF(OR(N(W468)&lt;=0,N(BH468)=0),0,N(W468)*IF(N(R468)/N(W468)&gt;=60,N(BH468),1))</f>
        <v/>
      </c>
      <c r="AW468" s="7">
        <f>N(W468)*N(AF468)*N(BI468)</f>
        <v/>
      </c>
      <c r="AX468" s="3">
        <f>IF(N(BH468)=0,0,N(W468)*N(AH468))</f>
        <v/>
      </c>
      <c r="AY468" s="7">
        <f>N(AM468)*(Assumptions!$B$13*N(BK468)-(1-Assumptions!$B$13)*Assumptions!$B$14)+N(AN468)</f>
        <v/>
      </c>
      <c r="AZ468" s="7">
        <f>N(AU468)*N(R468)/90+N(AV468)+N(AW468)+N(AX468)+N(AY468)</f>
        <v/>
      </c>
      <c r="BA468" s="3">
        <f>IF(N(R468)&lt;=0,0,(N(AZ468)-N(AY468))*90/N(R468))</f>
        <v/>
      </c>
      <c r="BB468" s="7">
        <f>IFERROR(AZ468-VLOOKUP($E468,Assumptions!$A$40:$C$43,3,FALSE),"")</f>
        <v/>
      </c>
      <c r="BC468" s="3">
        <f>IFERROR(BB468/H468,"")</f>
        <v/>
      </c>
      <c r="BD468">
        <f>IF(AND($G468=TRUE,$E468="GKP"),AZ468,"")</f>
        <v/>
      </c>
      <c r="BE468">
        <f>IF(AND($G468=TRUE,$E468="DEF"),AZ468,"")</f>
        <v/>
      </c>
      <c r="BF468">
        <f>IF(AND($G468=TRUE,$E468="MID"),AZ468,"")</f>
        <v/>
      </c>
      <c r="BG468">
        <f>IF(AND($G468=TRUE,$E468="FWD"),AZ468,"")</f>
        <v/>
      </c>
      <c r="BH468" t="n">
        <v>0</v>
      </c>
      <c r="BI468" t="n">
        <v>0</v>
      </c>
      <c r="BJ468" t="n">
        <v>0</v>
      </c>
      <c r="BK468" t="n">
        <v>0</v>
      </c>
    </row>
    <row r="469">
      <c r="A469" t="inlineStr">
        <is>
          <t>Dan Bentley</t>
        </is>
      </c>
      <c r="C469" t="inlineStr">
        <is>
          <t>WOL</t>
        </is>
      </c>
      <c r="D469" t="b">
        <v>0</v>
      </c>
      <c r="F469" t="inlineStr">
        <is>
          <t>GKP</t>
        </is>
      </c>
      <c r="G469" t="b">
        <v>0</v>
      </c>
      <c r="H469" s="2" t="n"/>
      <c r="K469" s="2" t="n">
        <v>270</v>
      </c>
      <c r="M469" s="3" t="n"/>
      <c r="N469" s="8" t="n">
        <v>270</v>
      </c>
      <c r="O469" s="8" t="n">
        <v>0</v>
      </c>
      <c r="R469" s="6" t="n">
        <v>270</v>
      </c>
      <c r="S469" t="inlineStr">
        <is>
          <t>25/26 actual</t>
        </is>
      </c>
      <c r="U469" s="6" t="n">
        <v>89.8</v>
      </c>
      <c r="V469" s="2" t="n">
        <v>3</v>
      </c>
      <c r="W469" s="7">
        <f>IF(N(U469)&lt;=0,0,MIN(Assumptions!$B$15,N(R469)/N(U469)))</f>
        <v/>
      </c>
      <c r="X469" s="6" t="n"/>
      <c r="Y469" s="3" t="n">
        <v>0</v>
      </c>
      <c r="Z469" t="inlineStr">
        <is>
          <t>blended xG</t>
        </is>
      </c>
      <c r="AA469" s="3" t="n">
        <v>1</v>
      </c>
      <c r="AB469" s="3" t="n">
        <v>1</v>
      </c>
      <c r="AC469" s="3" t="n">
        <v>0</v>
      </c>
      <c r="AD469" s="3" t="n">
        <v>0</v>
      </c>
      <c r="AE469" s="3" t="n">
        <v>0</v>
      </c>
      <c r="AF469" s="3" t="n">
        <v>0</v>
      </c>
      <c r="AG469" s="3" t="n">
        <v>5.788</v>
      </c>
      <c r="AH469" s="3" t="n">
        <v>0</v>
      </c>
      <c r="AI469" s="3" t="n">
        <v>6</v>
      </c>
      <c r="AJ469" s="3" t="n"/>
      <c r="AK469" s="3" t="n"/>
      <c r="AL469" s="3" t="n"/>
      <c r="AM469" s="6" t="n">
        <v>0</v>
      </c>
      <c r="AN469" s="3" t="n">
        <v>0</v>
      </c>
      <c r="AO469" s="3" t="n">
        <v>0</v>
      </c>
      <c r="AP469" s="3" t="n">
        <v>0</v>
      </c>
      <c r="AQ469" s="3">
        <f>N(X469)*N(BJ469)</f>
        <v/>
      </c>
      <c r="AR469" s="3" t="n">
        <v>0</v>
      </c>
      <c r="AS469" s="3" t="n">
        <v>0</v>
      </c>
      <c r="AT469" s="3" t="n">
        <v>0</v>
      </c>
      <c r="AU469" s="3">
        <f>SUM(AO469:AT469)</f>
        <v/>
      </c>
      <c r="AV469" s="7">
        <f>IF(OR(N(W469)&lt;=0,N(BH469)=0),0,N(W469)*IF(N(R469)/N(W469)&gt;=60,N(BH469),1))</f>
        <v/>
      </c>
      <c r="AW469" s="7">
        <f>N(W469)*N(AF469)*N(BI469)</f>
        <v/>
      </c>
      <c r="AX469" s="3">
        <f>IF(N(BH469)=0,0,N(W469)*N(AH469))</f>
        <v/>
      </c>
      <c r="AY469" s="7">
        <f>N(AM469)*(Assumptions!$B$13*N(BK469)-(1-Assumptions!$B$13)*Assumptions!$B$14)+N(AN469)</f>
        <v/>
      </c>
      <c r="AZ469" s="7">
        <f>N(AU469)*N(R469)/90+N(AV469)+N(AW469)+N(AX469)+N(AY469)</f>
        <v/>
      </c>
      <c r="BA469" s="3">
        <f>IF(N(R469)&lt;=0,0,(N(AZ469)-N(AY469))*90/N(R469))</f>
        <v/>
      </c>
      <c r="BB469" s="7">
        <f>IFERROR(AZ469-VLOOKUP($E469,Assumptions!$A$40:$C$43,3,FALSE),"")</f>
        <v/>
      </c>
      <c r="BC469" s="3">
        <f>IFERROR(BB469/H469,"")</f>
        <v/>
      </c>
      <c r="BD469">
        <f>IF(AND($G469=TRUE,$E469="GKP"),AZ469,"")</f>
        <v/>
      </c>
      <c r="BE469">
        <f>IF(AND($G469=TRUE,$E469="DEF"),AZ469,"")</f>
        <v/>
      </c>
      <c r="BF469">
        <f>IF(AND($G469=TRUE,$E469="MID"),AZ469,"")</f>
        <v/>
      </c>
      <c r="BG469">
        <f>IF(AND($G469=TRUE,$E469="FWD"),AZ469,"")</f>
        <v/>
      </c>
      <c r="BH469" t="n">
        <v>0</v>
      </c>
      <c r="BI469" t="n">
        <v>0</v>
      </c>
      <c r="BJ469" t="n">
        <v>0</v>
      </c>
      <c r="BK469" t="n">
        <v>0</v>
      </c>
    </row>
    <row r="470">
      <c r="A470" t="inlineStr">
        <is>
          <t>Jake Bidwell</t>
        </is>
      </c>
      <c r="B470" t="inlineStr">
        <is>
          <t>COV</t>
        </is>
      </c>
      <c r="D470" t="b">
        <v>0</v>
      </c>
      <c r="E470" t="inlineStr">
        <is>
          <t>DEF</t>
        </is>
      </c>
      <c r="G470" t="b">
        <v>1</v>
      </c>
      <c r="H470" s="2" t="n">
        <v>4</v>
      </c>
      <c r="I470" t="inlineStr">
        <is>
          <t>a</t>
        </is>
      </c>
      <c r="K470" s="2" t="n"/>
      <c r="M470" s="3" t="n">
        <v>65</v>
      </c>
      <c r="N470" s="8" t="n">
        <v>65</v>
      </c>
      <c r="O470" s="8" t="n">
        <v>0</v>
      </c>
      <c r="Q470" t="inlineStr">
        <is>
          <t>flat</t>
        </is>
      </c>
      <c r="R470" s="6" t="n">
        <v>65</v>
      </c>
      <c r="S470" t="inlineStr">
        <is>
          <t>Solio</t>
        </is>
      </c>
      <c r="U470" s="6" t="n">
        <v>85</v>
      </c>
      <c r="V470" s="2" t="n"/>
      <c r="W470" s="7">
        <f>IF(N(U470)&lt;=0,0,MIN(Assumptions!$B$15,N(R470)/N(U470)))</f>
        <v/>
      </c>
      <c r="X470" s="6" t="n">
        <v>0.17</v>
      </c>
      <c r="Y470" s="3" t="n"/>
      <c r="Z470" t="inlineStr"/>
      <c r="AA470" s="3" t="n">
        <v>1</v>
      </c>
      <c r="AB470" s="3" t="n"/>
      <c r="AC470" s="3" t="n"/>
      <c r="AD470" s="3" t="n"/>
      <c r="AE470" s="3" t="n"/>
      <c r="AF470" s="3" t="n">
        <v>0</v>
      </c>
      <c r="AG470" s="3" t="n"/>
      <c r="AH470" s="3" t="n">
        <v>0</v>
      </c>
      <c r="AI470" s="3" t="n"/>
      <c r="AJ470" s="3" t="n">
        <v>3.6194</v>
      </c>
      <c r="AK470" s="3" t="n">
        <v>1.8271</v>
      </c>
      <c r="AL470" s="3" t="n">
        <v>-0.2045226422080557</v>
      </c>
      <c r="AM470" s="6" t="n">
        <v>0</v>
      </c>
      <c r="AN470" s="3" t="n">
        <v>0</v>
      </c>
      <c r="AO470" s="3" t="n">
        <v>0</v>
      </c>
      <c r="AP470" s="3" t="n">
        <v>0</v>
      </c>
      <c r="AQ470" s="3">
        <f>N(X470)*N(BJ470)</f>
        <v/>
      </c>
      <c r="AR470" s="3" t="n">
        <v>0</v>
      </c>
      <c r="AS470" s="3" t="n">
        <v>-0.670020548738316</v>
      </c>
      <c r="AT470" s="3" t="n">
        <v>-0.2045226422080557</v>
      </c>
      <c r="AU470" s="3">
        <f>SUM(AO470:AT470)</f>
        <v/>
      </c>
      <c r="AV470" s="7">
        <f>IF(OR(N(W470)&lt;=0,N(BH470)=0),0,N(W470)*IF(N(R470)/N(W470)&gt;=60,N(BH470),1))</f>
        <v/>
      </c>
      <c r="AW470" s="7">
        <f>N(W470)*N(AF470)*N(BI470)</f>
        <v/>
      </c>
      <c r="AX470" s="3">
        <f>IF(N(BH470)=0,0,N(W470)*N(AH470))</f>
        <v/>
      </c>
      <c r="AY470" s="7">
        <f>N(AM470)*(Assumptions!$B$13*N(BK470)-(1-Assumptions!$B$13)*Assumptions!$B$14)+N(AN470)</f>
        <v/>
      </c>
      <c r="AZ470" s="7">
        <f>N(AU470)*N(R470)/90+N(AV470)+N(AW470)+N(AX470)+N(AY470)</f>
        <v/>
      </c>
      <c r="BA470" s="3">
        <f>IF(N(R470)&lt;=0,0,(N(AZ470)-N(AY470))*90/N(R470))</f>
        <v/>
      </c>
      <c r="BB470" s="7">
        <f>IFERROR(AZ470-VLOOKUP($E470,Assumptions!$A$40:$C$43,3,FALSE),"")</f>
        <v/>
      </c>
      <c r="BC470" s="3">
        <f>IFERROR(BB470/H470,"")</f>
        <v/>
      </c>
      <c r="BD470">
        <f>IF(AND($G470=TRUE,$E470="GKP"),AZ470,"")</f>
        <v/>
      </c>
      <c r="BE470">
        <f>IF(AND($G470=TRUE,$E470="DEF"),AZ470,"")</f>
        <v/>
      </c>
      <c r="BF470">
        <f>IF(AND($G470=TRUE,$E470="MID"),AZ470,"")</f>
        <v/>
      </c>
      <c r="BG470">
        <f>IF(AND($G470=TRUE,$E470="FWD"),AZ470,"")</f>
        <v/>
      </c>
      <c r="BH470" t="n">
        <v>2</v>
      </c>
      <c r="BI470" t="n">
        <v>2</v>
      </c>
      <c r="BJ470" t="n">
        <v>4</v>
      </c>
      <c r="BK470" t="n">
        <v>6</v>
      </c>
    </row>
    <row r="471">
      <c r="A471" t="inlineStr">
        <is>
          <t>Idrissa Gueye</t>
        </is>
      </c>
      <c r="C471" t="inlineStr">
        <is>
          <t>EVE</t>
        </is>
      </c>
      <c r="D471" t="b">
        <v>0</v>
      </c>
      <c r="F471" t="inlineStr">
        <is>
          <t>MID</t>
        </is>
      </c>
      <c r="G471" t="b">
        <v>0</v>
      </c>
      <c r="H471" s="2" t="n"/>
      <c r="K471" s="2" t="n">
        <v>2101</v>
      </c>
      <c r="M471" s="3" t="n"/>
      <c r="N471" s="8" t="n">
        <v>2101</v>
      </c>
      <c r="O471" s="8" t="n">
        <v>0</v>
      </c>
      <c r="R471" s="6" t="n">
        <v>2101</v>
      </c>
      <c r="S471" t="inlineStr">
        <is>
          <t>25/26 actual</t>
        </is>
      </c>
      <c r="U471" s="6" t="n">
        <v>84.8</v>
      </c>
      <c r="V471" s="2" t="n">
        <v>24</v>
      </c>
      <c r="W471" s="7">
        <f>IF(N(U471)&lt;=0,0,MIN(Assumptions!$B$15,N(R471)/N(U471)))</f>
        <v/>
      </c>
      <c r="X471" s="6" t="n"/>
      <c r="Y471" s="3" t="n">
        <v>0.08790000000000001</v>
      </c>
      <c r="Z471" t="inlineStr">
        <is>
          <t>adjusted xGOT</t>
        </is>
      </c>
      <c r="AA471" s="3" t="n">
        <v>1</v>
      </c>
      <c r="AB471" s="3" t="n">
        <v>1.03</v>
      </c>
      <c r="AC471" s="3" t="n">
        <v>5.1</v>
      </c>
      <c r="AD471" s="3" t="n">
        <v>0.0726</v>
      </c>
      <c r="AE471" s="3" t="n">
        <v>9.167</v>
      </c>
      <c r="AF471" s="3" t="n">
        <v>0</v>
      </c>
      <c r="AG471" s="3" t="n">
        <v>8.33</v>
      </c>
      <c r="AH471" s="3" t="n">
        <v>0</v>
      </c>
      <c r="AI471" s="3" t="n">
        <v>49</v>
      </c>
      <c r="AJ471" s="3" t="n"/>
      <c r="AK471" s="3" t="n"/>
      <c r="AL471" s="3" t="n"/>
      <c r="AM471" s="6" t="n">
        <v>0</v>
      </c>
      <c r="AN471" s="3" t="n">
        <v>0</v>
      </c>
      <c r="AO471" s="3" t="n">
        <v>0</v>
      </c>
      <c r="AP471" s="3" t="n">
        <v>0</v>
      </c>
      <c r="AQ471" s="3">
        <f>N(X471)*N(BJ471)</f>
        <v/>
      </c>
      <c r="AR471" s="3" t="n">
        <v>0</v>
      </c>
      <c r="AS471" s="3" t="n">
        <v>0</v>
      </c>
      <c r="AT471" s="3" t="n">
        <v>0</v>
      </c>
      <c r="AU471" s="3">
        <f>SUM(AO471:AT471)</f>
        <v/>
      </c>
      <c r="AV471" s="7">
        <f>IF(OR(N(W471)&lt;=0,N(BH471)=0),0,N(W471)*IF(N(R471)/N(W471)&gt;=60,N(BH471),1))</f>
        <v/>
      </c>
      <c r="AW471" s="7">
        <f>N(W471)*N(AF471)*N(BI471)</f>
        <v/>
      </c>
      <c r="AX471" s="3">
        <f>IF(N(BH471)=0,0,N(W471)*N(AH471))</f>
        <v/>
      </c>
      <c r="AY471" s="7">
        <f>N(AM471)*(Assumptions!$B$13*N(BK471)-(1-Assumptions!$B$13)*Assumptions!$B$14)+N(AN471)</f>
        <v/>
      </c>
      <c r="AZ471" s="7">
        <f>N(AU471)*N(R471)/90+N(AV471)+N(AW471)+N(AX471)+N(AY471)</f>
        <v/>
      </c>
      <c r="BA471" s="3">
        <f>IF(N(R471)&lt;=0,0,(N(AZ471)-N(AY471))*90/N(R471))</f>
        <v/>
      </c>
      <c r="BB471" s="7">
        <f>IFERROR(AZ471-VLOOKUP($E471,Assumptions!$A$40:$C$43,3,FALSE),"")</f>
        <v/>
      </c>
      <c r="BC471" s="3">
        <f>IFERROR(BB471/H471,"")</f>
        <v/>
      </c>
      <c r="BD471">
        <f>IF(AND($G471=TRUE,$E471="GKP"),AZ471,"")</f>
        <v/>
      </c>
      <c r="BE471">
        <f>IF(AND($G471=TRUE,$E471="DEF"),AZ471,"")</f>
        <v/>
      </c>
      <c r="BF471">
        <f>IF(AND($G471=TRUE,$E471="MID"),AZ471,"")</f>
        <v/>
      </c>
      <c r="BG471">
        <f>IF(AND($G471=TRUE,$E471="FWD"),AZ471,"")</f>
        <v/>
      </c>
      <c r="BH471" t="n">
        <v>0</v>
      </c>
      <c r="BI471" t="n">
        <v>0</v>
      </c>
      <c r="BJ471" t="n">
        <v>0</v>
      </c>
      <c r="BK471" t="n">
        <v>0</v>
      </c>
    </row>
    <row r="472">
      <c r="A472" t="inlineStr">
        <is>
          <t>Alphonse Areola</t>
        </is>
      </c>
      <c r="C472" t="inlineStr">
        <is>
          <t>WHU</t>
        </is>
      </c>
      <c r="D472" t="b">
        <v>0</v>
      </c>
      <c r="F472" t="inlineStr">
        <is>
          <t>GKP</t>
        </is>
      </c>
      <c r="G472" t="b">
        <v>0</v>
      </c>
      <c r="H472" s="2" t="n"/>
      <c r="K472" s="2" t="n">
        <v>1800</v>
      </c>
      <c r="M472" s="3" t="n"/>
      <c r="N472" s="8" t="n">
        <v>1800</v>
      </c>
      <c r="O472" s="8" t="n">
        <v>0</v>
      </c>
      <c r="R472" s="6" t="n">
        <v>1800</v>
      </c>
      <c r="S472" t="inlineStr">
        <is>
          <t>25/26 actual</t>
        </is>
      </c>
      <c r="U472" s="6" t="n">
        <v>89.90000000000001</v>
      </c>
      <c r="V472" s="2" t="n">
        <v>20</v>
      </c>
      <c r="W472" s="7">
        <f>IF(N(U472)&lt;=0,0,MIN(Assumptions!$B$15,N(R472)/N(U472)))</f>
        <v/>
      </c>
      <c r="X472" s="6" t="n"/>
      <c r="Y472" s="3" t="n">
        <v>0</v>
      </c>
      <c r="Z472" t="inlineStr">
        <is>
          <t>blended xG</t>
        </is>
      </c>
      <c r="AA472" s="3" t="n">
        <v>1</v>
      </c>
      <c r="AB472" s="3" t="n">
        <v>1</v>
      </c>
      <c r="AC472" s="3" t="n">
        <v>0</v>
      </c>
      <c r="AD472" s="3" t="n">
        <v>0.0011</v>
      </c>
      <c r="AE472" s="3" t="n">
        <v>0</v>
      </c>
      <c r="AF472" s="3" t="n">
        <v>0</v>
      </c>
      <c r="AG472" s="3" t="n">
        <v>4.727</v>
      </c>
      <c r="AH472" s="3" t="n">
        <v>0</v>
      </c>
      <c r="AI472" s="3" t="n">
        <v>40</v>
      </c>
      <c r="AJ472" s="3" t="n"/>
      <c r="AK472" s="3" t="n"/>
      <c r="AL472" s="3" t="n"/>
      <c r="AM472" s="6" t="n">
        <v>0</v>
      </c>
      <c r="AN472" s="3" t="n">
        <v>0</v>
      </c>
      <c r="AO472" s="3" t="n">
        <v>0</v>
      </c>
      <c r="AP472" s="3" t="n">
        <v>0</v>
      </c>
      <c r="AQ472" s="3">
        <f>N(X472)*N(BJ472)</f>
        <v/>
      </c>
      <c r="AR472" s="3" t="n">
        <v>0</v>
      </c>
      <c r="AS472" s="3" t="n">
        <v>0</v>
      </c>
      <c r="AT472" s="3" t="n">
        <v>0</v>
      </c>
      <c r="AU472" s="3">
        <f>SUM(AO472:AT472)</f>
        <v/>
      </c>
      <c r="AV472" s="7">
        <f>IF(OR(N(W472)&lt;=0,N(BH472)=0),0,N(W472)*IF(N(R472)/N(W472)&gt;=60,N(BH472),1))</f>
        <v/>
      </c>
      <c r="AW472" s="7">
        <f>N(W472)*N(AF472)*N(BI472)</f>
        <v/>
      </c>
      <c r="AX472" s="3">
        <f>IF(N(BH472)=0,0,N(W472)*N(AH472))</f>
        <v/>
      </c>
      <c r="AY472" s="7">
        <f>N(AM472)*(Assumptions!$B$13*N(BK472)-(1-Assumptions!$B$13)*Assumptions!$B$14)+N(AN472)</f>
        <v/>
      </c>
      <c r="AZ472" s="7">
        <f>N(AU472)*N(R472)/90+N(AV472)+N(AW472)+N(AX472)+N(AY472)</f>
        <v/>
      </c>
      <c r="BA472" s="3">
        <f>IF(N(R472)&lt;=0,0,(N(AZ472)-N(AY472))*90/N(R472))</f>
        <v/>
      </c>
      <c r="BB472" s="7">
        <f>IFERROR(AZ472-VLOOKUP($E472,Assumptions!$A$40:$C$43,3,FALSE),"")</f>
        <v/>
      </c>
      <c r="BC472" s="3">
        <f>IFERROR(BB472/H472,"")</f>
        <v/>
      </c>
      <c r="BD472">
        <f>IF(AND($G472=TRUE,$E472="GKP"),AZ472,"")</f>
        <v/>
      </c>
      <c r="BE472">
        <f>IF(AND($G472=TRUE,$E472="DEF"),AZ472,"")</f>
        <v/>
      </c>
      <c r="BF472">
        <f>IF(AND($G472=TRUE,$E472="MID"),AZ472,"")</f>
        <v/>
      </c>
      <c r="BG472">
        <f>IF(AND($G472=TRUE,$E472="FWD"),AZ472,"")</f>
        <v/>
      </c>
      <c r="BH472" t="n">
        <v>0</v>
      </c>
      <c r="BI472" t="n">
        <v>0</v>
      </c>
      <c r="BJ472" t="n">
        <v>0</v>
      </c>
      <c r="BK472" t="n">
        <v>0</v>
      </c>
    </row>
    <row r="473">
      <c r="A473" t="inlineStr">
        <is>
          <t>Matt Doherty</t>
        </is>
      </c>
      <c r="C473" t="inlineStr">
        <is>
          <t>WOL</t>
        </is>
      </c>
      <c r="D473" t="b">
        <v>0</v>
      </c>
      <c r="F473" t="inlineStr">
        <is>
          <t>DEF</t>
        </is>
      </c>
      <c r="G473" t="b">
        <v>0</v>
      </c>
      <c r="H473" s="2" t="n"/>
      <c r="K473" s="2" t="n">
        <v>791</v>
      </c>
      <c r="M473" s="3" t="n"/>
      <c r="N473" s="8" t="n">
        <v>791</v>
      </c>
      <c r="O473" s="8" t="n">
        <v>0</v>
      </c>
      <c r="R473" s="6" t="n">
        <v>791</v>
      </c>
      <c r="S473" t="inlineStr">
        <is>
          <t>25/26 actual</t>
        </is>
      </c>
      <c r="U473" s="6" t="n">
        <v>78.09999999999999</v>
      </c>
      <c r="V473" s="2" t="n">
        <v>11</v>
      </c>
      <c r="W473" s="7">
        <f>IF(N(U473)&lt;=0,0,MIN(Assumptions!$B$15,N(R473)/N(U473)))</f>
        <v/>
      </c>
      <c r="X473" s="6" t="n"/>
      <c r="Y473" s="3" t="n">
        <v>0.0108</v>
      </c>
      <c r="Z473" t="inlineStr">
        <is>
          <t>adjusted xGOT</t>
        </is>
      </c>
      <c r="AA473" s="3" t="n">
        <v>1</v>
      </c>
      <c r="AB473" s="3" t="n">
        <v>1.061</v>
      </c>
      <c r="AC473" s="3" t="n">
        <v>2.8</v>
      </c>
      <c r="AD473" s="3" t="n">
        <v>0.0197</v>
      </c>
      <c r="AE473" s="3" t="n">
        <v>7.618</v>
      </c>
      <c r="AF473" s="3" t="n">
        <v>0</v>
      </c>
      <c r="AG473" s="3" t="n">
        <v>7.182</v>
      </c>
      <c r="AH473" s="3" t="n">
        <v>0</v>
      </c>
      <c r="AI473" s="3" t="n">
        <v>19</v>
      </c>
      <c r="AJ473" s="3" t="n"/>
      <c r="AK473" s="3" t="n"/>
      <c r="AL473" s="3" t="n"/>
      <c r="AM473" s="6" t="n">
        <v>0</v>
      </c>
      <c r="AN473" s="3" t="n">
        <v>0</v>
      </c>
      <c r="AO473" s="3" t="n">
        <v>0</v>
      </c>
      <c r="AP473" s="3" t="n">
        <v>0</v>
      </c>
      <c r="AQ473" s="3">
        <f>N(X473)*N(BJ473)</f>
        <v/>
      </c>
      <c r="AR473" s="3" t="n">
        <v>0</v>
      </c>
      <c r="AS473" s="3" t="n">
        <v>0</v>
      </c>
      <c r="AT473" s="3" t="n">
        <v>0</v>
      </c>
      <c r="AU473" s="3">
        <f>SUM(AO473:AT473)</f>
        <v/>
      </c>
      <c r="AV473" s="7">
        <f>IF(OR(N(W473)&lt;=0,N(BH473)=0),0,N(W473)*IF(N(R473)/N(W473)&gt;=60,N(BH473),1))</f>
        <v/>
      </c>
      <c r="AW473" s="7">
        <f>N(W473)*N(AF473)*N(BI473)</f>
        <v/>
      </c>
      <c r="AX473" s="3">
        <f>IF(N(BH473)=0,0,N(W473)*N(AH473))</f>
        <v/>
      </c>
      <c r="AY473" s="7">
        <f>N(AM473)*(Assumptions!$B$13*N(BK473)-(1-Assumptions!$B$13)*Assumptions!$B$14)+N(AN473)</f>
        <v/>
      </c>
      <c r="AZ473" s="7">
        <f>N(AU473)*N(R473)/90+N(AV473)+N(AW473)+N(AX473)+N(AY473)</f>
        <v/>
      </c>
      <c r="BA473" s="3">
        <f>IF(N(R473)&lt;=0,0,(N(AZ473)-N(AY473))*90/N(R473))</f>
        <v/>
      </c>
      <c r="BB473" s="7">
        <f>IFERROR(AZ473-VLOOKUP($E473,Assumptions!$A$40:$C$43,3,FALSE),"")</f>
        <v/>
      </c>
      <c r="BC473" s="3">
        <f>IFERROR(BB473/H473,"")</f>
        <v/>
      </c>
      <c r="BD473">
        <f>IF(AND($G473=TRUE,$E473="GKP"),AZ473,"")</f>
        <v/>
      </c>
      <c r="BE473">
        <f>IF(AND($G473=TRUE,$E473="DEF"),AZ473,"")</f>
        <v/>
      </c>
      <c r="BF473">
        <f>IF(AND($G473=TRUE,$E473="MID"),AZ473,"")</f>
        <v/>
      </c>
      <c r="BG473">
        <f>IF(AND($G473=TRUE,$E473="FWD"),AZ473,"")</f>
        <v/>
      </c>
      <c r="BH473" t="n">
        <v>0</v>
      </c>
      <c r="BI473" t="n">
        <v>0</v>
      </c>
      <c r="BJ473" t="n">
        <v>0</v>
      </c>
      <c r="BK473" t="n">
        <v>0</v>
      </c>
    </row>
    <row r="474">
      <c r="A474" t="inlineStr">
        <is>
          <t>Stefan Ortega</t>
        </is>
      </c>
      <c r="C474" t="inlineStr">
        <is>
          <t>NFO</t>
        </is>
      </c>
      <c r="D474" t="b">
        <v>0</v>
      </c>
      <c r="F474" t="inlineStr">
        <is>
          <t>GKP</t>
        </is>
      </c>
      <c r="G474" t="b">
        <v>0</v>
      </c>
      <c r="H474" s="2" t="n"/>
      <c r="K474" s="2" t="n">
        <v>270</v>
      </c>
      <c r="M474" s="3" t="n"/>
      <c r="N474" s="8" t="n">
        <v>270</v>
      </c>
      <c r="O474" s="8" t="n">
        <v>0</v>
      </c>
      <c r="R474" s="6" t="n">
        <v>270</v>
      </c>
      <c r="S474" t="inlineStr">
        <is>
          <t>25/26 actual</t>
        </is>
      </c>
      <c r="U474" s="6" t="n">
        <v>89.8</v>
      </c>
      <c r="V474" s="2" t="n">
        <v>3</v>
      </c>
      <c r="W474" s="7">
        <f>IF(N(U474)&lt;=0,0,MIN(Assumptions!$B$15,N(R474)/N(U474)))</f>
        <v/>
      </c>
      <c r="X474" s="6" t="n"/>
      <c r="Y474" s="3" t="n">
        <v>0</v>
      </c>
      <c r="Z474" t="inlineStr">
        <is>
          <t>blended xG</t>
        </is>
      </c>
      <c r="AA474" s="3" t="n">
        <v>1</v>
      </c>
      <c r="AB474" s="3" t="n">
        <v>1</v>
      </c>
      <c r="AC474" s="3" t="n">
        <v>0</v>
      </c>
      <c r="AD474" s="3" t="n">
        <v>0</v>
      </c>
      <c r="AE474" s="3" t="n">
        <v>0</v>
      </c>
      <c r="AF474" s="3" t="n">
        <v>0</v>
      </c>
      <c r="AG474" s="3" t="n">
        <v>5.116</v>
      </c>
      <c r="AH474" s="3" t="n">
        <v>0</v>
      </c>
      <c r="AI474" s="3" t="n">
        <v>6</v>
      </c>
      <c r="AJ474" s="3" t="n"/>
      <c r="AK474" s="3" t="n"/>
      <c r="AL474" s="3" t="n"/>
      <c r="AM474" s="6" t="n">
        <v>0</v>
      </c>
      <c r="AN474" s="3" t="n">
        <v>0</v>
      </c>
      <c r="AO474" s="3" t="n">
        <v>0</v>
      </c>
      <c r="AP474" s="3" t="n">
        <v>0</v>
      </c>
      <c r="AQ474" s="3">
        <f>N(X474)*N(BJ474)</f>
        <v/>
      </c>
      <c r="AR474" s="3" t="n">
        <v>0</v>
      </c>
      <c r="AS474" s="3" t="n">
        <v>0</v>
      </c>
      <c r="AT474" s="3" t="n">
        <v>0</v>
      </c>
      <c r="AU474" s="3">
        <f>SUM(AO474:AT474)</f>
        <v/>
      </c>
      <c r="AV474" s="7">
        <f>IF(OR(N(W474)&lt;=0,N(BH474)=0),0,N(W474)*IF(N(R474)/N(W474)&gt;=60,N(BH474),1))</f>
        <v/>
      </c>
      <c r="AW474" s="7">
        <f>N(W474)*N(AF474)*N(BI474)</f>
        <v/>
      </c>
      <c r="AX474" s="3">
        <f>IF(N(BH474)=0,0,N(W474)*N(AH474))</f>
        <v/>
      </c>
      <c r="AY474" s="7">
        <f>N(AM474)*(Assumptions!$B$13*N(BK474)-(1-Assumptions!$B$13)*Assumptions!$B$14)+N(AN474)</f>
        <v/>
      </c>
      <c r="AZ474" s="7">
        <f>N(AU474)*N(R474)/90+N(AV474)+N(AW474)+N(AX474)+N(AY474)</f>
        <v/>
      </c>
      <c r="BA474" s="3">
        <f>IF(N(R474)&lt;=0,0,(N(AZ474)-N(AY474))*90/N(R474))</f>
        <v/>
      </c>
      <c r="BB474" s="7">
        <f>IFERROR(AZ474-VLOOKUP($E474,Assumptions!$A$40:$C$43,3,FALSE),"")</f>
        <v/>
      </c>
      <c r="BC474" s="3">
        <f>IFERROR(BB474/H474,"")</f>
        <v/>
      </c>
      <c r="BD474">
        <f>IF(AND($G474=TRUE,$E474="GKP"),AZ474,"")</f>
        <v/>
      </c>
      <c r="BE474">
        <f>IF(AND($G474=TRUE,$E474="DEF"),AZ474,"")</f>
        <v/>
      </c>
      <c r="BF474">
        <f>IF(AND($G474=TRUE,$E474="MID"),AZ474,"")</f>
        <v/>
      </c>
      <c r="BG474">
        <f>IF(AND($G474=TRUE,$E474="FWD"),AZ474,"")</f>
        <v/>
      </c>
      <c r="BH474" t="n">
        <v>0</v>
      </c>
      <c r="BI474" t="n">
        <v>0</v>
      </c>
      <c r="BJ474" t="n">
        <v>0</v>
      </c>
      <c r="BK474" t="n">
        <v>0</v>
      </c>
    </row>
    <row r="475">
      <c r="A475" t="inlineStr">
        <is>
          <t>Niclas Füllkrug</t>
        </is>
      </c>
      <c r="C475" t="inlineStr">
        <is>
          <t>WHU</t>
        </is>
      </c>
      <c r="D475" t="b">
        <v>0</v>
      </c>
      <c r="F475" t="inlineStr">
        <is>
          <t>FWD</t>
        </is>
      </c>
      <c r="G475" t="b">
        <v>0</v>
      </c>
      <c r="H475" s="2" t="n"/>
      <c r="K475" s="2" t="n">
        <v>408</v>
      </c>
      <c r="M475" s="3" t="n"/>
      <c r="N475" s="8" t="n">
        <v>408</v>
      </c>
      <c r="O475" s="8" t="n">
        <v>0</v>
      </c>
      <c r="R475" s="6" t="n">
        <v>408</v>
      </c>
      <c r="S475" t="inlineStr">
        <is>
          <t>25/26 actual</t>
        </is>
      </c>
      <c r="U475" s="6" t="n">
        <v>75.5</v>
      </c>
      <c r="V475" s="2" t="n">
        <v>5</v>
      </c>
      <c r="W475" s="7">
        <f>IF(N(U475)&lt;=0,0,MIN(Assumptions!$B$15,N(R475)/N(U475)))</f>
        <v/>
      </c>
      <c r="X475" s="6" t="n"/>
      <c r="Y475" s="3" t="n">
        <v>0.2279</v>
      </c>
      <c r="Z475" t="inlineStr">
        <is>
          <t>adjusted xGOT</t>
        </is>
      </c>
      <c r="AA475" s="3" t="n">
        <v>1</v>
      </c>
      <c r="AB475" s="3" t="n">
        <v>1.111</v>
      </c>
      <c r="AC475" s="3" t="n">
        <v>3.1</v>
      </c>
      <c r="AD475" s="3" t="n">
        <v>0.09909999999999999</v>
      </c>
      <c r="AE475" s="3" t="n">
        <v>4.579</v>
      </c>
      <c r="AF475" s="3" t="n">
        <v>0</v>
      </c>
      <c r="AG475" s="3" t="n">
        <v>0.466</v>
      </c>
      <c r="AH475" s="3" t="n">
        <v>0</v>
      </c>
      <c r="AI475" s="3" t="n">
        <v>12</v>
      </c>
      <c r="AJ475" s="3" t="n"/>
      <c r="AK475" s="3" t="n"/>
      <c r="AL475" s="3" t="n"/>
      <c r="AM475" s="6" t="n">
        <v>0</v>
      </c>
      <c r="AN475" s="3" t="n">
        <v>0</v>
      </c>
      <c r="AO475" s="3" t="n">
        <v>0</v>
      </c>
      <c r="AP475" s="3" t="n">
        <v>0</v>
      </c>
      <c r="AQ475" s="3">
        <f>N(X475)*N(BJ475)</f>
        <v/>
      </c>
      <c r="AR475" s="3" t="n">
        <v>0</v>
      </c>
      <c r="AS475" s="3" t="n">
        <v>0</v>
      </c>
      <c r="AT475" s="3" t="n">
        <v>0</v>
      </c>
      <c r="AU475" s="3">
        <f>SUM(AO475:AT475)</f>
        <v/>
      </c>
      <c r="AV475" s="7">
        <f>IF(OR(N(W475)&lt;=0,N(BH475)=0),0,N(W475)*IF(N(R475)/N(W475)&gt;=60,N(BH475),1))</f>
        <v/>
      </c>
      <c r="AW475" s="7">
        <f>N(W475)*N(AF475)*N(BI475)</f>
        <v/>
      </c>
      <c r="AX475" s="3">
        <f>IF(N(BH475)=0,0,N(W475)*N(AH475))</f>
        <v/>
      </c>
      <c r="AY475" s="7">
        <f>N(AM475)*(Assumptions!$B$13*N(BK475)-(1-Assumptions!$B$13)*Assumptions!$B$14)+N(AN475)</f>
        <v/>
      </c>
      <c r="AZ475" s="7">
        <f>N(AU475)*N(R475)/90+N(AV475)+N(AW475)+N(AX475)+N(AY475)</f>
        <v/>
      </c>
      <c r="BA475" s="3">
        <f>IF(N(R475)&lt;=0,0,(N(AZ475)-N(AY475))*90/N(R475))</f>
        <v/>
      </c>
      <c r="BB475" s="7">
        <f>IFERROR(AZ475-VLOOKUP($E475,Assumptions!$A$40:$C$43,3,FALSE),"")</f>
        <v/>
      </c>
      <c r="BC475" s="3">
        <f>IFERROR(BB475/H475,"")</f>
        <v/>
      </c>
      <c r="BD475">
        <f>IF(AND($G475=TRUE,$E475="GKP"),AZ475,"")</f>
        <v/>
      </c>
      <c r="BE475">
        <f>IF(AND($G475=TRUE,$E475="DEF"),AZ475,"")</f>
        <v/>
      </c>
      <c r="BF475">
        <f>IF(AND($G475=TRUE,$E475="MID"),AZ475,"")</f>
        <v/>
      </c>
      <c r="BG475">
        <f>IF(AND($G475=TRUE,$E475="FWD"),AZ475,"")</f>
        <v/>
      </c>
      <c r="BH475" t="n">
        <v>0</v>
      </c>
      <c r="BI475" t="n">
        <v>0</v>
      </c>
      <c r="BJ475" t="n">
        <v>0</v>
      </c>
      <c r="BK475" t="n">
        <v>0</v>
      </c>
    </row>
    <row r="476">
      <c r="A476" t="inlineStr">
        <is>
          <t>Thomas Meunier</t>
        </is>
      </c>
      <c r="B476" t="inlineStr">
        <is>
          <t>SUN</t>
        </is>
      </c>
      <c r="D476" t="b">
        <v>0</v>
      </c>
      <c r="E476" t="inlineStr">
        <is>
          <t>DEF</t>
        </is>
      </c>
      <c r="G476" t="b">
        <v>1</v>
      </c>
      <c r="H476" s="2" t="n">
        <v>4.5</v>
      </c>
      <c r="I476" t="inlineStr">
        <is>
          <t>a</t>
        </is>
      </c>
      <c r="K476" s="2" t="n"/>
      <c r="M476" s="3" t="n">
        <v>804</v>
      </c>
      <c r="N476" s="8" t="n">
        <v>804</v>
      </c>
      <c r="O476" s="8" t="n">
        <v>0</v>
      </c>
      <c r="Q476" t="inlineStr">
        <is>
          <t>flat</t>
        </is>
      </c>
      <c r="R476" s="6" t="n">
        <v>804</v>
      </c>
      <c r="S476" t="inlineStr">
        <is>
          <t>Solio</t>
        </is>
      </c>
      <c r="U476" s="6" t="n">
        <v>85</v>
      </c>
      <c r="V476" s="2" t="n"/>
      <c r="W476" s="7">
        <f>IF(N(U476)&lt;=0,0,MIN(Assumptions!$B$15,N(R476)/N(U476)))</f>
        <v/>
      </c>
      <c r="X476" s="6" t="n">
        <v>0.204</v>
      </c>
      <c r="Y476" s="3" t="n"/>
      <c r="Z476" t="inlineStr"/>
      <c r="AA476" s="3" t="n">
        <v>1</v>
      </c>
      <c r="AB476" s="3" t="n"/>
      <c r="AC476" s="3" t="n"/>
      <c r="AD476" s="3" t="n"/>
      <c r="AE476" s="3" t="n"/>
      <c r="AF476" s="3" t="n">
        <v>0</v>
      </c>
      <c r="AG476" s="3" t="n"/>
      <c r="AH476" s="3" t="n">
        <v>0</v>
      </c>
      <c r="AI476" s="3" t="n"/>
      <c r="AJ476" s="3" t="n">
        <v>3.3348</v>
      </c>
      <c r="AK476" s="3" t="n">
        <v>1.6498</v>
      </c>
      <c r="AL476" s="3" t="n">
        <v>-0.2045226422080557</v>
      </c>
      <c r="AM476" s="6" t="n">
        <v>0</v>
      </c>
      <c r="AN476" s="3" t="n">
        <v>0</v>
      </c>
      <c r="AO476" s="3" t="n">
        <v>0</v>
      </c>
      <c r="AP476" s="3" t="n">
        <v>0</v>
      </c>
      <c r="AQ476" s="3">
        <f>N(X476)*N(BJ476)</f>
        <v/>
      </c>
      <c r="AR476" s="3" t="n">
        <v>0</v>
      </c>
      <c r="AS476" s="3" t="n">
        <v>-0.5841244809045405</v>
      </c>
      <c r="AT476" s="3" t="n">
        <v>-0.2045226422080557</v>
      </c>
      <c r="AU476" s="3">
        <f>SUM(AO476:AT476)</f>
        <v/>
      </c>
      <c r="AV476" s="7">
        <f>IF(OR(N(W476)&lt;=0,N(BH476)=0),0,N(W476)*IF(N(R476)/N(W476)&gt;=60,N(BH476),1))</f>
        <v/>
      </c>
      <c r="AW476" s="7">
        <f>N(W476)*N(AF476)*N(BI476)</f>
        <v/>
      </c>
      <c r="AX476" s="3">
        <f>IF(N(BH476)=0,0,N(W476)*N(AH476))</f>
        <v/>
      </c>
      <c r="AY476" s="7">
        <f>N(AM476)*(Assumptions!$B$13*N(BK476)-(1-Assumptions!$B$13)*Assumptions!$B$14)+N(AN476)</f>
        <v/>
      </c>
      <c r="AZ476" s="7">
        <f>N(AU476)*N(R476)/90+N(AV476)+N(AW476)+N(AX476)+N(AY476)</f>
        <v/>
      </c>
      <c r="BA476" s="3">
        <f>IF(N(R476)&lt;=0,0,(N(AZ476)-N(AY476))*90/N(R476))</f>
        <v/>
      </c>
      <c r="BB476" s="7">
        <f>IFERROR(AZ476-VLOOKUP($E476,Assumptions!$A$40:$C$43,3,FALSE),"")</f>
        <v/>
      </c>
      <c r="BC476" s="3">
        <f>IFERROR(BB476/H476,"")</f>
        <v/>
      </c>
      <c r="BD476">
        <f>IF(AND($G476=TRUE,$E476="GKP"),AZ476,"")</f>
        <v/>
      </c>
      <c r="BE476">
        <f>IF(AND($G476=TRUE,$E476="DEF"),AZ476,"")</f>
        <v/>
      </c>
      <c r="BF476">
        <f>IF(AND($G476=TRUE,$E476="MID"),AZ476,"")</f>
        <v/>
      </c>
      <c r="BG476">
        <f>IF(AND($G476=TRUE,$E476="FWD"),AZ476,"")</f>
        <v/>
      </c>
      <c r="BH476" t="n">
        <v>2</v>
      </c>
      <c r="BI476" t="n">
        <v>2</v>
      </c>
      <c r="BJ476" t="n">
        <v>4</v>
      </c>
      <c r="BK476" t="n">
        <v>6</v>
      </c>
    </row>
    <row r="477">
      <c r="A477" t="inlineStr">
        <is>
          <t>John Stones</t>
        </is>
      </c>
      <c r="C477" t="inlineStr">
        <is>
          <t>MCI</t>
        </is>
      </c>
      <c r="D477" t="b">
        <v>0</v>
      </c>
      <c r="F477" t="inlineStr">
        <is>
          <t>DEF</t>
        </is>
      </c>
      <c r="G477" t="b">
        <v>0</v>
      </c>
      <c r="H477" s="2" t="n"/>
      <c r="K477" s="2" t="n">
        <v>439</v>
      </c>
      <c r="M477" s="3" t="n"/>
      <c r="N477" s="8" t="n">
        <v>439</v>
      </c>
      <c r="O477" s="8" t="n">
        <v>0</v>
      </c>
      <c r="R477" s="6" t="n">
        <v>439</v>
      </c>
      <c r="S477" t="inlineStr">
        <is>
          <t>25/26 actual</t>
        </is>
      </c>
      <c r="U477" s="6" t="n">
        <v>83.5</v>
      </c>
      <c r="V477" s="2" t="n">
        <v>5</v>
      </c>
      <c r="W477" s="7">
        <f>IF(N(U477)&lt;=0,0,MIN(Assumptions!$B$15,N(R477)/N(U477)))</f>
        <v/>
      </c>
      <c r="X477" s="6" t="n"/>
      <c r="Y477" s="3" t="n">
        <v>0</v>
      </c>
      <c r="Z477" t="inlineStr">
        <is>
          <t>adjusted xGOT</t>
        </is>
      </c>
      <c r="AA477" s="3" t="n">
        <v>1</v>
      </c>
      <c r="AB477" s="3" t="n">
        <v>1.001</v>
      </c>
      <c r="AC477" s="3" t="n">
        <v>2.7</v>
      </c>
      <c r="AD477" s="3" t="n">
        <v>0.0129</v>
      </c>
      <c r="AE477" s="3" t="n">
        <v>7.122</v>
      </c>
      <c r="AF477" s="3" t="n">
        <v>0</v>
      </c>
      <c r="AG477" s="3" t="n">
        <v>7.92</v>
      </c>
      <c r="AH477" s="3" t="n">
        <v>0</v>
      </c>
      <c r="AI477" s="3" t="n">
        <v>14</v>
      </c>
      <c r="AJ477" s="3" t="n"/>
      <c r="AK477" s="3" t="n"/>
      <c r="AL477" s="3" t="n"/>
      <c r="AM477" s="6" t="n">
        <v>0</v>
      </c>
      <c r="AN477" s="3" t="n">
        <v>0</v>
      </c>
      <c r="AO477" s="3" t="n">
        <v>0</v>
      </c>
      <c r="AP477" s="3" t="n">
        <v>0</v>
      </c>
      <c r="AQ477" s="3">
        <f>N(X477)*N(BJ477)</f>
        <v/>
      </c>
      <c r="AR477" s="3" t="n">
        <v>0</v>
      </c>
      <c r="AS477" s="3" t="n">
        <v>0</v>
      </c>
      <c r="AT477" s="3" t="n">
        <v>0</v>
      </c>
      <c r="AU477" s="3">
        <f>SUM(AO477:AT477)</f>
        <v/>
      </c>
      <c r="AV477" s="7">
        <f>IF(OR(N(W477)&lt;=0,N(BH477)=0),0,N(W477)*IF(N(R477)/N(W477)&gt;=60,N(BH477),1))</f>
        <v/>
      </c>
      <c r="AW477" s="7">
        <f>N(W477)*N(AF477)*N(BI477)</f>
        <v/>
      </c>
      <c r="AX477" s="3">
        <f>IF(N(BH477)=0,0,N(W477)*N(AH477))</f>
        <v/>
      </c>
      <c r="AY477" s="7">
        <f>N(AM477)*(Assumptions!$B$13*N(BK477)-(1-Assumptions!$B$13)*Assumptions!$B$14)+N(AN477)</f>
        <v/>
      </c>
      <c r="AZ477" s="7">
        <f>N(AU477)*N(R477)/90+N(AV477)+N(AW477)+N(AX477)+N(AY477)</f>
        <v/>
      </c>
      <c r="BA477" s="3">
        <f>IF(N(R477)&lt;=0,0,(N(AZ477)-N(AY477))*90/N(R477))</f>
        <v/>
      </c>
      <c r="BB477" s="7">
        <f>IFERROR(AZ477-VLOOKUP($E477,Assumptions!$A$40:$C$43,3,FALSE),"")</f>
        <v/>
      </c>
      <c r="BC477" s="3">
        <f>IFERROR(BB477/H477,"")</f>
        <v/>
      </c>
      <c r="BD477">
        <f>IF(AND($G477=TRUE,$E477="GKP"),AZ477,"")</f>
        <v/>
      </c>
      <c r="BE477">
        <f>IF(AND($G477=TRUE,$E477="DEF"),AZ477,"")</f>
        <v/>
      </c>
      <c r="BF477">
        <f>IF(AND($G477=TRUE,$E477="MID"),AZ477,"")</f>
        <v/>
      </c>
      <c r="BG477">
        <f>IF(AND($G477=TRUE,$E477="FWD"),AZ477,"")</f>
        <v/>
      </c>
      <c r="BH477" t="n">
        <v>0</v>
      </c>
      <c r="BI477" t="n">
        <v>0</v>
      </c>
      <c r="BJ477" t="n">
        <v>0</v>
      </c>
      <c r="BK477" t="n">
        <v>0</v>
      </c>
    </row>
    <row r="478">
      <c r="A478" t="inlineStr">
        <is>
          <t>Jamaal Lascelles</t>
        </is>
      </c>
      <c r="C478" t="inlineStr">
        <is>
          <t>NEW</t>
        </is>
      </c>
      <c r="D478" t="b">
        <v>0</v>
      </c>
      <c r="F478" t="inlineStr">
        <is>
          <t>DEF</t>
        </is>
      </c>
      <c r="G478" t="b">
        <v>0</v>
      </c>
      <c r="H478" s="2" t="n"/>
      <c r="K478" s="2" t="n">
        <v>19</v>
      </c>
      <c r="M478" s="3" t="n"/>
      <c r="N478" s="8" t="n">
        <v>19</v>
      </c>
      <c r="O478" s="8" t="n">
        <v>0</v>
      </c>
      <c r="R478" s="6" t="n">
        <v>19</v>
      </c>
      <c r="S478" t="inlineStr">
        <is>
          <t>25/26 actual</t>
        </is>
      </c>
      <c r="U478" s="6" t="n">
        <v>85.5</v>
      </c>
      <c r="V478" s="2" t="n">
        <v>0</v>
      </c>
      <c r="W478" s="7">
        <f>IF(N(U478)&lt;=0,0,MIN(Assumptions!$B$15,N(R478)/N(U478)))</f>
        <v/>
      </c>
      <c r="X478" s="6" t="n"/>
      <c r="Y478" s="3" t="n">
        <v>0.18</v>
      </c>
      <c r="Z478" t="inlineStr">
        <is>
          <t>adjusted xGOT</t>
        </is>
      </c>
      <c r="AA478" s="3" t="n">
        <v>1</v>
      </c>
      <c r="AB478" s="3" t="n">
        <v>0.945</v>
      </c>
      <c r="AC478" s="3" t="n">
        <v>0.9</v>
      </c>
      <c r="AD478" s="3" t="n"/>
      <c r="AE478" s="3" t="n">
        <v>8.096</v>
      </c>
      <c r="AF478" s="3" t="n">
        <v>0</v>
      </c>
      <c r="AG478" s="3" t="n">
        <v>8.102</v>
      </c>
      <c r="AH478" s="3" t="n">
        <v>0</v>
      </c>
      <c r="AI478" s="3" t="n">
        <v>2</v>
      </c>
      <c r="AJ478" s="3" t="n"/>
      <c r="AK478" s="3" t="n"/>
      <c r="AL478" s="3" t="n"/>
      <c r="AM478" s="6" t="n">
        <v>0</v>
      </c>
      <c r="AN478" s="3" t="n">
        <v>0</v>
      </c>
      <c r="AO478" s="3" t="n">
        <v>0</v>
      </c>
      <c r="AP478" s="3" t="n">
        <v>0</v>
      </c>
      <c r="AQ478" s="3">
        <f>N(X478)*N(BJ478)</f>
        <v/>
      </c>
      <c r="AR478" s="3" t="n">
        <v>0</v>
      </c>
      <c r="AS478" s="3" t="n">
        <v>0</v>
      </c>
      <c r="AT478" s="3" t="n">
        <v>0</v>
      </c>
      <c r="AU478" s="3">
        <f>SUM(AO478:AT478)</f>
        <v/>
      </c>
      <c r="AV478" s="7">
        <f>IF(OR(N(W478)&lt;=0,N(BH478)=0),0,N(W478)*IF(N(R478)/N(W478)&gt;=60,N(BH478),1))</f>
        <v/>
      </c>
      <c r="AW478" s="7">
        <f>N(W478)*N(AF478)*N(BI478)</f>
        <v/>
      </c>
      <c r="AX478" s="3">
        <f>IF(N(BH478)=0,0,N(W478)*N(AH478))</f>
        <v/>
      </c>
      <c r="AY478" s="7">
        <f>N(AM478)*(Assumptions!$B$13*N(BK478)-(1-Assumptions!$B$13)*Assumptions!$B$14)+N(AN478)</f>
        <v/>
      </c>
      <c r="AZ478" s="7">
        <f>N(AU478)*N(R478)/90+N(AV478)+N(AW478)+N(AX478)+N(AY478)</f>
        <v/>
      </c>
      <c r="BA478" s="3">
        <f>IF(N(R478)&lt;=0,0,(N(AZ478)-N(AY478))*90/N(R478))</f>
        <v/>
      </c>
      <c r="BB478" s="7">
        <f>IFERROR(AZ478-VLOOKUP($E478,Assumptions!$A$40:$C$43,3,FALSE),"")</f>
        <v/>
      </c>
      <c r="BC478" s="3">
        <f>IFERROR(BB478/H478,"")</f>
        <v/>
      </c>
      <c r="BD478">
        <f>IF(AND($G478=TRUE,$E478="GKP"),AZ478,"")</f>
        <v/>
      </c>
      <c r="BE478">
        <f>IF(AND($G478=TRUE,$E478="DEF"),AZ478,"")</f>
        <v/>
      </c>
      <c r="BF478">
        <f>IF(AND($G478=TRUE,$E478="MID"),AZ478,"")</f>
        <v/>
      </c>
      <c r="BG478">
        <f>IF(AND($G478=TRUE,$E478="FWD"),AZ478,"")</f>
        <v/>
      </c>
      <c r="BH478" t="n">
        <v>0</v>
      </c>
      <c r="BI478" t="n">
        <v>0</v>
      </c>
      <c r="BJ478" t="n">
        <v>0</v>
      </c>
      <c r="BK478" t="n">
        <v>0</v>
      </c>
    </row>
    <row r="479">
      <c r="A479" t="inlineStr">
        <is>
          <t>James Ward-Prowse</t>
        </is>
      </c>
      <c r="C479" t="inlineStr">
        <is>
          <t>BUR</t>
        </is>
      </c>
      <c r="D479" t="b">
        <v>0</v>
      </c>
      <c r="F479" t="inlineStr">
        <is>
          <t>MID</t>
        </is>
      </c>
      <c r="G479" t="b">
        <v>0</v>
      </c>
      <c r="H479" s="2" t="n"/>
      <c r="K479" s="2" t="n">
        <v>1096</v>
      </c>
      <c r="M479" s="3" t="n"/>
      <c r="N479" s="8" t="n">
        <v>1096</v>
      </c>
      <c r="O479" s="8" t="n">
        <v>0</v>
      </c>
      <c r="R479" s="6" t="n">
        <v>1096</v>
      </c>
      <c r="S479" t="inlineStr">
        <is>
          <t>25/26 actual</t>
        </is>
      </c>
      <c r="U479" s="6" t="n">
        <v>81.40000000000001</v>
      </c>
      <c r="V479" s="2" t="n">
        <v>12</v>
      </c>
      <c r="W479" s="7">
        <f>IF(N(U479)&lt;=0,0,MIN(Assumptions!$B$15,N(R479)/N(U479)))</f>
        <v/>
      </c>
      <c r="X479" s="6" t="n"/>
      <c r="Y479" s="3" t="n">
        <v>0.0232</v>
      </c>
      <c r="Z479" t="inlineStr">
        <is>
          <t>adjusted xGOT</t>
        </is>
      </c>
      <c r="AA479" s="3" t="n">
        <v>1</v>
      </c>
      <c r="AB479" s="3" t="n">
        <v>1.177</v>
      </c>
      <c r="AC479" s="3" t="n">
        <v>13.9</v>
      </c>
      <c r="AD479" s="3" t="n">
        <v>0.2816</v>
      </c>
      <c r="AE479" s="3" t="n">
        <v>8.821999999999999</v>
      </c>
      <c r="AF479" s="3" t="n">
        <v>0</v>
      </c>
      <c r="AG479" s="3" t="n">
        <v>9.936</v>
      </c>
      <c r="AH479" s="3" t="n">
        <v>0</v>
      </c>
      <c r="AI479" s="3" t="n">
        <v>30</v>
      </c>
      <c r="AJ479" s="3" t="n"/>
      <c r="AK479" s="3" t="n"/>
      <c r="AL479" s="3" t="n"/>
      <c r="AM479" s="6" t="n">
        <v>0</v>
      </c>
      <c r="AN479" s="3" t="n">
        <v>0</v>
      </c>
      <c r="AO479" s="3" t="n">
        <v>0</v>
      </c>
      <c r="AP479" s="3" t="n">
        <v>0</v>
      </c>
      <c r="AQ479" s="3">
        <f>N(X479)*N(BJ479)</f>
        <v/>
      </c>
      <c r="AR479" s="3" t="n">
        <v>0</v>
      </c>
      <c r="AS479" s="3" t="n">
        <v>0</v>
      </c>
      <c r="AT479" s="3" t="n">
        <v>0</v>
      </c>
      <c r="AU479" s="3">
        <f>SUM(AO479:AT479)</f>
        <v/>
      </c>
      <c r="AV479" s="7">
        <f>IF(OR(N(W479)&lt;=0,N(BH479)=0),0,N(W479)*IF(N(R479)/N(W479)&gt;=60,N(BH479),1))</f>
        <v/>
      </c>
      <c r="AW479" s="7">
        <f>N(W479)*N(AF479)*N(BI479)</f>
        <v/>
      </c>
      <c r="AX479" s="3">
        <f>IF(N(BH479)=0,0,N(W479)*N(AH479))</f>
        <v/>
      </c>
      <c r="AY479" s="7">
        <f>N(AM479)*(Assumptions!$B$13*N(BK479)-(1-Assumptions!$B$13)*Assumptions!$B$14)+N(AN479)</f>
        <v/>
      </c>
      <c r="AZ479" s="7">
        <f>N(AU479)*N(R479)/90+N(AV479)+N(AW479)+N(AX479)+N(AY479)</f>
        <v/>
      </c>
      <c r="BA479" s="3">
        <f>IF(N(R479)&lt;=0,0,(N(AZ479)-N(AY479))*90/N(R479))</f>
        <v/>
      </c>
      <c r="BB479" s="7">
        <f>IFERROR(AZ479-VLOOKUP($E479,Assumptions!$A$40:$C$43,3,FALSE),"")</f>
        <v/>
      </c>
      <c r="BC479" s="3">
        <f>IFERROR(BB479/H479,"")</f>
        <v/>
      </c>
      <c r="BD479">
        <f>IF(AND($G479=TRUE,$E479="GKP"),AZ479,"")</f>
        <v/>
      </c>
      <c r="BE479">
        <f>IF(AND($G479=TRUE,$E479="DEF"),AZ479,"")</f>
        <v/>
      </c>
      <c r="BF479">
        <f>IF(AND($G479=TRUE,$E479="MID"),AZ479,"")</f>
        <v/>
      </c>
      <c r="BG479">
        <f>IF(AND($G479=TRUE,$E479="FWD"),AZ479,"")</f>
        <v/>
      </c>
      <c r="BH479" t="n">
        <v>0</v>
      </c>
      <c r="BI479" t="n">
        <v>0</v>
      </c>
      <c r="BJ479" t="n">
        <v>0</v>
      </c>
      <c r="BK479" t="n">
        <v>0</v>
      </c>
    </row>
    <row r="480">
      <c r="A480" t="inlineStr">
        <is>
          <t>Matt Crooks</t>
        </is>
      </c>
      <c r="B480" t="inlineStr">
        <is>
          <t>HUL</t>
        </is>
      </c>
      <c r="D480" t="b">
        <v>0</v>
      </c>
      <c r="E480" t="inlineStr">
        <is>
          <t>MID</t>
        </is>
      </c>
      <c r="G480" t="b">
        <v>1</v>
      </c>
      <c r="H480" s="2" t="n">
        <v>4.5</v>
      </c>
      <c r="I480" t="inlineStr">
        <is>
          <t>a</t>
        </is>
      </c>
      <c r="K480" s="2" t="n"/>
      <c r="M480" s="3" t="n">
        <v>1545</v>
      </c>
      <c r="N480" s="8" t="n">
        <v>1545</v>
      </c>
      <c r="O480" s="8" t="n">
        <v>0</v>
      </c>
      <c r="Q480" t="inlineStr">
        <is>
          <t>fade (losing his place)</t>
        </is>
      </c>
      <c r="R480" s="6" t="n">
        <v>1545</v>
      </c>
      <c r="S480" t="inlineStr">
        <is>
          <t>Solio</t>
        </is>
      </c>
      <c r="U480" s="6" t="n">
        <v>85</v>
      </c>
      <c r="V480" s="2" t="n"/>
      <c r="W480" s="7">
        <f>IF(N(U480)&lt;=0,0,MIN(Assumptions!$B$15,N(R480)/N(U480)))</f>
        <v/>
      </c>
      <c r="X480" s="6" t="n">
        <v>0.143</v>
      </c>
      <c r="Y480" s="3" t="n"/>
      <c r="Z480" t="inlineStr"/>
      <c r="AA480" s="3" t="n">
        <v>1</v>
      </c>
      <c r="AB480" s="3" t="n"/>
      <c r="AC480" s="3" t="n"/>
      <c r="AD480" s="3" t="n"/>
      <c r="AE480" s="3" t="n"/>
      <c r="AF480" s="3" t="n">
        <v>0</v>
      </c>
      <c r="AG480" s="3" t="n"/>
      <c r="AH480" s="3" t="n">
        <v>0</v>
      </c>
      <c r="AI480" s="3" t="n"/>
      <c r="AJ480" s="3" t="n">
        <v>3.9421</v>
      </c>
      <c r="AK480" s="3" t="n">
        <v>1.99</v>
      </c>
      <c r="AL480" s="3" t="n">
        <v>-0.2160434166173144</v>
      </c>
      <c r="AM480" s="6" t="n">
        <v>0</v>
      </c>
      <c r="AN480" s="3" t="n">
        <v>0</v>
      </c>
      <c r="AO480" s="3" t="n">
        <v>0</v>
      </c>
      <c r="AP480" s="3" t="n">
        <v>0</v>
      </c>
      <c r="AQ480" s="3">
        <f>N(X480)*N(BJ480)</f>
        <v/>
      </c>
      <c r="AR480" s="3" t="n">
        <v>0</v>
      </c>
      <c r="AS480" s="3" t="n">
        <v>-0</v>
      </c>
      <c r="AT480" s="3" t="n">
        <v>-0.2160434166173144</v>
      </c>
      <c r="AU480" s="3">
        <f>SUM(AO480:AT480)</f>
        <v/>
      </c>
      <c r="AV480" s="7">
        <f>IF(OR(N(W480)&lt;=0,N(BH480)=0),0,N(W480)*IF(N(R480)/N(W480)&gt;=60,N(BH480),1))</f>
        <v/>
      </c>
      <c r="AW480" s="7">
        <f>N(W480)*N(AF480)*N(BI480)</f>
        <v/>
      </c>
      <c r="AX480" s="3">
        <f>IF(N(BH480)=0,0,N(W480)*N(AH480))</f>
        <v/>
      </c>
      <c r="AY480" s="7">
        <f>N(AM480)*(Assumptions!$B$13*N(BK480)-(1-Assumptions!$B$13)*Assumptions!$B$14)+N(AN480)</f>
        <v/>
      </c>
      <c r="AZ480" s="7">
        <f>N(AU480)*N(R480)/90+N(AV480)+N(AW480)+N(AX480)+N(AY480)</f>
        <v/>
      </c>
      <c r="BA480" s="3">
        <f>IF(N(R480)&lt;=0,0,(N(AZ480)-N(AY480))*90/N(R480))</f>
        <v/>
      </c>
      <c r="BB480" s="7">
        <f>IFERROR(AZ480-VLOOKUP($E480,Assumptions!$A$40:$C$43,3,FALSE),"")</f>
        <v/>
      </c>
      <c r="BC480" s="3">
        <f>IFERROR(BB480/H480,"")</f>
        <v/>
      </c>
      <c r="BD480">
        <f>IF(AND($G480=TRUE,$E480="GKP"),AZ480,"")</f>
        <v/>
      </c>
      <c r="BE480">
        <f>IF(AND($G480=TRUE,$E480="DEF"),AZ480,"")</f>
        <v/>
      </c>
      <c r="BF480">
        <f>IF(AND($G480=TRUE,$E480="MID"),AZ480,"")</f>
        <v/>
      </c>
      <c r="BG480">
        <f>IF(AND($G480=TRUE,$E480="FWD"),AZ480,"")</f>
        <v/>
      </c>
      <c r="BH480" t="n">
        <v>2</v>
      </c>
      <c r="BI480" t="n">
        <v>2</v>
      </c>
      <c r="BJ480" t="n">
        <v>1</v>
      </c>
      <c r="BK480" t="n">
        <v>5</v>
      </c>
    </row>
    <row r="481">
      <c r="A481" t="inlineStr">
        <is>
          <t>Sam Johnstone</t>
        </is>
      </c>
      <c r="C481" t="inlineStr">
        <is>
          <t>WOL</t>
        </is>
      </c>
      <c r="D481" t="b">
        <v>0</v>
      </c>
      <c r="F481" t="inlineStr">
        <is>
          <t>GKP</t>
        </is>
      </c>
      <c r="G481" t="b">
        <v>0</v>
      </c>
      <c r="H481" s="2" t="n"/>
      <c r="K481" s="2" t="n">
        <v>1080</v>
      </c>
      <c r="M481" s="3" t="n"/>
      <c r="N481" s="8" t="n">
        <v>1080</v>
      </c>
      <c r="O481" s="8" t="n">
        <v>0</v>
      </c>
      <c r="R481" s="6" t="n">
        <v>1080</v>
      </c>
      <c r="S481" t="inlineStr">
        <is>
          <t>25/26 actual</t>
        </is>
      </c>
      <c r="U481" s="6" t="n">
        <v>89.90000000000001</v>
      </c>
      <c r="V481" s="2" t="n">
        <v>12</v>
      </c>
      <c r="W481" s="7">
        <f>IF(N(U481)&lt;=0,0,MIN(Assumptions!$B$15,N(R481)/N(U481)))</f>
        <v/>
      </c>
      <c r="X481" s="6" t="n"/>
      <c r="Y481" s="3" t="n">
        <v>0</v>
      </c>
      <c r="Z481" t="inlineStr">
        <is>
          <t>blended xG</t>
        </is>
      </c>
      <c r="AA481" s="3" t="n">
        <v>1</v>
      </c>
      <c r="AB481" s="3" t="n">
        <v>1</v>
      </c>
      <c r="AC481" s="3" t="n">
        <v>0</v>
      </c>
      <c r="AD481" s="3" t="n">
        <v>0</v>
      </c>
      <c r="AE481" s="3" t="n">
        <v>0</v>
      </c>
      <c r="AF481" s="3" t="n">
        <v>0</v>
      </c>
      <c r="AG481" s="3" t="n">
        <v>5.699</v>
      </c>
      <c r="AH481" s="3" t="n">
        <v>0</v>
      </c>
      <c r="AI481" s="3" t="n">
        <v>24</v>
      </c>
      <c r="AJ481" s="3" t="n"/>
      <c r="AK481" s="3" t="n"/>
      <c r="AL481" s="3" t="n"/>
      <c r="AM481" s="6" t="n">
        <v>0</v>
      </c>
      <c r="AN481" s="3" t="n">
        <v>0</v>
      </c>
      <c r="AO481" s="3" t="n">
        <v>0</v>
      </c>
      <c r="AP481" s="3" t="n">
        <v>0</v>
      </c>
      <c r="AQ481" s="3">
        <f>N(X481)*N(BJ481)</f>
        <v/>
      </c>
      <c r="AR481" s="3" t="n">
        <v>0</v>
      </c>
      <c r="AS481" s="3" t="n">
        <v>0</v>
      </c>
      <c r="AT481" s="3" t="n">
        <v>0</v>
      </c>
      <c r="AU481" s="3">
        <f>SUM(AO481:AT481)</f>
        <v/>
      </c>
      <c r="AV481" s="7">
        <f>IF(OR(N(W481)&lt;=0,N(BH481)=0),0,N(W481)*IF(N(R481)/N(W481)&gt;=60,N(BH481),1))</f>
        <v/>
      </c>
      <c r="AW481" s="7">
        <f>N(W481)*N(AF481)*N(BI481)</f>
        <v/>
      </c>
      <c r="AX481" s="3">
        <f>IF(N(BH481)=0,0,N(W481)*N(AH481))</f>
        <v/>
      </c>
      <c r="AY481" s="7">
        <f>N(AM481)*(Assumptions!$B$13*N(BK481)-(1-Assumptions!$B$13)*Assumptions!$B$14)+N(AN481)</f>
        <v/>
      </c>
      <c r="AZ481" s="7">
        <f>N(AU481)*N(R481)/90+N(AV481)+N(AW481)+N(AX481)+N(AY481)</f>
        <v/>
      </c>
      <c r="BA481" s="3">
        <f>IF(N(R481)&lt;=0,0,(N(AZ481)-N(AY481))*90/N(R481))</f>
        <v/>
      </c>
      <c r="BB481" s="7">
        <f>IFERROR(AZ481-VLOOKUP($E481,Assumptions!$A$40:$C$43,3,FALSE),"")</f>
        <v/>
      </c>
      <c r="BC481" s="3">
        <f>IFERROR(BB481/H481,"")</f>
        <v/>
      </c>
      <c r="BD481">
        <f>IF(AND($G481=TRUE,$E481="GKP"),AZ481,"")</f>
        <v/>
      </c>
      <c r="BE481">
        <f>IF(AND($G481=TRUE,$E481="DEF"),AZ481,"")</f>
        <v/>
      </c>
      <c r="BF481">
        <f>IF(AND($G481=TRUE,$E481="MID"),AZ481,"")</f>
        <v/>
      </c>
      <c r="BG481">
        <f>IF(AND($G481=TRUE,$E481="FWD"),AZ481,"")</f>
        <v/>
      </c>
      <c r="BH481" t="n">
        <v>0</v>
      </c>
      <c r="BI481" t="n">
        <v>0</v>
      </c>
      <c r="BJ481" t="n">
        <v>0</v>
      </c>
      <c r="BK481" t="n">
        <v>0</v>
      </c>
    </row>
    <row r="482">
      <c r="A482" t="inlineStr">
        <is>
          <t>Raúl Jiménez</t>
        </is>
      </c>
      <c r="C482" t="inlineStr">
        <is>
          <t>FUL</t>
        </is>
      </c>
      <c r="D482" t="b">
        <v>0</v>
      </c>
      <c r="F482" t="inlineStr">
        <is>
          <t>FWD</t>
        </is>
      </c>
      <c r="G482" t="b">
        <v>0</v>
      </c>
      <c r="H482" s="2" t="n"/>
      <c r="K482" s="2" t="n">
        <v>2199</v>
      </c>
      <c r="M482" s="3" t="n"/>
      <c r="N482" s="8" t="n">
        <v>2199</v>
      </c>
      <c r="O482" s="8" t="n">
        <v>0</v>
      </c>
      <c r="R482" s="6" t="n">
        <v>2199</v>
      </c>
      <c r="S482" t="inlineStr">
        <is>
          <t>25/26 actual</t>
        </is>
      </c>
      <c r="U482" s="6" t="n">
        <v>76.2</v>
      </c>
      <c r="V482" s="2" t="n">
        <v>27</v>
      </c>
      <c r="W482" s="7">
        <f>IF(N(U482)&lt;=0,0,MIN(Assumptions!$B$15,N(R482)/N(U482)))</f>
        <v/>
      </c>
      <c r="X482" s="6" t="n"/>
      <c r="Y482" s="3" t="n">
        <v>0.329</v>
      </c>
      <c r="Z482" t="inlineStr">
        <is>
          <t>adjusted xGOT</t>
        </is>
      </c>
      <c r="AA482" s="3" t="n">
        <v>0.747</v>
      </c>
      <c r="AB482" s="3" t="n">
        <v>0.93</v>
      </c>
      <c r="AC482" s="3" t="n">
        <v>31.5</v>
      </c>
      <c r="AD482" s="3" t="n">
        <v>0.0796</v>
      </c>
      <c r="AE482" s="3" t="n">
        <v>5.281</v>
      </c>
      <c r="AF482" s="3" t="n">
        <v>0</v>
      </c>
      <c r="AG482" s="3" t="n">
        <v>0.384</v>
      </c>
      <c r="AH482" s="3" t="n">
        <v>0</v>
      </c>
      <c r="AI482" s="3" t="n">
        <v>59</v>
      </c>
      <c r="AJ482" s="3" t="n"/>
      <c r="AK482" s="3" t="n"/>
      <c r="AL482" s="3" t="n"/>
      <c r="AM482" s="6" t="n">
        <v>0</v>
      </c>
      <c r="AN482" s="3" t="n">
        <v>0</v>
      </c>
      <c r="AO482" s="3" t="n">
        <v>0</v>
      </c>
      <c r="AP482" s="3" t="n">
        <v>0</v>
      </c>
      <c r="AQ482" s="3">
        <f>N(X482)*N(BJ482)</f>
        <v/>
      </c>
      <c r="AR482" s="3" t="n">
        <v>0</v>
      </c>
      <c r="AS482" s="3" t="n">
        <v>0</v>
      </c>
      <c r="AT482" s="3" t="n">
        <v>0</v>
      </c>
      <c r="AU482" s="3">
        <f>SUM(AO482:AT482)</f>
        <v/>
      </c>
      <c r="AV482" s="7">
        <f>IF(OR(N(W482)&lt;=0,N(BH482)=0),0,N(W482)*IF(N(R482)/N(W482)&gt;=60,N(BH482),1))</f>
        <v/>
      </c>
      <c r="AW482" s="7">
        <f>N(W482)*N(AF482)*N(BI482)</f>
        <v/>
      </c>
      <c r="AX482" s="3">
        <f>IF(N(BH482)=0,0,N(W482)*N(AH482))</f>
        <v/>
      </c>
      <c r="AY482" s="7">
        <f>N(AM482)*(Assumptions!$B$13*N(BK482)-(1-Assumptions!$B$13)*Assumptions!$B$14)+N(AN482)</f>
        <v/>
      </c>
      <c r="AZ482" s="7">
        <f>N(AU482)*N(R482)/90+N(AV482)+N(AW482)+N(AX482)+N(AY482)</f>
        <v/>
      </c>
      <c r="BA482" s="3">
        <f>IF(N(R482)&lt;=0,0,(N(AZ482)-N(AY482))*90/N(R482))</f>
        <v/>
      </c>
      <c r="BB482" s="7">
        <f>IFERROR(AZ482-VLOOKUP($E482,Assumptions!$A$40:$C$43,3,FALSE),"")</f>
        <v/>
      </c>
      <c r="BC482" s="3">
        <f>IFERROR(BB482/H482,"")</f>
        <v/>
      </c>
      <c r="BD482">
        <f>IF(AND($G482=TRUE,$E482="GKP"),AZ482,"")</f>
        <v/>
      </c>
      <c r="BE482">
        <f>IF(AND($G482=TRUE,$E482="DEF"),AZ482,"")</f>
        <v/>
      </c>
      <c r="BF482">
        <f>IF(AND($G482=TRUE,$E482="MID"),AZ482,"")</f>
        <v/>
      </c>
      <c r="BG482">
        <f>IF(AND($G482=TRUE,$E482="FWD"),AZ482,"")</f>
        <v/>
      </c>
      <c r="BH482" t="n">
        <v>0</v>
      </c>
      <c r="BI482" t="n">
        <v>0</v>
      </c>
      <c r="BJ482" t="n">
        <v>0</v>
      </c>
      <c r="BK482" t="n">
        <v>0</v>
      </c>
    </row>
    <row r="483">
      <c r="A483" t="inlineStr">
        <is>
          <t>Jack Butland</t>
        </is>
      </c>
      <c r="B483" t="inlineStr">
        <is>
          <t>HUL</t>
        </is>
      </c>
      <c r="D483" t="b">
        <v>0</v>
      </c>
      <c r="E483" t="inlineStr">
        <is>
          <t>GKP</t>
        </is>
      </c>
      <c r="G483" t="b">
        <v>1</v>
      </c>
      <c r="H483" s="2" t="n">
        <v>4.5</v>
      </c>
      <c r="I483" t="inlineStr">
        <is>
          <t>i</t>
        </is>
      </c>
      <c r="J483" t="inlineStr">
        <is>
          <t>Arm injury - Unknown return date</t>
        </is>
      </c>
      <c r="K483" s="2" t="n"/>
      <c r="M483" s="3" t="n">
        <v>35</v>
      </c>
      <c r="N483" s="8" t="n">
        <v>35</v>
      </c>
      <c r="O483" s="8" t="n">
        <v>0</v>
      </c>
      <c r="Q483" t="inlineStr">
        <is>
          <t>flat</t>
        </is>
      </c>
      <c r="R483" s="6" t="n">
        <v>35</v>
      </c>
      <c r="S483" t="inlineStr">
        <is>
          <t>Solio</t>
        </is>
      </c>
      <c r="U483" s="6" t="n">
        <v>85</v>
      </c>
      <c r="V483" s="2" t="n"/>
      <c r="W483" s="7">
        <f>IF(N(U483)&lt;=0,0,MIN(Assumptions!$B$15,N(R483)/N(U483)))</f>
        <v/>
      </c>
      <c r="X483" s="6" t="n">
        <v>0.143</v>
      </c>
      <c r="Y483" s="3" t="n"/>
      <c r="Z483" t="inlineStr"/>
      <c r="AA483" s="3" t="n">
        <v>1</v>
      </c>
      <c r="AB483" s="3" t="n"/>
      <c r="AC483" s="3" t="n"/>
      <c r="AD483" s="3" t="n"/>
      <c r="AE483" s="3" t="n">
        <v>0</v>
      </c>
      <c r="AF483" s="3" t="n">
        <v>0</v>
      </c>
      <c r="AG483" s="3" t="n"/>
      <c r="AH483" s="3" t="n">
        <v>0</v>
      </c>
      <c r="AI483" s="3" t="n"/>
      <c r="AJ483" s="3" t="n">
        <v>3.9421</v>
      </c>
      <c r="AK483" s="3" t="n">
        <v>1.99</v>
      </c>
      <c r="AL483" s="3" t="n">
        <v>-0.0763216474948735</v>
      </c>
      <c r="AM483" s="6" t="n">
        <v>0</v>
      </c>
      <c r="AN483" s="3" t="n">
        <v>0.0434768840139444</v>
      </c>
      <c r="AO483" s="3" t="n">
        <v>0</v>
      </c>
      <c r="AP483" s="3" t="n">
        <v>0</v>
      </c>
      <c r="AQ483" s="3">
        <f>N(X483)*N(BJ483)</f>
        <v/>
      </c>
      <c r="AR483" s="3" t="n">
        <v>0.979692031005534</v>
      </c>
      <c r="AS483" s="3" t="n">
        <v>-0.7496714098286652</v>
      </c>
      <c r="AT483" s="3" t="n">
        <v>-0.0763216474948735</v>
      </c>
      <c r="AU483" s="3">
        <f>SUM(AO483:AT483)</f>
        <v/>
      </c>
      <c r="AV483" s="7">
        <f>IF(OR(N(W483)&lt;=0,N(BH483)=0),0,N(W483)*IF(N(R483)/N(W483)&gt;=60,N(BH483),1))</f>
        <v/>
      </c>
      <c r="AW483" s="7">
        <f>N(W483)*N(AF483)*N(BI483)</f>
        <v/>
      </c>
      <c r="AX483" s="3">
        <f>IF(N(BH483)=0,0,N(W483)*N(AH483))</f>
        <v/>
      </c>
      <c r="AY483" s="7">
        <f>N(AM483)*(Assumptions!$B$13*N(BK483)-(1-Assumptions!$B$13)*Assumptions!$B$14)+N(AN483)</f>
        <v/>
      </c>
      <c r="AZ483" s="7">
        <f>N(AU483)*N(R483)/90+N(AV483)+N(AW483)+N(AX483)+N(AY483)</f>
        <v/>
      </c>
      <c r="BA483" s="3">
        <f>IF(N(R483)&lt;=0,0,(N(AZ483)-N(AY483))*90/N(R483))</f>
        <v/>
      </c>
      <c r="BB483" s="7">
        <f>IFERROR(AZ483-VLOOKUP($E483,Assumptions!$A$40:$C$43,3,FALSE),"")</f>
        <v/>
      </c>
      <c r="BC483" s="3">
        <f>IFERROR(BB483/H483,"")</f>
        <v/>
      </c>
      <c r="BD483">
        <f>IF(AND($G483=TRUE,$E483="GKP"),AZ483,"")</f>
        <v/>
      </c>
      <c r="BE483">
        <f>IF(AND($G483=TRUE,$E483="DEF"),AZ483,"")</f>
        <v/>
      </c>
      <c r="BF483">
        <f>IF(AND($G483=TRUE,$E483="MID"),AZ483,"")</f>
        <v/>
      </c>
      <c r="BG483">
        <f>IF(AND($G483=TRUE,$E483="FWD"),AZ483,"")</f>
        <v/>
      </c>
      <c r="BH483" t="n">
        <v>2</v>
      </c>
      <c r="BI483" t="n">
        <v>0</v>
      </c>
      <c r="BJ483" t="n">
        <v>4</v>
      </c>
      <c r="BK483" t="n">
        <v>10</v>
      </c>
    </row>
    <row r="484">
      <c r="A484" t="inlineStr">
        <is>
          <t>Gerónimo Rulli</t>
        </is>
      </c>
      <c r="B484" t="inlineStr">
        <is>
          <t>MCI</t>
        </is>
      </c>
      <c r="D484" t="b">
        <v>0</v>
      </c>
      <c r="E484" t="inlineStr">
        <is>
          <t>GKP</t>
        </is>
      </c>
      <c r="G484" t="b">
        <v>1</v>
      </c>
      <c r="H484" s="2" t="n">
        <v>5</v>
      </c>
      <c r="I484" t="inlineStr">
        <is>
          <t>a</t>
        </is>
      </c>
      <c r="K484" s="2" t="n"/>
      <c r="M484" s="3" t="n">
        <v>0</v>
      </c>
      <c r="N484" s="8" t="n">
        <v>0</v>
      </c>
      <c r="O484" s="8" t="n">
        <v>0</v>
      </c>
      <c r="Q484" t="inlineStr">
        <is>
          <t>flat</t>
        </is>
      </c>
      <c r="R484" s="6" t="n">
        <v>0</v>
      </c>
      <c r="S484" t="inlineStr">
        <is>
          <t>Solio</t>
        </is>
      </c>
      <c r="U484" s="6" t="n">
        <v>85</v>
      </c>
      <c r="V484" s="2" t="n"/>
      <c r="W484" s="7">
        <f>IF(N(U484)&lt;=0,0,MIN(Assumptions!$B$15,N(R484)/N(U484)))</f>
        <v/>
      </c>
      <c r="X484" s="6" t="n">
        <v>0.371</v>
      </c>
      <c r="Y484" s="3" t="n"/>
      <c r="Z484" t="inlineStr"/>
      <c r="AA484" s="3" t="n">
        <v>1</v>
      </c>
      <c r="AB484" s="3" t="n"/>
      <c r="AC484" s="3" t="n"/>
      <c r="AD484" s="3" t="n"/>
      <c r="AE484" s="3" t="n">
        <v>0</v>
      </c>
      <c r="AF484" s="3" t="n">
        <v>0</v>
      </c>
      <c r="AG484" s="3" t="n"/>
      <c r="AH484" s="3" t="n">
        <v>0</v>
      </c>
      <c r="AI484" s="3" t="n"/>
      <c r="AJ484" s="3" t="n">
        <v>1.9737</v>
      </c>
      <c r="AK484" s="3" t="n">
        <v>1.0365</v>
      </c>
      <c r="AL484" s="3" t="n">
        <v>-0.0763216474948735</v>
      </c>
      <c r="AM484" s="6" t="n">
        <v>0</v>
      </c>
      <c r="AN484" s="3" t="n">
        <v>0</v>
      </c>
      <c r="AO484" s="3" t="n">
        <v>0</v>
      </c>
      <c r="AP484" s="3" t="n">
        <v>0</v>
      </c>
      <c r="AQ484" s="3">
        <f>N(X484)*N(BJ484)</f>
        <v/>
      </c>
      <c r="AR484" s="3" t="n">
        <v>0.3320553475083804</v>
      </c>
      <c r="AS484" s="3" t="n">
        <v>-0.2997019479071323</v>
      </c>
      <c r="AT484" s="3" t="n">
        <v>-0.0763216474948735</v>
      </c>
      <c r="AU484" s="3">
        <f>SUM(AO484:AT484)</f>
        <v/>
      </c>
      <c r="AV484" s="7">
        <f>IF(OR(N(W484)&lt;=0,N(BH484)=0),0,N(W484)*IF(N(R484)/N(W484)&gt;=60,N(BH484),1))</f>
        <v/>
      </c>
      <c r="AW484" s="7">
        <f>N(W484)*N(AF484)*N(BI484)</f>
        <v/>
      </c>
      <c r="AX484" s="3">
        <f>IF(N(BH484)=0,0,N(W484)*N(AH484))</f>
        <v/>
      </c>
      <c r="AY484" s="7">
        <f>N(AM484)*(Assumptions!$B$13*N(BK484)-(1-Assumptions!$B$13)*Assumptions!$B$14)+N(AN484)</f>
        <v/>
      </c>
      <c r="AZ484" s="7">
        <f>N(AU484)*N(R484)/90+N(AV484)+N(AW484)+N(AX484)+N(AY484)</f>
        <v/>
      </c>
      <c r="BA484" s="3">
        <f>IF(N(R484)&lt;=0,0,(N(AZ484)-N(AY484))*90/N(R484))</f>
        <v/>
      </c>
      <c r="BB484" s="7">
        <f>IFERROR(AZ484-VLOOKUP($E484,Assumptions!$A$40:$C$43,3,FALSE),"")</f>
        <v/>
      </c>
      <c r="BC484" s="3">
        <f>IFERROR(BB484/H484,"")</f>
        <v/>
      </c>
      <c r="BD484">
        <f>IF(AND($G484=TRUE,$E484="GKP"),AZ484,"")</f>
        <v/>
      </c>
      <c r="BE484">
        <f>IF(AND($G484=TRUE,$E484="DEF"),AZ484,"")</f>
        <v/>
      </c>
      <c r="BF484">
        <f>IF(AND($G484=TRUE,$E484="MID"),AZ484,"")</f>
        <v/>
      </c>
      <c r="BG484">
        <f>IF(AND($G484=TRUE,$E484="FWD"),AZ484,"")</f>
        <v/>
      </c>
      <c r="BH484" t="n">
        <v>2</v>
      </c>
      <c r="BI484" t="n">
        <v>0</v>
      </c>
      <c r="BJ484" t="n">
        <v>4</v>
      </c>
      <c r="BK484" t="n">
        <v>10</v>
      </c>
    </row>
    <row r="485">
      <c r="A485" t="inlineStr">
        <is>
          <t>Angus Gunn</t>
        </is>
      </c>
      <c r="C485" t="inlineStr">
        <is>
          <t>NFO</t>
        </is>
      </c>
      <c r="D485" t="b">
        <v>0</v>
      </c>
      <c r="F485" t="inlineStr">
        <is>
          <t>GKP</t>
        </is>
      </c>
      <c r="G485" t="b">
        <v>0</v>
      </c>
      <c r="H485" s="2" t="n"/>
      <c r="K485" s="2" t="n">
        <v>45</v>
      </c>
      <c r="M485" s="3" t="n"/>
      <c r="N485" s="8" t="n">
        <v>45</v>
      </c>
      <c r="O485" s="8" t="n">
        <v>0</v>
      </c>
      <c r="R485" s="6" t="n">
        <v>45</v>
      </c>
      <c r="S485" t="inlineStr">
        <is>
          <t>25/26 actual</t>
        </is>
      </c>
      <c r="U485" s="6" t="n">
        <v>89.8</v>
      </c>
      <c r="V485" s="2" t="n">
        <v>0</v>
      </c>
      <c r="W485" s="7">
        <f>IF(N(U485)&lt;=0,0,MIN(Assumptions!$B$15,N(R485)/N(U485)))</f>
        <v/>
      </c>
      <c r="X485" s="6" t="n"/>
      <c r="Y485" s="3" t="n">
        <v>0</v>
      </c>
      <c r="Z485" t="inlineStr">
        <is>
          <t>blended xG</t>
        </is>
      </c>
      <c r="AA485" s="3" t="n">
        <v>1</v>
      </c>
      <c r="AB485" s="3" t="n">
        <v>1</v>
      </c>
      <c r="AC485" s="3" t="n">
        <v>0</v>
      </c>
      <c r="AD485" s="3" t="n">
        <v>0</v>
      </c>
      <c r="AE485" s="3" t="n">
        <v>0</v>
      </c>
      <c r="AF485" s="3" t="n">
        <v>0</v>
      </c>
      <c r="AG485" s="3" t="n">
        <v>5.555</v>
      </c>
      <c r="AH485" s="3" t="n">
        <v>0</v>
      </c>
      <c r="AI485" s="3" t="n">
        <v>1</v>
      </c>
      <c r="AJ485" s="3" t="n"/>
      <c r="AK485" s="3" t="n"/>
      <c r="AL485" s="3" t="n"/>
      <c r="AM485" s="6" t="n">
        <v>0</v>
      </c>
      <c r="AN485" s="3" t="n">
        <v>0</v>
      </c>
      <c r="AO485" s="3" t="n">
        <v>0</v>
      </c>
      <c r="AP485" s="3" t="n">
        <v>0</v>
      </c>
      <c r="AQ485" s="3">
        <f>N(X485)*N(BJ485)</f>
        <v/>
      </c>
      <c r="AR485" s="3" t="n">
        <v>0</v>
      </c>
      <c r="AS485" s="3" t="n">
        <v>0</v>
      </c>
      <c r="AT485" s="3" t="n">
        <v>0</v>
      </c>
      <c r="AU485" s="3">
        <f>SUM(AO485:AT485)</f>
        <v/>
      </c>
      <c r="AV485" s="7">
        <f>IF(OR(N(W485)&lt;=0,N(BH485)=0),0,N(W485)*IF(N(R485)/N(W485)&gt;=60,N(BH485),1))</f>
        <v/>
      </c>
      <c r="AW485" s="7">
        <f>N(W485)*N(AF485)*N(BI485)</f>
        <v/>
      </c>
      <c r="AX485" s="3">
        <f>IF(N(BH485)=0,0,N(W485)*N(AH485))</f>
        <v/>
      </c>
      <c r="AY485" s="7">
        <f>N(AM485)*(Assumptions!$B$13*N(BK485)-(1-Assumptions!$B$13)*Assumptions!$B$14)+N(AN485)</f>
        <v/>
      </c>
      <c r="AZ485" s="7">
        <f>N(AU485)*N(R485)/90+N(AV485)+N(AW485)+N(AX485)+N(AY485)</f>
        <v/>
      </c>
      <c r="BA485" s="3">
        <f>IF(N(R485)&lt;=0,0,(N(AZ485)-N(AY485))*90/N(R485))</f>
        <v/>
      </c>
      <c r="BB485" s="7">
        <f>IFERROR(AZ485-VLOOKUP($E485,Assumptions!$A$40:$C$43,3,FALSE),"")</f>
        <v/>
      </c>
      <c r="BC485" s="3">
        <f>IFERROR(BB485/H485,"")</f>
        <v/>
      </c>
      <c r="BD485">
        <f>IF(AND($G485=TRUE,$E485="GKP"),AZ485,"")</f>
        <v/>
      </c>
      <c r="BE485">
        <f>IF(AND($G485=TRUE,$E485="DEF"),AZ485,"")</f>
        <v/>
      </c>
      <c r="BF485">
        <f>IF(AND($G485=TRUE,$E485="MID"),AZ485,"")</f>
        <v/>
      </c>
      <c r="BG485">
        <f>IF(AND($G485=TRUE,$E485="FWD"),AZ485,"")</f>
        <v/>
      </c>
      <c r="BH485" t="n">
        <v>0</v>
      </c>
      <c r="BI485" t="n">
        <v>0</v>
      </c>
      <c r="BJ485" t="n">
        <v>0</v>
      </c>
      <c r="BK485" t="n">
        <v>0</v>
      </c>
    </row>
    <row r="486">
      <c r="A486" t="inlineStr">
        <is>
          <t>John Egan</t>
        </is>
      </c>
      <c r="B486" t="inlineStr">
        <is>
          <t>HUL</t>
        </is>
      </c>
      <c r="D486" t="b">
        <v>0</v>
      </c>
      <c r="E486" t="inlineStr">
        <is>
          <t>DEF</t>
        </is>
      </c>
      <c r="G486" t="b">
        <v>1</v>
      </c>
      <c r="H486" s="2" t="n">
        <v>4</v>
      </c>
      <c r="I486" t="inlineStr">
        <is>
          <t>a</t>
        </is>
      </c>
      <c r="K486" s="2" t="n"/>
      <c r="M486" s="3" t="n">
        <v>3015</v>
      </c>
      <c r="N486" s="8" t="n">
        <v>3015</v>
      </c>
      <c r="O486" s="8" t="n">
        <v>0</v>
      </c>
      <c r="Q486" t="inlineStr">
        <is>
          <t>flat</t>
        </is>
      </c>
      <c r="R486" s="6" t="n">
        <v>3015</v>
      </c>
      <c r="S486" t="inlineStr">
        <is>
          <t>Solio</t>
        </is>
      </c>
      <c r="U486" s="6" t="n">
        <v>85</v>
      </c>
      <c r="V486" s="2" t="n"/>
      <c r="W486" s="7">
        <f>IF(N(U486)&lt;=0,0,MIN(Assumptions!$B$15,N(R486)/N(U486)))</f>
        <v/>
      </c>
      <c r="X486" s="6" t="n">
        <v>0.143</v>
      </c>
      <c r="Y486" s="3" t="n"/>
      <c r="Z486" t="inlineStr"/>
      <c r="AA486" s="3" t="n">
        <v>1</v>
      </c>
      <c r="AB486" s="3" t="n"/>
      <c r="AC486" s="3" t="n"/>
      <c r="AD486" s="3" t="n"/>
      <c r="AE486" s="3" t="n"/>
      <c r="AF486" s="3" t="n">
        <v>0</v>
      </c>
      <c r="AG486" s="3" t="n"/>
      <c r="AH486" s="3" t="n">
        <v>0</v>
      </c>
      <c r="AI486" s="3" t="n"/>
      <c r="AJ486" s="3" t="n">
        <v>3.9421</v>
      </c>
      <c r="AK486" s="3" t="n">
        <v>1.99</v>
      </c>
      <c r="AL486" s="3" t="n">
        <v>-0.2269719386373797</v>
      </c>
      <c r="AM486" s="6" t="n">
        <v>0</v>
      </c>
      <c r="AN486" s="3" t="n">
        <v>0</v>
      </c>
      <c r="AO486" s="3" t="n">
        <v>0</v>
      </c>
      <c r="AP486" s="3" t="n">
        <v>0</v>
      </c>
      <c r="AQ486" s="3">
        <f>N(X486)*N(BJ486)</f>
        <v/>
      </c>
      <c r="AR486" s="3" t="n">
        <v>0</v>
      </c>
      <c r="AS486" s="3" t="n">
        <v>-0.7496714098286652</v>
      </c>
      <c r="AT486" s="3" t="n">
        <v>-0.2269719386373797</v>
      </c>
      <c r="AU486" s="3">
        <f>SUM(AO486:AT486)</f>
        <v/>
      </c>
      <c r="AV486" s="7">
        <f>IF(OR(N(W486)&lt;=0,N(BH486)=0),0,N(W486)*IF(N(R486)/N(W486)&gt;=60,N(BH486),1))</f>
        <v/>
      </c>
      <c r="AW486" s="7">
        <f>N(W486)*N(AF486)*N(BI486)</f>
        <v/>
      </c>
      <c r="AX486" s="3">
        <f>IF(N(BH486)=0,0,N(W486)*N(AH486))</f>
        <v/>
      </c>
      <c r="AY486" s="7">
        <f>N(AM486)*(Assumptions!$B$13*N(BK486)-(1-Assumptions!$B$13)*Assumptions!$B$14)+N(AN486)</f>
        <v/>
      </c>
      <c r="AZ486" s="7">
        <f>N(AU486)*N(R486)/90+N(AV486)+N(AW486)+N(AX486)+N(AY486)</f>
        <v/>
      </c>
      <c r="BA486" s="3">
        <f>IF(N(R486)&lt;=0,0,(N(AZ486)-N(AY486))*90/N(R486))</f>
        <v/>
      </c>
      <c r="BB486" s="7">
        <f>IFERROR(AZ486-VLOOKUP($E486,Assumptions!$A$40:$C$43,3,FALSE),"")</f>
        <v/>
      </c>
      <c r="BC486" s="3">
        <f>IFERROR(BB486/H486,"")</f>
        <v/>
      </c>
      <c r="BD486">
        <f>IF(AND($G486=TRUE,$E486="GKP"),AZ486,"")</f>
        <v/>
      </c>
      <c r="BE486">
        <f>IF(AND($G486=TRUE,$E486="DEF"),AZ486,"")</f>
        <v/>
      </c>
      <c r="BF486">
        <f>IF(AND($G486=TRUE,$E486="MID"),AZ486,"")</f>
        <v/>
      </c>
      <c r="BG486">
        <f>IF(AND($G486=TRUE,$E486="FWD"),AZ486,"")</f>
        <v/>
      </c>
      <c r="BH486" t="n">
        <v>2</v>
      </c>
      <c r="BI486" t="n">
        <v>2</v>
      </c>
      <c r="BJ486" t="n">
        <v>4</v>
      </c>
      <c r="BK486" t="n">
        <v>6</v>
      </c>
    </row>
    <row r="487">
      <c r="A487" t="inlineStr">
        <is>
          <t>Christian Walton</t>
        </is>
      </c>
      <c r="B487" t="inlineStr">
        <is>
          <t>IPS</t>
        </is>
      </c>
      <c r="D487" t="b">
        <v>0</v>
      </c>
      <c r="E487" t="inlineStr">
        <is>
          <t>GKP</t>
        </is>
      </c>
      <c r="G487" t="b">
        <v>1</v>
      </c>
      <c r="H487" s="2" t="n">
        <v>4.5</v>
      </c>
      <c r="I487" t="inlineStr">
        <is>
          <t>a</t>
        </is>
      </c>
      <c r="K487" s="2" t="n"/>
      <c r="M487" s="3" t="n">
        <v>35</v>
      </c>
      <c r="N487" s="8" t="n">
        <v>35</v>
      </c>
      <c r="O487" s="8" t="n">
        <v>0</v>
      </c>
      <c r="Q487" t="inlineStr">
        <is>
          <t>flat</t>
        </is>
      </c>
      <c r="R487" s="6" t="n">
        <v>35</v>
      </c>
      <c r="S487" t="inlineStr">
        <is>
          <t>Solio</t>
        </is>
      </c>
      <c r="U487" s="6" t="n">
        <v>85</v>
      </c>
      <c r="V487" s="2" t="n"/>
      <c r="W487" s="7">
        <f>IF(N(U487)&lt;=0,0,MIN(Assumptions!$B$15,N(R487)/N(U487)))</f>
        <v/>
      </c>
      <c r="X487" s="6" t="n">
        <v>0.17</v>
      </c>
      <c r="Y487" s="3" t="n"/>
      <c r="Z487" t="inlineStr"/>
      <c r="AA487" s="3" t="n">
        <v>1</v>
      </c>
      <c r="AB487" s="3" t="n"/>
      <c r="AC487" s="3" t="n"/>
      <c r="AD487" s="3" t="n"/>
      <c r="AE487" s="3" t="n">
        <v>0</v>
      </c>
      <c r="AF487" s="3" t="n">
        <v>0</v>
      </c>
      <c r="AG487" s="3" t="n"/>
      <c r="AH487" s="3" t="n">
        <v>0</v>
      </c>
      <c r="AI487" s="3" t="n"/>
      <c r="AJ487" s="3" t="n">
        <v>3.5741</v>
      </c>
      <c r="AK487" s="3" t="n">
        <v>1.8319</v>
      </c>
      <c r="AL487" s="3" t="n">
        <v>-0.0610683923216705</v>
      </c>
      <c r="AM487" s="6" t="n">
        <v>0</v>
      </c>
      <c r="AN487" s="3" t="n">
        <v>0.0400226050740512</v>
      </c>
      <c r="AO487" s="3" t="n">
        <v>0</v>
      </c>
      <c r="AP487" s="3" t="n">
        <v>0</v>
      </c>
      <c r="AQ487" s="3">
        <f>N(X487)*N(BJ487)</f>
        <v/>
      </c>
      <c r="AR487" s="3" t="n">
        <v>0.8565116974562608</v>
      </c>
      <c r="AS487" s="3" t="n">
        <v>-0.6723587286814016</v>
      </c>
      <c r="AT487" s="3" t="n">
        <v>-0.0610683923216705</v>
      </c>
      <c r="AU487" s="3">
        <f>SUM(AO487:AT487)</f>
        <v/>
      </c>
      <c r="AV487" s="7">
        <f>IF(OR(N(W487)&lt;=0,N(BH487)=0),0,N(W487)*IF(N(R487)/N(W487)&gt;=60,N(BH487),1))</f>
        <v/>
      </c>
      <c r="AW487" s="7">
        <f>N(W487)*N(AF487)*N(BI487)</f>
        <v/>
      </c>
      <c r="AX487" s="3">
        <f>IF(N(BH487)=0,0,N(W487)*N(AH487))</f>
        <v/>
      </c>
      <c r="AY487" s="7">
        <f>N(AM487)*(Assumptions!$B$13*N(BK487)-(1-Assumptions!$B$13)*Assumptions!$B$14)+N(AN487)</f>
        <v/>
      </c>
      <c r="AZ487" s="7">
        <f>N(AU487)*N(R487)/90+N(AV487)+N(AW487)+N(AX487)+N(AY487)</f>
        <v/>
      </c>
      <c r="BA487" s="3">
        <f>IF(N(R487)&lt;=0,0,(N(AZ487)-N(AY487))*90/N(R487))</f>
        <v/>
      </c>
      <c r="BB487" s="7">
        <f>IFERROR(AZ487-VLOOKUP($E487,Assumptions!$A$40:$C$43,3,FALSE),"")</f>
        <v/>
      </c>
      <c r="BC487" s="3">
        <f>IFERROR(BB487/H487,"")</f>
        <v/>
      </c>
      <c r="BD487">
        <f>IF(AND($G487=TRUE,$E487="GKP"),AZ487,"")</f>
        <v/>
      </c>
      <c r="BE487">
        <f>IF(AND($G487=TRUE,$E487="DEF"),AZ487,"")</f>
        <v/>
      </c>
      <c r="BF487">
        <f>IF(AND($G487=TRUE,$E487="MID"),AZ487,"")</f>
        <v/>
      </c>
      <c r="BG487">
        <f>IF(AND($G487=TRUE,$E487="FWD"),AZ487,"")</f>
        <v/>
      </c>
      <c r="BH487" t="n">
        <v>2</v>
      </c>
      <c r="BI487" t="n">
        <v>0</v>
      </c>
      <c r="BJ487" t="n">
        <v>4</v>
      </c>
      <c r="BK487" t="n">
        <v>10</v>
      </c>
    </row>
    <row r="488">
      <c r="A488" t="inlineStr">
        <is>
          <t>Solly March</t>
        </is>
      </c>
      <c r="C488" t="inlineStr">
        <is>
          <t>BHA</t>
        </is>
      </c>
      <c r="D488" t="b">
        <v>0</v>
      </c>
      <c r="F488" t="inlineStr">
        <is>
          <t>MID</t>
        </is>
      </c>
      <c r="G488" t="b">
        <v>0</v>
      </c>
      <c r="H488" s="2" t="n"/>
      <c r="K488" s="2" t="n">
        <v>38</v>
      </c>
      <c r="M488" s="3" t="n"/>
      <c r="N488" s="8" t="n">
        <v>38</v>
      </c>
      <c r="O488" s="8" t="n">
        <v>0</v>
      </c>
      <c r="R488" s="6" t="n">
        <v>38</v>
      </c>
      <c r="S488" t="inlineStr">
        <is>
          <t>25/26 actual</t>
        </is>
      </c>
      <c r="U488" s="6" t="n">
        <v>80.09999999999999</v>
      </c>
      <c r="V488" s="2" t="n">
        <v>0</v>
      </c>
      <c r="W488" s="7">
        <f>IF(N(U488)&lt;=0,0,MIN(Assumptions!$B$15,N(R488)/N(U488)))</f>
        <v/>
      </c>
      <c r="X488" s="6" t="n"/>
      <c r="Y488" s="3" t="n">
        <v>0.1066</v>
      </c>
      <c r="Z488" t="inlineStr">
        <is>
          <t>adjusted xGOT</t>
        </is>
      </c>
      <c r="AA488" s="3" t="n">
        <v>1</v>
      </c>
      <c r="AB488" s="3" t="n">
        <v>1.131</v>
      </c>
      <c r="AC488" s="3" t="n">
        <v>9.199999999999999</v>
      </c>
      <c r="AD488" s="3" t="n">
        <v>0</v>
      </c>
      <c r="AE488" s="3" t="n">
        <v>8.741</v>
      </c>
      <c r="AF488" s="3" t="n">
        <v>0</v>
      </c>
      <c r="AG488" s="3" t="n">
        <v>7.486</v>
      </c>
      <c r="AH488" s="3" t="n">
        <v>0</v>
      </c>
      <c r="AI488" s="3" t="n">
        <v>4</v>
      </c>
      <c r="AJ488" s="3" t="n"/>
      <c r="AK488" s="3" t="n"/>
      <c r="AL488" s="3" t="n"/>
      <c r="AM488" s="6" t="n">
        <v>0</v>
      </c>
      <c r="AN488" s="3" t="n">
        <v>0</v>
      </c>
      <c r="AO488" s="3" t="n">
        <v>0</v>
      </c>
      <c r="AP488" s="3" t="n">
        <v>0</v>
      </c>
      <c r="AQ488" s="3">
        <f>N(X488)*N(BJ488)</f>
        <v/>
      </c>
      <c r="AR488" s="3" t="n">
        <v>0</v>
      </c>
      <c r="AS488" s="3" t="n">
        <v>0</v>
      </c>
      <c r="AT488" s="3" t="n">
        <v>0</v>
      </c>
      <c r="AU488" s="3">
        <f>SUM(AO488:AT488)</f>
        <v/>
      </c>
      <c r="AV488" s="7">
        <f>IF(OR(N(W488)&lt;=0,N(BH488)=0),0,N(W488)*IF(N(R488)/N(W488)&gt;=60,N(BH488),1))</f>
        <v/>
      </c>
      <c r="AW488" s="7">
        <f>N(W488)*N(AF488)*N(BI488)</f>
        <v/>
      </c>
      <c r="AX488" s="3">
        <f>IF(N(BH488)=0,0,N(W488)*N(AH488))</f>
        <v/>
      </c>
      <c r="AY488" s="7">
        <f>N(AM488)*(Assumptions!$B$13*N(BK488)-(1-Assumptions!$B$13)*Assumptions!$B$14)+N(AN488)</f>
        <v/>
      </c>
      <c r="AZ488" s="7">
        <f>N(AU488)*N(R488)/90+N(AV488)+N(AW488)+N(AX488)+N(AY488)</f>
        <v/>
      </c>
      <c r="BA488" s="3">
        <f>IF(N(R488)&lt;=0,0,(N(AZ488)-N(AY488))*90/N(R488))</f>
        <v/>
      </c>
      <c r="BB488" s="7">
        <f>IFERROR(AZ488-VLOOKUP($E488,Assumptions!$A$40:$C$43,3,FALSE),"")</f>
        <v/>
      </c>
      <c r="BC488" s="3">
        <f>IFERROR(BB488/H488,"")</f>
        <v/>
      </c>
      <c r="BD488">
        <f>IF(AND($G488=TRUE,$E488="GKP"),AZ488,"")</f>
        <v/>
      </c>
      <c r="BE488">
        <f>IF(AND($G488=TRUE,$E488="DEF"),AZ488,"")</f>
        <v/>
      </c>
      <c r="BF488">
        <f>IF(AND($G488=TRUE,$E488="MID"),AZ488,"")</f>
        <v/>
      </c>
      <c r="BG488">
        <f>IF(AND($G488=TRUE,$E488="FWD"),AZ488,"")</f>
        <v/>
      </c>
      <c r="BH488" t="n">
        <v>0</v>
      </c>
      <c r="BI488" t="n">
        <v>0</v>
      </c>
      <c r="BJ488" t="n">
        <v>0</v>
      </c>
      <c r="BK488" t="n">
        <v>0</v>
      </c>
    </row>
    <row r="489">
      <c r="A489" t="inlineStr">
        <is>
          <t>Bertrand Traoré</t>
        </is>
      </c>
      <c r="C489" t="inlineStr">
        <is>
          <t>SUN</t>
        </is>
      </c>
      <c r="D489" t="b">
        <v>0</v>
      </c>
      <c r="F489" t="inlineStr">
        <is>
          <t>MID</t>
        </is>
      </c>
      <c r="G489" t="b">
        <v>0</v>
      </c>
      <c r="H489" s="2" t="n"/>
      <c r="K489" s="2" t="n">
        <v>638</v>
      </c>
      <c r="M489" s="3" t="n"/>
      <c r="N489" s="8" t="n">
        <v>638</v>
      </c>
      <c r="O489" s="8" t="n">
        <v>0</v>
      </c>
      <c r="R489" s="6" t="n">
        <v>638</v>
      </c>
      <c r="S489" t="inlineStr">
        <is>
          <t>25/26 actual</t>
        </is>
      </c>
      <c r="U489" s="6" t="n">
        <v>72.5</v>
      </c>
      <c r="V489" s="2" t="n">
        <v>9</v>
      </c>
      <c r="W489" s="7">
        <f>IF(N(U489)&lt;=0,0,MIN(Assumptions!$B$15,N(R489)/N(U489)))</f>
        <v/>
      </c>
      <c r="X489" s="6" t="n"/>
      <c r="Y489" s="3" t="n">
        <v>0.0814</v>
      </c>
      <c r="Z489" t="inlineStr">
        <is>
          <t>adjusted xGOT</t>
        </is>
      </c>
      <c r="AA489" s="3" t="n">
        <v>1</v>
      </c>
      <c r="AB489" s="3" t="n">
        <v>1.203</v>
      </c>
      <c r="AC489" s="3" t="n">
        <v>1.2</v>
      </c>
      <c r="AD489" s="3" t="n">
        <v>0.1395</v>
      </c>
      <c r="AE489" s="3" t="n">
        <v>7.22</v>
      </c>
      <c r="AF489" s="3" t="n">
        <v>0</v>
      </c>
      <c r="AG489" s="3" t="n">
        <v>6.177</v>
      </c>
      <c r="AH489" s="3" t="n">
        <v>0</v>
      </c>
      <c r="AI489" s="3" t="n">
        <v>19</v>
      </c>
      <c r="AJ489" s="3" t="n"/>
      <c r="AK489" s="3" t="n"/>
      <c r="AL489" s="3" t="n"/>
      <c r="AM489" s="6" t="n">
        <v>0</v>
      </c>
      <c r="AN489" s="3" t="n">
        <v>0</v>
      </c>
      <c r="AO489" s="3" t="n">
        <v>0</v>
      </c>
      <c r="AP489" s="3" t="n">
        <v>0</v>
      </c>
      <c r="AQ489" s="3">
        <f>N(X489)*N(BJ489)</f>
        <v/>
      </c>
      <c r="AR489" s="3" t="n">
        <v>0</v>
      </c>
      <c r="AS489" s="3" t="n">
        <v>0</v>
      </c>
      <c r="AT489" s="3" t="n">
        <v>0</v>
      </c>
      <c r="AU489" s="3">
        <f>SUM(AO489:AT489)</f>
        <v/>
      </c>
      <c r="AV489" s="7">
        <f>IF(OR(N(W489)&lt;=0,N(BH489)=0),0,N(W489)*IF(N(R489)/N(W489)&gt;=60,N(BH489),1))</f>
        <v/>
      </c>
      <c r="AW489" s="7">
        <f>N(W489)*N(AF489)*N(BI489)</f>
        <v/>
      </c>
      <c r="AX489" s="3">
        <f>IF(N(BH489)=0,0,N(W489)*N(AH489))</f>
        <v/>
      </c>
      <c r="AY489" s="7">
        <f>N(AM489)*(Assumptions!$B$13*N(BK489)-(1-Assumptions!$B$13)*Assumptions!$B$14)+N(AN489)</f>
        <v/>
      </c>
      <c r="AZ489" s="7">
        <f>N(AU489)*N(R489)/90+N(AV489)+N(AW489)+N(AX489)+N(AY489)</f>
        <v/>
      </c>
      <c r="BA489" s="3">
        <f>IF(N(R489)&lt;=0,0,(N(AZ489)-N(AY489))*90/N(R489))</f>
        <v/>
      </c>
      <c r="BB489" s="7">
        <f>IFERROR(AZ489-VLOOKUP($E489,Assumptions!$A$40:$C$43,3,FALSE),"")</f>
        <v/>
      </c>
      <c r="BC489" s="3">
        <f>IFERROR(BB489/H489,"")</f>
        <v/>
      </c>
      <c r="BD489">
        <f>IF(AND($G489=TRUE,$E489="GKP"),AZ489,"")</f>
        <v/>
      </c>
      <c r="BE489">
        <f>IF(AND($G489=TRUE,$E489="DEF"),AZ489,"")</f>
        <v/>
      </c>
      <c r="BF489">
        <f>IF(AND($G489=TRUE,$E489="MID"),AZ489,"")</f>
        <v/>
      </c>
      <c r="BG489">
        <f>IF(AND($G489=TRUE,$E489="FWD"),AZ489,"")</f>
        <v/>
      </c>
      <c r="BH489" t="n">
        <v>0</v>
      </c>
      <c r="BI489" t="n">
        <v>0</v>
      </c>
      <c r="BJ489" t="n">
        <v>0</v>
      </c>
      <c r="BK489" t="n">
        <v>0</v>
      </c>
    </row>
    <row r="490">
      <c r="A490" t="inlineStr">
        <is>
          <t>Ben Wilson</t>
        </is>
      </c>
      <c r="B490" t="inlineStr">
        <is>
          <t>COV</t>
        </is>
      </c>
      <c r="D490" t="b">
        <v>0</v>
      </c>
      <c r="E490" t="inlineStr">
        <is>
          <t>GKP</t>
        </is>
      </c>
      <c r="G490" t="b">
        <v>1</v>
      </c>
      <c r="H490" s="2" t="n">
        <v>4.5</v>
      </c>
      <c r="I490" t="inlineStr">
        <is>
          <t>a</t>
        </is>
      </c>
      <c r="K490" s="2" t="n"/>
      <c r="M490" s="3" t="n">
        <v>35</v>
      </c>
      <c r="N490" s="8" t="n">
        <v>35</v>
      </c>
      <c r="O490" s="8" t="n">
        <v>0</v>
      </c>
      <c r="Q490" t="inlineStr">
        <is>
          <t>flat</t>
        </is>
      </c>
      <c r="R490" s="6" t="n">
        <v>35</v>
      </c>
      <c r="S490" t="inlineStr">
        <is>
          <t>Solio</t>
        </is>
      </c>
      <c r="U490" s="6" t="n">
        <v>85</v>
      </c>
      <c r="V490" s="2" t="n"/>
      <c r="W490" s="7">
        <f>IF(N(U490)&lt;=0,0,MIN(Assumptions!$B$15,N(R490)/N(U490)))</f>
        <v/>
      </c>
      <c r="X490" s="6" t="n">
        <v>0.17</v>
      </c>
      <c r="Y490" s="3" t="n"/>
      <c r="Z490" t="inlineStr"/>
      <c r="AA490" s="3" t="n">
        <v>1</v>
      </c>
      <c r="AB490" s="3" t="n"/>
      <c r="AC490" s="3" t="n"/>
      <c r="AD490" s="3" t="n"/>
      <c r="AE490" s="3" t="n">
        <v>0</v>
      </c>
      <c r="AF490" s="3" t="n">
        <v>0</v>
      </c>
      <c r="AG490" s="3" t="n"/>
      <c r="AH490" s="3" t="n">
        <v>0</v>
      </c>
      <c r="AI490" s="3" t="n"/>
      <c r="AJ490" s="3" t="n">
        <v>3.6194</v>
      </c>
      <c r="AK490" s="3" t="n">
        <v>1.8271</v>
      </c>
      <c r="AL490" s="3" t="n">
        <v>-0.0763216474948735</v>
      </c>
      <c r="AM490" s="6" t="n">
        <v>0</v>
      </c>
      <c r="AN490" s="3" t="n">
        <v>0.0399179647999067</v>
      </c>
      <c r="AO490" s="3" t="n">
        <v>0</v>
      </c>
      <c r="AP490" s="3" t="n">
        <v>0</v>
      </c>
      <c r="AQ490" s="3">
        <f>N(X490)*N(BJ490)</f>
        <v/>
      </c>
      <c r="AR490" s="3" t="n">
        <v>0.8716770173844571</v>
      </c>
      <c r="AS490" s="3" t="n">
        <v>-0.670020548738316</v>
      </c>
      <c r="AT490" s="3" t="n">
        <v>-0.0763216474948735</v>
      </c>
      <c r="AU490" s="3">
        <f>SUM(AO490:AT490)</f>
        <v/>
      </c>
      <c r="AV490" s="7">
        <f>IF(OR(N(W490)&lt;=0,N(BH490)=0),0,N(W490)*IF(N(R490)/N(W490)&gt;=60,N(BH490),1))</f>
        <v/>
      </c>
      <c r="AW490" s="7">
        <f>N(W490)*N(AF490)*N(BI490)</f>
        <v/>
      </c>
      <c r="AX490" s="3">
        <f>IF(N(BH490)=0,0,N(W490)*N(AH490))</f>
        <v/>
      </c>
      <c r="AY490" s="7">
        <f>N(AM490)*(Assumptions!$B$13*N(BK490)-(1-Assumptions!$B$13)*Assumptions!$B$14)+N(AN490)</f>
        <v/>
      </c>
      <c r="AZ490" s="7">
        <f>N(AU490)*N(R490)/90+N(AV490)+N(AW490)+N(AX490)+N(AY490)</f>
        <v/>
      </c>
      <c r="BA490" s="3">
        <f>IF(N(R490)&lt;=0,0,(N(AZ490)-N(AY490))*90/N(R490))</f>
        <v/>
      </c>
      <c r="BB490" s="7">
        <f>IFERROR(AZ490-VLOOKUP($E490,Assumptions!$A$40:$C$43,3,FALSE),"")</f>
        <v/>
      </c>
      <c r="BC490" s="3">
        <f>IFERROR(BB490/H490,"")</f>
        <v/>
      </c>
      <c r="BD490">
        <f>IF(AND($G490=TRUE,$E490="GKP"),AZ490,"")</f>
        <v/>
      </c>
      <c r="BE490">
        <f>IF(AND($G490=TRUE,$E490="DEF"),AZ490,"")</f>
        <v/>
      </c>
      <c r="BF490">
        <f>IF(AND($G490=TRUE,$E490="MID"),AZ490,"")</f>
        <v/>
      </c>
      <c r="BG490">
        <f>IF(AND($G490=TRUE,$E490="FWD"),AZ490,"")</f>
        <v/>
      </c>
      <c r="BH490" t="n">
        <v>2</v>
      </c>
      <c r="BI490" t="n">
        <v>0</v>
      </c>
      <c r="BJ490" t="n">
        <v>4</v>
      </c>
      <c r="BK490" t="n">
        <v>10</v>
      </c>
    </row>
    <row r="491">
      <c r="A491" t="inlineStr">
        <is>
          <t>Joël Veltman</t>
        </is>
      </c>
      <c r="C491" t="inlineStr">
        <is>
          <t>BHA</t>
        </is>
      </c>
      <c r="D491" t="b">
        <v>0</v>
      </c>
      <c r="F491" t="inlineStr">
        <is>
          <t>DEF</t>
        </is>
      </c>
      <c r="G491" t="b">
        <v>0</v>
      </c>
      <c r="H491" s="2" t="n"/>
      <c r="K491" s="2" t="n">
        <v>1050</v>
      </c>
      <c r="M491" s="3" t="n"/>
      <c r="N491" s="8" t="n">
        <v>1050</v>
      </c>
      <c r="O491" s="8" t="n">
        <v>0</v>
      </c>
      <c r="R491" s="6" t="n">
        <v>1050</v>
      </c>
      <c r="S491" t="inlineStr">
        <is>
          <t>25/26 actual</t>
        </is>
      </c>
      <c r="U491" s="6" t="n">
        <v>84.40000000000001</v>
      </c>
      <c r="V491" s="2" t="n">
        <v>9</v>
      </c>
      <c r="W491" s="7">
        <f>IF(N(U491)&lt;=0,0,MIN(Assumptions!$B$15,N(R491)/N(U491)))</f>
        <v/>
      </c>
      <c r="X491" s="6" t="n"/>
      <c r="Y491" s="3" t="n">
        <v>0.0961</v>
      </c>
      <c r="Z491" t="inlineStr">
        <is>
          <t>adjusted xGOT</t>
        </is>
      </c>
      <c r="AA491" s="3" t="n">
        <v>1</v>
      </c>
      <c r="AB491" s="3" t="n">
        <v>0.975</v>
      </c>
      <c r="AC491" s="3" t="n">
        <v>3.8</v>
      </c>
      <c r="AD491" s="3" t="n">
        <v>0.0216</v>
      </c>
      <c r="AE491" s="3" t="n">
        <v>8.173999999999999</v>
      </c>
      <c r="AF491" s="3" t="n">
        <v>0</v>
      </c>
      <c r="AG491" s="3" t="n">
        <v>8.478</v>
      </c>
      <c r="AH491" s="3" t="n">
        <v>0</v>
      </c>
      <c r="AI491" s="3" t="n">
        <v>33</v>
      </c>
      <c r="AJ491" s="3" t="n"/>
      <c r="AK491" s="3" t="n"/>
      <c r="AL491" s="3" t="n"/>
      <c r="AM491" s="6" t="n">
        <v>0</v>
      </c>
      <c r="AN491" s="3" t="n">
        <v>0</v>
      </c>
      <c r="AO491" s="3" t="n">
        <v>0</v>
      </c>
      <c r="AP491" s="3" t="n">
        <v>0</v>
      </c>
      <c r="AQ491" s="3">
        <f>N(X491)*N(BJ491)</f>
        <v/>
      </c>
      <c r="AR491" s="3" t="n">
        <v>0</v>
      </c>
      <c r="AS491" s="3" t="n">
        <v>0</v>
      </c>
      <c r="AT491" s="3" t="n">
        <v>0</v>
      </c>
      <c r="AU491" s="3">
        <f>SUM(AO491:AT491)</f>
        <v/>
      </c>
      <c r="AV491" s="7">
        <f>IF(OR(N(W491)&lt;=0,N(BH491)=0),0,N(W491)*IF(N(R491)/N(W491)&gt;=60,N(BH491),1))</f>
        <v/>
      </c>
      <c r="AW491" s="7">
        <f>N(W491)*N(AF491)*N(BI491)</f>
        <v/>
      </c>
      <c r="AX491" s="3">
        <f>IF(N(BH491)=0,0,N(W491)*N(AH491))</f>
        <v/>
      </c>
      <c r="AY491" s="7">
        <f>N(AM491)*(Assumptions!$B$13*N(BK491)-(1-Assumptions!$B$13)*Assumptions!$B$14)+N(AN491)</f>
        <v/>
      </c>
      <c r="AZ491" s="7">
        <f>N(AU491)*N(R491)/90+N(AV491)+N(AW491)+N(AX491)+N(AY491)</f>
        <v/>
      </c>
      <c r="BA491" s="3">
        <f>IF(N(R491)&lt;=0,0,(N(AZ491)-N(AY491))*90/N(R491))</f>
        <v/>
      </c>
      <c r="BB491" s="7">
        <f>IFERROR(AZ491-VLOOKUP($E491,Assumptions!$A$40:$C$43,3,FALSE),"")</f>
        <v/>
      </c>
      <c r="BC491" s="3">
        <f>IFERROR(BB491/H491,"")</f>
        <v/>
      </c>
      <c r="BD491">
        <f>IF(AND($G491=TRUE,$E491="GKP"),AZ491,"")</f>
        <v/>
      </c>
      <c r="BE491">
        <f>IF(AND($G491=TRUE,$E491="DEF"),AZ491,"")</f>
        <v/>
      </c>
      <c r="BF491">
        <f>IF(AND($G491=TRUE,$E491="MID"),AZ491,"")</f>
        <v/>
      </c>
      <c r="BG491">
        <f>IF(AND($G491=TRUE,$E491="FWD"),AZ491,"")</f>
        <v/>
      </c>
      <c r="BH491" t="n">
        <v>0</v>
      </c>
      <c r="BI491" t="n">
        <v>0</v>
      </c>
      <c r="BJ491" t="n">
        <v>0</v>
      </c>
      <c r="BK491" t="n">
        <v>0</v>
      </c>
    </row>
    <row r="492">
      <c r="A492" t="inlineStr">
        <is>
          <t>Emil Krafth</t>
        </is>
      </c>
      <c r="C492" t="inlineStr">
        <is>
          <t>NEW</t>
        </is>
      </c>
      <c r="D492" t="b">
        <v>0</v>
      </c>
      <c r="F492" t="inlineStr">
        <is>
          <t>DEF</t>
        </is>
      </c>
      <c r="G492" t="b">
        <v>0</v>
      </c>
      <c r="H492" s="2" t="n"/>
      <c r="K492" s="2" t="n">
        <v>45</v>
      </c>
      <c r="M492" s="3" t="n"/>
      <c r="N492" s="8" t="n">
        <v>45</v>
      </c>
      <c r="O492" s="8" t="n">
        <v>0</v>
      </c>
      <c r="R492" s="6" t="n">
        <v>45</v>
      </c>
      <c r="S492" t="inlineStr">
        <is>
          <t>25/26 actual</t>
        </is>
      </c>
      <c r="U492" s="6" t="n">
        <v>81.8</v>
      </c>
      <c r="V492" s="2" t="n">
        <v>1</v>
      </c>
      <c r="W492" s="7">
        <f>IF(N(U492)&lt;=0,0,MIN(Assumptions!$B$15,N(R492)/N(U492)))</f>
        <v/>
      </c>
      <c r="X492" s="6" t="n"/>
      <c r="Y492" s="3" t="n">
        <v>0</v>
      </c>
      <c r="Z492" t="inlineStr">
        <is>
          <t>adjusted xGOT</t>
        </is>
      </c>
      <c r="AA492" s="3" t="n">
        <v>1</v>
      </c>
      <c r="AB492" s="3" t="n">
        <v>0.971</v>
      </c>
      <c r="AC492" s="3" t="n">
        <v>0.2</v>
      </c>
      <c r="AD492" s="3" t="n">
        <v>0</v>
      </c>
      <c r="AE492" s="3" t="n">
        <v>7.351</v>
      </c>
      <c r="AF492" s="3" t="n">
        <v>0</v>
      </c>
      <c r="AG492" s="3" t="n">
        <v>7.44</v>
      </c>
      <c r="AH492" s="3" t="n">
        <v>0</v>
      </c>
      <c r="AI492" s="3" t="n">
        <v>1</v>
      </c>
      <c r="AJ492" s="3" t="n"/>
      <c r="AK492" s="3" t="n"/>
      <c r="AL492" s="3" t="n"/>
      <c r="AM492" s="6" t="n">
        <v>0</v>
      </c>
      <c r="AN492" s="3" t="n">
        <v>0</v>
      </c>
      <c r="AO492" s="3" t="n">
        <v>0</v>
      </c>
      <c r="AP492" s="3" t="n">
        <v>0</v>
      </c>
      <c r="AQ492" s="3">
        <f>N(X492)*N(BJ492)</f>
        <v/>
      </c>
      <c r="AR492" s="3" t="n">
        <v>0</v>
      </c>
      <c r="AS492" s="3" t="n">
        <v>0</v>
      </c>
      <c r="AT492" s="3" t="n">
        <v>0</v>
      </c>
      <c r="AU492" s="3">
        <f>SUM(AO492:AT492)</f>
        <v/>
      </c>
      <c r="AV492" s="7">
        <f>IF(OR(N(W492)&lt;=0,N(BH492)=0),0,N(W492)*IF(N(R492)/N(W492)&gt;=60,N(BH492),1))</f>
        <v/>
      </c>
      <c r="AW492" s="7">
        <f>N(W492)*N(AF492)*N(BI492)</f>
        <v/>
      </c>
      <c r="AX492" s="3">
        <f>IF(N(BH492)=0,0,N(W492)*N(AH492))</f>
        <v/>
      </c>
      <c r="AY492" s="7">
        <f>N(AM492)*(Assumptions!$B$13*N(BK492)-(1-Assumptions!$B$13)*Assumptions!$B$14)+N(AN492)</f>
        <v/>
      </c>
      <c r="AZ492" s="7">
        <f>N(AU492)*N(R492)/90+N(AV492)+N(AW492)+N(AX492)+N(AY492)</f>
        <v/>
      </c>
      <c r="BA492" s="3">
        <f>IF(N(R492)&lt;=0,0,(N(AZ492)-N(AY492))*90/N(R492))</f>
        <v/>
      </c>
      <c r="BB492" s="7">
        <f>IFERROR(AZ492-VLOOKUP($E492,Assumptions!$A$40:$C$43,3,FALSE),"")</f>
        <v/>
      </c>
      <c r="BC492" s="3">
        <f>IFERROR(BB492/H492,"")</f>
        <v/>
      </c>
      <c r="BD492">
        <f>IF(AND($G492=TRUE,$E492="GKP"),AZ492,"")</f>
        <v/>
      </c>
      <c r="BE492">
        <f>IF(AND($G492=TRUE,$E492="DEF"),AZ492,"")</f>
        <v/>
      </c>
      <c r="BF492">
        <f>IF(AND($G492=TRUE,$E492="MID"),AZ492,"")</f>
        <v/>
      </c>
      <c r="BG492">
        <f>IF(AND($G492=TRUE,$E492="FWD"),AZ492,"")</f>
        <v/>
      </c>
      <c r="BH492" t="n">
        <v>0</v>
      </c>
      <c r="BI492" t="n">
        <v>0</v>
      </c>
      <c r="BJ492" t="n">
        <v>0</v>
      </c>
      <c r="BK492" t="n">
        <v>0</v>
      </c>
    </row>
    <row r="493">
      <c r="A493" t="inlineStr">
        <is>
          <t>Alex Palmer</t>
        </is>
      </c>
      <c r="B493" t="inlineStr">
        <is>
          <t>IPS</t>
        </is>
      </c>
      <c r="D493" t="b">
        <v>0</v>
      </c>
      <c r="E493" t="inlineStr">
        <is>
          <t>GKP</t>
        </is>
      </c>
      <c r="G493" t="b">
        <v>1</v>
      </c>
      <c r="H493" s="2" t="n">
        <v>4</v>
      </c>
      <c r="I493" t="inlineStr">
        <is>
          <t>a</t>
        </is>
      </c>
      <c r="K493" s="2" t="n"/>
      <c r="M493" s="3" t="n">
        <v>34</v>
      </c>
      <c r="N493" s="8" t="n">
        <v>34</v>
      </c>
      <c r="O493" s="8" t="n">
        <v>0</v>
      </c>
      <c r="Q493" t="inlineStr">
        <is>
          <t>flat</t>
        </is>
      </c>
      <c r="R493" s="6" t="n">
        <v>34</v>
      </c>
      <c r="S493" t="inlineStr">
        <is>
          <t>Solio</t>
        </is>
      </c>
      <c r="U493" s="6" t="n">
        <v>85</v>
      </c>
      <c r="V493" s="2" t="n"/>
      <c r="W493" s="7">
        <f>IF(N(U493)&lt;=0,0,MIN(Assumptions!$B$15,N(R493)/N(U493)))</f>
        <v/>
      </c>
      <c r="X493" s="6" t="n">
        <v>0.17</v>
      </c>
      <c r="Y493" s="3" t="n"/>
      <c r="Z493" t="inlineStr"/>
      <c r="AA493" s="3" t="n">
        <v>1</v>
      </c>
      <c r="AB493" s="3" t="n"/>
      <c r="AC493" s="3" t="n"/>
      <c r="AD493" s="3" t="n"/>
      <c r="AE493" s="3" t="n">
        <v>0</v>
      </c>
      <c r="AF493" s="3" t="n">
        <v>0</v>
      </c>
      <c r="AG493" s="3" t="n"/>
      <c r="AH493" s="3" t="n">
        <v>0</v>
      </c>
      <c r="AI493" s="3" t="n"/>
      <c r="AJ493" s="3" t="n">
        <v>3.5741</v>
      </c>
      <c r="AK493" s="3" t="n">
        <v>1.8319</v>
      </c>
      <c r="AL493" s="3" t="n">
        <v>-0.102699169652838</v>
      </c>
      <c r="AM493" s="6" t="n">
        <v>0</v>
      </c>
      <c r="AN493" s="3" t="n">
        <v>0.0388791020719355</v>
      </c>
      <c r="AO493" s="3" t="n">
        <v>0</v>
      </c>
      <c r="AP493" s="3" t="n">
        <v>0</v>
      </c>
      <c r="AQ493" s="3">
        <f>N(X493)*N(BJ493)</f>
        <v/>
      </c>
      <c r="AR493" s="3" t="n">
        <v>0.8565116974562608</v>
      </c>
      <c r="AS493" s="3" t="n">
        <v>-0.6723587286814016</v>
      </c>
      <c r="AT493" s="3" t="n">
        <v>-0.102699169652838</v>
      </c>
      <c r="AU493" s="3">
        <f>SUM(AO493:AT493)</f>
        <v/>
      </c>
      <c r="AV493" s="7">
        <f>IF(OR(N(W493)&lt;=0,N(BH493)=0),0,N(W493)*IF(N(R493)/N(W493)&gt;=60,N(BH493),1))</f>
        <v/>
      </c>
      <c r="AW493" s="7">
        <f>N(W493)*N(AF493)*N(BI493)</f>
        <v/>
      </c>
      <c r="AX493" s="3">
        <f>IF(N(BH493)=0,0,N(W493)*N(AH493))</f>
        <v/>
      </c>
      <c r="AY493" s="7">
        <f>N(AM493)*(Assumptions!$B$13*N(BK493)-(1-Assumptions!$B$13)*Assumptions!$B$14)+N(AN493)</f>
        <v/>
      </c>
      <c r="AZ493" s="7">
        <f>N(AU493)*N(R493)/90+N(AV493)+N(AW493)+N(AX493)+N(AY493)</f>
        <v/>
      </c>
      <c r="BA493" s="3">
        <f>IF(N(R493)&lt;=0,0,(N(AZ493)-N(AY493))*90/N(R493))</f>
        <v/>
      </c>
      <c r="BB493" s="7">
        <f>IFERROR(AZ493-VLOOKUP($E493,Assumptions!$A$40:$C$43,3,FALSE),"")</f>
        <v/>
      </c>
      <c r="BC493" s="3">
        <f>IFERROR(BB493/H493,"")</f>
        <v/>
      </c>
      <c r="BD493">
        <f>IF(AND($G493=TRUE,$E493="GKP"),AZ493,"")</f>
        <v/>
      </c>
      <c r="BE493">
        <f>IF(AND($G493=TRUE,$E493="DEF"),AZ493,"")</f>
        <v/>
      </c>
      <c r="BF493">
        <f>IF(AND($G493=TRUE,$E493="MID"),AZ493,"")</f>
        <v/>
      </c>
      <c r="BG493">
        <f>IF(AND($G493=TRUE,$E493="FWD"),AZ493,"")</f>
        <v/>
      </c>
      <c r="BH493" t="n">
        <v>2</v>
      </c>
      <c r="BI493" t="n">
        <v>0</v>
      </c>
      <c r="BJ493" t="n">
        <v>4</v>
      </c>
      <c r="BK493" t="n">
        <v>10</v>
      </c>
    </row>
    <row r="494">
      <c r="A494" t="inlineStr">
        <is>
          <t>Sam Byram</t>
        </is>
      </c>
      <c r="C494" t="inlineStr">
        <is>
          <t>LEE</t>
        </is>
      </c>
      <c r="D494" t="b">
        <v>0</v>
      </c>
      <c r="F494" t="inlineStr">
        <is>
          <t>DEF</t>
        </is>
      </c>
      <c r="G494" t="b">
        <v>0</v>
      </c>
      <c r="H494" s="2" t="n"/>
      <c r="K494" s="2" t="n">
        <v>8</v>
      </c>
      <c r="M494" s="3" t="n"/>
      <c r="N494" s="8" t="n">
        <v>8</v>
      </c>
      <c r="O494" s="8" t="n">
        <v>0</v>
      </c>
      <c r="R494" s="6" t="n">
        <v>8</v>
      </c>
      <c r="S494" t="inlineStr">
        <is>
          <t>25/26 actual</t>
        </is>
      </c>
      <c r="U494" s="6" t="n">
        <v>85.5</v>
      </c>
      <c r="V494" s="2" t="n">
        <v>0</v>
      </c>
      <c r="W494" s="7">
        <f>IF(N(U494)&lt;=0,0,MIN(Assumptions!$B$15,N(R494)/N(U494)))</f>
        <v/>
      </c>
      <c r="X494" s="6" t="n"/>
      <c r="Y494" s="3" t="n">
        <v>0</v>
      </c>
      <c r="Z494" t="inlineStr">
        <is>
          <t>blended xG</t>
        </is>
      </c>
      <c r="AA494" s="3" t="n">
        <v>1</v>
      </c>
      <c r="AB494" s="3" t="n">
        <v>1</v>
      </c>
      <c r="AC494" s="3" t="n">
        <v>0</v>
      </c>
      <c r="AD494" s="3" t="n">
        <v>0</v>
      </c>
      <c r="AE494" s="3" t="n">
        <v>7.971</v>
      </c>
      <c r="AF494" s="3" t="n">
        <v>0</v>
      </c>
      <c r="AG494" s="3" t="n">
        <v>7.932</v>
      </c>
      <c r="AH494" s="3" t="n">
        <v>0</v>
      </c>
      <c r="AI494" s="3" t="n">
        <v>2</v>
      </c>
      <c r="AJ494" s="3" t="n"/>
      <c r="AK494" s="3" t="n"/>
      <c r="AL494" s="3" t="n"/>
      <c r="AM494" s="6" t="n">
        <v>0</v>
      </c>
      <c r="AN494" s="3" t="n">
        <v>0</v>
      </c>
      <c r="AO494" s="3" t="n">
        <v>0</v>
      </c>
      <c r="AP494" s="3" t="n">
        <v>0</v>
      </c>
      <c r="AQ494" s="3">
        <f>N(X494)*N(BJ494)</f>
        <v/>
      </c>
      <c r="AR494" s="3" t="n">
        <v>0</v>
      </c>
      <c r="AS494" s="3" t="n">
        <v>0</v>
      </c>
      <c r="AT494" s="3" t="n">
        <v>0</v>
      </c>
      <c r="AU494" s="3">
        <f>SUM(AO494:AT494)</f>
        <v/>
      </c>
      <c r="AV494" s="7">
        <f>IF(OR(N(W494)&lt;=0,N(BH494)=0),0,N(W494)*IF(N(R494)/N(W494)&gt;=60,N(BH494),1))</f>
        <v/>
      </c>
      <c r="AW494" s="7">
        <f>N(W494)*N(AF494)*N(BI494)</f>
        <v/>
      </c>
      <c r="AX494" s="3">
        <f>IF(N(BH494)=0,0,N(W494)*N(AH494))</f>
        <v/>
      </c>
      <c r="AY494" s="7">
        <f>N(AM494)*(Assumptions!$B$13*N(BK494)-(1-Assumptions!$B$13)*Assumptions!$B$14)+N(AN494)</f>
        <v/>
      </c>
      <c r="AZ494" s="7">
        <f>N(AU494)*N(R494)/90+N(AV494)+N(AW494)+N(AX494)+N(AY494)</f>
        <v/>
      </c>
      <c r="BA494" s="3">
        <f>IF(N(R494)&lt;=0,0,(N(AZ494)-N(AY494))*90/N(R494))</f>
        <v/>
      </c>
      <c r="BB494" s="7">
        <f>IFERROR(AZ494-VLOOKUP($E494,Assumptions!$A$40:$C$43,3,FALSE),"")</f>
        <v/>
      </c>
      <c r="BC494" s="3">
        <f>IFERROR(BB494/H494,"")</f>
        <v/>
      </c>
      <c r="BD494">
        <f>IF(AND($G494=TRUE,$E494="GKP"),AZ494,"")</f>
        <v/>
      </c>
      <c r="BE494">
        <f>IF(AND($G494=TRUE,$E494="DEF"),AZ494,"")</f>
        <v/>
      </c>
      <c r="BF494">
        <f>IF(AND($G494=TRUE,$E494="MID"),AZ494,"")</f>
        <v/>
      </c>
      <c r="BG494">
        <f>IF(AND($G494=TRUE,$E494="FWD"),AZ494,"")</f>
        <v/>
      </c>
      <c r="BH494" t="n">
        <v>0</v>
      </c>
      <c r="BI494" t="n">
        <v>0</v>
      </c>
      <c r="BJ494" t="n">
        <v>0</v>
      </c>
      <c r="BK494" t="n">
        <v>0</v>
      </c>
    </row>
    <row r="495">
      <c r="A495" t="inlineStr">
        <is>
          <t>Leandro Trossard</t>
        </is>
      </c>
      <c r="C495" t="inlineStr">
        <is>
          <t>ARS</t>
        </is>
      </c>
      <c r="D495" t="b">
        <v>0</v>
      </c>
      <c r="F495" t="inlineStr">
        <is>
          <t>MID</t>
        </is>
      </c>
      <c r="G495" t="b">
        <v>0</v>
      </c>
      <c r="H495" s="2" t="n"/>
      <c r="K495" s="2" t="n">
        <v>2006</v>
      </c>
      <c r="M495" s="3" t="n"/>
      <c r="N495" s="8" t="n">
        <v>2006</v>
      </c>
      <c r="O495" s="8" t="n">
        <v>0</v>
      </c>
      <c r="R495" s="6" t="n">
        <v>2006</v>
      </c>
      <c r="S495" t="inlineStr">
        <is>
          <t>25/26 actual</t>
        </is>
      </c>
      <c r="U495" s="6" t="n">
        <v>80.90000000000001</v>
      </c>
      <c r="V495" s="2" t="n">
        <v>21</v>
      </c>
      <c r="W495" s="7">
        <f>IF(N(U495)&lt;=0,0,MIN(Assumptions!$B$15,N(R495)/N(U495)))</f>
        <v/>
      </c>
      <c r="X495" s="6" t="n"/>
      <c r="Y495" s="3" t="n">
        <v>0.2556</v>
      </c>
      <c r="Z495" t="inlineStr">
        <is>
          <t>adjusted xGOT</t>
        </is>
      </c>
      <c r="AA495" s="3" t="n">
        <v>1</v>
      </c>
      <c r="AB495" s="3" t="n">
        <v>1.017</v>
      </c>
      <c r="AC495" s="3" t="n">
        <v>27</v>
      </c>
      <c r="AD495" s="3" t="n">
        <v>0.2238</v>
      </c>
      <c r="AE495" s="3" t="n">
        <v>6.678</v>
      </c>
      <c r="AF495" s="3" t="n">
        <v>0</v>
      </c>
      <c r="AG495" s="3" t="n">
        <v>5.643</v>
      </c>
      <c r="AH495" s="3" t="n">
        <v>0</v>
      </c>
      <c r="AI495" s="3" t="n">
        <v>51</v>
      </c>
      <c r="AJ495" s="3" t="n"/>
      <c r="AK495" s="3" t="n"/>
      <c r="AL495" s="3" t="n"/>
      <c r="AM495" s="6" t="n">
        <v>0</v>
      </c>
      <c r="AN495" s="3" t="n">
        <v>0</v>
      </c>
      <c r="AO495" s="3" t="n">
        <v>0</v>
      </c>
      <c r="AP495" s="3" t="n">
        <v>0</v>
      </c>
      <c r="AQ495" s="3">
        <f>N(X495)*N(BJ495)</f>
        <v/>
      </c>
      <c r="AR495" s="3" t="n">
        <v>0</v>
      </c>
      <c r="AS495" s="3" t="n">
        <v>0</v>
      </c>
      <c r="AT495" s="3" t="n">
        <v>0</v>
      </c>
      <c r="AU495" s="3">
        <f>SUM(AO495:AT495)</f>
        <v/>
      </c>
      <c r="AV495" s="7">
        <f>IF(OR(N(W495)&lt;=0,N(BH495)=0),0,N(W495)*IF(N(R495)/N(W495)&gt;=60,N(BH495),1))</f>
        <v/>
      </c>
      <c r="AW495" s="7">
        <f>N(W495)*N(AF495)*N(BI495)</f>
        <v/>
      </c>
      <c r="AX495" s="3">
        <f>IF(N(BH495)=0,0,N(W495)*N(AH495))</f>
        <v/>
      </c>
      <c r="AY495" s="7">
        <f>N(AM495)*(Assumptions!$B$13*N(BK495)-(1-Assumptions!$B$13)*Assumptions!$B$14)+N(AN495)</f>
        <v/>
      </c>
      <c r="AZ495" s="7">
        <f>N(AU495)*N(R495)/90+N(AV495)+N(AW495)+N(AX495)+N(AY495)</f>
        <v/>
      </c>
      <c r="BA495" s="3">
        <f>IF(N(R495)&lt;=0,0,(N(AZ495)-N(AY495))*90/N(R495))</f>
        <v/>
      </c>
      <c r="BB495" s="7">
        <f>IFERROR(AZ495-VLOOKUP($E495,Assumptions!$A$40:$C$43,3,FALSE),"")</f>
        <v/>
      </c>
      <c r="BC495" s="3">
        <f>IFERROR(BB495/H495,"")</f>
        <v/>
      </c>
      <c r="BD495">
        <f>IF(AND($G495=TRUE,$E495="GKP"),AZ495,"")</f>
        <v/>
      </c>
      <c r="BE495">
        <f>IF(AND($G495=TRUE,$E495="DEF"),AZ495,"")</f>
        <v/>
      </c>
      <c r="BF495">
        <f>IF(AND($G495=TRUE,$E495="MID"),AZ495,"")</f>
        <v/>
      </c>
      <c r="BG495">
        <f>IF(AND($G495=TRUE,$E495="FWD"),AZ495,"")</f>
        <v/>
      </c>
      <c r="BH495" t="n">
        <v>0</v>
      </c>
      <c r="BI495" t="n">
        <v>0</v>
      </c>
      <c r="BJ495" t="n">
        <v>0</v>
      </c>
      <c r="BK495" t="n">
        <v>0</v>
      </c>
    </row>
    <row r="496">
      <c r="A496" t="inlineStr">
        <is>
          <t>Mohamed Salah</t>
        </is>
      </c>
      <c r="C496" t="inlineStr">
        <is>
          <t>LIV</t>
        </is>
      </c>
      <c r="D496" t="b">
        <v>0</v>
      </c>
      <c r="F496" t="inlineStr">
        <is>
          <t>MID</t>
        </is>
      </c>
      <c r="G496" t="b">
        <v>0</v>
      </c>
      <c r="H496" s="2" t="n"/>
      <c r="K496" s="2" t="n">
        <v>2148</v>
      </c>
      <c r="M496" s="3" t="n"/>
      <c r="N496" s="8" t="n">
        <v>2148</v>
      </c>
      <c r="O496" s="8" t="n">
        <v>0</v>
      </c>
      <c r="R496" s="6" t="n">
        <v>2148</v>
      </c>
      <c r="S496" t="inlineStr">
        <is>
          <t>25/26 actual</t>
        </is>
      </c>
      <c r="U496" s="6" t="n">
        <v>84.7</v>
      </c>
      <c r="V496" s="2" t="n">
        <v>23</v>
      </c>
      <c r="W496" s="7">
        <f>IF(N(U496)&lt;=0,0,MIN(Assumptions!$B$15,N(R496)/N(U496)))</f>
        <v/>
      </c>
      <c r="X496" s="6" t="n"/>
      <c r="Y496" s="3" t="n">
        <v>0.3051</v>
      </c>
      <c r="Z496" t="inlineStr">
        <is>
          <t>adjusted xGOT</t>
        </is>
      </c>
      <c r="AA496" s="3" t="n">
        <v>0.914</v>
      </c>
      <c r="AB496" s="3" t="n">
        <v>0.968</v>
      </c>
      <c r="AC496" s="3" t="n">
        <v>74.8</v>
      </c>
      <c r="AD496" s="3" t="n">
        <v>0.2693</v>
      </c>
      <c r="AE496" s="3" t="n">
        <v>5.582</v>
      </c>
      <c r="AF496" s="3" t="n">
        <v>0</v>
      </c>
      <c r="AG496" s="3" t="n">
        <v>2.974</v>
      </c>
      <c r="AH496" s="3" t="n">
        <v>0</v>
      </c>
      <c r="AI496" s="3" t="n">
        <v>50</v>
      </c>
      <c r="AJ496" s="3" t="n"/>
      <c r="AK496" s="3" t="n"/>
      <c r="AL496" s="3" t="n"/>
      <c r="AM496" s="6" t="n">
        <v>0</v>
      </c>
      <c r="AN496" s="3" t="n">
        <v>0</v>
      </c>
      <c r="AO496" s="3" t="n">
        <v>0</v>
      </c>
      <c r="AP496" s="3" t="n">
        <v>0</v>
      </c>
      <c r="AQ496" s="3">
        <f>N(X496)*N(BJ496)</f>
        <v/>
      </c>
      <c r="AR496" s="3" t="n">
        <v>0</v>
      </c>
      <c r="AS496" s="3" t="n">
        <v>0</v>
      </c>
      <c r="AT496" s="3" t="n">
        <v>0</v>
      </c>
      <c r="AU496" s="3">
        <f>SUM(AO496:AT496)</f>
        <v/>
      </c>
      <c r="AV496" s="7">
        <f>IF(OR(N(W496)&lt;=0,N(BH496)=0),0,N(W496)*IF(N(R496)/N(W496)&gt;=60,N(BH496),1))</f>
        <v/>
      </c>
      <c r="AW496" s="7">
        <f>N(W496)*N(AF496)*N(BI496)</f>
        <v/>
      </c>
      <c r="AX496" s="3">
        <f>IF(N(BH496)=0,0,N(W496)*N(AH496))</f>
        <v/>
      </c>
      <c r="AY496" s="7">
        <f>N(AM496)*(Assumptions!$B$13*N(BK496)-(1-Assumptions!$B$13)*Assumptions!$B$14)+N(AN496)</f>
        <v/>
      </c>
      <c r="AZ496" s="7">
        <f>N(AU496)*N(R496)/90+N(AV496)+N(AW496)+N(AX496)+N(AY496)</f>
        <v/>
      </c>
      <c r="BA496" s="3">
        <f>IF(N(R496)&lt;=0,0,(N(AZ496)-N(AY496))*90/N(R496))</f>
        <v/>
      </c>
      <c r="BB496" s="7">
        <f>IFERROR(AZ496-VLOOKUP($E496,Assumptions!$A$40:$C$43,3,FALSE),"")</f>
        <v/>
      </c>
      <c r="BC496" s="3">
        <f>IFERROR(BB496/H496,"")</f>
        <v/>
      </c>
      <c r="BD496">
        <f>IF(AND($G496=TRUE,$E496="GKP"),AZ496,"")</f>
        <v/>
      </c>
      <c r="BE496">
        <f>IF(AND($G496=TRUE,$E496="DEF"),AZ496,"")</f>
        <v/>
      </c>
      <c r="BF496">
        <f>IF(AND($G496=TRUE,$E496="MID"),AZ496,"")</f>
        <v/>
      </c>
      <c r="BG496">
        <f>IF(AND($G496=TRUE,$E496="FWD"),AZ496,"")</f>
        <v/>
      </c>
      <c r="BH496" t="n">
        <v>0</v>
      </c>
      <c r="BI496" t="n">
        <v>0</v>
      </c>
      <c r="BJ496" t="n">
        <v>0</v>
      </c>
      <c r="BK496" t="n">
        <v>0</v>
      </c>
    </row>
    <row r="497">
      <c r="A497" t="inlineStr">
        <is>
          <t>Patrick Roberts</t>
        </is>
      </c>
      <c r="C497" t="inlineStr">
        <is>
          <t>SUN</t>
        </is>
      </c>
      <c r="D497" t="b">
        <v>0</v>
      </c>
      <c r="F497" t="inlineStr">
        <is>
          <t>MID</t>
        </is>
      </c>
      <c r="G497" t="b">
        <v>0</v>
      </c>
      <c r="H497" s="2" t="n"/>
      <c r="K497" s="2" t="n">
        <v>27</v>
      </c>
      <c r="M497" s="3" t="n"/>
      <c r="N497" s="8" t="n">
        <v>27</v>
      </c>
      <c r="O497" s="8" t="n">
        <v>0</v>
      </c>
      <c r="R497" s="6" t="n">
        <v>27</v>
      </c>
      <c r="S497" t="inlineStr">
        <is>
          <t>25/26 actual</t>
        </is>
      </c>
      <c r="U497" s="6" t="n">
        <v>80.09999999999999</v>
      </c>
      <c r="V497" s="2" t="n">
        <v>0</v>
      </c>
      <c r="W497" s="7">
        <f>IF(N(U497)&lt;=0,0,MIN(Assumptions!$B$15,N(R497)/N(U497)))</f>
        <v/>
      </c>
      <c r="X497" s="6" t="n"/>
      <c r="Y497" s="3" t="n">
        <v>0.1</v>
      </c>
      <c r="Z497" t="inlineStr">
        <is>
          <t>adjusted xGOT</t>
        </is>
      </c>
      <c r="AA497" s="3" t="n">
        <v>1</v>
      </c>
      <c r="AB497" s="3" t="n">
        <v>0.996</v>
      </c>
      <c r="AC497" s="3" t="n">
        <v>0</v>
      </c>
      <c r="AD497" s="3" t="n">
        <v>0</v>
      </c>
      <c r="AE497" s="3" t="n">
        <v>8.387</v>
      </c>
      <c r="AF497" s="3" t="n">
        <v>0</v>
      </c>
      <c r="AG497" s="3" t="n">
        <v>6.911</v>
      </c>
      <c r="AH497" s="3" t="n">
        <v>0</v>
      </c>
      <c r="AI497" s="3" t="n">
        <v>1</v>
      </c>
      <c r="AJ497" s="3" t="n"/>
      <c r="AK497" s="3" t="n"/>
      <c r="AL497" s="3" t="n"/>
      <c r="AM497" s="6" t="n">
        <v>0</v>
      </c>
      <c r="AN497" s="3" t="n">
        <v>0</v>
      </c>
      <c r="AO497" s="3" t="n">
        <v>0</v>
      </c>
      <c r="AP497" s="3" t="n">
        <v>0</v>
      </c>
      <c r="AQ497" s="3">
        <f>N(X497)*N(BJ497)</f>
        <v/>
      </c>
      <c r="AR497" s="3" t="n">
        <v>0</v>
      </c>
      <c r="AS497" s="3" t="n">
        <v>0</v>
      </c>
      <c r="AT497" s="3" t="n">
        <v>0</v>
      </c>
      <c r="AU497" s="3">
        <f>SUM(AO497:AT497)</f>
        <v/>
      </c>
      <c r="AV497" s="7">
        <f>IF(OR(N(W497)&lt;=0,N(BH497)=0),0,N(W497)*IF(N(R497)/N(W497)&gt;=60,N(BH497),1))</f>
        <v/>
      </c>
      <c r="AW497" s="7">
        <f>N(W497)*N(AF497)*N(BI497)</f>
        <v/>
      </c>
      <c r="AX497" s="3">
        <f>IF(N(BH497)=0,0,N(W497)*N(AH497))</f>
        <v/>
      </c>
      <c r="AY497" s="7">
        <f>N(AM497)*(Assumptions!$B$13*N(BK497)-(1-Assumptions!$B$13)*Assumptions!$B$14)+N(AN497)</f>
        <v/>
      </c>
      <c r="AZ497" s="7">
        <f>N(AU497)*N(R497)/90+N(AV497)+N(AW497)+N(AX497)+N(AY497)</f>
        <v/>
      </c>
      <c r="BA497" s="3">
        <f>IF(N(R497)&lt;=0,0,(N(AZ497)-N(AY497))*90/N(R497))</f>
        <v/>
      </c>
      <c r="BB497" s="7">
        <f>IFERROR(AZ497-VLOOKUP($E497,Assumptions!$A$40:$C$43,3,FALSE),"")</f>
        <v/>
      </c>
      <c r="BC497" s="3">
        <f>IFERROR(BB497/H497,"")</f>
        <v/>
      </c>
      <c r="BD497">
        <f>IF(AND($G497=TRUE,$E497="GKP"),AZ497,"")</f>
        <v/>
      </c>
      <c r="BE497">
        <f>IF(AND($G497=TRUE,$E497="DEF"),AZ497,"")</f>
        <v/>
      </c>
      <c r="BF497">
        <f>IF(AND($G497=TRUE,$E497="MID"),AZ497,"")</f>
        <v/>
      </c>
      <c r="BG497">
        <f>IF(AND($G497=TRUE,$E497="FWD"),AZ497,"")</f>
        <v/>
      </c>
      <c r="BH497" t="n">
        <v>0</v>
      </c>
      <c r="BI497" t="n">
        <v>0</v>
      </c>
      <c r="BJ497" t="n">
        <v>0</v>
      </c>
      <c r="BK497" t="n">
        <v>0</v>
      </c>
    </row>
    <row r="498">
      <c r="A498" t="inlineStr">
        <is>
          <t>Nathan Aké</t>
        </is>
      </c>
      <c r="C498" t="inlineStr">
        <is>
          <t>MCI</t>
        </is>
      </c>
      <c r="D498" t="b">
        <v>0</v>
      </c>
      <c r="F498" t="inlineStr">
        <is>
          <t>DEF</t>
        </is>
      </c>
      <c r="G498" t="b">
        <v>0</v>
      </c>
      <c r="H498" s="2" t="n"/>
      <c r="K498" s="2" t="n">
        <v>688</v>
      </c>
      <c r="M498" s="3" t="n"/>
      <c r="N498" s="8" t="n">
        <v>688</v>
      </c>
      <c r="O498" s="8" t="n">
        <v>0</v>
      </c>
      <c r="R498" s="6" t="n">
        <v>688</v>
      </c>
      <c r="S498" t="inlineStr">
        <is>
          <t>25/26 actual</t>
        </is>
      </c>
      <c r="U498" s="6" t="n">
        <v>85.2</v>
      </c>
      <c r="V498" s="2" t="n">
        <v>6</v>
      </c>
      <c r="W498" s="7">
        <f>IF(N(U498)&lt;=0,0,MIN(Assumptions!$B$15,N(R498)/N(U498)))</f>
        <v/>
      </c>
      <c r="X498" s="6" t="n"/>
      <c r="Y498" s="3" t="n">
        <v>0.0793</v>
      </c>
      <c r="Z498" t="inlineStr">
        <is>
          <t>adjusted xGOT</t>
        </is>
      </c>
      <c r="AA498" s="3" t="n">
        <v>1</v>
      </c>
      <c r="AB498" s="3" t="n">
        <v>0.841</v>
      </c>
      <c r="AC498" s="3" t="n">
        <v>5</v>
      </c>
      <c r="AD498" s="3" t="n">
        <v>0.0931</v>
      </c>
      <c r="AE498" s="3" t="n">
        <v>6.88</v>
      </c>
      <c r="AF498" s="3" t="n">
        <v>0</v>
      </c>
      <c r="AG498" s="3" t="n">
        <v>8.835000000000001</v>
      </c>
      <c r="AH498" s="3" t="n">
        <v>0</v>
      </c>
      <c r="AI498" s="3" t="n">
        <v>25</v>
      </c>
      <c r="AJ498" s="3" t="n"/>
      <c r="AK498" s="3" t="n"/>
      <c r="AL498" s="3" t="n"/>
      <c r="AM498" s="6" t="n">
        <v>0</v>
      </c>
      <c r="AN498" s="3" t="n">
        <v>0</v>
      </c>
      <c r="AO498" s="3" t="n">
        <v>0</v>
      </c>
      <c r="AP498" s="3" t="n">
        <v>0</v>
      </c>
      <c r="AQ498" s="3">
        <f>N(X498)*N(BJ498)</f>
        <v/>
      </c>
      <c r="AR498" s="3" t="n">
        <v>0</v>
      </c>
      <c r="AS498" s="3" t="n">
        <v>0</v>
      </c>
      <c r="AT498" s="3" t="n">
        <v>0</v>
      </c>
      <c r="AU498" s="3">
        <f>SUM(AO498:AT498)</f>
        <v/>
      </c>
      <c r="AV498" s="7">
        <f>IF(OR(N(W498)&lt;=0,N(BH498)=0),0,N(W498)*IF(N(R498)/N(W498)&gt;=60,N(BH498),1))</f>
        <v/>
      </c>
      <c r="AW498" s="7">
        <f>N(W498)*N(AF498)*N(BI498)</f>
        <v/>
      </c>
      <c r="AX498" s="3">
        <f>IF(N(BH498)=0,0,N(W498)*N(AH498))</f>
        <v/>
      </c>
      <c r="AY498" s="7">
        <f>N(AM498)*(Assumptions!$B$13*N(BK498)-(1-Assumptions!$B$13)*Assumptions!$B$14)+N(AN498)</f>
        <v/>
      </c>
      <c r="AZ498" s="7">
        <f>N(AU498)*N(R498)/90+N(AV498)+N(AW498)+N(AX498)+N(AY498)</f>
        <v/>
      </c>
      <c r="BA498" s="3">
        <f>IF(N(R498)&lt;=0,0,(N(AZ498)-N(AY498))*90/N(R498))</f>
        <v/>
      </c>
      <c r="BB498" s="7">
        <f>IFERROR(AZ498-VLOOKUP($E498,Assumptions!$A$40:$C$43,3,FALSE),"")</f>
        <v/>
      </c>
      <c r="BC498" s="3">
        <f>IFERROR(BB498/H498,"")</f>
        <v/>
      </c>
      <c r="BD498">
        <f>IF(AND($G498=TRUE,$E498="GKP"),AZ498,"")</f>
        <v/>
      </c>
      <c r="BE498">
        <f>IF(AND($G498=TRUE,$E498="DEF"),AZ498,"")</f>
        <v/>
      </c>
      <c r="BF498">
        <f>IF(AND($G498=TRUE,$E498="MID"),AZ498,"")</f>
        <v/>
      </c>
      <c r="BG498">
        <f>IF(AND($G498=TRUE,$E498="FWD"),AZ498,"")</f>
        <v/>
      </c>
      <c r="BH498" t="n">
        <v>0</v>
      </c>
      <c r="BI498" t="n">
        <v>0</v>
      </c>
      <c r="BJ498" t="n">
        <v>0</v>
      </c>
      <c r="BK498" t="n">
        <v>0</v>
      </c>
    </row>
    <row r="499">
      <c r="A499" t="inlineStr">
        <is>
          <t>Semi Ajayi</t>
        </is>
      </c>
      <c r="B499" t="inlineStr">
        <is>
          <t>HUL</t>
        </is>
      </c>
      <c r="D499" t="b">
        <v>0</v>
      </c>
      <c r="E499" t="inlineStr">
        <is>
          <t>DEF</t>
        </is>
      </c>
      <c r="G499" t="b">
        <v>1</v>
      </c>
      <c r="H499" s="2" t="n">
        <v>4</v>
      </c>
      <c r="I499" t="inlineStr">
        <is>
          <t>a</t>
        </is>
      </c>
      <c r="K499" s="2" t="n"/>
      <c r="M499" s="3" t="n">
        <v>1824</v>
      </c>
      <c r="N499" s="8" t="n">
        <v>1824</v>
      </c>
      <c r="O499" s="8" t="n">
        <v>0</v>
      </c>
      <c r="Q499" t="inlineStr">
        <is>
          <t>fade (losing his place)</t>
        </is>
      </c>
      <c r="R499" s="6" t="n">
        <v>1824</v>
      </c>
      <c r="S499" t="inlineStr">
        <is>
          <t>Solio</t>
        </is>
      </c>
      <c r="U499" s="6" t="n">
        <v>85</v>
      </c>
      <c r="V499" s="2" t="n"/>
      <c r="W499" s="7">
        <f>IF(N(U499)&lt;=0,0,MIN(Assumptions!$B$15,N(R499)/N(U499)))</f>
        <v/>
      </c>
      <c r="X499" s="6" t="n">
        <v>0.143</v>
      </c>
      <c r="Y499" s="3" t="n"/>
      <c r="Z499" t="inlineStr"/>
      <c r="AA499" s="3" t="n">
        <v>1</v>
      </c>
      <c r="AB499" s="3" t="n"/>
      <c r="AC499" s="3" t="n"/>
      <c r="AD499" s="3" t="n"/>
      <c r="AE499" s="3" t="n"/>
      <c r="AF499" s="3" t="n">
        <v>0</v>
      </c>
      <c r="AG499" s="3" t="n"/>
      <c r="AH499" s="3" t="n">
        <v>0</v>
      </c>
      <c r="AI499" s="3" t="n"/>
      <c r="AJ499" s="3" t="n">
        <v>3.9421</v>
      </c>
      <c r="AK499" s="3" t="n">
        <v>1.99</v>
      </c>
      <c r="AL499" s="3" t="n">
        <v>-0.2045226422080557</v>
      </c>
      <c r="AM499" s="6" t="n">
        <v>0</v>
      </c>
      <c r="AN499" s="3" t="n">
        <v>0</v>
      </c>
      <c r="AO499" s="3" t="n">
        <v>0</v>
      </c>
      <c r="AP499" s="3" t="n">
        <v>0</v>
      </c>
      <c r="AQ499" s="3">
        <f>N(X499)*N(BJ499)</f>
        <v/>
      </c>
      <c r="AR499" s="3" t="n">
        <v>0</v>
      </c>
      <c r="AS499" s="3" t="n">
        <v>-0.7496714098286652</v>
      </c>
      <c r="AT499" s="3" t="n">
        <v>-0.2045226422080557</v>
      </c>
      <c r="AU499" s="3">
        <f>SUM(AO499:AT499)</f>
        <v/>
      </c>
      <c r="AV499" s="7">
        <f>IF(OR(N(W499)&lt;=0,N(BH499)=0),0,N(W499)*IF(N(R499)/N(W499)&gt;=60,N(BH499),1))</f>
        <v/>
      </c>
      <c r="AW499" s="7">
        <f>N(W499)*N(AF499)*N(BI499)</f>
        <v/>
      </c>
      <c r="AX499" s="3">
        <f>IF(N(BH499)=0,0,N(W499)*N(AH499))</f>
        <v/>
      </c>
      <c r="AY499" s="7">
        <f>N(AM499)*(Assumptions!$B$13*N(BK499)-(1-Assumptions!$B$13)*Assumptions!$B$14)+N(AN499)</f>
        <v/>
      </c>
      <c r="AZ499" s="7">
        <f>N(AU499)*N(R499)/90+N(AV499)+N(AW499)+N(AX499)+N(AY499)</f>
        <v/>
      </c>
      <c r="BA499" s="3">
        <f>IF(N(R499)&lt;=0,0,(N(AZ499)-N(AY499))*90/N(R499))</f>
        <v/>
      </c>
      <c r="BB499" s="7">
        <f>IFERROR(AZ499-VLOOKUP($E499,Assumptions!$A$40:$C$43,3,FALSE),"")</f>
        <v/>
      </c>
      <c r="BC499" s="3">
        <f>IFERROR(BB499/H499,"")</f>
        <v/>
      </c>
      <c r="BD499">
        <f>IF(AND($G499=TRUE,$E499="GKP"),AZ499,"")</f>
        <v/>
      </c>
      <c r="BE499">
        <f>IF(AND($G499=TRUE,$E499="DEF"),AZ499,"")</f>
        <v/>
      </c>
      <c r="BF499">
        <f>IF(AND($G499=TRUE,$E499="MID"),AZ499,"")</f>
        <v/>
      </c>
      <c r="BG499">
        <f>IF(AND($G499=TRUE,$E499="FWD"),AZ499,"")</f>
        <v/>
      </c>
      <c r="BH499" t="n">
        <v>2</v>
      </c>
      <c r="BI499" t="n">
        <v>2</v>
      </c>
      <c r="BJ499" t="n">
        <v>4</v>
      </c>
      <c r="BK499" t="n">
        <v>6</v>
      </c>
    </row>
    <row r="500">
      <c r="A500" t="inlineStr">
        <is>
          <t>Chuba Akpom</t>
        </is>
      </c>
      <c r="B500" t="inlineStr">
        <is>
          <t>IPS</t>
        </is>
      </c>
      <c r="D500" t="b">
        <v>0</v>
      </c>
      <c r="E500" t="inlineStr">
        <is>
          <t>FWD</t>
        </is>
      </c>
      <c r="G500" t="b">
        <v>1</v>
      </c>
      <c r="H500" s="2" t="n">
        <v>5</v>
      </c>
      <c r="I500" t="inlineStr">
        <is>
          <t>a</t>
        </is>
      </c>
      <c r="K500" s="2" t="n"/>
      <c r="M500" s="3" t="n">
        <v>220</v>
      </c>
      <c r="N500" s="8" t="n">
        <v>220</v>
      </c>
      <c r="O500" s="8" t="n">
        <v>0</v>
      </c>
      <c r="Q500" t="inlineStr">
        <is>
          <t>flat</t>
        </is>
      </c>
      <c r="R500" s="6" t="n">
        <v>220</v>
      </c>
      <c r="S500" t="inlineStr">
        <is>
          <t>Solio</t>
        </is>
      </c>
      <c r="U500" s="6" t="n">
        <v>85</v>
      </c>
      <c r="V500" s="2" t="n"/>
      <c r="W500" s="7">
        <f>IF(N(U500)&lt;=0,0,MIN(Assumptions!$B$15,N(R500)/N(U500)))</f>
        <v/>
      </c>
      <c r="X500" s="6" t="n">
        <v>0.17</v>
      </c>
      <c r="Y500" s="3" t="n"/>
      <c r="Z500" t="inlineStr"/>
      <c r="AA500" s="3" t="n">
        <v>1</v>
      </c>
      <c r="AB500" s="3" t="n"/>
      <c r="AC500" s="3" t="n"/>
      <c r="AD500" s="3" t="n"/>
      <c r="AE500" s="3" t="n"/>
      <c r="AF500" s="3" t="n">
        <v>0</v>
      </c>
      <c r="AG500" s="3" t="n"/>
      <c r="AH500" s="3" t="n">
        <v>0</v>
      </c>
      <c r="AI500" s="3" t="n"/>
      <c r="AJ500" s="3" t="n">
        <v>3.5741</v>
      </c>
      <c r="AK500" s="3" t="n">
        <v>1.8319</v>
      </c>
      <c r="AL500" s="3" t="n">
        <v>-0.174691292596322</v>
      </c>
      <c r="AM500" s="6" t="n">
        <v>0</v>
      </c>
      <c r="AN500" s="3" t="n">
        <v>0</v>
      </c>
      <c r="AO500" s="3" t="n">
        <v>0</v>
      </c>
      <c r="AP500" s="3" t="n">
        <v>0</v>
      </c>
      <c r="AQ500" s="3">
        <f>N(X500)*N(BJ500)</f>
        <v/>
      </c>
      <c r="AR500" s="3" t="n">
        <v>0</v>
      </c>
      <c r="AS500" s="3" t="n">
        <v>-0</v>
      </c>
      <c r="AT500" s="3" t="n">
        <v>-0.174691292596322</v>
      </c>
      <c r="AU500" s="3">
        <f>SUM(AO500:AT500)</f>
        <v/>
      </c>
      <c r="AV500" s="7">
        <f>IF(OR(N(W500)&lt;=0,N(BH500)=0),0,N(W500)*IF(N(R500)/N(W500)&gt;=60,N(BH500),1))</f>
        <v/>
      </c>
      <c r="AW500" s="7">
        <f>N(W500)*N(AF500)*N(BI500)</f>
        <v/>
      </c>
      <c r="AX500" s="3">
        <f>IF(N(BH500)=0,0,N(W500)*N(AH500))</f>
        <v/>
      </c>
      <c r="AY500" s="7">
        <f>N(AM500)*(Assumptions!$B$13*N(BK500)-(1-Assumptions!$B$13)*Assumptions!$B$14)+N(AN500)</f>
        <v/>
      </c>
      <c r="AZ500" s="7">
        <f>N(AU500)*N(R500)/90+N(AV500)+N(AW500)+N(AX500)+N(AY500)</f>
        <v/>
      </c>
      <c r="BA500" s="3">
        <f>IF(N(R500)&lt;=0,0,(N(AZ500)-N(AY500))*90/N(R500))</f>
        <v/>
      </c>
      <c r="BB500" s="7">
        <f>IFERROR(AZ500-VLOOKUP($E500,Assumptions!$A$40:$C$43,3,FALSE),"")</f>
        <v/>
      </c>
      <c r="BC500" s="3">
        <f>IFERROR(BB500/H500,"")</f>
        <v/>
      </c>
      <c r="BD500">
        <f>IF(AND($G500=TRUE,$E500="GKP"),AZ500,"")</f>
        <v/>
      </c>
      <c r="BE500">
        <f>IF(AND($G500=TRUE,$E500="DEF"),AZ500,"")</f>
        <v/>
      </c>
      <c r="BF500">
        <f>IF(AND($G500=TRUE,$E500="MID"),AZ500,"")</f>
        <v/>
      </c>
      <c r="BG500">
        <f>IF(AND($G500=TRUE,$E500="FWD"),AZ500,"")</f>
        <v/>
      </c>
      <c r="BH500" t="n">
        <v>2</v>
      </c>
      <c r="BI500" t="n">
        <v>2</v>
      </c>
      <c r="BJ500" t="n">
        <v>0</v>
      </c>
      <c r="BK500" t="n">
        <v>4</v>
      </c>
    </row>
    <row r="501">
      <c r="A501" t="inlineStr">
        <is>
          <t>José Sá</t>
        </is>
      </c>
      <c r="C501" t="inlineStr">
        <is>
          <t>WOL</t>
        </is>
      </c>
      <c r="D501" t="b">
        <v>0</v>
      </c>
      <c r="F501" t="inlineStr">
        <is>
          <t>GKP</t>
        </is>
      </c>
      <c r="G501" t="b">
        <v>0</v>
      </c>
      <c r="H501" s="2" t="n"/>
      <c r="K501" s="2" t="n">
        <v>2070</v>
      </c>
      <c r="M501" s="3" t="n"/>
      <c r="N501" s="8" t="n">
        <v>2070</v>
      </c>
      <c r="O501" s="8" t="n">
        <v>0</v>
      </c>
      <c r="R501" s="6" t="n">
        <v>2070</v>
      </c>
      <c r="S501" t="inlineStr">
        <is>
          <t>25/26 actual</t>
        </is>
      </c>
      <c r="U501" s="6" t="n">
        <v>89.90000000000001</v>
      </c>
      <c r="V501" s="2" t="n">
        <v>23</v>
      </c>
      <c r="W501" s="7">
        <f>IF(N(U501)&lt;=0,0,MIN(Assumptions!$B$15,N(R501)/N(U501)))</f>
        <v/>
      </c>
      <c r="X501" s="6" t="n"/>
      <c r="Y501" s="3" t="n">
        <v>0</v>
      </c>
      <c r="Z501" t="inlineStr">
        <is>
          <t>blended xG</t>
        </is>
      </c>
      <c r="AA501" s="3" t="n">
        <v>1</v>
      </c>
      <c r="AB501" s="3" t="n">
        <v>1</v>
      </c>
      <c r="AC501" s="3" t="n">
        <v>0</v>
      </c>
      <c r="AD501" s="3" t="n">
        <v>0.0036</v>
      </c>
      <c r="AE501" s="3" t="n">
        <v>0</v>
      </c>
      <c r="AF501" s="3" t="n">
        <v>0</v>
      </c>
      <c r="AG501" s="3" t="n">
        <v>6.033</v>
      </c>
      <c r="AH501" s="3" t="n">
        <v>0</v>
      </c>
      <c r="AI501" s="3" t="n">
        <v>46</v>
      </c>
      <c r="AJ501" s="3" t="n"/>
      <c r="AK501" s="3" t="n"/>
      <c r="AL501" s="3" t="n"/>
      <c r="AM501" s="6" t="n">
        <v>0</v>
      </c>
      <c r="AN501" s="3" t="n">
        <v>0</v>
      </c>
      <c r="AO501" s="3" t="n">
        <v>0</v>
      </c>
      <c r="AP501" s="3" t="n">
        <v>0</v>
      </c>
      <c r="AQ501" s="3">
        <f>N(X501)*N(BJ501)</f>
        <v/>
      </c>
      <c r="AR501" s="3" t="n">
        <v>0</v>
      </c>
      <c r="AS501" s="3" t="n">
        <v>0</v>
      </c>
      <c r="AT501" s="3" t="n">
        <v>0</v>
      </c>
      <c r="AU501" s="3">
        <f>SUM(AO501:AT501)</f>
        <v/>
      </c>
      <c r="AV501" s="7">
        <f>IF(OR(N(W501)&lt;=0,N(BH501)=0),0,N(W501)*IF(N(R501)/N(W501)&gt;=60,N(BH501),1))</f>
        <v/>
      </c>
      <c r="AW501" s="7">
        <f>N(W501)*N(AF501)*N(BI501)</f>
        <v/>
      </c>
      <c r="AX501" s="3">
        <f>IF(N(BH501)=0,0,N(W501)*N(AH501))</f>
        <v/>
      </c>
      <c r="AY501" s="7">
        <f>N(AM501)*(Assumptions!$B$13*N(BK501)-(1-Assumptions!$B$13)*Assumptions!$B$14)+N(AN501)</f>
        <v/>
      </c>
      <c r="AZ501" s="7">
        <f>N(AU501)*N(R501)/90+N(AV501)+N(AW501)+N(AX501)+N(AY501)</f>
        <v/>
      </c>
      <c r="BA501" s="3">
        <f>IF(N(R501)&lt;=0,0,(N(AZ501)-N(AY501))*90/N(R501))</f>
        <v/>
      </c>
      <c r="BB501" s="7">
        <f>IFERROR(AZ501-VLOOKUP($E501,Assumptions!$A$40:$C$43,3,FALSE),"")</f>
        <v/>
      </c>
      <c r="BC501" s="3">
        <f>IFERROR(BB501/H501,"")</f>
        <v/>
      </c>
      <c r="BD501">
        <f>IF(AND($G501=TRUE,$E501="GKP"),AZ501,"")</f>
        <v/>
      </c>
      <c r="BE501">
        <f>IF(AND($G501=TRUE,$E501="DEF"),AZ501,"")</f>
        <v/>
      </c>
      <c r="BF501">
        <f>IF(AND($G501=TRUE,$E501="MID"),AZ501,"")</f>
        <v/>
      </c>
      <c r="BG501">
        <f>IF(AND($G501=TRUE,$E501="FWD"),AZ501,"")</f>
        <v/>
      </c>
      <c r="BH501" t="n">
        <v>0</v>
      </c>
      <c r="BI501" t="n">
        <v>0</v>
      </c>
      <c r="BJ501" t="n">
        <v>0</v>
      </c>
      <c r="BK501" t="n">
        <v>0</v>
      </c>
    </row>
    <row r="502">
      <c r="A502" t="inlineStr">
        <is>
          <t>Wes Burns</t>
        </is>
      </c>
      <c r="B502" t="inlineStr">
        <is>
          <t>IPS</t>
        </is>
      </c>
      <c r="D502" t="b">
        <v>0</v>
      </c>
      <c r="E502" t="inlineStr">
        <is>
          <t>MID</t>
        </is>
      </c>
      <c r="G502" t="b">
        <v>1</v>
      </c>
      <c r="H502" s="2" t="n">
        <v>5</v>
      </c>
      <c r="I502" t="inlineStr">
        <is>
          <t>u</t>
        </is>
      </c>
      <c r="J502" t="inlineStr">
        <is>
          <t>Has joined Leicester City permanently</t>
        </is>
      </c>
      <c r="K502" s="2" t="n"/>
      <c r="M502" s="3" t="n"/>
      <c r="N502" s="8" t="n"/>
      <c r="O502" s="8" t="n"/>
      <c r="R502" s="6" t="n"/>
      <c r="S502" t="inlineStr"/>
      <c r="U502" s="6" t="n">
        <v>85</v>
      </c>
      <c r="V502" s="2" t="n"/>
      <c r="W502" s="7">
        <f>IF(N(U502)&lt;=0,0,MIN(Assumptions!$B$15,N(R502)/N(U502)))</f>
        <v/>
      </c>
      <c r="X502" s="6" t="n">
        <v>0.17</v>
      </c>
      <c r="Y502" s="3" t="n"/>
      <c r="Z502" t="inlineStr"/>
      <c r="AA502" s="3" t="n">
        <v>1</v>
      </c>
      <c r="AB502" s="3" t="n"/>
      <c r="AC502" s="3" t="n"/>
      <c r="AD502" s="3" t="n"/>
      <c r="AE502" s="3" t="n"/>
      <c r="AF502" s="3" t="n">
        <v>0</v>
      </c>
      <c r="AG502" s="3" t="n"/>
      <c r="AH502" s="3" t="n">
        <v>0</v>
      </c>
      <c r="AI502" s="3" t="n"/>
      <c r="AJ502" s="3" t="n">
        <v>3.5741</v>
      </c>
      <c r="AK502" s="3" t="n">
        <v>1.8319</v>
      </c>
      <c r="AL502" s="3" t="n">
        <v>-0.1877909124188637</v>
      </c>
      <c r="AM502" s="6" t="n">
        <v>0</v>
      </c>
      <c r="AN502" s="3" t="n">
        <v>0</v>
      </c>
      <c r="AO502" s="3" t="n">
        <v>0</v>
      </c>
      <c r="AP502" s="3" t="n">
        <v>0</v>
      </c>
      <c r="AQ502" s="3">
        <f>N(X502)*N(BJ502)</f>
        <v/>
      </c>
      <c r="AR502" s="3" t="n">
        <v>0</v>
      </c>
      <c r="AS502" s="3" t="n">
        <v>-0</v>
      </c>
      <c r="AT502" s="3" t="n">
        <v>-0.1877909124188637</v>
      </c>
      <c r="AU502" s="3">
        <f>SUM(AO502:AT502)</f>
        <v/>
      </c>
      <c r="AV502" s="7">
        <f>IF(OR(N(W502)&lt;=0,N(BH502)=0),0,N(W502)*IF(N(R502)/N(W502)&gt;=60,N(BH502),1))</f>
        <v/>
      </c>
      <c r="AW502" s="7">
        <f>N(W502)*N(AF502)*N(BI502)</f>
        <v/>
      </c>
      <c r="AX502" s="3">
        <f>IF(N(BH502)=0,0,N(W502)*N(AH502))</f>
        <v/>
      </c>
      <c r="AY502" s="7">
        <f>N(AM502)*(Assumptions!$B$13*N(BK502)-(1-Assumptions!$B$13)*Assumptions!$B$14)+N(AN502)</f>
        <v/>
      </c>
      <c r="AZ502" s="7">
        <f>N(AU502)*N(R502)/90+N(AV502)+N(AW502)+N(AX502)+N(AY502)</f>
        <v/>
      </c>
      <c r="BA502" s="3">
        <f>IF(N(R502)&lt;=0,0,(N(AZ502)-N(AY502))*90/N(R502))</f>
        <v/>
      </c>
      <c r="BB502" s="7">
        <f>IFERROR(AZ502-VLOOKUP($E502,Assumptions!$A$40:$C$43,3,FALSE),"")</f>
        <v/>
      </c>
      <c r="BC502" s="3">
        <f>IFERROR(BB502/H502,"")</f>
        <v/>
      </c>
      <c r="BD502">
        <f>IF(AND($G502=TRUE,$E502="GKP"),AZ502,"")</f>
        <v/>
      </c>
      <c r="BE502">
        <f>IF(AND($G502=TRUE,$E502="DEF"),AZ502,"")</f>
        <v/>
      </c>
      <c r="BF502">
        <f>IF(AND($G502=TRUE,$E502="MID"),AZ502,"")</f>
        <v/>
      </c>
      <c r="BG502">
        <f>IF(AND($G502=TRUE,$E502="FWD"),AZ502,"")</f>
        <v/>
      </c>
      <c r="BH502" t="n">
        <v>2</v>
      </c>
      <c r="BI502" t="n">
        <v>2</v>
      </c>
      <c r="BJ502" t="n">
        <v>1</v>
      </c>
      <c r="BK502" t="n">
        <v>5</v>
      </c>
    </row>
    <row r="503">
      <c r="A503" t="inlineStr">
        <is>
          <t>João Palhinha</t>
        </is>
      </c>
      <c r="C503" t="inlineStr">
        <is>
          <t>TOT</t>
        </is>
      </c>
      <c r="D503" t="b">
        <v>0</v>
      </c>
      <c r="F503" t="inlineStr">
        <is>
          <t>MID</t>
        </is>
      </c>
      <c r="G503" t="b">
        <v>0</v>
      </c>
      <c r="H503" s="2" t="n"/>
      <c r="K503" s="2" t="n">
        <v>2197</v>
      </c>
      <c r="M503" s="3" t="n"/>
      <c r="N503" s="8" t="n">
        <v>2197</v>
      </c>
      <c r="O503" s="8" t="n">
        <v>0</v>
      </c>
      <c r="R503" s="6" t="n">
        <v>2197</v>
      </c>
      <c r="S503" t="inlineStr">
        <is>
          <t>25/26 actual</t>
        </is>
      </c>
      <c r="U503" s="6" t="n">
        <v>83</v>
      </c>
      <c r="V503" s="2" t="n">
        <v>23</v>
      </c>
      <c r="W503" s="7">
        <f>IF(N(U503)&lt;=0,0,MIN(Assumptions!$B$15,N(R503)/N(U503)))</f>
        <v/>
      </c>
      <c r="X503" s="6" t="n"/>
      <c r="Y503" s="3" t="n">
        <v>0.121</v>
      </c>
      <c r="Z503" t="inlineStr">
        <is>
          <t>adjusted xGOT</t>
        </is>
      </c>
      <c r="AA503" s="3" t="n">
        <v>1</v>
      </c>
      <c r="AB503" s="3" t="n">
        <v>1.086</v>
      </c>
      <c r="AC503" s="3" t="n">
        <v>9</v>
      </c>
      <c r="AD503" s="3" t="n">
        <v>0.0315</v>
      </c>
      <c r="AE503" s="3" t="n">
        <v>11.454</v>
      </c>
      <c r="AF503" s="3" t="n">
        <v>0</v>
      </c>
      <c r="AG503" s="3" t="n">
        <v>9.202</v>
      </c>
      <c r="AH503" s="3" t="n">
        <v>0</v>
      </c>
      <c r="AI503" s="3" t="n">
        <v>54</v>
      </c>
      <c r="AJ503" s="3" t="n"/>
      <c r="AK503" s="3" t="n"/>
      <c r="AL503" s="3" t="n"/>
      <c r="AM503" s="6" t="n">
        <v>0</v>
      </c>
      <c r="AN503" s="3" t="n">
        <v>0</v>
      </c>
      <c r="AO503" s="3" t="n">
        <v>0</v>
      </c>
      <c r="AP503" s="3" t="n">
        <v>0</v>
      </c>
      <c r="AQ503" s="3">
        <f>N(X503)*N(BJ503)</f>
        <v/>
      </c>
      <c r="AR503" s="3" t="n">
        <v>0</v>
      </c>
      <c r="AS503" s="3" t="n">
        <v>0</v>
      </c>
      <c r="AT503" s="3" t="n">
        <v>0</v>
      </c>
      <c r="AU503" s="3">
        <f>SUM(AO503:AT503)</f>
        <v/>
      </c>
      <c r="AV503" s="7">
        <f>IF(OR(N(W503)&lt;=0,N(BH503)=0),0,N(W503)*IF(N(R503)/N(W503)&gt;=60,N(BH503),1))</f>
        <v/>
      </c>
      <c r="AW503" s="7">
        <f>N(W503)*N(AF503)*N(BI503)</f>
        <v/>
      </c>
      <c r="AX503" s="3">
        <f>IF(N(BH503)=0,0,N(W503)*N(AH503))</f>
        <v/>
      </c>
      <c r="AY503" s="7">
        <f>N(AM503)*(Assumptions!$B$13*N(BK503)-(1-Assumptions!$B$13)*Assumptions!$B$14)+N(AN503)</f>
        <v/>
      </c>
      <c r="AZ503" s="7">
        <f>N(AU503)*N(R503)/90+N(AV503)+N(AW503)+N(AX503)+N(AY503)</f>
        <v/>
      </c>
      <c r="BA503" s="3">
        <f>IF(N(R503)&lt;=0,0,(N(AZ503)-N(AY503))*90/N(R503))</f>
        <v/>
      </c>
      <c r="BB503" s="7">
        <f>IFERROR(AZ503-VLOOKUP($E503,Assumptions!$A$40:$C$43,3,FALSE),"")</f>
        <v/>
      </c>
      <c r="BC503" s="3">
        <f>IFERROR(BB503/H503,"")</f>
        <v/>
      </c>
      <c r="BD503">
        <f>IF(AND($G503=TRUE,$E503="GKP"),AZ503,"")</f>
        <v/>
      </c>
      <c r="BE503">
        <f>IF(AND($G503=TRUE,$E503="DEF"),AZ503,"")</f>
        <v/>
      </c>
      <c r="BF503">
        <f>IF(AND($G503=TRUE,$E503="MID"),AZ503,"")</f>
        <v/>
      </c>
      <c r="BG503">
        <f>IF(AND($G503=TRUE,$E503="FWD"),AZ503,"")</f>
        <v/>
      </c>
      <c r="BH503" t="n">
        <v>0</v>
      </c>
      <c r="BI503" t="n">
        <v>0</v>
      </c>
      <c r="BJ503" t="n">
        <v>0</v>
      </c>
      <c r="BK503" t="n">
        <v>0</v>
      </c>
    </row>
    <row r="504">
      <c r="A504" t="inlineStr">
        <is>
          <t>Adam Armstrong</t>
        </is>
      </c>
      <c r="C504" t="inlineStr">
        <is>
          <t>WOL</t>
        </is>
      </c>
      <c r="D504" t="b">
        <v>0</v>
      </c>
      <c r="F504" t="inlineStr">
        <is>
          <t>FWD</t>
        </is>
      </c>
      <c r="G504" t="b">
        <v>0</v>
      </c>
      <c r="H504" s="2" t="n"/>
      <c r="K504" s="2" t="n">
        <v>1146</v>
      </c>
      <c r="M504" s="3" t="n"/>
      <c r="N504" s="8" t="n">
        <v>1146</v>
      </c>
      <c r="O504" s="8" t="n">
        <v>0</v>
      </c>
      <c r="R504" s="6" t="n">
        <v>1146</v>
      </c>
      <c r="S504" t="inlineStr">
        <is>
          <t>25/26 actual</t>
        </is>
      </c>
      <c r="U504" s="6" t="n">
        <v>80.2</v>
      </c>
      <c r="V504" s="2" t="n">
        <v>14</v>
      </c>
      <c r="W504" s="7">
        <f>IF(N(U504)&lt;=0,0,MIN(Assumptions!$B$15,N(R504)/N(U504)))</f>
        <v/>
      </c>
      <c r="X504" s="6" t="n"/>
      <c r="Y504" s="3" t="n">
        <v>0.1403</v>
      </c>
      <c r="Z504" t="inlineStr">
        <is>
          <t>adjusted xGOT</t>
        </is>
      </c>
      <c r="AA504" s="3" t="n">
        <v>0.729</v>
      </c>
      <c r="AB504" s="3" t="n">
        <v>0.884</v>
      </c>
      <c r="AC504" s="3" t="n">
        <v>8.300000000000001</v>
      </c>
      <c r="AD504" s="3" t="n">
        <v>0.1179</v>
      </c>
      <c r="AE504" s="3" t="n">
        <v>3.644</v>
      </c>
      <c r="AF504" s="3" t="n">
        <v>0</v>
      </c>
      <c r="AG504" s="3" t="n">
        <v>0.469</v>
      </c>
      <c r="AH504" s="3" t="n">
        <v>0</v>
      </c>
      <c r="AI504" s="3" t="n">
        <v>27</v>
      </c>
      <c r="AJ504" s="3" t="n"/>
      <c r="AK504" s="3" t="n"/>
      <c r="AL504" s="3" t="n"/>
      <c r="AM504" s="6" t="n">
        <v>0</v>
      </c>
      <c r="AN504" s="3" t="n">
        <v>0</v>
      </c>
      <c r="AO504" s="3" t="n">
        <v>0</v>
      </c>
      <c r="AP504" s="3" t="n">
        <v>0</v>
      </c>
      <c r="AQ504" s="3">
        <f>N(X504)*N(BJ504)</f>
        <v/>
      </c>
      <c r="AR504" s="3" t="n">
        <v>0</v>
      </c>
      <c r="AS504" s="3" t="n">
        <v>0</v>
      </c>
      <c r="AT504" s="3" t="n">
        <v>0</v>
      </c>
      <c r="AU504" s="3">
        <f>SUM(AO504:AT504)</f>
        <v/>
      </c>
      <c r="AV504" s="7">
        <f>IF(OR(N(W504)&lt;=0,N(BH504)=0),0,N(W504)*IF(N(R504)/N(W504)&gt;=60,N(BH504),1))</f>
        <v/>
      </c>
      <c r="AW504" s="7">
        <f>N(W504)*N(AF504)*N(BI504)</f>
        <v/>
      </c>
      <c r="AX504" s="3">
        <f>IF(N(BH504)=0,0,N(W504)*N(AH504))</f>
        <v/>
      </c>
      <c r="AY504" s="7">
        <f>N(AM504)*(Assumptions!$B$13*N(BK504)-(1-Assumptions!$B$13)*Assumptions!$B$14)+N(AN504)</f>
        <v/>
      </c>
      <c r="AZ504" s="7">
        <f>N(AU504)*N(R504)/90+N(AV504)+N(AW504)+N(AX504)+N(AY504)</f>
        <v/>
      </c>
      <c r="BA504" s="3">
        <f>IF(N(R504)&lt;=0,0,(N(AZ504)-N(AY504))*90/N(R504))</f>
        <v/>
      </c>
      <c r="BB504" s="7">
        <f>IFERROR(AZ504-VLOOKUP($E504,Assumptions!$A$40:$C$43,3,FALSE),"")</f>
        <v/>
      </c>
      <c r="BC504" s="3">
        <f>IFERROR(BB504/H504,"")</f>
        <v/>
      </c>
      <c r="BD504">
        <f>IF(AND($G504=TRUE,$E504="GKP"),AZ504,"")</f>
        <v/>
      </c>
      <c r="BE504">
        <f>IF(AND($G504=TRUE,$E504="DEF"),AZ504,"")</f>
        <v/>
      </c>
      <c r="BF504">
        <f>IF(AND($G504=TRUE,$E504="MID"),AZ504,"")</f>
        <v/>
      </c>
      <c r="BG504">
        <f>IF(AND($G504=TRUE,$E504="FWD"),AZ504,"")</f>
        <v/>
      </c>
      <c r="BH504" t="n">
        <v>0</v>
      </c>
      <c r="BI504" t="n">
        <v>0</v>
      </c>
      <c r="BJ504" t="n">
        <v>0</v>
      </c>
      <c r="BK504" t="n">
        <v>0</v>
      </c>
    </row>
    <row r="505">
      <c r="A505" t="inlineStr">
        <is>
          <t>Kyle Walker-Peters</t>
        </is>
      </c>
      <c r="C505" t="inlineStr">
        <is>
          <t>WHU</t>
        </is>
      </c>
      <c r="D505" t="b">
        <v>0</v>
      </c>
      <c r="F505" t="inlineStr">
        <is>
          <t>DEF</t>
        </is>
      </c>
      <c r="G505" t="b">
        <v>0</v>
      </c>
      <c r="H505" s="2" t="n"/>
      <c r="K505" s="2" t="n">
        <v>1380</v>
      </c>
      <c r="M505" s="3" t="n"/>
      <c r="N505" s="8" t="n">
        <v>1380</v>
      </c>
      <c r="O505" s="8" t="n">
        <v>0</v>
      </c>
      <c r="R505" s="6" t="n">
        <v>1380</v>
      </c>
      <c r="S505" t="inlineStr">
        <is>
          <t>25/26 actual</t>
        </is>
      </c>
      <c r="U505" s="6" t="n">
        <v>85</v>
      </c>
      <c r="V505" s="2" t="n">
        <v>15</v>
      </c>
      <c r="W505" s="7">
        <f>IF(N(U505)&lt;=0,0,MIN(Assumptions!$B$15,N(R505)/N(U505)))</f>
        <v/>
      </c>
      <c r="X505" s="6" t="n"/>
      <c r="Y505" s="3" t="n">
        <v>0.07530000000000001</v>
      </c>
      <c r="Z505" t="inlineStr">
        <is>
          <t>adjusted xGOT</t>
        </is>
      </c>
      <c r="AA505" s="3" t="n">
        <v>1</v>
      </c>
      <c r="AB505" s="3" t="n">
        <v>1.022</v>
      </c>
      <c r="AC505" s="3" t="n">
        <v>3.1</v>
      </c>
      <c r="AD505" s="3" t="n">
        <v>0.0233</v>
      </c>
      <c r="AE505" s="3" t="n">
        <v>6.627</v>
      </c>
      <c r="AF505" s="3" t="n">
        <v>0</v>
      </c>
      <c r="AG505" s="3" t="n">
        <v>9.023999999999999</v>
      </c>
      <c r="AH505" s="3" t="n">
        <v>0</v>
      </c>
      <c r="AI505" s="3" t="n">
        <v>37</v>
      </c>
      <c r="AJ505" s="3" t="n"/>
      <c r="AK505" s="3" t="n"/>
      <c r="AL505" s="3" t="n"/>
      <c r="AM505" s="6" t="n">
        <v>0</v>
      </c>
      <c r="AN505" s="3" t="n">
        <v>0</v>
      </c>
      <c r="AO505" s="3" t="n">
        <v>0</v>
      </c>
      <c r="AP505" s="3" t="n">
        <v>0</v>
      </c>
      <c r="AQ505" s="3">
        <f>N(X505)*N(BJ505)</f>
        <v/>
      </c>
      <c r="AR505" s="3" t="n">
        <v>0</v>
      </c>
      <c r="AS505" s="3" t="n">
        <v>0</v>
      </c>
      <c r="AT505" s="3" t="n">
        <v>0</v>
      </c>
      <c r="AU505" s="3">
        <f>SUM(AO505:AT505)</f>
        <v/>
      </c>
      <c r="AV505" s="7">
        <f>IF(OR(N(W505)&lt;=0,N(BH505)=0),0,N(W505)*IF(N(R505)/N(W505)&gt;=60,N(BH505),1))</f>
        <v/>
      </c>
      <c r="AW505" s="7">
        <f>N(W505)*N(AF505)*N(BI505)</f>
        <v/>
      </c>
      <c r="AX505" s="3">
        <f>IF(N(BH505)=0,0,N(W505)*N(AH505))</f>
        <v/>
      </c>
      <c r="AY505" s="7">
        <f>N(AM505)*(Assumptions!$B$13*N(BK505)-(1-Assumptions!$B$13)*Assumptions!$B$14)+N(AN505)</f>
        <v/>
      </c>
      <c r="AZ505" s="7">
        <f>N(AU505)*N(R505)/90+N(AV505)+N(AW505)+N(AX505)+N(AY505)</f>
        <v/>
      </c>
      <c r="BA505" s="3">
        <f>IF(N(R505)&lt;=0,0,(N(AZ505)-N(AY505))*90/N(R505))</f>
        <v/>
      </c>
      <c r="BB505" s="7">
        <f>IFERROR(AZ505-VLOOKUP($E505,Assumptions!$A$40:$C$43,3,FALSE),"")</f>
        <v/>
      </c>
      <c r="BC505" s="3">
        <f>IFERROR(BB505/H505,"")</f>
        <v/>
      </c>
      <c r="BD505">
        <f>IF(AND($G505=TRUE,$E505="GKP"),AZ505,"")</f>
        <v/>
      </c>
      <c r="BE505">
        <f>IF(AND($G505=TRUE,$E505="DEF"),AZ505,"")</f>
        <v/>
      </c>
      <c r="BF505">
        <f>IF(AND($G505=TRUE,$E505="MID"),AZ505,"")</f>
        <v/>
      </c>
      <c r="BG505">
        <f>IF(AND($G505=TRUE,$E505="FWD"),AZ505,"")</f>
        <v/>
      </c>
      <c r="BH505" t="n">
        <v>0</v>
      </c>
      <c r="BI505" t="n">
        <v>0</v>
      </c>
      <c r="BJ505" t="n">
        <v>0</v>
      </c>
      <c r="BK505" t="n">
        <v>0</v>
      </c>
    </row>
    <row r="506">
      <c r="A506" t="inlineStr">
        <is>
          <t>Adama Traoré</t>
        </is>
      </c>
      <c r="C506" t="inlineStr">
        <is>
          <t>WHU</t>
        </is>
      </c>
      <c r="D506" t="b">
        <v>0</v>
      </c>
      <c r="F506" t="inlineStr">
        <is>
          <t>MID</t>
        </is>
      </c>
      <c r="G506" t="b">
        <v>0</v>
      </c>
      <c r="H506" s="2" t="n"/>
      <c r="K506" s="2" t="n">
        <v>377</v>
      </c>
      <c r="M506" s="3" t="n"/>
      <c r="N506" s="8" t="n">
        <v>377</v>
      </c>
      <c r="O506" s="8" t="n">
        <v>0</v>
      </c>
      <c r="R506" s="6" t="n">
        <v>377</v>
      </c>
      <c r="S506" t="inlineStr">
        <is>
          <t>25/26 actual</t>
        </is>
      </c>
      <c r="U506" s="6" t="n">
        <v>79.59999999999999</v>
      </c>
      <c r="V506" s="2" t="n">
        <v>1</v>
      </c>
      <c r="W506" s="7">
        <f>IF(N(U506)&lt;=0,0,MIN(Assumptions!$B$15,N(R506)/N(U506)))</f>
        <v/>
      </c>
      <c r="X506" s="6" t="n"/>
      <c r="Y506" s="3" t="n">
        <v>0.1671</v>
      </c>
      <c r="Z506" t="inlineStr">
        <is>
          <t>adjusted xGOT</t>
        </is>
      </c>
      <c r="AA506" s="3" t="n">
        <v>1</v>
      </c>
      <c r="AB506" s="3" t="n">
        <v>1.015</v>
      </c>
      <c r="AC506" s="3" t="n">
        <v>7.7</v>
      </c>
      <c r="AD506" s="3" t="n">
        <v>0.099</v>
      </c>
      <c r="AE506" s="3" t="n">
        <v>7.113</v>
      </c>
      <c r="AF506" s="3" t="n">
        <v>0</v>
      </c>
      <c r="AG506" s="3" t="n">
        <v>5.91</v>
      </c>
      <c r="AH506" s="3" t="n">
        <v>0</v>
      </c>
      <c r="AI506" s="3" t="n">
        <v>26</v>
      </c>
      <c r="AJ506" s="3" t="n"/>
      <c r="AK506" s="3" t="n"/>
      <c r="AL506" s="3" t="n"/>
      <c r="AM506" s="6" t="n">
        <v>0</v>
      </c>
      <c r="AN506" s="3" t="n">
        <v>0</v>
      </c>
      <c r="AO506" s="3" t="n">
        <v>0</v>
      </c>
      <c r="AP506" s="3" t="n">
        <v>0</v>
      </c>
      <c r="AQ506" s="3">
        <f>N(X506)*N(BJ506)</f>
        <v/>
      </c>
      <c r="AR506" s="3" t="n">
        <v>0</v>
      </c>
      <c r="AS506" s="3" t="n">
        <v>0</v>
      </c>
      <c r="AT506" s="3" t="n">
        <v>0</v>
      </c>
      <c r="AU506" s="3">
        <f>SUM(AO506:AT506)</f>
        <v/>
      </c>
      <c r="AV506" s="7">
        <f>IF(OR(N(W506)&lt;=0,N(BH506)=0),0,N(W506)*IF(N(R506)/N(W506)&gt;=60,N(BH506),1))</f>
        <v/>
      </c>
      <c r="AW506" s="7">
        <f>N(W506)*N(AF506)*N(BI506)</f>
        <v/>
      </c>
      <c r="AX506" s="3">
        <f>IF(N(BH506)=0,0,N(W506)*N(AH506))</f>
        <v/>
      </c>
      <c r="AY506" s="7">
        <f>N(AM506)*(Assumptions!$B$13*N(BK506)-(1-Assumptions!$B$13)*Assumptions!$B$14)+N(AN506)</f>
        <v/>
      </c>
      <c r="AZ506" s="7">
        <f>N(AU506)*N(R506)/90+N(AV506)+N(AW506)+N(AX506)+N(AY506)</f>
        <v/>
      </c>
      <c r="BA506" s="3">
        <f>IF(N(R506)&lt;=0,0,(N(AZ506)-N(AY506))*90/N(R506))</f>
        <v/>
      </c>
      <c r="BB506" s="7">
        <f>IFERROR(AZ506-VLOOKUP($E506,Assumptions!$A$40:$C$43,3,FALSE),"")</f>
        <v/>
      </c>
      <c r="BC506" s="3">
        <f>IFERROR(BB506/H506,"")</f>
        <v/>
      </c>
      <c r="BD506">
        <f>IF(AND($G506=TRUE,$E506="GKP"),AZ506,"")</f>
        <v/>
      </c>
      <c r="BE506">
        <f>IF(AND($G506=TRUE,$E506="DEF"),AZ506,"")</f>
        <v/>
      </c>
      <c r="BF506">
        <f>IF(AND($G506=TRUE,$E506="MID"),AZ506,"")</f>
        <v/>
      </c>
      <c r="BG506">
        <f>IF(AND($G506=TRUE,$E506="FWD"),AZ506,"")</f>
        <v/>
      </c>
      <c r="BH506" t="n">
        <v>0</v>
      </c>
      <c r="BI506" t="n">
        <v>0</v>
      </c>
      <c r="BJ506" t="n">
        <v>0</v>
      </c>
      <c r="BK506" t="n">
        <v>0</v>
      </c>
    </row>
    <row r="507">
      <c r="A507" t="inlineStr">
        <is>
          <t>Paddy McNair</t>
        </is>
      </c>
      <c r="B507" t="inlineStr">
        <is>
          <t>HUL</t>
        </is>
      </c>
      <c r="D507" t="b">
        <v>0</v>
      </c>
      <c r="E507" t="inlineStr">
        <is>
          <t>DEF</t>
        </is>
      </c>
      <c r="G507" t="b">
        <v>1</v>
      </c>
      <c r="H507" s="2" t="n">
        <v>4</v>
      </c>
      <c r="I507" t="inlineStr">
        <is>
          <t>a</t>
        </is>
      </c>
      <c r="K507" s="2" t="n"/>
      <c r="M507" s="3" t="n">
        <v>103</v>
      </c>
      <c r="N507" s="8" t="n">
        <v>103</v>
      </c>
      <c r="O507" s="8" t="n">
        <v>0</v>
      </c>
      <c r="Q507" t="inlineStr">
        <is>
          <t>flat</t>
        </is>
      </c>
      <c r="R507" s="6" t="n">
        <v>103</v>
      </c>
      <c r="S507" t="inlineStr">
        <is>
          <t>Solio</t>
        </is>
      </c>
      <c r="U507" s="6" t="n">
        <v>85</v>
      </c>
      <c r="V507" s="2" t="n"/>
      <c r="W507" s="7">
        <f>IF(N(U507)&lt;=0,0,MIN(Assumptions!$B$15,N(R507)/N(U507)))</f>
        <v/>
      </c>
      <c r="X507" s="6" t="n">
        <v>0.143</v>
      </c>
      <c r="Y507" s="3" t="n"/>
      <c r="Z507" t="inlineStr"/>
      <c r="AA507" s="3" t="n">
        <v>1</v>
      </c>
      <c r="AB507" s="3" t="n"/>
      <c r="AC507" s="3" t="n"/>
      <c r="AD507" s="3" t="n"/>
      <c r="AE507" s="3" t="n"/>
      <c r="AF507" s="3" t="n">
        <v>0</v>
      </c>
      <c r="AG507" s="3" t="n"/>
      <c r="AH507" s="3" t="n">
        <v>0</v>
      </c>
      <c r="AI507" s="3" t="n"/>
      <c r="AJ507" s="3" t="n">
        <v>3.9421</v>
      </c>
      <c r="AK507" s="3" t="n">
        <v>1.99</v>
      </c>
      <c r="AL507" s="3" t="n">
        <v>-0.2045226422080557</v>
      </c>
      <c r="AM507" s="6" t="n">
        <v>0</v>
      </c>
      <c r="AN507" s="3" t="n">
        <v>0</v>
      </c>
      <c r="AO507" s="3" t="n">
        <v>0</v>
      </c>
      <c r="AP507" s="3" t="n">
        <v>0</v>
      </c>
      <c r="AQ507" s="3">
        <f>N(X507)*N(BJ507)</f>
        <v/>
      </c>
      <c r="AR507" s="3" t="n">
        <v>0</v>
      </c>
      <c r="AS507" s="3" t="n">
        <v>-0.7496714098286652</v>
      </c>
      <c r="AT507" s="3" t="n">
        <v>-0.2045226422080557</v>
      </c>
      <c r="AU507" s="3">
        <f>SUM(AO507:AT507)</f>
        <v/>
      </c>
      <c r="AV507" s="7">
        <f>IF(OR(N(W507)&lt;=0,N(BH507)=0),0,N(W507)*IF(N(R507)/N(W507)&gt;=60,N(BH507),1))</f>
        <v/>
      </c>
      <c r="AW507" s="7">
        <f>N(W507)*N(AF507)*N(BI507)</f>
        <v/>
      </c>
      <c r="AX507" s="3">
        <f>IF(N(BH507)=0,0,N(W507)*N(AH507))</f>
        <v/>
      </c>
      <c r="AY507" s="7">
        <f>N(AM507)*(Assumptions!$B$13*N(BK507)-(1-Assumptions!$B$13)*Assumptions!$B$14)+N(AN507)</f>
        <v/>
      </c>
      <c r="AZ507" s="7">
        <f>N(AU507)*N(R507)/90+N(AV507)+N(AW507)+N(AX507)+N(AY507)</f>
        <v/>
      </c>
      <c r="BA507" s="3">
        <f>IF(N(R507)&lt;=0,0,(N(AZ507)-N(AY507))*90/N(R507))</f>
        <v/>
      </c>
      <c r="BB507" s="7">
        <f>IFERROR(AZ507-VLOOKUP($E507,Assumptions!$A$40:$C$43,3,FALSE),"")</f>
        <v/>
      </c>
      <c r="BC507" s="3">
        <f>IFERROR(BB507/H507,"")</f>
        <v/>
      </c>
      <c r="BD507">
        <f>IF(AND($G507=TRUE,$E507="GKP"),AZ507,"")</f>
        <v/>
      </c>
      <c r="BE507">
        <f>IF(AND($G507=TRUE,$E507="DEF"),AZ507,"")</f>
        <v/>
      </c>
      <c r="BF507">
        <f>IF(AND($G507=TRUE,$E507="MID"),AZ507,"")</f>
        <v/>
      </c>
      <c r="BG507">
        <f>IF(AND($G507=TRUE,$E507="FWD"),AZ507,"")</f>
        <v/>
      </c>
      <c r="BH507" t="n">
        <v>2</v>
      </c>
      <c r="BI507" t="n">
        <v>2</v>
      </c>
      <c r="BJ507" t="n">
        <v>4</v>
      </c>
      <c r="BK507" t="n">
        <v>6</v>
      </c>
    </row>
    <row r="508">
      <c r="A508" t="inlineStr">
        <is>
          <t>Bernardo Silva</t>
        </is>
      </c>
      <c r="C508" t="inlineStr">
        <is>
          <t>MCI</t>
        </is>
      </c>
      <c r="D508" t="b">
        <v>0</v>
      </c>
      <c r="F508" t="inlineStr">
        <is>
          <t>MID</t>
        </is>
      </c>
      <c r="G508" t="b">
        <v>0</v>
      </c>
      <c r="H508" s="2" t="n"/>
      <c r="K508" s="2" t="n">
        <v>2886</v>
      </c>
      <c r="M508" s="3" t="n"/>
      <c r="N508" s="8" t="n">
        <v>2886</v>
      </c>
      <c r="O508" s="8" t="n">
        <v>0</v>
      </c>
      <c r="R508" s="6" t="n">
        <v>2886</v>
      </c>
      <c r="S508" t="inlineStr">
        <is>
          <t>25/26 actual</t>
        </is>
      </c>
      <c r="U508" s="6" t="n">
        <v>81.40000000000001</v>
      </c>
      <c r="V508" s="2" t="n">
        <v>34</v>
      </c>
      <c r="W508" s="7">
        <f>IF(N(U508)&lt;=0,0,MIN(Assumptions!$B$15,N(R508)/N(U508)))</f>
        <v/>
      </c>
      <c r="X508" s="6" t="n"/>
      <c r="Y508" s="3" t="n">
        <v>0.0934</v>
      </c>
      <c r="Z508" t="inlineStr">
        <is>
          <t>adjusted xGOT</t>
        </is>
      </c>
      <c r="AA508" s="3" t="n">
        <v>1</v>
      </c>
      <c r="AB508" s="3" t="n">
        <v>1.105</v>
      </c>
      <c r="AC508" s="3" t="n">
        <v>12.2</v>
      </c>
      <c r="AD508" s="3" t="n">
        <v>0.1647</v>
      </c>
      <c r="AE508" s="3" t="n">
        <v>8.291</v>
      </c>
      <c r="AF508" s="3" t="n">
        <v>0</v>
      </c>
      <c r="AG508" s="3" t="n">
        <v>8.199</v>
      </c>
      <c r="AH508" s="3" t="n">
        <v>0</v>
      </c>
      <c r="AI508" s="3" t="n">
        <v>69</v>
      </c>
      <c r="AJ508" s="3" t="n"/>
      <c r="AK508" s="3" t="n"/>
      <c r="AL508" s="3" t="n"/>
      <c r="AM508" s="6" t="n">
        <v>0</v>
      </c>
      <c r="AN508" s="3" t="n">
        <v>0</v>
      </c>
      <c r="AO508" s="3" t="n">
        <v>0</v>
      </c>
      <c r="AP508" s="3" t="n">
        <v>0</v>
      </c>
      <c r="AQ508" s="3">
        <f>N(X508)*N(BJ508)</f>
        <v/>
      </c>
      <c r="AR508" s="3" t="n">
        <v>0</v>
      </c>
      <c r="AS508" s="3" t="n">
        <v>0</v>
      </c>
      <c r="AT508" s="3" t="n">
        <v>0</v>
      </c>
      <c r="AU508" s="3">
        <f>SUM(AO508:AT508)</f>
        <v/>
      </c>
      <c r="AV508" s="7">
        <f>IF(OR(N(W508)&lt;=0,N(BH508)=0),0,N(W508)*IF(N(R508)/N(W508)&gt;=60,N(BH508),1))</f>
        <v/>
      </c>
      <c r="AW508" s="7">
        <f>N(W508)*N(AF508)*N(BI508)</f>
        <v/>
      </c>
      <c r="AX508" s="3">
        <f>IF(N(BH508)=0,0,N(W508)*N(AH508))</f>
        <v/>
      </c>
      <c r="AY508" s="7">
        <f>N(AM508)*(Assumptions!$B$13*N(BK508)-(1-Assumptions!$B$13)*Assumptions!$B$14)+N(AN508)</f>
        <v/>
      </c>
      <c r="AZ508" s="7">
        <f>N(AU508)*N(R508)/90+N(AV508)+N(AW508)+N(AX508)+N(AY508)</f>
        <v/>
      </c>
      <c r="BA508" s="3">
        <f>IF(N(R508)&lt;=0,0,(N(AZ508)-N(AY508))*90/N(R508))</f>
        <v/>
      </c>
      <c r="BB508" s="7">
        <f>IFERROR(AZ508-VLOOKUP($E508,Assumptions!$A$40:$C$43,3,FALSE),"")</f>
        <v/>
      </c>
      <c r="BC508" s="3">
        <f>IFERROR(BB508/H508,"")</f>
        <v/>
      </c>
      <c r="BD508">
        <f>IF(AND($G508=TRUE,$E508="GKP"),AZ508,"")</f>
        <v/>
      </c>
      <c r="BE508">
        <f>IF(AND($G508=TRUE,$E508="DEF"),AZ508,"")</f>
        <v/>
      </c>
      <c r="BF508">
        <f>IF(AND($G508=TRUE,$E508="MID"),AZ508,"")</f>
        <v/>
      </c>
      <c r="BG508">
        <f>IF(AND($G508=TRUE,$E508="FWD"),AZ508,"")</f>
        <v/>
      </c>
      <c r="BH508" t="n">
        <v>0</v>
      </c>
      <c r="BI508" t="n">
        <v>0</v>
      </c>
      <c r="BJ508" t="n">
        <v>0</v>
      </c>
      <c r="BK508" t="n">
        <v>0</v>
      </c>
    </row>
    <row r="509">
      <c r="A509" t="inlineStr">
        <is>
          <t>Dillon Phillips</t>
        </is>
      </c>
      <c r="B509" t="inlineStr">
        <is>
          <t>HUL</t>
        </is>
      </c>
      <c r="D509" t="b">
        <v>0</v>
      </c>
      <c r="E509" t="inlineStr">
        <is>
          <t>GKP</t>
        </is>
      </c>
      <c r="G509" t="b">
        <v>1</v>
      </c>
      <c r="H509" s="2" t="n">
        <v>4</v>
      </c>
      <c r="I509" t="inlineStr">
        <is>
          <t>a</t>
        </is>
      </c>
      <c r="K509" s="2" t="n"/>
      <c r="M509" s="3" t="n">
        <v>0</v>
      </c>
      <c r="N509" s="8" t="n">
        <v>0</v>
      </c>
      <c r="O509" s="8" t="n">
        <v>0</v>
      </c>
      <c r="Q509" t="inlineStr">
        <is>
          <t>flat</t>
        </is>
      </c>
      <c r="R509" s="6" t="n">
        <v>0</v>
      </c>
      <c r="S509" t="inlineStr">
        <is>
          <t>Solio</t>
        </is>
      </c>
      <c r="U509" s="6" t="n">
        <v>85</v>
      </c>
      <c r="V509" s="2" t="n"/>
      <c r="W509" s="7">
        <f>IF(N(U509)&lt;=0,0,MIN(Assumptions!$B$15,N(R509)/N(U509)))</f>
        <v/>
      </c>
      <c r="X509" s="6" t="n">
        <v>0.143</v>
      </c>
      <c r="Y509" s="3" t="n"/>
      <c r="Z509" t="inlineStr"/>
      <c r="AA509" s="3" t="n">
        <v>1</v>
      </c>
      <c r="AB509" s="3" t="n"/>
      <c r="AC509" s="3" t="n"/>
      <c r="AD509" s="3" t="n"/>
      <c r="AE509" s="3" t="n">
        <v>0</v>
      </c>
      <c r="AF509" s="3" t="n">
        <v>0</v>
      </c>
      <c r="AG509" s="3" t="n"/>
      <c r="AH509" s="3" t="n">
        <v>0</v>
      </c>
      <c r="AI509" s="3" t="n"/>
      <c r="AJ509" s="3" t="n">
        <v>3.9421</v>
      </c>
      <c r="AK509" s="3" t="n">
        <v>1.99</v>
      </c>
      <c r="AL509" s="3" t="n">
        <v>-0.0763216474948735</v>
      </c>
      <c r="AM509" s="6" t="n">
        <v>0</v>
      </c>
      <c r="AN509" s="3" t="n">
        <v>0</v>
      </c>
      <c r="AO509" s="3" t="n">
        <v>0</v>
      </c>
      <c r="AP509" s="3" t="n">
        <v>0</v>
      </c>
      <c r="AQ509" s="3">
        <f>N(X509)*N(BJ509)</f>
        <v/>
      </c>
      <c r="AR509" s="3" t="n">
        <v>0.979692031005534</v>
      </c>
      <c r="AS509" s="3" t="n">
        <v>-0.7496714098286652</v>
      </c>
      <c r="AT509" s="3" t="n">
        <v>-0.0763216474948735</v>
      </c>
      <c r="AU509" s="3">
        <f>SUM(AO509:AT509)</f>
        <v/>
      </c>
      <c r="AV509" s="7">
        <f>IF(OR(N(W509)&lt;=0,N(BH509)=0),0,N(W509)*IF(N(R509)/N(W509)&gt;=60,N(BH509),1))</f>
        <v/>
      </c>
      <c r="AW509" s="7">
        <f>N(W509)*N(AF509)*N(BI509)</f>
        <v/>
      </c>
      <c r="AX509" s="3">
        <f>IF(N(BH509)=0,0,N(W509)*N(AH509))</f>
        <v/>
      </c>
      <c r="AY509" s="7">
        <f>N(AM509)*(Assumptions!$B$13*N(BK509)-(1-Assumptions!$B$13)*Assumptions!$B$14)+N(AN509)</f>
        <v/>
      </c>
      <c r="AZ509" s="7">
        <f>N(AU509)*N(R509)/90+N(AV509)+N(AW509)+N(AX509)+N(AY509)</f>
        <v/>
      </c>
      <c r="BA509" s="3">
        <f>IF(N(R509)&lt;=0,0,(N(AZ509)-N(AY509))*90/N(R509))</f>
        <v/>
      </c>
      <c r="BB509" s="7">
        <f>IFERROR(AZ509-VLOOKUP($E509,Assumptions!$A$40:$C$43,3,FALSE),"")</f>
        <v/>
      </c>
      <c r="BC509" s="3">
        <f>IFERROR(BB509/H509,"")</f>
        <v/>
      </c>
      <c r="BD509">
        <f>IF(AND($G509=TRUE,$E509="GKP"),AZ509,"")</f>
        <v/>
      </c>
      <c r="BE509">
        <f>IF(AND($G509=TRUE,$E509="DEF"),AZ509,"")</f>
        <v/>
      </c>
      <c r="BF509">
        <f>IF(AND($G509=TRUE,$E509="MID"),AZ509,"")</f>
        <v/>
      </c>
      <c r="BG509">
        <f>IF(AND($G509=TRUE,$E509="FWD"),AZ509,"")</f>
        <v/>
      </c>
      <c r="BH509" t="n">
        <v>2</v>
      </c>
      <c r="BI509" t="n">
        <v>0</v>
      </c>
      <c r="BJ509" t="n">
        <v>4</v>
      </c>
      <c r="BK509" t="n">
        <v>10</v>
      </c>
    </row>
    <row r="510">
      <c r="A510" t="inlineStr">
        <is>
          <t>Josh Laurent</t>
        </is>
      </c>
      <c r="C510" t="inlineStr">
        <is>
          <t>BUR</t>
        </is>
      </c>
      <c r="D510" t="b">
        <v>0</v>
      </c>
      <c r="F510" t="inlineStr">
        <is>
          <t>MID</t>
        </is>
      </c>
      <c r="G510" t="b">
        <v>0</v>
      </c>
      <c r="H510" s="2" t="n"/>
      <c r="K510" s="2" t="n">
        <v>1759</v>
      </c>
      <c r="M510" s="3" t="n"/>
      <c r="N510" s="8" t="n">
        <v>1759</v>
      </c>
      <c r="O510" s="8" t="n">
        <v>0</v>
      </c>
      <c r="R510" s="6" t="n">
        <v>1759</v>
      </c>
      <c r="S510" t="inlineStr">
        <is>
          <t>25/26 actual</t>
        </is>
      </c>
      <c r="U510" s="6" t="n">
        <v>80.59999999999999</v>
      </c>
      <c r="V510" s="2" t="n">
        <v>17</v>
      </c>
      <c r="W510" s="7">
        <f>IF(N(U510)&lt;=0,0,MIN(Assumptions!$B$15,N(R510)/N(U510)))</f>
        <v/>
      </c>
      <c r="X510" s="6" t="n"/>
      <c r="Y510" s="3" t="n">
        <v>0.0457</v>
      </c>
      <c r="Z510" t="inlineStr">
        <is>
          <t>adjusted xGOT</t>
        </is>
      </c>
      <c r="AA510" s="3" t="n">
        <v>1</v>
      </c>
      <c r="AB510" s="3" t="n">
        <v>1.026</v>
      </c>
      <c r="AC510" s="3" t="n">
        <v>0.9</v>
      </c>
      <c r="AD510" s="3" t="n">
        <v>0.0376</v>
      </c>
      <c r="AE510" s="3" t="n">
        <v>9.27</v>
      </c>
      <c r="AF510" s="3" t="n">
        <v>0</v>
      </c>
      <c r="AG510" s="3" t="n">
        <v>5.785</v>
      </c>
      <c r="AH510" s="3" t="n">
        <v>0</v>
      </c>
      <c r="AI510" s="3" t="n">
        <v>49</v>
      </c>
      <c r="AJ510" s="3" t="n"/>
      <c r="AK510" s="3" t="n"/>
      <c r="AL510" s="3" t="n"/>
      <c r="AM510" s="6" t="n">
        <v>0</v>
      </c>
      <c r="AN510" s="3" t="n">
        <v>0</v>
      </c>
      <c r="AO510" s="3" t="n">
        <v>0</v>
      </c>
      <c r="AP510" s="3" t="n">
        <v>0</v>
      </c>
      <c r="AQ510" s="3">
        <f>N(X510)*N(BJ510)</f>
        <v/>
      </c>
      <c r="AR510" s="3" t="n">
        <v>0</v>
      </c>
      <c r="AS510" s="3" t="n">
        <v>0</v>
      </c>
      <c r="AT510" s="3" t="n">
        <v>0</v>
      </c>
      <c r="AU510" s="3">
        <f>SUM(AO510:AT510)</f>
        <v/>
      </c>
      <c r="AV510" s="7">
        <f>IF(OR(N(W510)&lt;=0,N(BH510)=0),0,N(W510)*IF(N(R510)/N(W510)&gt;=60,N(BH510),1))</f>
        <v/>
      </c>
      <c r="AW510" s="7">
        <f>N(W510)*N(AF510)*N(BI510)</f>
        <v/>
      </c>
      <c r="AX510" s="3">
        <f>IF(N(BH510)=0,0,N(W510)*N(AH510))</f>
        <v/>
      </c>
      <c r="AY510" s="7">
        <f>N(AM510)*(Assumptions!$B$13*N(BK510)-(1-Assumptions!$B$13)*Assumptions!$B$14)+N(AN510)</f>
        <v/>
      </c>
      <c r="AZ510" s="7">
        <f>N(AU510)*N(R510)/90+N(AV510)+N(AW510)+N(AX510)+N(AY510)</f>
        <v/>
      </c>
      <c r="BA510" s="3">
        <f>IF(N(R510)&lt;=0,0,(N(AZ510)-N(AY510))*90/N(R510))</f>
        <v/>
      </c>
      <c r="BB510" s="7">
        <f>IFERROR(AZ510-VLOOKUP($E510,Assumptions!$A$40:$C$43,3,FALSE),"")</f>
        <v/>
      </c>
      <c r="BC510" s="3">
        <f>IFERROR(BB510/H510,"")</f>
        <v/>
      </c>
      <c r="BD510">
        <f>IF(AND($G510=TRUE,$E510="GKP"),AZ510,"")</f>
        <v/>
      </c>
      <c r="BE510">
        <f>IF(AND($G510=TRUE,$E510="DEF"),AZ510,"")</f>
        <v/>
      </c>
      <c r="BF510">
        <f>IF(AND($G510=TRUE,$E510="MID"),AZ510,"")</f>
        <v/>
      </c>
      <c r="BG510">
        <f>IF(AND($G510=TRUE,$E510="FWD"),AZ510,"")</f>
        <v/>
      </c>
      <c r="BH510" t="n">
        <v>0</v>
      </c>
      <c r="BI510" t="n">
        <v>0</v>
      </c>
      <c r="BJ510" t="n">
        <v>0</v>
      </c>
      <c r="BK510" t="n">
        <v>0</v>
      </c>
    </row>
    <row r="511">
      <c r="A511" t="inlineStr">
        <is>
          <t>Matt Grimes</t>
        </is>
      </c>
      <c r="B511" t="inlineStr">
        <is>
          <t>COV</t>
        </is>
      </c>
      <c r="D511" t="b">
        <v>0</v>
      </c>
      <c r="E511" t="inlineStr">
        <is>
          <t>MID</t>
        </is>
      </c>
      <c r="G511" t="b">
        <v>1</v>
      </c>
      <c r="H511" s="2" t="n">
        <v>5</v>
      </c>
      <c r="I511" t="inlineStr">
        <is>
          <t>a</t>
        </is>
      </c>
      <c r="K511" s="2" t="n"/>
      <c r="M511" s="3" t="n">
        <v>2668</v>
      </c>
      <c r="N511" s="8" t="n">
        <v>2668</v>
      </c>
      <c r="O511" s="8" t="n">
        <v>0</v>
      </c>
      <c r="Q511" t="inlineStr">
        <is>
          <t>flat</t>
        </is>
      </c>
      <c r="R511" s="6" t="n">
        <v>2668</v>
      </c>
      <c r="S511" t="inlineStr">
        <is>
          <t>Solio</t>
        </is>
      </c>
      <c r="U511" s="6" t="n">
        <v>85</v>
      </c>
      <c r="V511" s="2" t="n"/>
      <c r="W511" s="7">
        <f>IF(N(U511)&lt;=0,0,MIN(Assumptions!$B$15,N(R511)/N(U511)))</f>
        <v/>
      </c>
      <c r="X511" s="6" t="n">
        <v>0.17</v>
      </c>
      <c r="Y511" s="3" t="n"/>
      <c r="Z511" t="inlineStr"/>
      <c r="AA511" s="3" t="n">
        <v>1</v>
      </c>
      <c r="AB511" s="3" t="n"/>
      <c r="AC511" s="3" t="n"/>
      <c r="AD511" s="3" t="n"/>
      <c r="AE511" s="3" t="n"/>
      <c r="AF511" s="3" t="n">
        <v>0</v>
      </c>
      <c r="AG511" s="3" t="n"/>
      <c r="AH511" s="3" t="n">
        <v>0</v>
      </c>
      <c r="AI511" s="3" t="n"/>
      <c r="AJ511" s="3" t="n">
        <v>3.6194</v>
      </c>
      <c r="AK511" s="3" t="n">
        <v>1.8271</v>
      </c>
      <c r="AL511" s="3" t="n">
        <v>-0.2160434166173144</v>
      </c>
      <c r="AM511" s="6" t="n">
        <v>0.4588591229925738</v>
      </c>
      <c r="AN511" s="3" t="n">
        <v>0</v>
      </c>
      <c r="AO511" s="3" t="n">
        <v>0</v>
      </c>
      <c r="AP511" s="3" t="n">
        <v>0</v>
      </c>
      <c r="AQ511" s="3">
        <f>N(X511)*N(BJ511)</f>
        <v/>
      </c>
      <c r="AR511" s="3" t="n">
        <v>0</v>
      </c>
      <c r="AS511" s="3" t="n">
        <v>-0</v>
      </c>
      <c r="AT511" s="3" t="n">
        <v>-0.2160434166173144</v>
      </c>
      <c r="AU511" s="3">
        <f>SUM(AO511:AT511)</f>
        <v/>
      </c>
      <c r="AV511" s="7">
        <f>IF(OR(N(W511)&lt;=0,N(BH511)=0),0,N(W511)*IF(N(R511)/N(W511)&gt;=60,N(BH511),1))</f>
        <v/>
      </c>
      <c r="AW511" s="7">
        <f>N(W511)*N(AF511)*N(BI511)</f>
        <v/>
      </c>
      <c r="AX511" s="3">
        <f>IF(N(BH511)=0,0,N(W511)*N(AH511))</f>
        <v/>
      </c>
      <c r="AY511" s="7">
        <f>N(AM511)*(Assumptions!$B$13*N(BK511)-(1-Assumptions!$B$13)*Assumptions!$B$14)+N(AN511)</f>
        <v/>
      </c>
      <c r="AZ511" s="7">
        <f>N(AU511)*N(R511)/90+N(AV511)+N(AW511)+N(AX511)+N(AY511)</f>
        <v/>
      </c>
      <c r="BA511" s="3">
        <f>IF(N(R511)&lt;=0,0,(N(AZ511)-N(AY511))*90/N(R511))</f>
        <v/>
      </c>
      <c r="BB511" s="7">
        <f>IFERROR(AZ511-VLOOKUP($E511,Assumptions!$A$40:$C$43,3,FALSE),"")</f>
        <v/>
      </c>
      <c r="BC511" s="3">
        <f>IFERROR(BB511/H511,"")</f>
        <v/>
      </c>
      <c r="BD511">
        <f>IF(AND($G511=TRUE,$E511="GKP"),AZ511,"")</f>
        <v/>
      </c>
      <c r="BE511">
        <f>IF(AND($G511=TRUE,$E511="DEF"),AZ511,"")</f>
        <v/>
      </c>
      <c r="BF511">
        <f>IF(AND($G511=TRUE,$E511="MID"),AZ511,"")</f>
        <v/>
      </c>
      <c r="BG511">
        <f>IF(AND($G511=TRUE,$E511="FWD"),AZ511,"")</f>
        <v/>
      </c>
      <c r="BH511" t="n">
        <v>2</v>
      </c>
      <c r="BI511" t="n">
        <v>2</v>
      </c>
      <c r="BJ511" t="n">
        <v>1</v>
      </c>
      <c r="BK511" t="n">
        <v>5</v>
      </c>
    </row>
    <row r="512">
      <c r="A512" t="inlineStr">
        <is>
          <t>Oli McBurnie</t>
        </is>
      </c>
      <c r="B512" t="inlineStr">
        <is>
          <t>HUL</t>
        </is>
      </c>
      <c r="D512" t="b">
        <v>0</v>
      </c>
      <c r="E512" t="inlineStr">
        <is>
          <t>FWD</t>
        </is>
      </c>
      <c r="G512" t="b">
        <v>1</v>
      </c>
      <c r="H512" s="2" t="n">
        <v>5.5</v>
      </c>
      <c r="I512" t="inlineStr">
        <is>
          <t>a</t>
        </is>
      </c>
      <c r="K512" s="2" t="n"/>
      <c r="M512" s="3" t="n">
        <v>3260</v>
      </c>
      <c r="N512" s="8" t="n">
        <v>3260</v>
      </c>
      <c r="O512" s="8" t="n">
        <v>0</v>
      </c>
      <c r="Q512" t="inlineStr">
        <is>
          <t>flat</t>
        </is>
      </c>
      <c r="R512" s="6" t="n">
        <v>3260</v>
      </c>
      <c r="S512" t="inlineStr">
        <is>
          <t>Solio</t>
        </is>
      </c>
      <c r="U512" s="6" t="n">
        <v>85</v>
      </c>
      <c r="V512" s="2" t="n"/>
      <c r="W512" s="7">
        <f>IF(N(U512)&lt;=0,0,MIN(Assumptions!$B$15,N(R512)/N(U512)))</f>
        <v/>
      </c>
      <c r="X512" s="6" t="n">
        <v>0.143</v>
      </c>
      <c r="Y512" s="3" t="n"/>
      <c r="Z512" t="inlineStr"/>
      <c r="AA512" s="3" t="n">
        <v>1</v>
      </c>
      <c r="AB512" s="3" t="n"/>
      <c r="AC512" s="3" t="n"/>
      <c r="AD512" s="3" t="n"/>
      <c r="AE512" s="3" t="n"/>
      <c r="AF512" s="3" t="n">
        <v>0</v>
      </c>
      <c r="AG512" s="3" t="n"/>
      <c r="AH512" s="3" t="n">
        <v>0</v>
      </c>
      <c r="AI512" s="3" t="n"/>
      <c r="AJ512" s="3" t="n">
        <v>3.9421</v>
      </c>
      <c r="AK512" s="3" t="n">
        <v>1.99</v>
      </c>
      <c r="AL512" s="3" t="n">
        <v>-0.1872839882939133</v>
      </c>
      <c r="AM512" s="6" t="n">
        <v>2.576470200796949</v>
      </c>
      <c r="AN512" s="3" t="n">
        <v>0</v>
      </c>
      <c r="AO512" s="3" t="n">
        <v>0</v>
      </c>
      <c r="AP512" s="3" t="n">
        <v>0</v>
      </c>
      <c r="AQ512" s="3">
        <f>N(X512)*N(BJ512)</f>
        <v/>
      </c>
      <c r="AR512" s="3" t="n">
        <v>0</v>
      </c>
      <c r="AS512" s="3" t="n">
        <v>-0</v>
      </c>
      <c r="AT512" s="3" t="n">
        <v>-0.1872839882939133</v>
      </c>
      <c r="AU512" s="3">
        <f>SUM(AO512:AT512)</f>
        <v/>
      </c>
      <c r="AV512" s="7">
        <f>IF(OR(N(W512)&lt;=0,N(BH512)=0),0,N(W512)*IF(N(R512)/N(W512)&gt;=60,N(BH512),1))</f>
        <v/>
      </c>
      <c r="AW512" s="7">
        <f>N(W512)*N(AF512)*N(BI512)</f>
        <v/>
      </c>
      <c r="AX512" s="3">
        <f>IF(N(BH512)=0,0,N(W512)*N(AH512))</f>
        <v/>
      </c>
      <c r="AY512" s="7">
        <f>N(AM512)*(Assumptions!$B$13*N(BK512)-(1-Assumptions!$B$13)*Assumptions!$B$14)+N(AN512)</f>
        <v/>
      </c>
      <c r="AZ512" s="7">
        <f>N(AU512)*N(R512)/90+N(AV512)+N(AW512)+N(AX512)+N(AY512)</f>
        <v/>
      </c>
      <c r="BA512" s="3">
        <f>IF(N(R512)&lt;=0,0,(N(AZ512)-N(AY512))*90/N(R512))</f>
        <v/>
      </c>
      <c r="BB512" s="7">
        <f>IFERROR(AZ512-VLOOKUP($E512,Assumptions!$A$40:$C$43,3,FALSE),"")</f>
        <v/>
      </c>
      <c r="BC512" s="3">
        <f>IFERROR(BB512/H512,"")</f>
        <v/>
      </c>
      <c r="BD512">
        <f>IF(AND($G512=TRUE,$E512="GKP"),AZ512,"")</f>
        <v/>
      </c>
      <c r="BE512">
        <f>IF(AND($G512=TRUE,$E512="DEF"),AZ512,"")</f>
        <v/>
      </c>
      <c r="BF512">
        <f>IF(AND($G512=TRUE,$E512="MID"),AZ512,"")</f>
        <v/>
      </c>
      <c r="BG512">
        <f>IF(AND($G512=TRUE,$E512="FWD"),AZ512,"")</f>
        <v/>
      </c>
      <c r="BH512" t="n">
        <v>2</v>
      </c>
      <c r="BI512" t="n">
        <v>2</v>
      </c>
      <c r="BJ512" t="n">
        <v>0</v>
      </c>
      <c r="BK512" t="n">
        <v>4</v>
      </c>
    </row>
    <row r="513">
      <c r="A513" t="inlineStr">
        <is>
          <t>Kieran Dowell</t>
        </is>
      </c>
      <c r="B513" t="inlineStr">
        <is>
          <t>HUL</t>
        </is>
      </c>
      <c r="D513" t="b">
        <v>0</v>
      </c>
      <c r="E513" t="inlineStr">
        <is>
          <t>MID</t>
        </is>
      </c>
      <c r="G513" t="b">
        <v>1</v>
      </c>
      <c r="H513" s="2" t="n">
        <v>4.5</v>
      </c>
      <c r="I513" t="inlineStr">
        <is>
          <t>a</t>
        </is>
      </c>
      <c r="K513" s="2" t="n"/>
      <c r="M513" s="3" t="n">
        <v>51</v>
      </c>
      <c r="N513" s="8" t="n">
        <v>51</v>
      </c>
      <c r="O513" s="8" t="n">
        <v>0</v>
      </c>
      <c r="Q513" t="inlineStr">
        <is>
          <t>flat</t>
        </is>
      </c>
      <c r="R513" s="6" t="n">
        <v>51</v>
      </c>
      <c r="S513" t="inlineStr">
        <is>
          <t>Solio</t>
        </is>
      </c>
      <c r="U513" s="6" t="n">
        <v>85</v>
      </c>
      <c r="V513" s="2" t="n"/>
      <c r="W513" s="7">
        <f>IF(N(U513)&lt;=0,0,MIN(Assumptions!$B$15,N(R513)/N(U513)))</f>
        <v/>
      </c>
      <c r="X513" s="6" t="n">
        <v>0.143</v>
      </c>
      <c r="Y513" s="3" t="n"/>
      <c r="Z513" t="inlineStr"/>
      <c r="AA513" s="3" t="n">
        <v>1</v>
      </c>
      <c r="AB513" s="3" t="n"/>
      <c r="AC513" s="3" t="n"/>
      <c r="AD513" s="3" t="n"/>
      <c r="AE513" s="3" t="n"/>
      <c r="AF513" s="3" t="n">
        <v>0</v>
      </c>
      <c r="AG513" s="3" t="n"/>
      <c r="AH513" s="3" t="n">
        <v>0</v>
      </c>
      <c r="AI513" s="3" t="n"/>
      <c r="AJ513" s="3" t="n">
        <v>3.9421</v>
      </c>
      <c r="AK513" s="3" t="n">
        <v>1.99</v>
      </c>
      <c r="AL513" s="3" t="n">
        <v>-0.2160434166173144</v>
      </c>
      <c r="AM513" s="6" t="n">
        <v>0</v>
      </c>
      <c r="AN513" s="3" t="n">
        <v>0</v>
      </c>
      <c r="AO513" s="3" t="n">
        <v>0</v>
      </c>
      <c r="AP513" s="3" t="n">
        <v>0</v>
      </c>
      <c r="AQ513" s="3">
        <f>N(X513)*N(BJ513)</f>
        <v/>
      </c>
      <c r="AR513" s="3" t="n">
        <v>0</v>
      </c>
      <c r="AS513" s="3" t="n">
        <v>-0</v>
      </c>
      <c r="AT513" s="3" t="n">
        <v>-0.2160434166173144</v>
      </c>
      <c r="AU513" s="3">
        <f>SUM(AO513:AT513)</f>
        <v/>
      </c>
      <c r="AV513" s="7">
        <f>IF(OR(N(W513)&lt;=0,N(BH513)=0),0,N(W513)*IF(N(R513)/N(W513)&gt;=60,N(BH513),1))</f>
        <v/>
      </c>
      <c r="AW513" s="7">
        <f>N(W513)*N(AF513)*N(BI513)</f>
        <v/>
      </c>
      <c r="AX513" s="3">
        <f>IF(N(BH513)=0,0,N(W513)*N(AH513))</f>
        <v/>
      </c>
      <c r="AY513" s="7">
        <f>N(AM513)*(Assumptions!$B$13*N(BK513)-(1-Assumptions!$B$13)*Assumptions!$B$14)+N(AN513)</f>
        <v/>
      </c>
      <c r="AZ513" s="7">
        <f>N(AU513)*N(R513)/90+N(AV513)+N(AW513)+N(AX513)+N(AY513)</f>
        <v/>
      </c>
      <c r="BA513" s="3">
        <f>IF(N(R513)&lt;=0,0,(N(AZ513)-N(AY513))*90/N(R513))</f>
        <v/>
      </c>
      <c r="BB513" s="7">
        <f>IFERROR(AZ513-VLOOKUP($E513,Assumptions!$A$40:$C$43,3,FALSE),"")</f>
        <v/>
      </c>
      <c r="BC513" s="3">
        <f>IFERROR(BB513/H513,"")</f>
        <v/>
      </c>
      <c r="BD513">
        <f>IF(AND($G513=TRUE,$E513="GKP"),AZ513,"")</f>
        <v/>
      </c>
      <c r="BE513">
        <f>IF(AND($G513=TRUE,$E513="DEF"),AZ513,"")</f>
        <v/>
      </c>
      <c r="BF513">
        <f>IF(AND($G513=TRUE,$E513="MID"),AZ513,"")</f>
        <v/>
      </c>
      <c r="BG513">
        <f>IF(AND($G513=TRUE,$E513="FWD"),AZ513,"")</f>
        <v/>
      </c>
      <c r="BH513" t="n">
        <v>2</v>
      </c>
      <c r="BI513" t="n">
        <v>2</v>
      </c>
      <c r="BJ513" t="n">
        <v>1</v>
      </c>
      <c r="BK513" t="n">
        <v>5</v>
      </c>
    </row>
    <row r="514">
      <c r="A514" t="inlineStr">
        <is>
          <t>Sam Szmodics</t>
        </is>
      </c>
      <c r="B514" t="inlineStr">
        <is>
          <t>IPS</t>
        </is>
      </c>
      <c r="D514" t="b">
        <v>0</v>
      </c>
      <c r="E514" t="inlineStr">
        <is>
          <t>MID</t>
        </is>
      </c>
      <c r="G514" t="b">
        <v>1</v>
      </c>
      <c r="H514" s="2" t="n">
        <v>5</v>
      </c>
      <c r="I514" t="inlineStr">
        <is>
          <t>a</t>
        </is>
      </c>
      <c r="K514" s="2" t="n"/>
      <c r="M514" s="3" t="n">
        <v>0</v>
      </c>
      <c r="N514" s="8" t="n">
        <v>0</v>
      </c>
      <c r="O514" s="8" t="n">
        <v>0</v>
      </c>
      <c r="Q514" t="inlineStr">
        <is>
          <t>flat</t>
        </is>
      </c>
      <c r="R514" s="6" t="n">
        <v>0</v>
      </c>
      <c r="S514" t="inlineStr">
        <is>
          <t>Solio</t>
        </is>
      </c>
      <c r="U514" s="6" t="n">
        <v>85</v>
      </c>
      <c r="V514" s="2" t="n"/>
      <c r="W514" s="7">
        <f>IF(N(U514)&lt;=0,0,MIN(Assumptions!$B$15,N(R514)/N(U514)))</f>
        <v/>
      </c>
      <c r="X514" s="6" t="n">
        <v>0.17</v>
      </c>
      <c r="Y514" s="3" t="n"/>
      <c r="Z514" t="inlineStr"/>
      <c r="AA514" s="3" t="n">
        <v>1</v>
      </c>
      <c r="AB514" s="3" t="n"/>
      <c r="AC514" s="3" t="n"/>
      <c r="AD514" s="3" t="n"/>
      <c r="AE514" s="3" t="n"/>
      <c r="AF514" s="3" t="n">
        <v>0</v>
      </c>
      <c r="AG514" s="3" t="n"/>
      <c r="AH514" s="3" t="n">
        <v>0</v>
      </c>
      <c r="AI514" s="3" t="n"/>
      <c r="AJ514" s="3" t="n">
        <v>3.5741</v>
      </c>
      <c r="AK514" s="3" t="n">
        <v>1.8319</v>
      </c>
      <c r="AL514" s="3" t="n">
        <v>-0.2110210456103259</v>
      </c>
      <c r="AM514" s="6" t="n">
        <v>0</v>
      </c>
      <c r="AN514" s="3" t="n">
        <v>0</v>
      </c>
      <c r="AO514" s="3" t="n">
        <v>0</v>
      </c>
      <c r="AP514" s="3" t="n">
        <v>0</v>
      </c>
      <c r="AQ514" s="3">
        <f>N(X514)*N(BJ514)</f>
        <v/>
      </c>
      <c r="AR514" s="3" t="n">
        <v>0</v>
      </c>
      <c r="AS514" s="3" t="n">
        <v>-0</v>
      </c>
      <c r="AT514" s="3" t="n">
        <v>-0.2110210456103259</v>
      </c>
      <c r="AU514" s="3">
        <f>SUM(AO514:AT514)</f>
        <v/>
      </c>
      <c r="AV514" s="7">
        <f>IF(OR(N(W514)&lt;=0,N(BH514)=0),0,N(W514)*IF(N(R514)/N(W514)&gt;=60,N(BH514),1))</f>
        <v/>
      </c>
      <c r="AW514" s="7">
        <f>N(W514)*N(AF514)*N(BI514)</f>
        <v/>
      </c>
      <c r="AX514" s="3">
        <f>IF(N(BH514)=0,0,N(W514)*N(AH514))</f>
        <v/>
      </c>
      <c r="AY514" s="7">
        <f>N(AM514)*(Assumptions!$B$13*N(BK514)-(1-Assumptions!$B$13)*Assumptions!$B$14)+N(AN514)</f>
        <v/>
      </c>
      <c r="AZ514" s="7">
        <f>N(AU514)*N(R514)/90+N(AV514)+N(AW514)+N(AX514)+N(AY514)</f>
        <v/>
      </c>
      <c r="BA514" s="3">
        <f>IF(N(R514)&lt;=0,0,(N(AZ514)-N(AY514))*90/N(R514))</f>
        <v/>
      </c>
      <c r="BB514" s="7">
        <f>IFERROR(AZ514-VLOOKUP($E514,Assumptions!$A$40:$C$43,3,FALSE),"")</f>
        <v/>
      </c>
      <c r="BC514" s="3">
        <f>IFERROR(BB514/H514,"")</f>
        <v/>
      </c>
      <c r="BD514">
        <f>IF(AND($G514=TRUE,$E514="GKP"),AZ514,"")</f>
        <v/>
      </c>
      <c r="BE514">
        <f>IF(AND($G514=TRUE,$E514="DEF"),AZ514,"")</f>
        <v/>
      </c>
      <c r="BF514">
        <f>IF(AND($G514=TRUE,$E514="MID"),AZ514,"")</f>
        <v/>
      </c>
      <c r="BG514">
        <f>IF(AND($G514=TRUE,$E514="FWD"),AZ514,"")</f>
        <v/>
      </c>
      <c r="BH514" t="n">
        <v>2</v>
      </c>
      <c r="BI514" t="n">
        <v>2</v>
      </c>
      <c r="BJ514" t="n">
        <v>1</v>
      </c>
      <c r="BK514" t="n">
        <v>5</v>
      </c>
    </row>
    <row r="515">
      <c r="A515" t="inlineStr">
        <is>
          <t>Josh Cullen</t>
        </is>
      </c>
      <c r="C515" t="inlineStr">
        <is>
          <t>BUR</t>
        </is>
      </c>
      <c r="D515" t="b">
        <v>0</v>
      </c>
      <c r="F515" t="inlineStr">
        <is>
          <t>MID</t>
        </is>
      </c>
      <c r="G515" t="b">
        <v>0</v>
      </c>
      <c r="H515" s="2" t="n"/>
      <c r="K515" s="2" t="n">
        <v>1519</v>
      </c>
      <c r="M515" s="3" t="n"/>
      <c r="N515" s="8" t="n">
        <v>1519</v>
      </c>
      <c r="O515" s="8" t="n">
        <v>0</v>
      </c>
      <c r="R515" s="6" t="n">
        <v>1519</v>
      </c>
      <c r="S515" t="inlineStr">
        <is>
          <t>25/26 actual</t>
        </is>
      </c>
      <c r="U515" s="6" t="n">
        <v>82.59999999999999</v>
      </c>
      <c r="V515" s="2" t="n">
        <v>18</v>
      </c>
      <c r="W515" s="7">
        <f>IF(N(U515)&lt;=0,0,MIN(Assumptions!$B$15,N(R515)/N(U515)))</f>
        <v/>
      </c>
      <c r="X515" s="6" t="n"/>
      <c r="Y515" s="3" t="n">
        <v>0.0643</v>
      </c>
      <c r="Z515" t="inlineStr">
        <is>
          <t>adjusted xGOT</t>
        </is>
      </c>
      <c r="AA515" s="3" t="n">
        <v>1</v>
      </c>
      <c r="AB515" s="3" t="n">
        <v>1.154</v>
      </c>
      <c r="AC515" s="3" t="n">
        <v>1.5</v>
      </c>
      <c r="AD515" s="3" t="n">
        <v>0.1076</v>
      </c>
      <c r="AE515" s="3" t="n">
        <v>9.738</v>
      </c>
      <c r="AF515" s="3" t="n">
        <v>0</v>
      </c>
      <c r="AG515" s="3" t="n">
        <v>8.567</v>
      </c>
      <c r="AH515" s="3" t="n">
        <v>0</v>
      </c>
      <c r="AI515" s="3" t="n">
        <v>35</v>
      </c>
      <c r="AJ515" s="3" t="n"/>
      <c r="AK515" s="3" t="n"/>
      <c r="AL515" s="3" t="n"/>
      <c r="AM515" s="6" t="n">
        <v>0</v>
      </c>
      <c r="AN515" s="3" t="n">
        <v>0</v>
      </c>
      <c r="AO515" s="3" t="n">
        <v>0</v>
      </c>
      <c r="AP515" s="3" t="n">
        <v>0</v>
      </c>
      <c r="AQ515" s="3">
        <f>N(X515)*N(BJ515)</f>
        <v/>
      </c>
      <c r="AR515" s="3" t="n">
        <v>0</v>
      </c>
      <c r="AS515" s="3" t="n">
        <v>0</v>
      </c>
      <c r="AT515" s="3" t="n">
        <v>0</v>
      </c>
      <c r="AU515" s="3">
        <f>SUM(AO515:AT515)</f>
        <v/>
      </c>
      <c r="AV515" s="7">
        <f>IF(OR(N(W515)&lt;=0,N(BH515)=0),0,N(W515)*IF(N(R515)/N(W515)&gt;=60,N(BH515),1))</f>
        <v/>
      </c>
      <c r="AW515" s="7">
        <f>N(W515)*N(AF515)*N(BI515)</f>
        <v/>
      </c>
      <c r="AX515" s="3">
        <f>IF(N(BH515)=0,0,N(W515)*N(AH515))</f>
        <v/>
      </c>
      <c r="AY515" s="7">
        <f>N(AM515)*(Assumptions!$B$13*N(BK515)-(1-Assumptions!$B$13)*Assumptions!$B$14)+N(AN515)</f>
        <v/>
      </c>
      <c r="AZ515" s="7">
        <f>N(AU515)*N(R515)/90+N(AV515)+N(AW515)+N(AX515)+N(AY515)</f>
        <v/>
      </c>
      <c r="BA515" s="3">
        <f>IF(N(R515)&lt;=0,0,(N(AZ515)-N(AY515))*90/N(R515))</f>
        <v/>
      </c>
      <c r="BB515" s="7">
        <f>IFERROR(AZ515-VLOOKUP($E515,Assumptions!$A$40:$C$43,3,FALSE),"")</f>
        <v/>
      </c>
      <c r="BC515" s="3">
        <f>IFERROR(BB515/H515,"")</f>
        <v/>
      </c>
      <c r="BD515">
        <f>IF(AND($G515=TRUE,$E515="GKP"),AZ515,"")</f>
        <v/>
      </c>
      <c r="BE515">
        <f>IF(AND($G515=TRUE,$E515="DEF"),AZ515,"")</f>
        <v/>
      </c>
      <c r="BF515">
        <f>IF(AND($G515=TRUE,$E515="MID"),AZ515,"")</f>
        <v/>
      </c>
      <c r="BG515">
        <f>IF(AND($G515=TRUE,$E515="FWD"),AZ515,"")</f>
        <v/>
      </c>
      <c r="BH515" t="n">
        <v>0</v>
      </c>
      <c r="BI515" t="n">
        <v>0</v>
      </c>
      <c r="BJ515" t="n">
        <v>0</v>
      </c>
      <c r="BK515" t="n">
        <v>0</v>
      </c>
    </row>
    <row r="516">
      <c r="A516" t="inlineStr">
        <is>
          <t>Jay Dasilva</t>
        </is>
      </c>
      <c r="B516" t="inlineStr">
        <is>
          <t>COV</t>
        </is>
      </c>
      <c r="D516" t="b">
        <v>0</v>
      </c>
      <c r="E516" t="inlineStr">
        <is>
          <t>DEF</t>
        </is>
      </c>
      <c r="G516" t="b">
        <v>1</v>
      </c>
      <c r="H516" s="2" t="n">
        <v>4</v>
      </c>
      <c r="I516" t="inlineStr">
        <is>
          <t>a</t>
        </is>
      </c>
      <c r="K516" s="2" t="n"/>
      <c r="M516" s="3" t="n">
        <v>2992</v>
      </c>
      <c r="N516" s="8" t="n">
        <v>2992</v>
      </c>
      <c r="O516" s="8" t="n">
        <v>0</v>
      </c>
      <c r="Q516" t="inlineStr">
        <is>
          <t>flat</t>
        </is>
      </c>
      <c r="R516" s="6" t="n">
        <v>2992</v>
      </c>
      <c r="S516" t="inlineStr">
        <is>
          <t>Solio</t>
        </is>
      </c>
      <c r="U516" s="6" t="n">
        <v>85</v>
      </c>
      <c r="V516" s="2" t="n"/>
      <c r="W516" s="7">
        <f>IF(N(U516)&lt;=0,0,MIN(Assumptions!$B$15,N(R516)/N(U516)))</f>
        <v/>
      </c>
      <c r="X516" s="6" t="n">
        <v>0.17</v>
      </c>
      <c r="Y516" s="3" t="n"/>
      <c r="Z516" t="inlineStr"/>
      <c r="AA516" s="3" t="n">
        <v>1</v>
      </c>
      <c r="AB516" s="3" t="n"/>
      <c r="AC516" s="3" t="n"/>
      <c r="AD516" s="3" t="n"/>
      <c r="AE516" s="3" t="n"/>
      <c r="AF516" s="3" t="n">
        <v>0</v>
      </c>
      <c r="AG516" s="3" t="n"/>
      <c r="AH516" s="3" t="n">
        <v>0</v>
      </c>
      <c r="AI516" s="3" t="n"/>
      <c r="AJ516" s="3" t="n">
        <v>3.6194</v>
      </c>
      <c r="AK516" s="3" t="n">
        <v>1.8271</v>
      </c>
      <c r="AL516" s="3" t="n">
        <v>-0.2045226422080557</v>
      </c>
      <c r="AM516" s="6" t="n">
        <v>0</v>
      </c>
      <c r="AN516" s="3" t="n">
        <v>0</v>
      </c>
      <c r="AO516" s="3" t="n">
        <v>0</v>
      </c>
      <c r="AP516" s="3" t="n">
        <v>0</v>
      </c>
      <c r="AQ516" s="3">
        <f>N(X516)*N(BJ516)</f>
        <v/>
      </c>
      <c r="AR516" s="3" t="n">
        <v>0</v>
      </c>
      <c r="AS516" s="3" t="n">
        <v>-0.670020548738316</v>
      </c>
      <c r="AT516" s="3" t="n">
        <v>-0.2045226422080557</v>
      </c>
      <c r="AU516" s="3">
        <f>SUM(AO516:AT516)</f>
        <v/>
      </c>
      <c r="AV516" s="7">
        <f>IF(OR(N(W516)&lt;=0,N(BH516)=0),0,N(W516)*IF(N(R516)/N(W516)&gt;=60,N(BH516),1))</f>
        <v/>
      </c>
      <c r="AW516" s="7">
        <f>N(W516)*N(AF516)*N(BI516)</f>
        <v/>
      </c>
      <c r="AX516" s="3">
        <f>IF(N(BH516)=0,0,N(W516)*N(AH516))</f>
        <v/>
      </c>
      <c r="AY516" s="7">
        <f>N(AM516)*(Assumptions!$B$13*N(BK516)-(1-Assumptions!$B$13)*Assumptions!$B$14)+N(AN516)</f>
        <v/>
      </c>
      <c r="AZ516" s="7">
        <f>N(AU516)*N(R516)/90+N(AV516)+N(AW516)+N(AX516)+N(AY516)</f>
        <v/>
      </c>
      <c r="BA516" s="3">
        <f>IF(N(R516)&lt;=0,0,(N(AZ516)-N(AY516))*90/N(R516))</f>
        <v/>
      </c>
      <c r="BB516" s="7">
        <f>IFERROR(AZ516-VLOOKUP($E516,Assumptions!$A$40:$C$43,3,FALSE),"")</f>
        <v/>
      </c>
      <c r="BC516" s="3">
        <f>IFERROR(BB516/H516,"")</f>
        <v/>
      </c>
      <c r="BD516">
        <f>IF(AND($G516=TRUE,$E516="GKP"),AZ516,"")</f>
        <v/>
      </c>
      <c r="BE516">
        <f>IF(AND($G516=TRUE,$E516="DEF"),AZ516,"")</f>
        <v/>
      </c>
      <c r="BF516">
        <f>IF(AND($G516=TRUE,$E516="MID"),AZ516,"")</f>
        <v/>
      </c>
      <c r="BG516">
        <f>IF(AND($G516=TRUE,$E516="FWD"),AZ516,"")</f>
        <v/>
      </c>
      <c r="BH516" t="n">
        <v>2</v>
      </c>
      <c r="BI516" t="n">
        <v>2</v>
      </c>
      <c r="BJ516" t="n">
        <v>4</v>
      </c>
      <c r="BK516" t="n">
        <v>6</v>
      </c>
    </row>
    <row r="517">
      <c r="A517" t="inlineStr">
        <is>
          <t>Marcus Edwards</t>
        </is>
      </c>
      <c r="C517" t="inlineStr">
        <is>
          <t>BUR</t>
        </is>
      </c>
      <c r="D517" t="b">
        <v>0</v>
      </c>
      <c r="F517" t="inlineStr">
        <is>
          <t>MID</t>
        </is>
      </c>
      <c r="G517" t="b">
        <v>0</v>
      </c>
      <c r="H517" s="2" t="n"/>
      <c r="K517" s="2" t="n">
        <v>1064</v>
      </c>
      <c r="M517" s="3" t="n"/>
      <c r="N517" s="8" t="n">
        <v>1064</v>
      </c>
      <c r="O517" s="8" t="n">
        <v>0</v>
      </c>
      <c r="R517" s="6" t="n">
        <v>1064</v>
      </c>
      <c r="S517" t="inlineStr">
        <is>
          <t>25/26 actual</t>
        </is>
      </c>
      <c r="U517" s="6" t="n">
        <v>79.7</v>
      </c>
      <c r="V517" s="2" t="n">
        <v>11</v>
      </c>
      <c r="W517" s="7">
        <f>IF(N(U517)&lt;=0,0,MIN(Assumptions!$B$15,N(R517)/N(U517)))</f>
        <v/>
      </c>
      <c r="X517" s="6" t="n"/>
      <c r="Y517" s="3" t="n">
        <v>0.1195</v>
      </c>
      <c r="Z517" t="inlineStr">
        <is>
          <t>adjusted xGOT</t>
        </is>
      </c>
      <c r="AA517" s="3" t="n">
        <v>1</v>
      </c>
      <c r="AB517" s="3" t="n">
        <v>0.948</v>
      </c>
      <c r="AC517" s="3" t="n">
        <v>1.5</v>
      </c>
      <c r="AD517" s="3" t="n">
        <v>0.2154</v>
      </c>
      <c r="AE517" s="3" t="n">
        <v>6.865</v>
      </c>
      <c r="AF517" s="3" t="n">
        <v>0</v>
      </c>
      <c r="AG517" s="3" t="n">
        <v>5.257</v>
      </c>
      <c r="AH517" s="3" t="n">
        <v>0</v>
      </c>
      <c r="AI517" s="3" t="n">
        <v>34</v>
      </c>
      <c r="AJ517" s="3" t="n"/>
      <c r="AK517" s="3" t="n"/>
      <c r="AL517" s="3" t="n"/>
      <c r="AM517" s="6" t="n">
        <v>0</v>
      </c>
      <c r="AN517" s="3" t="n">
        <v>0</v>
      </c>
      <c r="AO517" s="3" t="n">
        <v>0</v>
      </c>
      <c r="AP517" s="3" t="n">
        <v>0</v>
      </c>
      <c r="AQ517" s="3">
        <f>N(X517)*N(BJ517)</f>
        <v/>
      </c>
      <c r="AR517" s="3" t="n">
        <v>0</v>
      </c>
      <c r="AS517" s="3" t="n">
        <v>0</v>
      </c>
      <c r="AT517" s="3" t="n">
        <v>0</v>
      </c>
      <c r="AU517" s="3">
        <f>SUM(AO517:AT517)</f>
        <v/>
      </c>
      <c r="AV517" s="7">
        <f>IF(OR(N(W517)&lt;=0,N(BH517)=0),0,N(W517)*IF(N(R517)/N(W517)&gt;=60,N(BH517),1))</f>
        <v/>
      </c>
      <c r="AW517" s="7">
        <f>N(W517)*N(AF517)*N(BI517)</f>
        <v/>
      </c>
      <c r="AX517" s="3">
        <f>IF(N(BH517)=0,0,N(W517)*N(AH517))</f>
        <v/>
      </c>
      <c r="AY517" s="7">
        <f>N(AM517)*(Assumptions!$B$13*N(BK517)-(1-Assumptions!$B$13)*Assumptions!$B$14)+N(AN517)</f>
        <v/>
      </c>
      <c r="AZ517" s="7">
        <f>N(AU517)*N(R517)/90+N(AV517)+N(AW517)+N(AX517)+N(AY517)</f>
        <v/>
      </c>
      <c r="BA517" s="3">
        <f>IF(N(R517)&lt;=0,0,(N(AZ517)-N(AY517))*90/N(R517))</f>
        <v/>
      </c>
      <c r="BB517" s="7">
        <f>IFERROR(AZ517-VLOOKUP($E517,Assumptions!$A$40:$C$43,3,FALSE),"")</f>
        <v/>
      </c>
      <c r="BC517" s="3">
        <f>IFERROR(BB517/H517,"")</f>
        <v/>
      </c>
      <c r="BD517">
        <f>IF(AND($G517=TRUE,$E517="GKP"),AZ517,"")</f>
        <v/>
      </c>
      <c r="BE517">
        <f>IF(AND($G517=TRUE,$E517="DEF"),AZ517,"")</f>
        <v/>
      </c>
      <c r="BF517">
        <f>IF(AND($G517=TRUE,$E517="MID"),AZ517,"")</f>
        <v/>
      </c>
      <c r="BG517">
        <f>IF(AND($G517=TRUE,$E517="FWD"),AZ517,"")</f>
        <v/>
      </c>
      <c r="BH517" t="n">
        <v>0</v>
      </c>
      <c r="BI517" t="n">
        <v>0</v>
      </c>
      <c r="BJ517" t="n">
        <v>0</v>
      </c>
      <c r="BK517" t="n">
        <v>0</v>
      </c>
    </row>
    <row r="518">
      <c r="A518" t="inlineStr">
        <is>
          <t>Haji Wright</t>
        </is>
      </c>
      <c r="B518" t="inlineStr">
        <is>
          <t>COV</t>
        </is>
      </c>
      <c r="D518" t="b">
        <v>0</v>
      </c>
      <c r="E518" t="inlineStr">
        <is>
          <t>FWD</t>
        </is>
      </c>
      <c r="G518" t="b">
        <v>1</v>
      </c>
      <c r="H518" s="2" t="n">
        <v>5.5</v>
      </c>
      <c r="I518" t="inlineStr">
        <is>
          <t>a</t>
        </is>
      </c>
      <c r="K518" s="2" t="n"/>
      <c r="M518" s="3" t="n">
        <v>2656</v>
      </c>
      <c r="N518" s="8" t="n">
        <v>2656</v>
      </c>
      <c r="O518" s="8" t="n">
        <v>0</v>
      </c>
      <c r="Q518" t="inlineStr">
        <is>
          <t>ramp-up (injury / late WC return)</t>
        </is>
      </c>
      <c r="R518" s="6" t="n">
        <v>2656</v>
      </c>
      <c r="S518" t="inlineStr">
        <is>
          <t>Solio</t>
        </is>
      </c>
      <c r="U518" s="6" t="n">
        <v>85</v>
      </c>
      <c r="V518" s="2" t="n"/>
      <c r="W518" s="7">
        <f>IF(N(U518)&lt;=0,0,MIN(Assumptions!$B$15,N(R518)/N(U518)))</f>
        <v/>
      </c>
      <c r="X518" s="6" t="n">
        <v>0.17</v>
      </c>
      <c r="Y518" s="3" t="n"/>
      <c r="Z518" t="inlineStr"/>
      <c r="AA518" s="3" t="n">
        <v>1</v>
      </c>
      <c r="AB518" s="3" t="n"/>
      <c r="AC518" s="3" t="n"/>
      <c r="AD518" s="3" t="n"/>
      <c r="AE518" s="3" t="n"/>
      <c r="AF518" s="3" t="n">
        <v>0</v>
      </c>
      <c r="AG518" s="3" t="n"/>
      <c r="AH518" s="3" t="n">
        <v>0</v>
      </c>
      <c r="AI518" s="3" t="n"/>
      <c r="AJ518" s="3" t="n">
        <v>3.6194</v>
      </c>
      <c r="AK518" s="3" t="n">
        <v>1.8271</v>
      </c>
      <c r="AL518" s="3" t="n">
        <v>-0.174691292596322</v>
      </c>
      <c r="AM518" s="6" t="n">
        <v>2.593943915640668</v>
      </c>
      <c r="AN518" s="3" t="n">
        <v>0</v>
      </c>
      <c r="AO518" s="3" t="n">
        <v>0</v>
      </c>
      <c r="AP518" s="3" t="n">
        <v>0</v>
      </c>
      <c r="AQ518" s="3">
        <f>N(X518)*N(BJ518)</f>
        <v/>
      </c>
      <c r="AR518" s="3" t="n">
        <v>0</v>
      </c>
      <c r="AS518" s="3" t="n">
        <v>-0</v>
      </c>
      <c r="AT518" s="3" t="n">
        <v>-0.174691292596322</v>
      </c>
      <c r="AU518" s="3">
        <f>SUM(AO518:AT518)</f>
        <v/>
      </c>
      <c r="AV518" s="7">
        <f>IF(OR(N(W518)&lt;=0,N(BH518)=0),0,N(W518)*IF(N(R518)/N(W518)&gt;=60,N(BH518),1))</f>
        <v/>
      </c>
      <c r="AW518" s="7">
        <f>N(W518)*N(AF518)*N(BI518)</f>
        <v/>
      </c>
      <c r="AX518" s="3">
        <f>IF(N(BH518)=0,0,N(W518)*N(AH518))</f>
        <v/>
      </c>
      <c r="AY518" s="7">
        <f>N(AM518)*(Assumptions!$B$13*N(BK518)-(1-Assumptions!$B$13)*Assumptions!$B$14)+N(AN518)</f>
        <v/>
      </c>
      <c r="AZ518" s="7">
        <f>N(AU518)*N(R518)/90+N(AV518)+N(AW518)+N(AX518)+N(AY518)</f>
        <v/>
      </c>
      <c r="BA518" s="3">
        <f>IF(N(R518)&lt;=0,0,(N(AZ518)-N(AY518))*90/N(R518))</f>
        <v/>
      </c>
      <c r="BB518" s="7">
        <f>IFERROR(AZ518-VLOOKUP($E518,Assumptions!$A$40:$C$43,3,FALSE),"")</f>
        <v/>
      </c>
      <c r="BC518" s="3">
        <f>IFERROR(BB518/H518,"")</f>
        <v/>
      </c>
      <c r="BD518">
        <f>IF(AND($G518=TRUE,$E518="GKP"),AZ518,"")</f>
        <v/>
      </c>
      <c r="BE518">
        <f>IF(AND($G518=TRUE,$E518="DEF"),AZ518,"")</f>
        <v/>
      </c>
      <c r="BF518">
        <f>IF(AND($G518=TRUE,$E518="MID"),AZ518,"")</f>
        <v/>
      </c>
      <c r="BG518">
        <f>IF(AND($G518=TRUE,$E518="FWD"),AZ518,"")</f>
        <v/>
      </c>
      <c r="BH518" t="n">
        <v>2</v>
      </c>
      <c r="BI518" t="n">
        <v>2</v>
      </c>
      <c r="BJ518" t="n">
        <v>0</v>
      </c>
      <c r="BK518" t="n">
        <v>4</v>
      </c>
    </row>
    <row r="519">
      <c r="A519" t="inlineStr">
        <is>
          <t>Darnell Furlong</t>
        </is>
      </c>
      <c r="B519" t="inlineStr">
        <is>
          <t>IPS</t>
        </is>
      </c>
      <c r="D519" t="b">
        <v>0</v>
      </c>
      <c r="E519" t="inlineStr">
        <is>
          <t>DEF</t>
        </is>
      </c>
      <c r="G519" t="b">
        <v>1</v>
      </c>
      <c r="H519" s="2" t="n">
        <v>4</v>
      </c>
      <c r="I519" t="inlineStr">
        <is>
          <t>a</t>
        </is>
      </c>
      <c r="K519" s="2" t="n"/>
      <c r="M519" s="3" t="n">
        <v>2775</v>
      </c>
      <c r="N519" s="8" t="n">
        <v>2775</v>
      </c>
      <c r="O519" s="8" t="n">
        <v>0</v>
      </c>
      <c r="Q519" t="inlineStr">
        <is>
          <t>flat</t>
        </is>
      </c>
      <c r="R519" s="6" t="n">
        <v>2775</v>
      </c>
      <c r="S519" t="inlineStr">
        <is>
          <t>Solio</t>
        </is>
      </c>
      <c r="U519" s="6" t="n">
        <v>85</v>
      </c>
      <c r="V519" s="2" t="n"/>
      <c r="W519" s="7">
        <f>IF(N(U519)&lt;=0,0,MIN(Assumptions!$B$15,N(R519)/N(U519)))</f>
        <v/>
      </c>
      <c r="X519" s="6" t="n">
        <v>0.17</v>
      </c>
      <c r="Y519" s="3" t="n"/>
      <c r="Z519" t="inlineStr"/>
      <c r="AA519" s="3" t="n">
        <v>1</v>
      </c>
      <c r="AB519" s="3" t="n"/>
      <c r="AC519" s="3" t="n"/>
      <c r="AD519" s="3" t="n"/>
      <c r="AE519" s="3" t="n"/>
      <c r="AF519" s="3" t="n">
        <v>0</v>
      </c>
      <c r="AG519" s="3" t="n"/>
      <c r="AH519" s="3" t="n">
        <v>0</v>
      </c>
      <c r="AI519" s="3" t="n"/>
      <c r="AJ519" s="3" t="n">
        <v>3.5741</v>
      </c>
      <c r="AK519" s="3" t="n">
        <v>1.8319</v>
      </c>
      <c r="AL519" s="3" t="n">
        <v>-0.2045226422080557</v>
      </c>
      <c r="AM519" s="6" t="n">
        <v>0</v>
      </c>
      <c r="AN519" s="3" t="n">
        <v>0</v>
      </c>
      <c r="AO519" s="3" t="n">
        <v>0</v>
      </c>
      <c r="AP519" s="3" t="n">
        <v>0</v>
      </c>
      <c r="AQ519" s="3">
        <f>N(X519)*N(BJ519)</f>
        <v/>
      </c>
      <c r="AR519" s="3" t="n">
        <v>0</v>
      </c>
      <c r="AS519" s="3" t="n">
        <v>-0.6723587286814016</v>
      </c>
      <c r="AT519" s="3" t="n">
        <v>-0.2045226422080557</v>
      </c>
      <c r="AU519" s="3">
        <f>SUM(AO519:AT519)</f>
        <v/>
      </c>
      <c r="AV519" s="7">
        <f>IF(OR(N(W519)&lt;=0,N(BH519)=0),0,N(W519)*IF(N(R519)/N(W519)&gt;=60,N(BH519),1))</f>
        <v/>
      </c>
      <c r="AW519" s="7">
        <f>N(W519)*N(AF519)*N(BI519)</f>
        <v/>
      </c>
      <c r="AX519" s="3">
        <f>IF(N(BH519)=0,0,N(W519)*N(AH519))</f>
        <v/>
      </c>
      <c r="AY519" s="7">
        <f>N(AM519)*(Assumptions!$B$13*N(BK519)-(1-Assumptions!$B$13)*Assumptions!$B$14)+N(AN519)</f>
        <v/>
      </c>
      <c r="AZ519" s="7">
        <f>N(AU519)*N(R519)/90+N(AV519)+N(AW519)+N(AX519)+N(AY519)</f>
        <v/>
      </c>
      <c r="BA519" s="3">
        <f>IF(N(R519)&lt;=0,0,(N(AZ519)-N(AY519))*90/N(R519))</f>
        <v/>
      </c>
      <c r="BB519" s="7">
        <f>IFERROR(AZ519-VLOOKUP($E519,Assumptions!$A$40:$C$43,3,FALSE),"")</f>
        <v/>
      </c>
      <c r="BC519" s="3">
        <f>IFERROR(BB519/H519,"")</f>
        <v/>
      </c>
      <c r="BD519">
        <f>IF(AND($G519=TRUE,$E519="GKP"),AZ519,"")</f>
        <v/>
      </c>
      <c r="BE519">
        <f>IF(AND($G519=TRUE,$E519="DEF"),AZ519,"")</f>
        <v/>
      </c>
      <c r="BF519">
        <f>IF(AND($G519=TRUE,$E519="MID"),AZ519,"")</f>
        <v/>
      </c>
      <c r="BG519">
        <f>IF(AND($G519=TRUE,$E519="FWD"),AZ519,"")</f>
        <v/>
      </c>
      <c r="BH519" t="n">
        <v>2</v>
      </c>
      <c r="BI519" t="n">
        <v>2</v>
      </c>
      <c r="BJ519" t="n">
        <v>4</v>
      </c>
      <c r="BK519" t="n">
        <v>6</v>
      </c>
    </row>
    <row r="520">
      <c r="A520" t="inlineStr">
        <is>
          <t>Jarrod Bowen</t>
        </is>
      </c>
      <c r="C520" t="inlineStr">
        <is>
          <t>WHU</t>
        </is>
      </c>
      <c r="D520" t="b">
        <v>0</v>
      </c>
      <c r="F520" t="inlineStr">
        <is>
          <t>FWD</t>
        </is>
      </c>
      <c r="G520" t="b">
        <v>0</v>
      </c>
      <c r="H520" s="2" t="n"/>
      <c r="K520" s="2" t="n">
        <v>3405</v>
      </c>
      <c r="M520" s="3" t="n"/>
      <c r="N520" s="8" t="n">
        <v>3405</v>
      </c>
      <c r="O520" s="8" t="n">
        <v>0</v>
      </c>
      <c r="R520" s="6" t="n">
        <v>3405</v>
      </c>
      <c r="S520" t="inlineStr">
        <is>
          <t>25/26 actual</t>
        </is>
      </c>
      <c r="U520" s="6" t="n">
        <v>87.3</v>
      </c>
      <c r="V520" s="2" t="n">
        <v>38</v>
      </c>
      <c r="W520" s="7">
        <f>IF(N(U520)&lt;=0,0,MIN(Assumptions!$B$15,N(R520)/N(U520)))</f>
        <v/>
      </c>
      <c r="X520" s="6" t="n"/>
      <c r="Y520" s="3" t="n">
        <v>0.1842</v>
      </c>
      <c r="Z520" t="inlineStr">
        <is>
          <t>adjusted xGOT</t>
        </is>
      </c>
      <c r="AA520" s="3" t="n">
        <v>0.908</v>
      </c>
      <c r="AB520" s="3" t="n">
        <v>1.063</v>
      </c>
      <c r="AC520" s="3" t="n">
        <v>37.2</v>
      </c>
      <c r="AD520" s="3" t="n">
        <v>0.2229</v>
      </c>
      <c r="AE520" s="3" t="n">
        <v>6.966</v>
      </c>
      <c r="AF520" s="3" t="n">
        <v>0</v>
      </c>
      <c r="AG520" s="3" t="n">
        <v>4.339</v>
      </c>
      <c r="AH520" s="3" t="n">
        <v>0</v>
      </c>
      <c r="AI520" s="3" t="n">
        <v>76</v>
      </c>
      <c r="AJ520" s="3" t="n"/>
      <c r="AK520" s="3" t="n"/>
      <c r="AL520" s="3" t="n"/>
      <c r="AM520" s="6" t="n">
        <v>0</v>
      </c>
      <c r="AN520" s="3" t="n">
        <v>0</v>
      </c>
      <c r="AO520" s="3" t="n">
        <v>0</v>
      </c>
      <c r="AP520" s="3" t="n">
        <v>0</v>
      </c>
      <c r="AQ520" s="3">
        <f>N(X520)*N(BJ520)</f>
        <v/>
      </c>
      <c r="AR520" s="3" t="n">
        <v>0</v>
      </c>
      <c r="AS520" s="3" t="n">
        <v>0</v>
      </c>
      <c r="AT520" s="3" t="n">
        <v>0</v>
      </c>
      <c r="AU520" s="3">
        <f>SUM(AO520:AT520)</f>
        <v/>
      </c>
      <c r="AV520" s="7">
        <f>IF(OR(N(W520)&lt;=0,N(BH520)=0),0,N(W520)*IF(N(R520)/N(W520)&gt;=60,N(BH520),1))</f>
        <v/>
      </c>
      <c r="AW520" s="7">
        <f>N(W520)*N(AF520)*N(BI520)</f>
        <v/>
      </c>
      <c r="AX520" s="3">
        <f>IF(N(BH520)=0,0,N(W520)*N(AH520))</f>
        <v/>
      </c>
      <c r="AY520" s="7">
        <f>N(AM520)*(Assumptions!$B$13*N(BK520)-(1-Assumptions!$B$13)*Assumptions!$B$14)+N(AN520)</f>
        <v/>
      </c>
      <c r="AZ520" s="7">
        <f>N(AU520)*N(R520)/90+N(AV520)+N(AW520)+N(AX520)+N(AY520)</f>
        <v/>
      </c>
      <c r="BA520" s="3">
        <f>IF(N(R520)&lt;=0,0,(N(AZ520)-N(AY520))*90/N(R520))</f>
        <v/>
      </c>
      <c r="BB520" s="7">
        <f>IFERROR(AZ520-VLOOKUP($E520,Assumptions!$A$40:$C$43,3,FALSE),"")</f>
        <v/>
      </c>
      <c r="BC520" s="3">
        <f>IFERROR(BB520/H520,"")</f>
        <v/>
      </c>
      <c r="BD520">
        <f>IF(AND($G520=TRUE,$E520="GKP"),AZ520,"")</f>
        <v/>
      </c>
      <c r="BE520">
        <f>IF(AND($G520=TRUE,$E520="DEF"),AZ520,"")</f>
        <v/>
      </c>
      <c r="BF520">
        <f>IF(AND($G520=TRUE,$E520="MID"),AZ520,"")</f>
        <v/>
      </c>
      <c r="BG520">
        <f>IF(AND($G520=TRUE,$E520="FWD"),AZ520,"")</f>
        <v/>
      </c>
      <c r="BH520" t="n">
        <v>0</v>
      </c>
      <c r="BI520" t="n">
        <v>0</v>
      </c>
      <c r="BJ520" t="n">
        <v>0</v>
      </c>
      <c r="BK520" t="n">
        <v>0</v>
      </c>
    </row>
    <row r="521">
      <c r="A521" t="inlineStr">
        <is>
          <t>Marc Cucurella</t>
        </is>
      </c>
      <c r="C521" t="inlineStr">
        <is>
          <t>CHE</t>
        </is>
      </c>
      <c r="D521" t="b">
        <v>0</v>
      </c>
      <c r="F521" t="inlineStr">
        <is>
          <t>DEF</t>
        </is>
      </c>
      <c r="G521" t="b">
        <v>0</v>
      </c>
      <c r="H521" s="2" t="n"/>
      <c r="K521" s="2" t="n">
        <v>2710</v>
      </c>
      <c r="M521" s="3" t="n"/>
      <c r="N521" s="8" t="n">
        <v>2710</v>
      </c>
      <c r="O521" s="8" t="n">
        <v>0</v>
      </c>
      <c r="R521" s="6" t="n">
        <v>2710</v>
      </c>
      <c r="S521" t="inlineStr">
        <is>
          <t>25/26 actual</t>
        </is>
      </c>
      <c r="U521" s="6" t="n">
        <v>86</v>
      </c>
      <c r="V521" s="2" t="n">
        <v>30</v>
      </c>
      <c r="W521" s="7">
        <f>IF(N(U521)&lt;=0,0,MIN(Assumptions!$B$15,N(R521)/N(U521)))</f>
        <v/>
      </c>
      <c r="X521" s="6" t="n"/>
      <c r="Y521" s="3" t="n">
        <v>0.081</v>
      </c>
      <c r="Z521" t="inlineStr">
        <is>
          <t>adjusted xGOT</t>
        </is>
      </c>
      <c r="AA521" s="3" t="n">
        <v>1</v>
      </c>
      <c r="AB521" s="3" t="n">
        <v>1.043</v>
      </c>
      <c r="AC521" s="3" t="n">
        <v>6.7</v>
      </c>
      <c r="AD521" s="3" t="n">
        <v>0.1508</v>
      </c>
      <c r="AE521" s="3" t="n">
        <v>6.396</v>
      </c>
      <c r="AF521" s="3" t="n">
        <v>0</v>
      </c>
      <c r="AG521" s="3" t="n">
        <v>9.000999999999999</v>
      </c>
      <c r="AH521" s="3" t="n">
        <v>0</v>
      </c>
      <c r="AI521" s="3" t="n">
        <v>63</v>
      </c>
      <c r="AJ521" s="3" t="n"/>
      <c r="AK521" s="3" t="n"/>
      <c r="AL521" s="3" t="n"/>
      <c r="AM521" s="6" t="n">
        <v>0</v>
      </c>
      <c r="AN521" s="3" t="n">
        <v>0</v>
      </c>
      <c r="AO521" s="3" t="n">
        <v>0</v>
      </c>
      <c r="AP521" s="3" t="n">
        <v>0</v>
      </c>
      <c r="AQ521" s="3">
        <f>N(X521)*N(BJ521)</f>
        <v/>
      </c>
      <c r="AR521" s="3" t="n">
        <v>0</v>
      </c>
      <c r="AS521" s="3" t="n">
        <v>0</v>
      </c>
      <c r="AT521" s="3" t="n">
        <v>0</v>
      </c>
      <c r="AU521" s="3">
        <f>SUM(AO521:AT521)</f>
        <v/>
      </c>
      <c r="AV521" s="7">
        <f>IF(OR(N(W521)&lt;=0,N(BH521)=0),0,N(W521)*IF(N(R521)/N(W521)&gt;=60,N(BH521),1))</f>
        <v/>
      </c>
      <c r="AW521" s="7">
        <f>N(W521)*N(AF521)*N(BI521)</f>
        <v/>
      </c>
      <c r="AX521" s="3">
        <f>IF(N(BH521)=0,0,N(W521)*N(AH521))</f>
        <v/>
      </c>
      <c r="AY521" s="7">
        <f>N(AM521)*(Assumptions!$B$13*N(BK521)-(1-Assumptions!$B$13)*Assumptions!$B$14)+N(AN521)</f>
        <v/>
      </c>
      <c r="AZ521" s="7">
        <f>N(AU521)*N(R521)/90+N(AV521)+N(AW521)+N(AX521)+N(AY521)</f>
        <v/>
      </c>
      <c r="BA521" s="3">
        <f>IF(N(R521)&lt;=0,0,(N(AZ521)-N(AY521))*90/N(R521))</f>
        <v/>
      </c>
      <c r="BB521" s="7">
        <f>IFERROR(AZ521-VLOOKUP($E521,Assumptions!$A$40:$C$43,3,FALSE),"")</f>
        <v/>
      </c>
      <c r="BC521" s="3">
        <f>IFERROR(BB521/H521,"")</f>
        <v/>
      </c>
      <c r="BD521">
        <f>IF(AND($G521=TRUE,$E521="GKP"),AZ521,"")</f>
        <v/>
      </c>
      <c r="BE521">
        <f>IF(AND($G521=TRUE,$E521="DEF"),AZ521,"")</f>
        <v/>
      </c>
      <c r="BF521">
        <f>IF(AND($G521=TRUE,$E521="MID"),AZ521,"")</f>
        <v/>
      </c>
      <c r="BG521">
        <f>IF(AND($G521=TRUE,$E521="FWD"),AZ521,"")</f>
        <v/>
      </c>
      <c r="BH521" t="n">
        <v>0</v>
      </c>
      <c r="BI521" t="n">
        <v>0</v>
      </c>
      <c r="BJ521" t="n">
        <v>0</v>
      </c>
      <c r="BK521" t="n">
        <v>0</v>
      </c>
    </row>
    <row r="522">
      <c r="A522" t="inlineStr">
        <is>
          <t>Jacob Bruun Larsen</t>
        </is>
      </c>
      <c r="C522" t="inlineStr">
        <is>
          <t>BUR</t>
        </is>
      </c>
      <c r="D522" t="b">
        <v>0</v>
      </c>
      <c r="F522" t="inlineStr">
        <is>
          <t>MID</t>
        </is>
      </c>
      <c r="G522" t="b">
        <v>0</v>
      </c>
      <c r="H522" s="2" t="n"/>
      <c r="K522" s="2" t="n">
        <v>1023</v>
      </c>
      <c r="M522" s="3" t="n"/>
      <c r="N522" s="8" t="n">
        <v>1023</v>
      </c>
      <c r="O522" s="8" t="n">
        <v>0</v>
      </c>
      <c r="R522" s="6" t="n">
        <v>1023</v>
      </c>
      <c r="S522" t="inlineStr">
        <is>
          <t>25/26 actual</t>
        </is>
      </c>
      <c r="U522" s="6" t="n">
        <v>73.59999999999999</v>
      </c>
      <c r="V522" s="2" t="n">
        <v>10</v>
      </c>
      <c r="W522" s="7">
        <f>IF(N(U522)&lt;=0,0,MIN(Assumptions!$B$15,N(R522)/N(U522)))</f>
        <v/>
      </c>
      <c r="X522" s="6" t="n"/>
      <c r="Y522" s="3" t="n">
        <v>0.1169</v>
      </c>
      <c r="Z522" t="inlineStr">
        <is>
          <t>adjusted xGOT</t>
        </is>
      </c>
      <c r="AA522" s="3" t="n">
        <v>1</v>
      </c>
      <c r="AB522" s="3" t="n">
        <v>0.97</v>
      </c>
      <c r="AC522" s="3" t="n">
        <v>6</v>
      </c>
      <c r="AD522" s="3" t="n">
        <v>0.1213</v>
      </c>
      <c r="AE522" s="3" t="n">
        <v>6.831</v>
      </c>
      <c r="AF522" s="3" t="n">
        <v>0</v>
      </c>
      <c r="AG522" s="3" t="n">
        <v>4.078</v>
      </c>
      <c r="AH522" s="3" t="n">
        <v>0</v>
      </c>
      <c r="AI522" s="3" t="n">
        <v>35</v>
      </c>
      <c r="AJ522" s="3" t="n"/>
      <c r="AK522" s="3" t="n"/>
      <c r="AL522" s="3" t="n"/>
      <c r="AM522" s="6" t="n">
        <v>0</v>
      </c>
      <c r="AN522" s="3" t="n">
        <v>0</v>
      </c>
      <c r="AO522" s="3" t="n">
        <v>0</v>
      </c>
      <c r="AP522" s="3" t="n">
        <v>0</v>
      </c>
      <c r="AQ522" s="3">
        <f>N(X522)*N(BJ522)</f>
        <v/>
      </c>
      <c r="AR522" s="3" t="n">
        <v>0</v>
      </c>
      <c r="AS522" s="3" t="n">
        <v>0</v>
      </c>
      <c r="AT522" s="3" t="n">
        <v>0</v>
      </c>
      <c r="AU522" s="3">
        <f>SUM(AO522:AT522)</f>
        <v/>
      </c>
      <c r="AV522" s="7">
        <f>IF(OR(N(W522)&lt;=0,N(BH522)=0),0,N(W522)*IF(N(R522)/N(W522)&gt;=60,N(BH522),1))</f>
        <v/>
      </c>
      <c r="AW522" s="7">
        <f>N(W522)*N(AF522)*N(BI522)</f>
        <v/>
      </c>
      <c r="AX522" s="3">
        <f>IF(N(BH522)=0,0,N(W522)*N(AH522))</f>
        <v/>
      </c>
      <c r="AY522" s="7">
        <f>N(AM522)*(Assumptions!$B$13*N(BK522)-(1-Assumptions!$B$13)*Assumptions!$B$14)+N(AN522)</f>
        <v/>
      </c>
      <c r="AZ522" s="7">
        <f>N(AU522)*N(R522)/90+N(AV522)+N(AW522)+N(AX522)+N(AY522)</f>
        <v/>
      </c>
      <c r="BA522" s="3">
        <f>IF(N(R522)&lt;=0,0,(N(AZ522)-N(AY522))*90/N(R522))</f>
        <v/>
      </c>
      <c r="BB522" s="7">
        <f>IFERROR(AZ522-VLOOKUP($E522,Assumptions!$A$40:$C$43,3,FALSE),"")</f>
        <v/>
      </c>
      <c r="BC522" s="3">
        <f>IFERROR(BB522/H522,"")</f>
        <v/>
      </c>
      <c r="BD522">
        <f>IF(AND($G522=TRUE,$E522="GKP"),AZ522,"")</f>
        <v/>
      </c>
      <c r="BE522">
        <f>IF(AND($G522=TRUE,$E522="DEF"),AZ522,"")</f>
        <v/>
      </c>
      <c r="BF522">
        <f>IF(AND($G522=TRUE,$E522="MID"),AZ522,"")</f>
        <v/>
      </c>
      <c r="BG522">
        <f>IF(AND($G522=TRUE,$E522="FWD"),AZ522,"")</f>
        <v/>
      </c>
      <c r="BH522" t="n">
        <v>0</v>
      </c>
      <c r="BI522" t="n">
        <v>0</v>
      </c>
      <c r="BJ522" t="n">
        <v>0</v>
      </c>
      <c r="BK522" t="n">
        <v>0</v>
      </c>
    </row>
    <row r="523">
      <c r="A523" t="inlineStr">
        <is>
          <t>Axel Tuanzebe</t>
        </is>
      </c>
      <c r="C523" t="inlineStr">
        <is>
          <t>BUR</t>
        </is>
      </c>
      <c r="D523" t="b">
        <v>0</v>
      </c>
      <c r="F523" t="inlineStr">
        <is>
          <t>DEF</t>
        </is>
      </c>
      <c r="G523" t="b">
        <v>0</v>
      </c>
      <c r="H523" s="2" t="n"/>
      <c r="K523" s="2" t="n">
        <v>1202</v>
      </c>
      <c r="M523" s="3" t="n"/>
      <c r="N523" s="8" t="n">
        <v>1202</v>
      </c>
      <c r="O523" s="8" t="n">
        <v>0</v>
      </c>
      <c r="R523" s="6" t="n">
        <v>1202</v>
      </c>
      <c r="S523" t="inlineStr">
        <is>
          <t>25/26 actual</t>
        </is>
      </c>
      <c r="U523" s="6" t="n">
        <v>85.7</v>
      </c>
      <c r="V523" s="2" t="n">
        <v>14</v>
      </c>
      <c r="W523" s="7">
        <f>IF(N(U523)&lt;=0,0,MIN(Assumptions!$B$15,N(R523)/N(U523)))</f>
        <v/>
      </c>
      <c r="X523" s="6" t="n"/>
      <c r="Y523" s="3" t="n">
        <v>0.0461</v>
      </c>
      <c r="Z523" t="inlineStr">
        <is>
          <t>adjusted xGOT</t>
        </is>
      </c>
      <c r="AA523" s="3" t="n">
        <v>1</v>
      </c>
      <c r="AB523" s="3" t="n">
        <v>1.009</v>
      </c>
      <c r="AC523" s="3" t="n">
        <v>0.8</v>
      </c>
      <c r="AD523" s="3" t="n">
        <v>0</v>
      </c>
      <c r="AE523" s="3" t="n">
        <v>8.502000000000001</v>
      </c>
      <c r="AF523" s="3" t="n">
        <v>0</v>
      </c>
      <c r="AG523" s="3" t="n">
        <v>7.348</v>
      </c>
      <c r="AH523" s="3" t="n">
        <v>0</v>
      </c>
      <c r="AI523" s="3" t="n">
        <v>27</v>
      </c>
      <c r="AJ523" s="3" t="n"/>
      <c r="AK523" s="3" t="n"/>
      <c r="AL523" s="3" t="n"/>
      <c r="AM523" s="6" t="n">
        <v>0</v>
      </c>
      <c r="AN523" s="3" t="n">
        <v>0</v>
      </c>
      <c r="AO523" s="3" t="n">
        <v>0</v>
      </c>
      <c r="AP523" s="3" t="n">
        <v>0</v>
      </c>
      <c r="AQ523" s="3">
        <f>N(X523)*N(BJ523)</f>
        <v/>
      </c>
      <c r="AR523" s="3" t="n">
        <v>0</v>
      </c>
      <c r="AS523" s="3" t="n">
        <v>0</v>
      </c>
      <c r="AT523" s="3" t="n">
        <v>0</v>
      </c>
      <c r="AU523" s="3">
        <f>SUM(AO523:AT523)</f>
        <v/>
      </c>
      <c r="AV523" s="7">
        <f>IF(OR(N(W523)&lt;=0,N(BH523)=0),0,N(W523)*IF(N(R523)/N(W523)&gt;=60,N(BH523),1))</f>
        <v/>
      </c>
      <c r="AW523" s="7">
        <f>N(W523)*N(AF523)*N(BI523)</f>
        <v/>
      </c>
      <c r="AX523" s="3">
        <f>IF(N(BH523)=0,0,N(W523)*N(AH523))</f>
        <v/>
      </c>
      <c r="AY523" s="7">
        <f>N(AM523)*(Assumptions!$B$13*N(BK523)-(1-Assumptions!$B$13)*Assumptions!$B$14)+N(AN523)</f>
        <v/>
      </c>
      <c r="AZ523" s="7">
        <f>N(AU523)*N(R523)/90+N(AV523)+N(AW523)+N(AX523)+N(AY523)</f>
        <v/>
      </c>
      <c r="BA523" s="3">
        <f>IF(N(R523)&lt;=0,0,(N(AZ523)-N(AY523))*90/N(R523))</f>
        <v/>
      </c>
      <c r="BB523" s="7">
        <f>IFERROR(AZ523-VLOOKUP($E523,Assumptions!$A$40:$C$43,3,FALSE),"")</f>
        <v/>
      </c>
      <c r="BC523" s="3">
        <f>IFERROR(BB523/H523,"")</f>
        <v/>
      </c>
      <c r="BD523">
        <f>IF(AND($G523=TRUE,$E523="GKP"),AZ523,"")</f>
        <v/>
      </c>
      <c r="BE523">
        <f>IF(AND($G523=TRUE,$E523="DEF"),AZ523,"")</f>
        <v/>
      </c>
      <c r="BF523">
        <f>IF(AND($G523=TRUE,$E523="MID"),AZ523,"")</f>
        <v/>
      </c>
      <c r="BG523">
        <f>IF(AND($G523=TRUE,$E523="FWD"),AZ523,"")</f>
        <v/>
      </c>
      <c r="BH523" t="n">
        <v>0</v>
      </c>
      <c r="BI523" t="n">
        <v>0</v>
      </c>
      <c r="BJ523" t="n">
        <v>0</v>
      </c>
      <c r="BK523" t="n">
        <v>0</v>
      </c>
    </row>
    <row r="524">
      <c r="A524" t="inlineStr">
        <is>
          <t>Cédric Kipré</t>
        </is>
      </c>
      <c r="B524" t="inlineStr">
        <is>
          <t>IPS</t>
        </is>
      </c>
      <c r="D524" t="b">
        <v>0</v>
      </c>
      <c r="E524" t="inlineStr">
        <is>
          <t>DEF</t>
        </is>
      </c>
      <c r="G524" t="b">
        <v>1</v>
      </c>
      <c r="H524" s="2" t="n">
        <v>4</v>
      </c>
      <c r="I524" t="inlineStr">
        <is>
          <t>a</t>
        </is>
      </c>
      <c r="K524" s="2" t="n"/>
      <c r="M524" s="3" t="n">
        <v>193</v>
      </c>
      <c r="N524" s="8" t="n">
        <v>193</v>
      </c>
      <c r="O524" s="8" t="n">
        <v>0</v>
      </c>
      <c r="Q524" t="inlineStr">
        <is>
          <t>flat</t>
        </is>
      </c>
      <c r="R524" s="6" t="n">
        <v>193</v>
      </c>
      <c r="S524" t="inlineStr">
        <is>
          <t>Solio</t>
        </is>
      </c>
      <c r="U524" s="6" t="n">
        <v>85</v>
      </c>
      <c r="V524" s="2" t="n"/>
      <c r="W524" s="7">
        <f>IF(N(U524)&lt;=0,0,MIN(Assumptions!$B$15,N(R524)/N(U524)))</f>
        <v/>
      </c>
      <c r="X524" s="6" t="n">
        <v>0.17</v>
      </c>
      <c r="Y524" s="3" t="n"/>
      <c r="Z524" t="inlineStr"/>
      <c r="AA524" s="3" t="n">
        <v>1</v>
      </c>
      <c r="AB524" s="3" t="n"/>
      <c r="AC524" s="3" t="n"/>
      <c r="AD524" s="3" t="n"/>
      <c r="AE524" s="3" t="n"/>
      <c r="AF524" s="3" t="n">
        <v>0</v>
      </c>
      <c r="AG524" s="3" t="n"/>
      <c r="AH524" s="3" t="n">
        <v>0</v>
      </c>
      <c r="AI524" s="3" t="n"/>
      <c r="AJ524" s="3" t="n">
        <v>3.5741</v>
      </c>
      <c r="AK524" s="3" t="n">
        <v>1.8319</v>
      </c>
      <c r="AL524" s="3" t="n">
        <v>-0.2045226422080557</v>
      </c>
      <c r="AM524" s="6" t="n">
        <v>0</v>
      </c>
      <c r="AN524" s="3" t="n">
        <v>0</v>
      </c>
      <c r="AO524" s="3" t="n">
        <v>0</v>
      </c>
      <c r="AP524" s="3" t="n">
        <v>0</v>
      </c>
      <c r="AQ524" s="3">
        <f>N(X524)*N(BJ524)</f>
        <v/>
      </c>
      <c r="AR524" s="3" t="n">
        <v>0</v>
      </c>
      <c r="AS524" s="3" t="n">
        <v>-0.6723587286814016</v>
      </c>
      <c r="AT524" s="3" t="n">
        <v>-0.2045226422080557</v>
      </c>
      <c r="AU524" s="3">
        <f>SUM(AO524:AT524)</f>
        <v/>
      </c>
      <c r="AV524" s="7">
        <f>IF(OR(N(W524)&lt;=0,N(BH524)=0),0,N(W524)*IF(N(R524)/N(W524)&gt;=60,N(BH524),1))</f>
        <v/>
      </c>
      <c r="AW524" s="7">
        <f>N(W524)*N(AF524)*N(BI524)</f>
        <v/>
      </c>
      <c r="AX524" s="3">
        <f>IF(N(BH524)=0,0,N(W524)*N(AH524))</f>
        <v/>
      </c>
      <c r="AY524" s="7">
        <f>N(AM524)*(Assumptions!$B$13*N(BK524)-(1-Assumptions!$B$13)*Assumptions!$B$14)+N(AN524)</f>
        <v/>
      </c>
      <c r="AZ524" s="7">
        <f>N(AU524)*N(R524)/90+N(AV524)+N(AW524)+N(AX524)+N(AY524)</f>
        <v/>
      </c>
      <c r="BA524" s="3">
        <f>IF(N(R524)&lt;=0,0,(N(AZ524)-N(AY524))*90/N(R524))</f>
        <v/>
      </c>
      <c r="BB524" s="7">
        <f>IFERROR(AZ524-VLOOKUP($E524,Assumptions!$A$40:$C$43,3,FALSE),"")</f>
        <v/>
      </c>
      <c r="BC524" s="3">
        <f>IFERROR(BB524/H524,"")</f>
        <v/>
      </c>
      <c r="BD524">
        <f>IF(AND($G524=TRUE,$E524="GKP"),AZ524,"")</f>
        <v/>
      </c>
      <c r="BE524">
        <f>IF(AND($G524=TRUE,$E524="DEF"),AZ524,"")</f>
        <v/>
      </c>
      <c r="BF524">
        <f>IF(AND($G524=TRUE,$E524="MID"),AZ524,"")</f>
        <v/>
      </c>
      <c r="BG524">
        <f>IF(AND($G524=TRUE,$E524="FWD"),AZ524,"")</f>
        <v/>
      </c>
      <c r="BH524" t="n">
        <v>2</v>
      </c>
      <c r="BI524" t="n">
        <v>2</v>
      </c>
      <c r="BJ524" t="n">
        <v>4</v>
      </c>
      <c r="BK524" t="n">
        <v>6</v>
      </c>
    </row>
    <row r="525">
      <c r="A525" t="inlineStr">
        <is>
          <t>Hwang Hee-Chan</t>
        </is>
      </c>
      <c r="C525" t="inlineStr">
        <is>
          <t>WOL</t>
        </is>
      </c>
      <c r="D525" t="b">
        <v>0</v>
      </c>
      <c r="F525" t="inlineStr">
        <is>
          <t>MID</t>
        </is>
      </c>
      <c r="G525" t="b">
        <v>0</v>
      </c>
      <c r="H525" s="2" t="n"/>
      <c r="K525" s="2" t="n">
        <v>1452</v>
      </c>
      <c r="M525" s="3" t="n"/>
      <c r="N525" s="8" t="n">
        <v>1452</v>
      </c>
      <c r="O525" s="8" t="n">
        <v>0</v>
      </c>
      <c r="R525" s="6" t="n">
        <v>1452</v>
      </c>
      <c r="S525" t="inlineStr">
        <is>
          <t>25/26 actual</t>
        </is>
      </c>
      <c r="U525" s="6" t="n">
        <v>75.40000000000001</v>
      </c>
      <c r="V525" s="2" t="n">
        <v>18</v>
      </c>
      <c r="W525" s="7">
        <f>IF(N(U525)&lt;=0,0,MIN(Assumptions!$B$15,N(R525)/N(U525)))</f>
        <v/>
      </c>
      <c r="X525" s="6" t="n"/>
      <c r="Y525" s="3" t="n">
        <v>0.1012</v>
      </c>
      <c r="Z525" t="inlineStr">
        <is>
          <t>adjusted xGOT</t>
        </is>
      </c>
      <c r="AA525" s="3" t="n">
        <v>0.714</v>
      </c>
      <c r="AB525" s="3" t="n">
        <v>0.965</v>
      </c>
      <c r="AC525" s="3" t="n">
        <v>13.7</v>
      </c>
      <c r="AD525" s="3" t="n">
        <v>0.1166</v>
      </c>
      <c r="AE525" s="3" t="n">
        <v>6.862</v>
      </c>
      <c r="AF525" s="3" t="n">
        <v>0</v>
      </c>
      <c r="AG525" s="3" t="n">
        <v>2.84</v>
      </c>
      <c r="AH525" s="3" t="n">
        <v>0</v>
      </c>
      <c r="AI525" s="3" t="n">
        <v>41</v>
      </c>
      <c r="AJ525" s="3" t="n"/>
      <c r="AK525" s="3" t="n"/>
      <c r="AL525" s="3" t="n"/>
      <c r="AM525" s="6" t="n">
        <v>0</v>
      </c>
      <c r="AN525" s="3" t="n">
        <v>0</v>
      </c>
      <c r="AO525" s="3" t="n">
        <v>0</v>
      </c>
      <c r="AP525" s="3" t="n">
        <v>0</v>
      </c>
      <c r="AQ525" s="3">
        <f>N(X525)*N(BJ525)</f>
        <v/>
      </c>
      <c r="AR525" s="3" t="n">
        <v>0</v>
      </c>
      <c r="AS525" s="3" t="n">
        <v>0</v>
      </c>
      <c r="AT525" s="3" t="n">
        <v>0</v>
      </c>
      <c r="AU525" s="3">
        <f>SUM(AO525:AT525)</f>
        <v/>
      </c>
      <c r="AV525" s="7">
        <f>IF(OR(N(W525)&lt;=0,N(BH525)=0),0,N(W525)*IF(N(R525)/N(W525)&gt;=60,N(BH525),1))</f>
        <v/>
      </c>
      <c r="AW525" s="7">
        <f>N(W525)*N(AF525)*N(BI525)</f>
        <v/>
      </c>
      <c r="AX525" s="3">
        <f>IF(N(BH525)=0,0,N(W525)*N(AH525))</f>
        <v/>
      </c>
      <c r="AY525" s="7">
        <f>N(AM525)*(Assumptions!$B$13*N(BK525)-(1-Assumptions!$B$13)*Assumptions!$B$14)+N(AN525)</f>
        <v/>
      </c>
      <c r="AZ525" s="7">
        <f>N(AU525)*N(R525)/90+N(AV525)+N(AW525)+N(AX525)+N(AY525)</f>
        <v/>
      </c>
      <c r="BA525" s="3">
        <f>IF(N(R525)&lt;=0,0,(N(AZ525)-N(AY525))*90/N(R525))</f>
        <v/>
      </c>
      <c r="BB525" s="7">
        <f>IFERROR(AZ525-VLOOKUP($E525,Assumptions!$A$40:$C$43,3,FALSE),"")</f>
        <v/>
      </c>
      <c r="BC525" s="3">
        <f>IFERROR(BB525/H525,"")</f>
        <v/>
      </c>
      <c r="BD525">
        <f>IF(AND($G525=TRUE,$E525="GKP"),AZ525,"")</f>
        <v/>
      </c>
      <c r="BE525">
        <f>IF(AND($G525=TRUE,$E525="DEF"),AZ525,"")</f>
        <v/>
      </c>
      <c r="BF525">
        <f>IF(AND($G525=TRUE,$E525="MID"),AZ525,"")</f>
        <v/>
      </c>
      <c r="BG525">
        <f>IF(AND($G525=TRUE,$E525="FWD"),AZ525,"")</f>
        <v/>
      </c>
      <c r="BH525" t="n">
        <v>0</v>
      </c>
      <c r="BI525" t="n">
        <v>0</v>
      </c>
      <c r="BJ525" t="n">
        <v>0</v>
      </c>
      <c r="BK525" t="n">
        <v>0</v>
      </c>
    </row>
    <row r="526">
      <c r="A526" t="inlineStr">
        <is>
          <t>Lewie Coyle</t>
        </is>
      </c>
      <c r="B526" t="inlineStr">
        <is>
          <t>HUL</t>
        </is>
      </c>
      <c r="D526" t="b">
        <v>0</v>
      </c>
      <c r="E526" t="inlineStr">
        <is>
          <t>DEF</t>
        </is>
      </c>
      <c r="G526" t="b">
        <v>1</v>
      </c>
      <c r="H526" s="2" t="n">
        <v>4</v>
      </c>
      <c r="I526" t="inlineStr">
        <is>
          <t>a</t>
        </is>
      </c>
      <c r="K526" s="2" t="n"/>
      <c r="M526" s="3" t="n">
        <v>2833</v>
      </c>
      <c r="N526" s="8" t="n">
        <v>2833</v>
      </c>
      <c r="O526" s="8" t="n">
        <v>0</v>
      </c>
      <c r="Q526" t="inlineStr">
        <is>
          <t>flat</t>
        </is>
      </c>
      <c r="R526" s="6" t="n">
        <v>2833</v>
      </c>
      <c r="S526" t="inlineStr">
        <is>
          <t>Solio</t>
        </is>
      </c>
      <c r="U526" s="6" t="n">
        <v>85</v>
      </c>
      <c r="V526" s="2" t="n"/>
      <c r="W526" s="7">
        <f>IF(N(U526)&lt;=0,0,MIN(Assumptions!$B$15,N(R526)/N(U526)))</f>
        <v/>
      </c>
      <c r="X526" s="6" t="n">
        <v>0.143</v>
      </c>
      <c r="Y526" s="3" t="n"/>
      <c r="Z526" t="inlineStr"/>
      <c r="AA526" s="3" t="n">
        <v>1</v>
      </c>
      <c r="AB526" s="3" t="n"/>
      <c r="AC526" s="3" t="n"/>
      <c r="AD526" s="3" t="n"/>
      <c r="AE526" s="3" t="n"/>
      <c r="AF526" s="3" t="n">
        <v>0</v>
      </c>
      <c r="AG526" s="3" t="n"/>
      <c r="AH526" s="3" t="n">
        <v>0</v>
      </c>
      <c r="AI526" s="3" t="n"/>
      <c r="AJ526" s="3" t="n">
        <v>3.9421</v>
      </c>
      <c r="AK526" s="3" t="n">
        <v>1.99</v>
      </c>
      <c r="AL526" s="3" t="n">
        <v>-0.2045226422080557</v>
      </c>
      <c r="AM526" s="6" t="n">
        <v>0</v>
      </c>
      <c r="AN526" s="3" t="n">
        <v>0</v>
      </c>
      <c r="AO526" s="3" t="n">
        <v>0</v>
      </c>
      <c r="AP526" s="3" t="n">
        <v>0</v>
      </c>
      <c r="AQ526" s="3">
        <f>N(X526)*N(BJ526)</f>
        <v/>
      </c>
      <c r="AR526" s="3" t="n">
        <v>0</v>
      </c>
      <c r="AS526" s="3" t="n">
        <v>-0.7496714098286652</v>
      </c>
      <c r="AT526" s="3" t="n">
        <v>-0.2045226422080557</v>
      </c>
      <c r="AU526" s="3">
        <f>SUM(AO526:AT526)</f>
        <v/>
      </c>
      <c r="AV526" s="7">
        <f>IF(OR(N(W526)&lt;=0,N(BH526)=0),0,N(W526)*IF(N(R526)/N(W526)&gt;=60,N(BH526),1))</f>
        <v/>
      </c>
      <c r="AW526" s="7">
        <f>N(W526)*N(AF526)*N(BI526)</f>
        <v/>
      </c>
      <c r="AX526" s="3">
        <f>IF(N(BH526)=0,0,N(W526)*N(AH526))</f>
        <v/>
      </c>
      <c r="AY526" s="7">
        <f>N(AM526)*(Assumptions!$B$13*N(BK526)-(1-Assumptions!$B$13)*Assumptions!$B$14)+N(AN526)</f>
        <v/>
      </c>
      <c r="AZ526" s="7">
        <f>N(AU526)*N(R526)/90+N(AV526)+N(AW526)+N(AX526)+N(AY526)</f>
        <v/>
      </c>
      <c r="BA526" s="3">
        <f>IF(N(R526)&lt;=0,0,(N(AZ526)-N(AY526))*90/N(R526))</f>
        <v/>
      </c>
      <c r="BB526" s="7">
        <f>IFERROR(AZ526-VLOOKUP($E526,Assumptions!$A$40:$C$43,3,FALSE),"")</f>
        <v/>
      </c>
      <c r="BC526" s="3">
        <f>IFERROR(BB526/H526,"")</f>
        <v/>
      </c>
      <c r="BD526">
        <f>IF(AND($G526=TRUE,$E526="GKP"),AZ526,"")</f>
        <v/>
      </c>
      <c r="BE526">
        <f>IF(AND($G526=TRUE,$E526="DEF"),AZ526,"")</f>
        <v/>
      </c>
      <c r="BF526">
        <f>IF(AND($G526=TRUE,$E526="MID"),AZ526,"")</f>
        <v/>
      </c>
      <c r="BG526">
        <f>IF(AND($G526=TRUE,$E526="FWD"),AZ526,"")</f>
        <v/>
      </c>
      <c r="BH526" t="n">
        <v>2</v>
      </c>
      <c r="BI526" t="n">
        <v>2</v>
      </c>
      <c r="BJ526" t="n">
        <v>4</v>
      </c>
      <c r="BK526" t="n">
        <v>6</v>
      </c>
    </row>
    <row r="527">
      <c r="A527" t="inlineStr">
        <is>
          <t>Gustavo Hamer</t>
        </is>
      </c>
      <c r="B527" t="inlineStr">
        <is>
          <t>COV</t>
        </is>
      </c>
      <c r="D527" t="b">
        <v>0</v>
      </c>
      <c r="E527" t="inlineStr">
        <is>
          <t>MID</t>
        </is>
      </c>
      <c r="G527" t="b">
        <v>1</v>
      </c>
      <c r="H527" s="2" t="n">
        <v>5.5</v>
      </c>
      <c r="I527" t="inlineStr">
        <is>
          <t>a</t>
        </is>
      </c>
      <c r="K527" s="2" t="n"/>
      <c r="M527" s="3" t="n">
        <v>1476</v>
      </c>
      <c r="N527" s="8" t="n">
        <v>1476</v>
      </c>
      <c r="O527" s="8" t="n">
        <v>0</v>
      </c>
      <c r="Q527" t="inlineStr">
        <is>
          <t>flat</t>
        </is>
      </c>
      <c r="R527" s="6" t="n">
        <v>1476</v>
      </c>
      <c r="S527" t="inlineStr">
        <is>
          <t>Solio</t>
        </is>
      </c>
      <c r="U527" s="6" t="n">
        <v>85</v>
      </c>
      <c r="V527" s="2" t="n"/>
      <c r="W527" s="7">
        <f>IF(N(U527)&lt;=0,0,MIN(Assumptions!$B$15,N(R527)/N(U527)))</f>
        <v/>
      </c>
      <c r="X527" s="6" t="n">
        <v>0.17</v>
      </c>
      <c r="Y527" s="3" t="n"/>
      <c r="Z527" t="inlineStr"/>
      <c r="AA527" s="3" t="n">
        <v>1</v>
      </c>
      <c r="AB527" s="3" t="n"/>
      <c r="AC527" s="3" t="n"/>
      <c r="AD527" s="3" t="n"/>
      <c r="AE527" s="3" t="n"/>
      <c r="AF527" s="3" t="n">
        <v>0</v>
      </c>
      <c r="AG527" s="3" t="n"/>
      <c r="AH527" s="3" t="n">
        <v>0</v>
      </c>
      <c r="AI527" s="3" t="n"/>
      <c r="AJ527" s="3" t="n">
        <v>3.6194</v>
      </c>
      <c r="AK527" s="3" t="n">
        <v>1.8271</v>
      </c>
      <c r="AL527" s="3" t="n">
        <v>-0.2514028985066805</v>
      </c>
      <c r="AM527" s="6" t="n">
        <v>0</v>
      </c>
      <c r="AN527" s="3" t="n">
        <v>0</v>
      </c>
      <c r="AO527" s="3" t="n">
        <v>0</v>
      </c>
      <c r="AP527" s="3" t="n">
        <v>0</v>
      </c>
      <c r="AQ527" s="3">
        <f>N(X527)*N(BJ527)</f>
        <v/>
      </c>
      <c r="AR527" s="3" t="n">
        <v>0</v>
      </c>
      <c r="AS527" s="3" t="n">
        <v>-0</v>
      </c>
      <c r="AT527" s="3" t="n">
        <v>-0.2514028985066805</v>
      </c>
      <c r="AU527" s="3">
        <f>SUM(AO527:AT527)</f>
        <v/>
      </c>
      <c r="AV527" s="7">
        <f>IF(OR(N(W527)&lt;=0,N(BH527)=0),0,N(W527)*IF(N(R527)/N(W527)&gt;=60,N(BH527),1))</f>
        <v/>
      </c>
      <c r="AW527" s="7">
        <f>N(W527)*N(AF527)*N(BI527)</f>
        <v/>
      </c>
      <c r="AX527" s="3">
        <f>IF(N(BH527)=0,0,N(W527)*N(AH527))</f>
        <v/>
      </c>
      <c r="AY527" s="7">
        <f>N(AM527)*(Assumptions!$B$13*N(BK527)-(1-Assumptions!$B$13)*Assumptions!$B$14)+N(AN527)</f>
        <v/>
      </c>
      <c r="AZ527" s="7">
        <f>N(AU527)*N(R527)/90+N(AV527)+N(AW527)+N(AX527)+N(AY527)</f>
        <v/>
      </c>
      <c r="BA527" s="3">
        <f>IF(N(R527)&lt;=0,0,(N(AZ527)-N(AY527))*90/N(R527))</f>
        <v/>
      </c>
      <c r="BB527" s="7">
        <f>IFERROR(AZ527-VLOOKUP($E527,Assumptions!$A$40:$C$43,3,FALSE),"")</f>
        <v/>
      </c>
      <c r="BC527" s="3">
        <f>IFERROR(BB527/H527,"")</f>
        <v/>
      </c>
      <c r="BD527">
        <f>IF(AND($G527=TRUE,$E527="GKP"),AZ527,"")</f>
        <v/>
      </c>
      <c r="BE527">
        <f>IF(AND($G527=TRUE,$E527="DEF"),AZ527,"")</f>
        <v/>
      </c>
      <c r="BF527">
        <f>IF(AND($G527=TRUE,$E527="MID"),AZ527,"")</f>
        <v/>
      </c>
      <c r="BG527">
        <f>IF(AND($G527=TRUE,$E527="FWD"),AZ527,"")</f>
        <v/>
      </c>
      <c r="BH527" t="n">
        <v>2</v>
      </c>
      <c r="BI527" t="n">
        <v>2</v>
      </c>
      <c r="BJ527" t="n">
        <v>1</v>
      </c>
      <c r="BK527" t="n">
        <v>5</v>
      </c>
    </row>
    <row r="528">
      <c r="A528" t="inlineStr">
        <is>
          <t>Guido Rodríguez</t>
        </is>
      </c>
      <c r="C528" t="inlineStr">
        <is>
          <t>WHU</t>
        </is>
      </c>
      <c r="D528" t="b">
        <v>0</v>
      </c>
      <c r="F528" t="inlineStr">
        <is>
          <t>MID</t>
        </is>
      </c>
      <c r="G528" t="b">
        <v>0</v>
      </c>
      <c r="H528" s="2" t="n"/>
      <c r="K528" s="2" t="n">
        <v>177</v>
      </c>
      <c r="M528" s="3" t="n"/>
      <c r="N528" s="8" t="n">
        <v>177</v>
      </c>
      <c r="O528" s="8" t="n">
        <v>0</v>
      </c>
      <c r="R528" s="6" t="n">
        <v>177</v>
      </c>
      <c r="S528" t="inlineStr">
        <is>
          <t>25/26 actual</t>
        </is>
      </c>
      <c r="U528" s="6" t="n">
        <v>77.8</v>
      </c>
      <c r="V528" s="2" t="n">
        <v>2</v>
      </c>
      <c r="W528" s="7">
        <f>IF(N(U528)&lt;=0,0,MIN(Assumptions!$B$15,N(R528)/N(U528)))</f>
        <v/>
      </c>
      <c r="X528" s="6" t="n"/>
      <c r="Y528" s="3" t="n">
        <v>0.0147</v>
      </c>
      <c r="Z528" t="inlineStr">
        <is>
          <t>adjusted xGOT</t>
        </is>
      </c>
      <c r="AA528" s="3" t="n">
        <v>1</v>
      </c>
      <c r="AB528" s="3" t="n">
        <v>0.97</v>
      </c>
      <c r="AC528" s="3" t="n">
        <v>0.2</v>
      </c>
      <c r="AD528" s="3" t="n">
        <v>0</v>
      </c>
      <c r="AE528" s="3" t="n">
        <v>8.407999999999999</v>
      </c>
      <c r="AF528" s="3" t="n">
        <v>0</v>
      </c>
      <c r="AG528" s="3" t="n">
        <v>6.787</v>
      </c>
      <c r="AH528" s="3" t="n">
        <v>0</v>
      </c>
      <c r="AI528" s="3" t="n">
        <v>8</v>
      </c>
      <c r="AJ528" s="3" t="n"/>
      <c r="AK528" s="3" t="n"/>
      <c r="AL528" s="3" t="n"/>
      <c r="AM528" s="6" t="n">
        <v>0</v>
      </c>
      <c r="AN528" s="3" t="n">
        <v>0</v>
      </c>
      <c r="AO528" s="3" t="n">
        <v>0</v>
      </c>
      <c r="AP528" s="3" t="n">
        <v>0</v>
      </c>
      <c r="AQ528" s="3">
        <f>N(X528)*N(BJ528)</f>
        <v/>
      </c>
      <c r="AR528" s="3" t="n">
        <v>0</v>
      </c>
      <c r="AS528" s="3" t="n">
        <v>0</v>
      </c>
      <c r="AT528" s="3" t="n">
        <v>0</v>
      </c>
      <c r="AU528" s="3">
        <f>SUM(AO528:AT528)</f>
        <v/>
      </c>
      <c r="AV528" s="7">
        <f>IF(OR(N(W528)&lt;=0,N(BH528)=0),0,N(W528)*IF(N(R528)/N(W528)&gt;=60,N(BH528),1))</f>
        <v/>
      </c>
      <c r="AW528" s="7">
        <f>N(W528)*N(AF528)*N(BI528)</f>
        <v/>
      </c>
      <c r="AX528" s="3">
        <f>IF(N(BH528)=0,0,N(W528)*N(AH528))</f>
        <v/>
      </c>
      <c r="AY528" s="7">
        <f>N(AM528)*(Assumptions!$B$13*N(BK528)-(1-Assumptions!$B$13)*Assumptions!$B$14)+N(AN528)</f>
        <v/>
      </c>
      <c r="AZ528" s="7">
        <f>N(AU528)*N(R528)/90+N(AV528)+N(AW528)+N(AX528)+N(AY528)</f>
        <v/>
      </c>
      <c r="BA528" s="3">
        <f>IF(N(R528)&lt;=0,0,(N(AZ528)-N(AY528))*90/N(R528))</f>
        <v/>
      </c>
      <c r="BB528" s="7">
        <f>IFERROR(AZ528-VLOOKUP($E528,Assumptions!$A$40:$C$43,3,FALSE),"")</f>
        <v/>
      </c>
      <c r="BC528" s="3">
        <f>IFERROR(BB528/H528,"")</f>
        <v/>
      </c>
      <c r="BD528">
        <f>IF(AND($G528=TRUE,$E528="GKP"),AZ528,"")</f>
        <v/>
      </c>
      <c r="BE528">
        <f>IF(AND($G528=TRUE,$E528="DEF"),AZ528,"")</f>
        <v/>
      </c>
      <c r="BF528">
        <f>IF(AND($G528=TRUE,$E528="MID"),AZ528,"")</f>
        <v/>
      </c>
      <c r="BG528">
        <f>IF(AND($G528=TRUE,$E528="FWD"),AZ528,"")</f>
        <v/>
      </c>
      <c r="BH528" t="n">
        <v>0</v>
      </c>
      <c r="BI528" t="n">
        <v>0</v>
      </c>
      <c r="BJ528" t="n">
        <v>0</v>
      </c>
      <c r="BK528" t="n">
        <v>0</v>
      </c>
    </row>
    <row r="529">
      <c r="A529" t="inlineStr">
        <is>
          <t>Odsonne Édouard</t>
        </is>
      </c>
      <c r="C529" t="inlineStr">
        <is>
          <t>CRY</t>
        </is>
      </c>
      <c r="D529" t="b">
        <v>0</v>
      </c>
      <c r="F529" t="inlineStr">
        <is>
          <t>FWD</t>
        </is>
      </c>
      <c r="G529" t="b">
        <v>0</v>
      </c>
      <c r="H529" s="2" t="n"/>
      <c r="K529" s="2" t="n">
        <v>2</v>
      </c>
      <c r="M529" s="3" t="n"/>
      <c r="N529" s="8" t="n">
        <v>2</v>
      </c>
      <c r="O529" s="8" t="n">
        <v>0</v>
      </c>
      <c r="R529" s="6" t="n">
        <v>2</v>
      </c>
      <c r="S529" t="inlineStr">
        <is>
          <t>25/26 actual</t>
        </is>
      </c>
      <c r="U529" s="6" t="n">
        <v>78.5</v>
      </c>
      <c r="V529" s="2" t="n">
        <v>0</v>
      </c>
      <c r="W529" s="7">
        <f>IF(N(U529)&lt;=0,0,MIN(Assumptions!$B$15,N(R529)/N(U529)))</f>
        <v/>
      </c>
      <c r="X529" s="6" t="n"/>
      <c r="Y529" s="3" t="n">
        <v>0</v>
      </c>
      <c r="Z529" t="inlineStr">
        <is>
          <t>adjusted xGOT</t>
        </is>
      </c>
      <c r="AA529" s="3" t="n">
        <v>1</v>
      </c>
      <c r="AB529" s="3" t="n">
        <v>1.124</v>
      </c>
      <c r="AC529" s="3" t="n">
        <v>10.9</v>
      </c>
      <c r="AD529" s="3" t="n"/>
      <c r="AE529" s="3" t="n">
        <v>4.904</v>
      </c>
      <c r="AF529" s="3" t="n">
        <v>0</v>
      </c>
      <c r="AG529" s="3" t="n">
        <v>1.445</v>
      </c>
      <c r="AH529" s="3" t="n">
        <v>0</v>
      </c>
      <c r="AI529" s="3" t="n">
        <v>1</v>
      </c>
      <c r="AJ529" s="3" t="n"/>
      <c r="AK529" s="3" t="n"/>
      <c r="AL529" s="3" t="n"/>
      <c r="AM529" s="6" t="n">
        <v>0</v>
      </c>
      <c r="AN529" s="3" t="n">
        <v>0</v>
      </c>
      <c r="AO529" s="3" t="n">
        <v>0</v>
      </c>
      <c r="AP529" s="3" t="n">
        <v>0</v>
      </c>
      <c r="AQ529" s="3">
        <f>N(X529)*N(BJ529)</f>
        <v/>
      </c>
      <c r="AR529" s="3" t="n">
        <v>0</v>
      </c>
      <c r="AS529" s="3" t="n">
        <v>0</v>
      </c>
      <c r="AT529" s="3" t="n">
        <v>0</v>
      </c>
      <c r="AU529" s="3">
        <f>SUM(AO529:AT529)</f>
        <v/>
      </c>
      <c r="AV529" s="7">
        <f>IF(OR(N(W529)&lt;=0,N(BH529)=0),0,N(W529)*IF(N(R529)/N(W529)&gt;=60,N(BH529),1))</f>
        <v/>
      </c>
      <c r="AW529" s="7">
        <f>N(W529)*N(AF529)*N(BI529)</f>
        <v/>
      </c>
      <c r="AX529" s="3">
        <f>IF(N(BH529)=0,0,N(W529)*N(AH529))</f>
        <v/>
      </c>
      <c r="AY529" s="7">
        <f>N(AM529)*(Assumptions!$B$13*N(BK529)-(1-Assumptions!$B$13)*Assumptions!$B$14)+N(AN529)</f>
        <v/>
      </c>
      <c r="AZ529" s="7">
        <f>N(AU529)*N(R529)/90+N(AV529)+N(AW529)+N(AX529)+N(AY529)</f>
        <v/>
      </c>
      <c r="BA529" s="3">
        <f>IF(N(R529)&lt;=0,0,(N(AZ529)-N(AY529))*90/N(R529))</f>
        <v/>
      </c>
      <c r="BB529" s="7">
        <f>IFERROR(AZ529-VLOOKUP($E529,Assumptions!$A$40:$C$43,3,FALSE),"")</f>
        <v/>
      </c>
      <c r="BC529" s="3">
        <f>IFERROR(BB529/H529,"")</f>
        <v/>
      </c>
      <c r="BD529">
        <f>IF(AND($G529=TRUE,$E529="GKP"),AZ529,"")</f>
        <v/>
      </c>
      <c r="BE529">
        <f>IF(AND($G529=TRUE,$E529="DEF"),AZ529,"")</f>
        <v/>
      </c>
      <c r="BF529">
        <f>IF(AND($G529=TRUE,$E529="MID"),AZ529,"")</f>
        <v/>
      </c>
      <c r="BG529">
        <f>IF(AND($G529=TRUE,$E529="FWD"),AZ529,"")</f>
        <v/>
      </c>
      <c r="BH529" t="n">
        <v>0</v>
      </c>
      <c r="BI529" t="n">
        <v>0</v>
      </c>
      <c r="BJ529" t="n">
        <v>0</v>
      </c>
      <c r="BK529" t="n">
        <v>0</v>
      </c>
    </row>
    <row r="530">
      <c r="A530" t="inlineStr">
        <is>
          <t>Xaver Schlager</t>
        </is>
      </c>
      <c r="B530" t="inlineStr">
        <is>
          <t>NFO</t>
        </is>
      </c>
      <c r="D530" t="b">
        <v>0</v>
      </c>
      <c r="E530" t="inlineStr">
        <is>
          <t>MID</t>
        </is>
      </c>
      <c r="G530" t="b">
        <v>1</v>
      </c>
      <c r="H530" s="2" t="n">
        <v>5</v>
      </c>
      <c r="I530" t="inlineStr">
        <is>
          <t>a</t>
        </is>
      </c>
      <c r="K530" s="2" t="n"/>
      <c r="M530" s="3" t="n">
        <v>2257</v>
      </c>
      <c r="N530" s="4" t="n">
        <v>2100</v>
      </c>
      <c r="O530" s="4" t="n">
        <v>-157</v>
      </c>
      <c r="P530" s="5" t="inlineStr">
        <is>
          <t>medium</t>
        </is>
      </c>
      <c r="Q530" t="inlineStr">
        <is>
          <t>flat</t>
        </is>
      </c>
      <c r="R530" s="6" t="n">
        <v>2100</v>
      </c>
      <c r="S530" t="inlineStr">
        <is>
          <t>research</t>
        </is>
      </c>
      <c r="T530" s="5" t="inlineStr">
        <is>
          <t>Free signing from RB Leipzig on 23 July 2026 with no Premier League record, holding the one slot that all sources treat as contested. Started vs Leverkusen, so the role is real, but Yates, Dominguez and McAtee are all realistic alternatives.</t>
        </is>
      </c>
      <c r="U530" s="6" t="n">
        <v>85</v>
      </c>
      <c r="V530" s="2" t="n"/>
      <c r="W530" s="7">
        <f>IF(N(U530)&lt;=0,0,MIN(Assumptions!$B$15,N(R530)/N(U530)))</f>
        <v/>
      </c>
      <c r="X530" s="6" t="n">
        <v>0.224</v>
      </c>
      <c r="Y530" s="3" t="n"/>
      <c r="Z530" t="inlineStr"/>
      <c r="AA530" s="3" t="n">
        <v>1</v>
      </c>
      <c r="AB530" s="3" t="n"/>
      <c r="AC530" s="3" t="n"/>
      <c r="AD530" s="3" t="n"/>
      <c r="AE530" s="3" t="n"/>
      <c r="AF530" s="3" t="n">
        <v>0</v>
      </c>
      <c r="AG530" s="3" t="n"/>
      <c r="AH530" s="3" t="n">
        <v>0</v>
      </c>
      <c r="AI530" s="3" t="n"/>
      <c r="AJ530" s="3" t="n">
        <v>3.1134</v>
      </c>
      <c r="AK530" s="3" t="n">
        <v>1.5588</v>
      </c>
      <c r="AL530" s="3" t="n">
        <v>-0.2160434166173144</v>
      </c>
      <c r="AM530" s="6" t="n">
        <v>0</v>
      </c>
      <c r="AN530" s="3" t="n">
        <v>0</v>
      </c>
      <c r="AO530" s="3" t="n">
        <v>0</v>
      </c>
      <c r="AP530" s="3" t="n">
        <v>0</v>
      </c>
      <c r="AQ530" s="3">
        <f>N(X530)*N(BJ530)</f>
        <v/>
      </c>
      <c r="AR530" s="3" t="n">
        <v>0</v>
      </c>
      <c r="AS530" s="3" t="n">
        <v>-0</v>
      </c>
      <c r="AT530" s="3" t="n">
        <v>-0.2160434166173144</v>
      </c>
      <c r="AU530" s="3">
        <f>SUM(AO530:AT530)</f>
        <v/>
      </c>
      <c r="AV530" s="7">
        <f>IF(OR(N(W530)&lt;=0,N(BH530)=0),0,N(W530)*IF(N(R530)/N(W530)&gt;=60,N(BH530),1))</f>
        <v/>
      </c>
      <c r="AW530" s="7">
        <f>N(W530)*N(AF530)*N(BI530)</f>
        <v/>
      </c>
      <c r="AX530" s="3">
        <f>IF(N(BH530)=0,0,N(W530)*N(AH530))</f>
        <v/>
      </c>
      <c r="AY530" s="7">
        <f>N(AM530)*(Assumptions!$B$13*N(BK530)-(1-Assumptions!$B$13)*Assumptions!$B$14)+N(AN530)</f>
        <v/>
      </c>
      <c r="AZ530" s="7">
        <f>N(AU530)*N(R530)/90+N(AV530)+N(AW530)+N(AX530)+N(AY530)</f>
        <v/>
      </c>
      <c r="BA530" s="3">
        <f>IF(N(R530)&lt;=0,0,(N(AZ530)-N(AY530))*90/N(R530))</f>
        <v/>
      </c>
      <c r="BB530" s="7">
        <f>IFERROR(AZ530-VLOOKUP($E530,Assumptions!$A$40:$C$43,3,FALSE),"")</f>
        <v/>
      </c>
      <c r="BC530" s="3">
        <f>IFERROR(BB530/H530,"")</f>
        <v/>
      </c>
      <c r="BD530">
        <f>IF(AND($G530=TRUE,$E530="GKP"),AZ530,"")</f>
        <v/>
      </c>
      <c r="BE530">
        <f>IF(AND($G530=TRUE,$E530="DEF"),AZ530,"")</f>
        <v/>
      </c>
      <c r="BF530">
        <f>IF(AND($G530=TRUE,$E530="MID"),AZ530,"")</f>
        <v/>
      </c>
      <c r="BG530">
        <f>IF(AND($G530=TRUE,$E530="FWD"),AZ530,"")</f>
        <v/>
      </c>
      <c r="BH530" t="n">
        <v>2</v>
      </c>
      <c r="BI530" t="n">
        <v>2</v>
      </c>
      <c r="BJ530" t="n">
        <v>1</v>
      </c>
      <c r="BK530" t="n">
        <v>5</v>
      </c>
    </row>
    <row r="531">
      <c r="A531" t="inlineStr">
        <is>
          <t>Donyell Malen</t>
        </is>
      </c>
      <c r="C531" t="inlineStr">
        <is>
          <t>AVL</t>
        </is>
      </c>
      <c r="D531" t="b">
        <v>0</v>
      </c>
      <c r="F531" t="inlineStr">
        <is>
          <t>MID</t>
        </is>
      </c>
      <c r="G531" t="b">
        <v>0</v>
      </c>
      <c r="H531" s="2" t="n"/>
      <c r="K531" s="2" t="n">
        <v>645</v>
      </c>
      <c r="M531" s="3" t="n"/>
      <c r="N531" s="8" t="n">
        <v>645</v>
      </c>
      <c r="O531" s="8" t="n">
        <v>0</v>
      </c>
      <c r="R531" s="6" t="n">
        <v>645</v>
      </c>
      <c r="S531" t="inlineStr">
        <is>
          <t>25/26 actual</t>
        </is>
      </c>
      <c r="U531" s="6" t="n">
        <v>77.2</v>
      </c>
      <c r="V531" s="2" t="n">
        <v>5</v>
      </c>
      <c r="W531" s="7">
        <f>IF(N(U531)&lt;=0,0,MIN(Assumptions!$B$15,N(R531)/N(U531)))</f>
        <v/>
      </c>
      <c r="X531" s="6" t="n"/>
      <c r="Y531" s="3" t="n">
        <v>0.5671</v>
      </c>
      <c r="Z531" t="inlineStr">
        <is>
          <t>adjusted xGOT</t>
        </is>
      </c>
      <c r="AA531" s="3" t="n">
        <v>1</v>
      </c>
      <c r="AB531" s="3" t="n">
        <v>1.008</v>
      </c>
      <c r="AC531" s="3" t="n">
        <v>6.2</v>
      </c>
      <c r="AD531" s="3" t="n">
        <v>0.0515</v>
      </c>
      <c r="AE531" s="3" t="n">
        <v>5.6</v>
      </c>
      <c r="AF531" s="3" t="n">
        <v>0</v>
      </c>
      <c r="AG531" s="3" t="n">
        <v>3.696</v>
      </c>
      <c r="AH531" s="3" t="n">
        <v>0</v>
      </c>
      <c r="AI531" s="3" t="n">
        <v>25</v>
      </c>
      <c r="AJ531" s="3" t="n"/>
      <c r="AK531" s="3" t="n"/>
      <c r="AL531" s="3" t="n"/>
      <c r="AM531" s="6" t="n">
        <v>0</v>
      </c>
      <c r="AN531" s="3" t="n">
        <v>0</v>
      </c>
      <c r="AO531" s="3" t="n">
        <v>0</v>
      </c>
      <c r="AP531" s="3" t="n">
        <v>0</v>
      </c>
      <c r="AQ531" s="3">
        <f>N(X531)*N(BJ531)</f>
        <v/>
      </c>
      <c r="AR531" s="3" t="n">
        <v>0</v>
      </c>
      <c r="AS531" s="3" t="n">
        <v>0</v>
      </c>
      <c r="AT531" s="3" t="n">
        <v>0</v>
      </c>
      <c r="AU531" s="3">
        <f>SUM(AO531:AT531)</f>
        <v/>
      </c>
      <c r="AV531" s="7">
        <f>IF(OR(N(W531)&lt;=0,N(BH531)=0),0,N(W531)*IF(N(R531)/N(W531)&gt;=60,N(BH531),1))</f>
        <v/>
      </c>
      <c r="AW531" s="7">
        <f>N(W531)*N(AF531)*N(BI531)</f>
        <v/>
      </c>
      <c r="AX531" s="3">
        <f>IF(N(BH531)=0,0,N(W531)*N(AH531))</f>
        <v/>
      </c>
      <c r="AY531" s="7">
        <f>N(AM531)*(Assumptions!$B$13*N(BK531)-(1-Assumptions!$B$13)*Assumptions!$B$14)+N(AN531)</f>
        <v/>
      </c>
      <c r="AZ531" s="7">
        <f>N(AU531)*N(R531)/90+N(AV531)+N(AW531)+N(AX531)+N(AY531)</f>
        <v/>
      </c>
      <c r="BA531" s="3">
        <f>IF(N(R531)&lt;=0,0,(N(AZ531)-N(AY531))*90/N(R531))</f>
        <v/>
      </c>
      <c r="BB531" s="7">
        <f>IFERROR(AZ531-VLOOKUP($E531,Assumptions!$A$40:$C$43,3,FALSE),"")</f>
        <v/>
      </c>
      <c r="BC531" s="3">
        <f>IFERROR(BB531/H531,"")</f>
        <v/>
      </c>
      <c r="BD531">
        <f>IF(AND($G531=TRUE,$E531="GKP"),AZ531,"")</f>
        <v/>
      </c>
      <c r="BE531">
        <f>IF(AND($G531=TRUE,$E531="DEF"),AZ531,"")</f>
        <v/>
      </c>
      <c r="BF531">
        <f>IF(AND($G531=TRUE,$E531="MID"),AZ531,"")</f>
        <v/>
      </c>
      <c r="BG531">
        <f>IF(AND($G531=TRUE,$E531="FWD"),AZ531,"")</f>
        <v/>
      </c>
      <c r="BH531" t="n">
        <v>0</v>
      </c>
      <c r="BI531" t="n">
        <v>0</v>
      </c>
      <c r="BJ531" t="n">
        <v>0</v>
      </c>
      <c r="BK531" t="n">
        <v>0</v>
      </c>
    </row>
    <row r="532">
      <c r="A532" t="inlineStr">
        <is>
          <t>Ibrahima Konaté</t>
        </is>
      </c>
      <c r="C532" t="inlineStr">
        <is>
          <t>LIV</t>
        </is>
      </c>
      <c r="D532" t="b">
        <v>0</v>
      </c>
      <c r="F532" t="inlineStr">
        <is>
          <t>DEF</t>
        </is>
      </c>
      <c r="G532" t="b">
        <v>0</v>
      </c>
      <c r="H532" s="2" t="n"/>
      <c r="K532" s="2" t="n">
        <v>3100</v>
      </c>
      <c r="M532" s="3" t="n"/>
      <c r="N532" s="8" t="n">
        <v>3100</v>
      </c>
      <c r="O532" s="8" t="n">
        <v>0</v>
      </c>
      <c r="R532" s="6" t="n">
        <v>3100</v>
      </c>
      <c r="S532" t="inlineStr">
        <is>
          <t>25/26 actual</t>
        </is>
      </c>
      <c r="U532" s="6" t="n">
        <v>85.8</v>
      </c>
      <c r="V532" s="2" t="n">
        <v>36</v>
      </c>
      <c r="W532" s="7">
        <f>IF(N(U532)&lt;=0,0,MIN(Assumptions!$B$15,N(R532)/N(U532)))</f>
        <v/>
      </c>
      <c r="X532" s="6" t="n"/>
      <c r="Y532" s="3" t="n">
        <v>0.0295</v>
      </c>
      <c r="Z532" t="inlineStr">
        <is>
          <t>adjusted xGOT</t>
        </is>
      </c>
      <c r="AA532" s="3" t="n">
        <v>1</v>
      </c>
      <c r="AB532" s="3" t="n">
        <v>0.853</v>
      </c>
      <c r="AC532" s="3" t="n">
        <v>4.9</v>
      </c>
      <c r="AD532" s="3" t="n">
        <v>0.0211</v>
      </c>
      <c r="AE532" s="3" t="n">
        <v>8.374000000000001</v>
      </c>
      <c r="AF532" s="3" t="n">
        <v>0</v>
      </c>
      <c r="AG532" s="3" t="n">
        <v>9.646000000000001</v>
      </c>
      <c r="AH532" s="3" t="n">
        <v>0</v>
      </c>
      <c r="AI532" s="3" t="n">
        <v>70</v>
      </c>
      <c r="AJ532" s="3" t="n"/>
      <c r="AK532" s="3" t="n"/>
      <c r="AL532" s="3" t="n"/>
      <c r="AM532" s="6" t="n">
        <v>0</v>
      </c>
      <c r="AN532" s="3" t="n">
        <v>0</v>
      </c>
      <c r="AO532" s="3" t="n">
        <v>0</v>
      </c>
      <c r="AP532" s="3" t="n">
        <v>0</v>
      </c>
      <c r="AQ532" s="3">
        <f>N(X532)*N(BJ532)</f>
        <v/>
      </c>
      <c r="AR532" s="3" t="n">
        <v>0</v>
      </c>
      <c r="AS532" s="3" t="n">
        <v>0</v>
      </c>
      <c r="AT532" s="3" t="n">
        <v>0</v>
      </c>
      <c r="AU532" s="3">
        <f>SUM(AO532:AT532)</f>
        <v/>
      </c>
      <c r="AV532" s="7">
        <f>IF(OR(N(W532)&lt;=0,N(BH532)=0),0,N(W532)*IF(N(R532)/N(W532)&gt;=60,N(BH532),1))</f>
        <v/>
      </c>
      <c r="AW532" s="7">
        <f>N(W532)*N(AF532)*N(BI532)</f>
        <v/>
      </c>
      <c r="AX532" s="3">
        <f>IF(N(BH532)=0,0,N(W532)*N(AH532))</f>
        <v/>
      </c>
      <c r="AY532" s="7">
        <f>N(AM532)*(Assumptions!$B$13*N(BK532)-(1-Assumptions!$B$13)*Assumptions!$B$14)+N(AN532)</f>
        <v/>
      </c>
      <c r="AZ532" s="7">
        <f>N(AU532)*N(R532)/90+N(AV532)+N(AW532)+N(AX532)+N(AY532)</f>
        <v/>
      </c>
      <c r="BA532" s="3">
        <f>IF(N(R532)&lt;=0,0,(N(AZ532)-N(AY532))*90/N(R532))</f>
        <v/>
      </c>
      <c r="BB532" s="7">
        <f>IFERROR(AZ532-VLOOKUP($E532,Assumptions!$A$40:$C$43,3,FALSE),"")</f>
        <v/>
      </c>
      <c r="BC532" s="3">
        <f>IFERROR(BB532/H532,"")</f>
        <v/>
      </c>
      <c r="BD532">
        <f>IF(AND($G532=TRUE,$E532="GKP"),AZ532,"")</f>
        <v/>
      </c>
      <c r="BE532">
        <f>IF(AND($G532=TRUE,$E532="DEF"),AZ532,"")</f>
        <v/>
      </c>
      <c r="BF532">
        <f>IF(AND($G532=TRUE,$E532="MID"),AZ532,"")</f>
        <v/>
      </c>
      <c r="BG532">
        <f>IF(AND($G532=TRUE,$E532="FWD"),AZ532,"")</f>
        <v/>
      </c>
      <c r="BH532" t="n">
        <v>0</v>
      </c>
      <c r="BI532" t="n">
        <v>0</v>
      </c>
      <c r="BJ532" t="n">
        <v>0</v>
      </c>
      <c r="BK532" t="n">
        <v>0</v>
      </c>
    </row>
    <row r="533">
      <c r="A533" t="inlineStr">
        <is>
          <t>Joel Latibeaudiere</t>
        </is>
      </c>
      <c r="B533" t="inlineStr">
        <is>
          <t>COV</t>
        </is>
      </c>
      <c r="D533" t="b">
        <v>0</v>
      </c>
      <c r="E533" t="inlineStr">
        <is>
          <t>DEF</t>
        </is>
      </c>
      <c r="G533" t="b">
        <v>1</v>
      </c>
      <c r="H533" s="2" t="n">
        <v>4</v>
      </c>
      <c r="I533" t="inlineStr">
        <is>
          <t>a</t>
        </is>
      </c>
      <c r="K533" s="2" t="n"/>
      <c r="M533" s="3" t="n">
        <v>30</v>
      </c>
      <c r="N533" s="8" t="n">
        <v>30</v>
      </c>
      <c r="O533" s="8" t="n">
        <v>0</v>
      </c>
      <c r="Q533" t="inlineStr">
        <is>
          <t>flat</t>
        </is>
      </c>
      <c r="R533" s="6" t="n">
        <v>30</v>
      </c>
      <c r="S533" t="inlineStr">
        <is>
          <t>Solio</t>
        </is>
      </c>
      <c r="U533" s="6" t="n">
        <v>85</v>
      </c>
      <c r="V533" s="2" t="n"/>
      <c r="W533" s="7">
        <f>IF(N(U533)&lt;=0,0,MIN(Assumptions!$B$15,N(R533)/N(U533)))</f>
        <v/>
      </c>
      <c r="X533" s="6" t="n">
        <v>0.17</v>
      </c>
      <c r="Y533" s="3" t="n"/>
      <c r="Z533" t="inlineStr"/>
      <c r="AA533" s="3" t="n">
        <v>1</v>
      </c>
      <c r="AB533" s="3" t="n"/>
      <c r="AC533" s="3" t="n"/>
      <c r="AD533" s="3" t="n"/>
      <c r="AE533" s="3" t="n"/>
      <c r="AF533" s="3" t="n">
        <v>0</v>
      </c>
      <c r="AG533" s="3" t="n"/>
      <c r="AH533" s="3" t="n">
        <v>0</v>
      </c>
      <c r="AI533" s="3" t="n"/>
      <c r="AJ533" s="3" t="n">
        <v>3.6194</v>
      </c>
      <c r="AK533" s="3" t="n">
        <v>1.8271</v>
      </c>
      <c r="AL533" s="3" t="n">
        <v>-0.2045226422080557</v>
      </c>
      <c r="AM533" s="6" t="n">
        <v>0</v>
      </c>
      <c r="AN533" s="3" t="n">
        <v>0</v>
      </c>
      <c r="AO533" s="3" t="n">
        <v>0</v>
      </c>
      <c r="AP533" s="3" t="n">
        <v>0</v>
      </c>
      <c r="AQ533" s="3">
        <f>N(X533)*N(BJ533)</f>
        <v/>
      </c>
      <c r="AR533" s="3" t="n">
        <v>0</v>
      </c>
      <c r="AS533" s="3" t="n">
        <v>-0.670020548738316</v>
      </c>
      <c r="AT533" s="3" t="n">
        <v>-0.2045226422080557</v>
      </c>
      <c r="AU533" s="3">
        <f>SUM(AO533:AT533)</f>
        <v/>
      </c>
      <c r="AV533" s="7">
        <f>IF(OR(N(W533)&lt;=0,N(BH533)=0),0,N(W533)*IF(N(R533)/N(W533)&gt;=60,N(BH533),1))</f>
        <v/>
      </c>
      <c r="AW533" s="7">
        <f>N(W533)*N(AF533)*N(BI533)</f>
        <v/>
      </c>
      <c r="AX533" s="3">
        <f>IF(N(BH533)=0,0,N(W533)*N(AH533))</f>
        <v/>
      </c>
      <c r="AY533" s="7">
        <f>N(AM533)*(Assumptions!$B$13*N(BK533)-(1-Assumptions!$B$13)*Assumptions!$B$14)+N(AN533)</f>
        <v/>
      </c>
      <c r="AZ533" s="7">
        <f>N(AU533)*N(R533)/90+N(AV533)+N(AW533)+N(AX533)+N(AY533)</f>
        <v/>
      </c>
      <c r="BA533" s="3">
        <f>IF(N(R533)&lt;=0,0,(N(AZ533)-N(AY533))*90/N(R533))</f>
        <v/>
      </c>
      <c r="BB533" s="7">
        <f>IFERROR(AZ533-VLOOKUP($E533,Assumptions!$A$40:$C$43,3,FALSE),"")</f>
        <v/>
      </c>
      <c r="BC533" s="3">
        <f>IFERROR(BB533/H533,"")</f>
        <v/>
      </c>
      <c r="BD533">
        <f>IF(AND($G533=TRUE,$E533="GKP"),AZ533,"")</f>
        <v/>
      </c>
      <c r="BE533">
        <f>IF(AND($G533=TRUE,$E533="DEF"),AZ533,"")</f>
        <v/>
      </c>
      <c r="BF533">
        <f>IF(AND($G533=TRUE,$E533="MID"),AZ533,"")</f>
        <v/>
      </c>
      <c r="BG533">
        <f>IF(AND($G533=TRUE,$E533="FWD"),AZ533,"")</f>
        <v/>
      </c>
      <c r="BH533" t="n">
        <v>2</v>
      </c>
      <c r="BI533" t="n">
        <v>2</v>
      </c>
      <c r="BJ533" t="n">
        <v>4</v>
      </c>
      <c r="BK533" t="n">
        <v>6</v>
      </c>
    </row>
    <row r="534">
      <c r="A534" t="inlineStr">
        <is>
          <t>Oleksandr Zinchenko</t>
        </is>
      </c>
      <c r="C534" t="inlineStr">
        <is>
          <t>NFO</t>
        </is>
      </c>
      <c r="D534" t="b">
        <v>0</v>
      </c>
      <c r="F534" t="inlineStr">
        <is>
          <t>DEF</t>
        </is>
      </c>
      <c r="G534" t="b">
        <v>0</v>
      </c>
      <c r="H534" s="2" t="n"/>
      <c r="K534" s="2" t="n">
        <v>353</v>
      </c>
      <c r="M534" s="3" t="n"/>
      <c r="N534" s="8" t="n">
        <v>353</v>
      </c>
      <c r="O534" s="8" t="n">
        <v>0</v>
      </c>
      <c r="R534" s="6" t="n">
        <v>353</v>
      </c>
      <c r="S534" t="inlineStr">
        <is>
          <t>25/26 actual</t>
        </is>
      </c>
      <c r="U534" s="6" t="n">
        <v>85.59999999999999</v>
      </c>
      <c r="V534" s="2" t="n">
        <v>4</v>
      </c>
      <c r="W534" s="7">
        <f>IF(N(U534)&lt;=0,0,MIN(Assumptions!$B$15,N(R534)/N(U534)))</f>
        <v/>
      </c>
      <c r="X534" s="6" t="n"/>
      <c r="Y534" s="3" t="n">
        <v>0.0178</v>
      </c>
      <c r="Z534" t="inlineStr">
        <is>
          <t>adjusted xGOT</t>
        </is>
      </c>
      <c r="AA534" s="3" t="n">
        <v>1</v>
      </c>
      <c r="AB534" s="3" t="n">
        <v>0.996</v>
      </c>
      <c r="AC534" s="3" t="n">
        <v>2.6</v>
      </c>
      <c r="AD534" s="3" t="n">
        <v>0.1149</v>
      </c>
      <c r="AE534" s="3" t="n">
        <v>7.176</v>
      </c>
      <c r="AF534" s="3" t="n">
        <v>0</v>
      </c>
      <c r="AG534" s="3" t="n">
        <v>9.518000000000001</v>
      </c>
      <c r="AH534" s="3" t="n">
        <v>0</v>
      </c>
      <c r="AI534" s="3" t="n">
        <v>9</v>
      </c>
      <c r="AJ534" s="3" t="n"/>
      <c r="AK534" s="3" t="n"/>
      <c r="AL534" s="3" t="n"/>
      <c r="AM534" s="6" t="n">
        <v>0</v>
      </c>
      <c r="AN534" s="3" t="n">
        <v>0</v>
      </c>
      <c r="AO534" s="3" t="n">
        <v>0</v>
      </c>
      <c r="AP534" s="3" t="n">
        <v>0</v>
      </c>
      <c r="AQ534" s="3">
        <f>N(X534)*N(BJ534)</f>
        <v/>
      </c>
      <c r="AR534" s="3" t="n">
        <v>0</v>
      </c>
      <c r="AS534" s="3" t="n">
        <v>0</v>
      </c>
      <c r="AT534" s="3" t="n">
        <v>0</v>
      </c>
      <c r="AU534" s="3">
        <f>SUM(AO534:AT534)</f>
        <v/>
      </c>
      <c r="AV534" s="7">
        <f>IF(OR(N(W534)&lt;=0,N(BH534)=0),0,N(W534)*IF(N(R534)/N(W534)&gt;=60,N(BH534),1))</f>
        <v/>
      </c>
      <c r="AW534" s="7">
        <f>N(W534)*N(AF534)*N(BI534)</f>
        <v/>
      </c>
      <c r="AX534" s="3">
        <f>IF(N(BH534)=0,0,N(W534)*N(AH534))</f>
        <v/>
      </c>
      <c r="AY534" s="7">
        <f>N(AM534)*(Assumptions!$B$13*N(BK534)-(1-Assumptions!$B$13)*Assumptions!$B$14)+N(AN534)</f>
        <v/>
      </c>
      <c r="AZ534" s="7">
        <f>N(AU534)*N(R534)/90+N(AV534)+N(AW534)+N(AX534)+N(AY534)</f>
        <v/>
      </c>
      <c r="BA534" s="3">
        <f>IF(N(R534)&lt;=0,0,(N(AZ534)-N(AY534))*90/N(R534))</f>
        <v/>
      </c>
      <c r="BB534" s="7">
        <f>IFERROR(AZ534-VLOOKUP($E534,Assumptions!$A$40:$C$43,3,FALSE),"")</f>
        <v/>
      </c>
      <c r="BC534" s="3">
        <f>IFERROR(BB534/H534,"")</f>
        <v/>
      </c>
      <c r="BD534">
        <f>IF(AND($G534=TRUE,$E534="GKP"),AZ534,"")</f>
        <v/>
      </c>
      <c r="BE534">
        <f>IF(AND($G534=TRUE,$E534="DEF"),AZ534,"")</f>
        <v/>
      </c>
      <c r="BF534">
        <f>IF(AND($G534=TRUE,$E534="MID"),AZ534,"")</f>
        <v/>
      </c>
      <c r="BG534">
        <f>IF(AND($G534=TRUE,$E534="FWD"),AZ534,"")</f>
        <v/>
      </c>
      <c r="BH534" t="n">
        <v>0</v>
      </c>
      <c r="BI534" t="n">
        <v>0</v>
      </c>
      <c r="BJ534" t="n">
        <v>0</v>
      </c>
      <c r="BK534" t="n">
        <v>0</v>
      </c>
    </row>
    <row r="535">
      <c r="A535" t="inlineStr">
        <is>
          <t>Abdülkadir Ömür</t>
        </is>
      </c>
      <c r="B535" t="inlineStr">
        <is>
          <t>HUL</t>
        </is>
      </c>
      <c r="D535" t="b">
        <v>0</v>
      </c>
      <c r="E535" t="inlineStr">
        <is>
          <t>MID</t>
        </is>
      </c>
      <c r="G535" t="b">
        <v>1</v>
      </c>
      <c r="H535" s="2" t="n">
        <v>5</v>
      </c>
      <c r="I535" t="inlineStr">
        <is>
          <t>a</t>
        </is>
      </c>
      <c r="K535" s="2" t="n"/>
      <c r="M535" s="3" t="n">
        <v>675</v>
      </c>
      <c r="N535" s="8" t="n">
        <v>675</v>
      </c>
      <c r="O535" s="8" t="n">
        <v>0</v>
      </c>
      <c r="Q535" t="inlineStr">
        <is>
          <t>flat</t>
        </is>
      </c>
      <c r="R535" s="6" t="n">
        <v>675</v>
      </c>
      <c r="S535" t="inlineStr">
        <is>
          <t>Solio</t>
        </is>
      </c>
      <c r="U535" s="6" t="n">
        <v>85</v>
      </c>
      <c r="V535" s="2" t="n"/>
      <c r="W535" s="7">
        <f>IF(N(U535)&lt;=0,0,MIN(Assumptions!$B$15,N(R535)/N(U535)))</f>
        <v/>
      </c>
      <c r="X535" s="6" t="n">
        <v>0.143</v>
      </c>
      <c r="Y535" s="3" t="n"/>
      <c r="Z535" t="inlineStr"/>
      <c r="AA535" s="3" t="n">
        <v>1</v>
      </c>
      <c r="AB535" s="3" t="n"/>
      <c r="AC535" s="3" t="n"/>
      <c r="AD535" s="3" t="n"/>
      <c r="AE535" s="3" t="n"/>
      <c r="AF535" s="3" t="n">
        <v>0</v>
      </c>
      <c r="AG535" s="3" t="n"/>
      <c r="AH535" s="3" t="n">
        <v>0</v>
      </c>
      <c r="AI535" s="3" t="n"/>
      <c r="AJ535" s="3" t="n">
        <v>3.9421</v>
      </c>
      <c r="AK535" s="3" t="n">
        <v>1.99</v>
      </c>
      <c r="AL535" s="3" t="n">
        <v>-0.2160434166173144</v>
      </c>
      <c r="AM535" s="6" t="n">
        <v>0</v>
      </c>
      <c r="AN535" s="3" t="n">
        <v>0</v>
      </c>
      <c r="AO535" s="3" t="n">
        <v>0</v>
      </c>
      <c r="AP535" s="3" t="n">
        <v>0</v>
      </c>
      <c r="AQ535" s="3">
        <f>N(X535)*N(BJ535)</f>
        <v/>
      </c>
      <c r="AR535" s="3" t="n">
        <v>0</v>
      </c>
      <c r="AS535" s="3" t="n">
        <v>-0</v>
      </c>
      <c r="AT535" s="3" t="n">
        <v>-0.2160434166173144</v>
      </c>
      <c r="AU535" s="3">
        <f>SUM(AO535:AT535)</f>
        <v/>
      </c>
      <c r="AV535" s="7">
        <f>IF(OR(N(W535)&lt;=0,N(BH535)=0),0,N(W535)*IF(N(R535)/N(W535)&gt;=60,N(BH535),1))</f>
        <v/>
      </c>
      <c r="AW535" s="7">
        <f>N(W535)*N(AF535)*N(BI535)</f>
        <v/>
      </c>
      <c r="AX535" s="3">
        <f>IF(N(BH535)=0,0,N(W535)*N(AH535))</f>
        <v/>
      </c>
      <c r="AY535" s="7">
        <f>N(AM535)*(Assumptions!$B$13*N(BK535)-(1-Assumptions!$B$13)*Assumptions!$B$14)+N(AN535)</f>
        <v/>
      </c>
      <c r="AZ535" s="7">
        <f>N(AU535)*N(R535)/90+N(AV535)+N(AW535)+N(AX535)+N(AY535)</f>
        <v/>
      </c>
      <c r="BA535" s="3">
        <f>IF(N(R535)&lt;=0,0,(N(AZ535)-N(AY535))*90/N(R535))</f>
        <v/>
      </c>
      <c r="BB535" s="7">
        <f>IFERROR(AZ535-VLOOKUP($E535,Assumptions!$A$40:$C$43,3,FALSE),"")</f>
        <v/>
      </c>
      <c r="BC535" s="3">
        <f>IFERROR(BB535/H535,"")</f>
        <v/>
      </c>
      <c r="BD535">
        <f>IF(AND($G535=TRUE,$E535="GKP"),AZ535,"")</f>
        <v/>
      </c>
      <c r="BE535">
        <f>IF(AND($G535=TRUE,$E535="DEF"),AZ535,"")</f>
        <v/>
      </c>
      <c r="BF535">
        <f>IF(AND($G535=TRUE,$E535="MID"),AZ535,"")</f>
        <v/>
      </c>
      <c r="BG535">
        <f>IF(AND($G535=TRUE,$E535="FWD"),AZ535,"")</f>
        <v/>
      </c>
      <c r="BH535" t="n">
        <v>2</v>
      </c>
      <c r="BI535" t="n">
        <v>2</v>
      </c>
      <c r="BJ535" t="n">
        <v>1</v>
      </c>
      <c r="BK535" t="n">
        <v>5</v>
      </c>
    </row>
    <row r="536">
      <c r="A536" t="inlineStr">
        <is>
          <t>Joe Worrall</t>
        </is>
      </c>
      <c r="C536" t="inlineStr">
        <is>
          <t>BUR</t>
        </is>
      </c>
      <c r="D536" t="b">
        <v>0</v>
      </c>
      <c r="F536" t="inlineStr">
        <is>
          <t>DEF</t>
        </is>
      </c>
      <c r="G536" t="b">
        <v>0</v>
      </c>
      <c r="H536" s="2" t="n"/>
      <c r="K536" s="2" t="n">
        <v>497</v>
      </c>
      <c r="M536" s="3" t="n"/>
      <c r="N536" s="8" t="n">
        <v>497</v>
      </c>
      <c r="O536" s="8" t="n">
        <v>0</v>
      </c>
      <c r="R536" s="6" t="n">
        <v>497</v>
      </c>
      <c r="S536" t="inlineStr">
        <is>
          <t>25/26 actual</t>
        </is>
      </c>
      <c r="U536" s="6" t="n">
        <v>84.7</v>
      </c>
      <c r="V536" s="2" t="n">
        <v>5</v>
      </c>
      <c r="W536" s="7">
        <f>IF(N(U536)&lt;=0,0,MIN(Assumptions!$B$15,N(R536)/N(U536)))</f>
        <v/>
      </c>
      <c r="X536" s="6" t="n"/>
      <c r="Y536" s="3" t="n">
        <v>0.0141</v>
      </c>
      <c r="Z536" t="inlineStr">
        <is>
          <t>adjusted xGOT</t>
        </is>
      </c>
      <c r="AA536" s="3" t="n">
        <v>1</v>
      </c>
      <c r="AB536" s="3" t="n">
        <v>0.974</v>
      </c>
      <c r="AC536" s="3" t="n">
        <v>1</v>
      </c>
      <c r="AD536" s="3" t="n">
        <v>0</v>
      </c>
      <c r="AE536" s="3" t="n">
        <v>10.175</v>
      </c>
      <c r="AF536" s="3" t="n">
        <v>0</v>
      </c>
      <c r="AG536" s="3" t="n">
        <v>7.13</v>
      </c>
      <c r="AH536" s="3" t="n">
        <v>0</v>
      </c>
      <c r="AI536" s="3" t="n">
        <v>15</v>
      </c>
      <c r="AJ536" s="3" t="n"/>
      <c r="AK536" s="3" t="n"/>
      <c r="AL536" s="3" t="n"/>
      <c r="AM536" s="6" t="n">
        <v>0</v>
      </c>
      <c r="AN536" s="3" t="n">
        <v>0</v>
      </c>
      <c r="AO536" s="3" t="n">
        <v>0</v>
      </c>
      <c r="AP536" s="3" t="n">
        <v>0</v>
      </c>
      <c r="AQ536" s="3">
        <f>N(X536)*N(BJ536)</f>
        <v/>
      </c>
      <c r="AR536" s="3" t="n">
        <v>0</v>
      </c>
      <c r="AS536" s="3" t="n">
        <v>0</v>
      </c>
      <c r="AT536" s="3" t="n">
        <v>0</v>
      </c>
      <c r="AU536" s="3">
        <f>SUM(AO536:AT536)</f>
        <v/>
      </c>
      <c r="AV536" s="7">
        <f>IF(OR(N(W536)&lt;=0,N(BH536)=0),0,N(W536)*IF(N(R536)/N(W536)&gt;=60,N(BH536),1))</f>
        <v/>
      </c>
      <c r="AW536" s="7">
        <f>N(W536)*N(AF536)*N(BI536)</f>
        <v/>
      </c>
      <c r="AX536" s="3">
        <f>IF(N(BH536)=0,0,N(W536)*N(AH536))</f>
        <v/>
      </c>
      <c r="AY536" s="7">
        <f>N(AM536)*(Assumptions!$B$13*N(BK536)-(1-Assumptions!$B$13)*Assumptions!$B$14)+N(AN536)</f>
        <v/>
      </c>
      <c r="AZ536" s="7">
        <f>N(AU536)*N(R536)/90+N(AV536)+N(AW536)+N(AX536)+N(AY536)</f>
        <v/>
      </c>
      <c r="BA536" s="3">
        <f>IF(N(R536)&lt;=0,0,(N(AZ536)-N(AY536))*90/N(R536))</f>
        <v/>
      </c>
      <c r="BB536" s="7">
        <f>IFERROR(AZ536-VLOOKUP($E536,Assumptions!$A$40:$C$43,3,FALSE),"")</f>
        <v/>
      </c>
      <c r="BC536" s="3">
        <f>IFERROR(BB536/H536,"")</f>
        <v/>
      </c>
      <c r="BD536">
        <f>IF(AND($G536=TRUE,$E536="GKP"),AZ536,"")</f>
        <v/>
      </c>
      <c r="BE536">
        <f>IF(AND($G536=TRUE,$E536="DEF"),AZ536,"")</f>
        <v/>
      </c>
      <c r="BF536">
        <f>IF(AND($G536=TRUE,$E536="MID"),AZ536,"")</f>
        <v/>
      </c>
      <c r="BG536">
        <f>IF(AND($G536=TRUE,$E536="FWD"),AZ536,"")</f>
        <v/>
      </c>
      <c r="BH536" t="n">
        <v>0</v>
      </c>
      <c r="BI536" t="n">
        <v>0</v>
      </c>
      <c r="BJ536" t="n">
        <v>0</v>
      </c>
      <c r="BK536" t="n">
        <v>0</v>
      </c>
    </row>
    <row r="537">
      <c r="A537" t="inlineStr">
        <is>
          <t>Angel Gomes</t>
        </is>
      </c>
      <c r="C537" t="inlineStr">
        <is>
          <t>WOL</t>
        </is>
      </c>
      <c r="D537" t="b">
        <v>0</v>
      </c>
      <c r="F537" t="inlineStr">
        <is>
          <t>MID</t>
        </is>
      </c>
      <c r="G537" t="b">
        <v>0</v>
      </c>
      <c r="H537" s="2" t="n"/>
      <c r="K537" s="2" t="n">
        <v>464</v>
      </c>
      <c r="M537" s="3" t="n"/>
      <c r="N537" s="8" t="n">
        <v>464</v>
      </c>
      <c r="O537" s="8" t="n">
        <v>0</v>
      </c>
      <c r="R537" s="6" t="n">
        <v>464</v>
      </c>
      <c r="S537" t="inlineStr">
        <is>
          <t>25/26 actual</t>
        </is>
      </c>
      <c r="U537" s="6" t="n">
        <v>70.5</v>
      </c>
      <c r="V537" s="2" t="n">
        <v>7</v>
      </c>
      <c r="W537" s="7">
        <f>IF(N(U537)&lt;=0,0,MIN(Assumptions!$B$15,N(R537)/N(U537)))</f>
        <v/>
      </c>
      <c r="X537" s="6" t="n"/>
      <c r="Y537" s="3" t="n">
        <v>0.0481</v>
      </c>
      <c r="Z537" t="inlineStr">
        <is>
          <t>adjusted xGOT</t>
        </is>
      </c>
      <c r="AA537" s="3" t="n">
        <v>1</v>
      </c>
      <c r="AB537" s="3" t="n">
        <v>0.994</v>
      </c>
      <c r="AC537" s="3" t="n">
        <v>0.2</v>
      </c>
      <c r="AD537" s="3" t="n">
        <v>0.058</v>
      </c>
      <c r="AE537" s="3" t="n">
        <v>7.77</v>
      </c>
      <c r="AF537" s="3" t="n">
        <v>0</v>
      </c>
      <c r="AG537" s="3" t="n">
        <v>7.145</v>
      </c>
      <c r="AH537" s="3" t="n">
        <v>0</v>
      </c>
      <c r="AI537" s="3" t="n">
        <v>16</v>
      </c>
      <c r="AJ537" s="3" t="n"/>
      <c r="AK537" s="3" t="n"/>
      <c r="AL537" s="3" t="n"/>
      <c r="AM537" s="6" t="n">
        <v>0</v>
      </c>
      <c r="AN537" s="3" t="n">
        <v>0</v>
      </c>
      <c r="AO537" s="3" t="n">
        <v>0</v>
      </c>
      <c r="AP537" s="3" t="n">
        <v>0</v>
      </c>
      <c r="AQ537" s="3">
        <f>N(X537)*N(BJ537)</f>
        <v/>
      </c>
      <c r="AR537" s="3" t="n">
        <v>0</v>
      </c>
      <c r="AS537" s="3" t="n">
        <v>0</v>
      </c>
      <c r="AT537" s="3" t="n">
        <v>0</v>
      </c>
      <c r="AU537" s="3">
        <f>SUM(AO537:AT537)</f>
        <v/>
      </c>
      <c r="AV537" s="7">
        <f>IF(OR(N(W537)&lt;=0,N(BH537)=0),0,N(W537)*IF(N(R537)/N(W537)&gt;=60,N(BH537),1))</f>
        <v/>
      </c>
      <c r="AW537" s="7">
        <f>N(W537)*N(AF537)*N(BI537)</f>
        <v/>
      </c>
      <c r="AX537" s="3">
        <f>IF(N(BH537)=0,0,N(W537)*N(AH537))</f>
        <v/>
      </c>
      <c r="AY537" s="7">
        <f>N(AM537)*(Assumptions!$B$13*N(BK537)-(1-Assumptions!$B$13)*Assumptions!$B$14)+N(AN537)</f>
        <v/>
      </c>
      <c r="AZ537" s="7">
        <f>N(AU537)*N(R537)/90+N(AV537)+N(AW537)+N(AX537)+N(AY537)</f>
        <v/>
      </c>
      <c r="BA537" s="3">
        <f>IF(N(R537)&lt;=0,0,(N(AZ537)-N(AY537))*90/N(R537))</f>
        <v/>
      </c>
      <c r="BB537" s="7">
        <f>IFERROR(AZ537-VLOOKUP($E537,Assumptions!$A$40:$C$43,3,FALSE),"")</f>
        <v/>
      </c>
      <c r="BC537" s="3">
        <f>IFERROR(BB537/H537,"")</f>
        <v/>
      </c>
      <c r="BD537">
        <f>IF(AND($G537=TRUE,$E537="GKP"),AZ537,"")</f>
        <v/>
      </c>
      <c r="BE537">
        <f>IF(AND($G537=TRUE,$E537="DEF"),AZ537,"")</f>
        <v/>
      </c>
      <c r="BF537">
        <f>IF(AND($G537=TRUE,$E537="MID"),AZ537,"")</f>
        <v/>
      </c>
      <c r="BG537">
        <f>IF(AND($G537=TRUE,$E537="FWD"),AZ537,"")</f>
        <v/>
      </c>
      <c r="BH537" t="n">
        <v>0</v>
      </c>
      <c r="BI537" t="n">
        <v>0</v>
      </c>
      <c r="BJ537" t="n">
        <v>0</v>
      </c>
      <c r="BK537" t="n">
        <v>0</v>
      </c>
    </row>
    <row r="538">
      <c r="A538" t="inlineStr">
        <is>
          <t>Jadon Sancho</t>
        </is>
      </c>
      <c r="C538" t="inlineStr">
        <is>
          <t>AVL</t>
        </is>
      </c>
      <c r="D538" t="b">
        <v>0</v>
      </c>
      <c r="F538" t="inlineStr">
        <is>
          <t>MID</t>
        </is>
      </c>
      <c r="G538" t="b">
        <v>0</v>
      </c>
      <c r="H538" s="2" t="n"/>
      <c r="K538" s="2" t="n">
        <v>873</v>
      </c>
      <c r="M538" s="3" t="n"/>
      <c r="N538" s="8" t="n">
        <v>873</v>
      </c>
      <c r="O538" s="8" t="n">
        <v>0</v>
      </c>
      <c r="R538" s="6" t="n">
        <v>873</v>
      </c>
      <c r="S538" t="inlineStr">
        <is>
          <t>25/26 actual</t>
        </is>
      </c>
      <c r="U538" s="6" t="n">
        <v>73.8</v>
      </c>
      <c r="V538" s="2" t="n">
        <v>9</v>
      </c>
      <c r="W538" s="7">
        <f>IF(N(U538)&lt;=0,0,MIN(Assumptions!$B$15,N(R538)/N(U538)))</f>
        <v/>
      </c>
      <c r="X538" s="6" t="n"/>
      <c r="Y538" s="3" t="n">
        <v>0.0677</v>
      </c>
      <c r="Z538" t="inlineStr">
        <is>
          <t>adjusted xGOT</t>
        </is>
      </c>
      <c r="AA538" s="3" t="n">
        <v>1</v>
      </c>
      <c r="AB538" s="3" t="n">
        <v>1.077</v>
      </c>
      <c r="AC538" s="3" t="n">
        <v>6.8</v>
      </c>
      <c r="AD538" s="3" t="n">
        <v>0.2115</v>
      </c>
      <c r="AE538" s="3" t="n">
        <v>6.403</v>
      </c>
      <c r="AF538" s="3" t="n">
        <v>0</v>
      </c>
      <c r="AG538" s="3" t="n">
        <v>5.596</v>
      </c>
      <c r="AH538" s="3" t="n">
        <v>0</v>
      </c>
      <c r="AI538" s="3" t="n">
        <v>29</v>
      </c>
      <c r="AJ538" s="3" t="n"/>
      <c r="AK538" s="3" t="n"/>
      <c r="AL538" s="3" t="n"/>
      <c r="AM538" s="6" t="n">
        <v>0</v>
      </c>
      <c r="AN538" s="3" t="n">
        <v>0</v>
      </c>
      <c r="AO538" s="3" t="n">
        <v>0</v>
      </c>
      <c r="AP538" s="3" t="n">
        <v>0</v>
      </c>
      <c r="AQ538" s="3">
        <f>N(X538)*N(BJ538)</f>
        <v/>
      </c>
      <c r="AR538" s="3" t="n">
        <v>0</v>
      </c>
      <c r="AS538" s="3" t="n">
        <v>0</v>
      </c>
      <c r="AT538" s="3" t="n">
        <v>0</v>
      </c>
      <c r="AU538" s="3">
        <f>SUM(AO538:AT538)</f>
        <v/>
      </c>
      <c r="AV538" s="7">
        <f>IF(OR(N(W538)&lt;=0,N(BH538)=0),0,N(W538)*IF(N(R538)/N(W538)&gt;=60,N(BH538),1))</f>
        <v/>
      </c>
      <c r="AW538" s="7">
        <f>N(W538)*N(AF538)*N(BI538)</f>
        <v/>
      </c>
      <c r="AX538" s="3">
        <f>IF(N(BH538)=0,0,N(W538)*N(AH538))</f>
        <v/>
      </c>
      <c r="AY538" s="7">
        <f>N(AM538)*(Assumptions!$B$13*N(BK538)-(1-Assumptions!$B$13)*Assumptions!$B$14)+N(AN538)</f>
        <v/>
      </c>
      <c r="AZ538" s="7">
        <f>N(AU538)*N(R538)/90+N(AV538)+N(AW538)+N(AX538)+N(AY538)</f>
        <v/>
      </c>
      <c r="BA538" s="3">
        <f>IF(N(R538)&lt;=0,0,(N(AZ538)-N(AY538))*90/N(R538))</f>
        <v/>
      </c>
      <c r="BB538" s="7">
        <f>IFERROR(AZ538-VLOOKUP($E538,Assumptions!$A$40:$C$43,3,FALSE),"")</f>
        <v/>
      </c>
      <c r="BC538" s="3">
        <f>IFERROR(BB538/H538,"")</f>
        <v/>
      </c>
      <c r="BD538">
        <f>IF(AND($G538=TRUE,$E538="GKP"),AZ538,"")</f>
        <v/>
      </c>
      <c r="BE538">
        <f>IF(AND($G538=TRUE,$E538="DEF"),AZ538,"")</f>
        <v/>
      </c>
      <c r="BF538">
        <f>IF(AND($G538=TRUE,$E538="MID"),AZ538,"")</f>
        <v/>
      </c>
      <c r="BG538">
        <f>IF(AND($G538=TRUE,$E538="FWD"),AZ538,"")</f>
        <v/>
      </c>
      <c r="BH538" t="n">
        <v>0</v>
      </c>
      <c r="BI538" t="n">
        <v>0</v>
      </c>
      <c r="BJ538" t="n">
        <v>0</v>
      </c>
      <c r="BK538" t="n">
        <v>0</v>
      </c>
    </row>
    <row r="539">
      <c r="A539" t="inlineStr">
        <is>
          <t>Nayef Aguerd</t>
        </is>
      </c>
      <c r="C539" t="inlineStr">
        <is>
          <t>WHU</t>
        </is>
      </c>
      <c r="D539" t="b">
        <v>0</v>
      </c>
      <c r="F539" t="inlineStr">
        <is>
          <t>DEF</t>
        </is>
      </c>
      <c r="G539" t="b">
        <v>0</v>
      </c>
      <c r="H539" s="2" t="n"/>
      <c r="K539" s="2" t="n">
        <v>180</v>
      </c>
      <c r="M539" s="3" t="n"/>
      <c r="N539" s="8" t="n">
        <v>180</v>
      </c>
      <c r="O539" s="8" t="n">
        <v>0</v>
      </c>
      <c r="R539" s="6" t="n">
        <v>180</v>
      </c>
      <c r="S539" t="inlineStr">
        <is>
          <t>25/26 actual</t>
        </is>
      </c>
      <c r="U539" s="6" t="n">
        <v>86.2</v>
      </c>
      <c r="V539" s="2" t="n">
        <v>2</v>
      </c>
      <c r="W539" s="7">
        <f>IF(N(U539)&lt;=0,0,MIN(Assumptions!$B$15,N(R539)/N(U539)))</f>
        <v/>
      </c>
      <c r="X539" s="6" t="n"/>
      <c r="Y539" s="3" t="n">
        <v>0.0455</v>
      </c>
      <c r="Z539" t="inlineStr">
        <is>
          <t>adjusted xGOT</t>
        </is>
      </c>
      <c r="AA539" s="3" t="n">
        <v>1</v>
      </c>
      <c r="AB539" s="3" t="n">
        <v>0.906</v>
      </c>
      <c r="AC539" s="3" t="n">
        <v>3.7</v>
      </c>
      <c r="AD539" s="3" t="n">
        <v>0</v>
      </c>
      <c r="AE539" s="3" t="n">
        <v>7.648</v>
      </c>
      <c r="AF539" s="3" t="n">
        <v>0</v>
      </c>
      <c r="AG539" s="3" t="n">
        <v>7.998</v>
      </c>
      <c r="AH539" s="3" t="n">
        <v>0</v>
      </c>
      <c r="AI539" s="3" t="n">
        <v>4</v>
      </c>
      <c r="AJ539" s="3" t="n"/>
      <c r="AK539" s="3" t="n"/>
      <c r="AL539" s="3" t="n"/>
      <c r="AM539" s="6" t="n">
        <v>0</v>
      </c>
      <c r="AN539" s="3" t="n">
        <v>0</v>
      </c>
      <c r="AO539" s="3" t="n">
        <v>0</v>
      </c>
      <c r="AP539" s="3" t="n">
        <v>0</v>
      </c>
      <c r="AQ539" s="3">
        <f>N(X539)*N(BJ539)</f>
        <v/>
      </c>
      <c r="AR539" s="3" t="n">
        <v>0</v>
      </c>
      <c r="AS539" s="3" t="n">
        <v>0</v>
      </c>
      <c r="AT539" s="3" t="n">
        <v>0</v>
      </c>
      <c r="AU539" s="3">
        <f>SUM(AO539:AT539)</f>
        <v/>
      </c>
      <c r="AV539" s="7">
        <f>IF(OR(N(W539)&lt;=0,N(BH539)=0),0,N(W539)*IF(N(R539)/N(W539)&gt;=60,N(BH539),1))</f>
        <v/>
      </c>
      <c r="AW539" s="7">
        <f>N(W539)*N(AF539)*N(BI539)</f>
        <v/>
      </c>
      <c r="AX539" s="3">
        <f>IF(N(BH539)=0,0,N(W539)*N(AH539))</f>
        <v/>
      </c>
      <c r="AY539" s="7">
        <f>N(AM539)*(Assumptions!$B$13*N(BK539)-(1-Assumptions!$B$13)*Assumptions!$B$14)+N(AN539)</f>
        <v/>
      </c>
      <c r="AZ539" s="7">
        <f>N(AU539)*N(R539)/90+N(AV539)+N(AW539)+N(AX539)+N(AY539)</f>
        <v/>
      </c>
      <c r="BA539" s="3">
        <f>IF(N(R539)&lt;=0,0,(N(AZ539)-N(AY539))*90/N(R539))</f>
        <v/>
      </c>
      <c r="BB539" s="7">
        <f>IFERROR(AZ539-VLOOKUP($E539,Assumptions!$A$40:$C$43,3,FALSE),"")</f>
        <v/>
      </c>
      <c r="BC539" s="3">
        <f>IFERROR(BB539/H539,"")</f>
        <v/>
      </c>
      <c r="BD539">
        <f>IF(AND($G539=TRUE,$E539="GKP"),AZ539,"")</f>
        <v/>
      </c>
      <c r="BE539">
        <f>IF(AND($G539=TRUE,$E539="DEF"),AZ539,"")</f>
        <v/>
      </c>
      <c r="BF539">
        <f>IF(AND($G539=TRUE,$E539="MID"),AZ539,"")</f>
        <v/>
      </c>
      <c r="BG539">
        <f>IF(AND($G539=TRUE,$E539="FWD"),AZ539,"")</f>
        <v/>
      </c>
      <c r="BH539" t="n">
        <v>0</v>
      </c>
      <c r="BI539" t="n">
        <v>0</v>
      </c>
      <c r="BJ539" t="n">
        <v>0</v>
      </c>
      <c r="BK539" t="n">
        <v>0</v>
      </c>
    </row>
    <row r="540">
      <c r="A540" t="inlineStr">
        <is>
          <t>David Akintola</t>
        </is>
      </c>
      <c r="B540" t="inlineStr">
        <is>
          <t>HUL</t>
        </is>
      </c>
      <c r="D540" t="b">
        <v>0</v>
      </c>
      <c r="E540" t="inlineStr">
        <is>
          <t>MID</t>
        </is>
      </c>
      <c r="G540" t="b">
        <v>1</v>
      </c>
      <c r="H540" s="2" t="n">
        <v>5</v>
      </c>
      <c r="I540" t="inlineStr">
        <is>
          <t>a</t>
        </is>
      </c>
      <c r="K540" s="2" t="n"/>
      <c r="M540" s="3" t="n">
        <v>281</v>
      </c>
      <c r="N540" s="8" t="n">
        <v>281</v>
      </c>
      <c r="O540" s="8" t="n">
        <v>0</v>
      </c>
      <c r="Q540" t="inlineStr">
        <is>
          <t>flat</t>
        </is>
      </c>
      <c r="R540" s="6" t="n">
        <v>281</v>
      </c>
      <c r="S540" t="inlineStr">
        <is>
          <t>Solio</t>
        </is>
      </c>
      <c r="U540" s="6" t="n">
        <v>85</v>
      </c>
      <c r="V540" s="2" t="n"/>
      <c r="W540" s="7">
        <f>IF(N(U540)&lt;=0,0,MIN(Assumptions!$B$15,N(R540)/N(U540)))</f>
        <v/>
      </c>
      <c r="X540" s="6" t="n">
        <v>0.143</v>
      </c>
      <c r="Y540" s="3" t="n"/>
      <c r="Z540" t="inlineStr"/>
      <c r="AA540" s="3" t="n">
        <v>1</v>
      </c>
      <c r="AB540" s="3" t="n"/>
      <c r="AC540" s="3" t="n"/>
      <c r="AD540" s="3" t="n"/>
      <c r="AE540" s="3" t="n"/>
      <c r="AF540" s="3" t="n">
        <v>0</v>
      </c>
      <c r="AG540" s="3" t="n"/>
      <c r="AH540" s="3" t="n">
        <v>0</v>
      </c>
      <c r="AI540" s="3" t="n"/>
      <c r="AJ540" s="3" t="n">
        <v>3.9421</v>
      </c>
      <c r="AK540" s="3" t="n">
        <v>1.99</v>
      </c>
      <c r="AL540" s="3" t="n">
        <v>-0.2160434166173144</v>
      </c>
      <c r="AM540" s="6" t="n">
        <v>0</v>
      </c>
      <c r="AN540" s="3" t="n">
        <v>0</v>
      </c>
      <c r="AO540" s="3" t="n">
        <v>0</v>
      </c>
      <c r="AP540" s="3" t="n">
        <v>0</v>
      </c>
      <c r="AQ540" s="3">
        <f>N(X540)*N(BJ540)</f>
        <v/>
      </c>
      <c r="AR540" s="3" t="n">
        <v>0</v>
      </c>
      <c r="AS540" s="3" t="n">
        <v>-0</v>
      </c>
      <c r="AT540" s="3" t="n">
        <v>-0.2160434166173144</v>
      </c>
      <c r="AU540" s="3">
        <f>SUM(AO540:AT540)</f>
        <v/>
      </c>
      <c r="AV540" s="7">
        <f>IF(OR(N(W540)&lt;=0,N(BH540)=0),0,N(W540)*IF(N(R540)/N(W540)&gt;=60,N(BH540),1))</f>
        <v/>
      </c>
      <c r="AW540" s="7">
        <f>N(W540)*N(AF540)*N(BI540)</f>
        <v/>
      </c>
      <c r="AX540" s="3">
        <f>IF(N(BH540)=0,0,N(W540)*N(AH540))</f>
        <v/>
      </c>
      <c r="AY540" s="7">
        <f>N(AM540)*(Assumptions!$B$13*N(BK540)-(1-Assumptions!$B$13)*Assumptions!$B$14)+N(AN540)</f>
        <v/>
      </c>
      <c r="AZ540" s="7">
        <f>N(AU540)*N(R540)/90+N(AV540)+N(AW540)+N(AX540)+N(AY540)</f>
        <v/>
      </c>
      <c r="BA540" s="3">
        <f>IF(N(R540)&lt;=0,0,(N(AZ540)-N(AY540))*90/N(R540))</f>
        <v/>
      </c>
      <c r="BB540" s="7">
        <f>IFERROR(AZ540-VLOOKUP($E540,Assumptions!$A$40:$C$43,3,FALSE),"")</f>
        <v/>
      </c>
      <c r="BC540" s="3">
        <f>IFERROR(BB540/H540,"")</f>
        <v/>
      </c>
      <c r="BD540">
        <f>IF(AND($G540=TRUE,$E540="GKP"),AZ540,"")</f>
        <v/>
      </c>
      <c r="BE540">
        <f>IF(AND($G540=TRUE,$E540="DEF"),AZ540,"")</f>
        <v/>
      </c>
      <c r="BF540">
        <f>IF(AND($G540=TRUE,$E540="MID"),AZ540,"")</f>
        <v/>
      </c>
      <c r="BG540">
        <f>IF(AND($G540=TRUE,$E540="FWD"),AZ540,"")</f>
        <v/>
      </c>
      <c r="BH540" t="n">
        <v>2</v>
      </c>
      <c r="BI540" t="n">
        <v>2</v>
      </c>
      <c r="BJ540" t="n">
        <v>1</v>
      </c>
      <c r="BK540" t="n">
        <v>5</v>
      </c>
    </row>
    <row r="541">
      <c r="A541" t="inlineStr">
        <is>
          <t>Maximilian Kilman</t>
        </is>
      </c>
      <c r="C541" t="inlineStr">
        <is>
          <t>WHU</t>
        </is>
      </c>
      <c r="D541" t="b">
        <v>0</v>
      </c>
      <c r="F541" t="inlineStr">
        <is>
          <t>DEF</t>
        </is>
      </c>
      <c r="G541" t="b">
        <v>0</v>
      </c>
      <c r="H541" s="2" t="n"/>
      <c r="K541" s="2" t="n">
        <v>1559</v>
      </c>
      <c r="M541" s="3" t="n"/>
      <c r="N541" s="8" t="n">
        <v>1559</v>
      </c>
      <c r="O541" s="8" t="n">
        <v>0</v>
      </c>
      <c r="R541" s="6" t="n">
        <v>1559</v>
      </c>
      <c r="S541" t="inlineStr">
        <is>
          <t>25/26 actual</t>
        </is>
      </c>
      <c r="U541" s="6" t="n">
        <v>88.3</v>
      </c>
      <c r="V541" s="2" t="n">
        <v>17</v>
      </c>
      <c r="W541" s="7">
        <f>IF(N(U541)&lt;=0,0,MIN(Assumptions!$B$15,N(R541)/N(U541)))</f>
        <v/>
      </c>
      <c r="X541" s="6" t="n"/>
      <c r="Y541" s="3" t="n">
        <v>0.0277</v>
      </c>
      <c r="Z541" t="inlineStr">
        <is>
          <t>adjusted xGOT</t>
        </is>
      </c>
      <c r="AA541" s="3" t="n">
        <v>1</v>
      </c>
      <c r="AB541" s="3" t="n">
        <v>0.856</v>
      </c>
      <c r="AC541" s="3" t="n">
        <v>5.2</v>
      </c>
      <c r="AD541" s="3" t="n">
        <v>0.012</v>
      </c>
      <c r="AE541" s="3" t="n">
        <v>8.746</v>
      </c>
      <c r="AF541" s="3" t="n">
        <v>0</v>
      </c>
      <c r="AG541" s="3" t="n">
        <v>6.376</v>
      </c>
      <c r="AH541" s="3" t="n">
        <v>0</v>
      </c>
      <c r="AI541" s="3" t="n">
        <v>38</v>
      </c>
      <c r="AJ541" s="3" t="n"/>
      <c r="AK541" s="3" t="n"/>
      <c r="AL541" s="3" t="n"/>
      <c r="AM541" s="6" t="n">
        <v>0</v>
      </c>
      <c r="AN541" s="3" t="n">
        <v>0</v>
      </c>
      <c r="AO541" s="3" t="n">
        <v>0</v>
      </c>
      <c r="AP541" s="3" t="n">
        <v>0</v>
      </c>
      <c r="AQ541" s="3">
        <f>N(X541)*N(BJ541)</f>
        <v/>
      </c>
      <c r="AR541" s="3" t="n">
        <v>0</v>
      </c>
      <c r="AS541" s="3" t="n">
        <v>0</v>
      </c>
      <c r="AT541" s="3" t="n">
        <v>0</v>
      </c>
      <c r="AU541" s="3">
        <f>SUM(AO541:AT541)</f>
        <v/>
      </c>
      <c r="AV541" s="7">
        <f>IF(OR(N(W541)&lt;=0,N(BH541)=0),0,N(W541)*IF(N(R541)/N(W541)&gt;=60,N(BH541),1))</f>
        <v/>
      </c>
      <c r="AW541" s="7">
        <f>N(W541)*N(AF541)*N(BI541)</f>
        <v/>
      </c>
      <c r="AX541" s="3">
        <f>IF(N(BH541)=0,0,N(W541)*N(AH541))</f>
        <v/>
      </c>
      <c r="AY541" s="7">
        <f>N(AM541)*(Assumptions!$B$13*N(BK541)-(1-Assumptions!$B$13)*Assumptions!$B$14)+N(AN541)</f>
        <v/>
      </c>
      <c r="AZ541" s="7">
        <f>N(AU541)*N(R541)/90+N(AV541)+N(AW541)+N(AX541)+N(AY541)</f>
        <v/>
      </c>
      <c r="BA541" s="3">
        <f>IF(N(R541)&lt;=0,0,(N(AZ541)-N(AY541))*90/N(R541))</f>
        <v/>
      </c>
      <c r="BB541" s="7">
        <f>IFERROR(AZ541-VLOOKUP($E541,Assumptions!$A$40:$C$43,3,FALSE),"")</f>
        <v/>
      </c>
      <c r="BC541" s="3">
        <f>IFERROR(BB541/H541,"")</f>
        <v/>
      </c>
      <c r="BD541">
        <f>IF(AND($G541=TRUE,$E541="GKP"),AZ541,"")</f>
        <v/>
      </c>
      <c r="BE541">
        <f>IF(AND($G541=TRUE,$E541="DEF"),AZ541,"")</f>
        <v/>
      </c>
      <c r="BF541">
        <f>IF(AND($G541=TRUE,$E541="MID"),AZ541,"")</f>
        <v/>
      </c>
      <c r="BG541">
        <f>IF(AND($G541=TRUE,$E541="FWD"),AZ541,"")</f>
        <v/>
      </c>
      <c r="BH541" t="n">
        <v>0</v>
      </c>
      <c r="BI541" t="n">
        <v>0</v>
      </c>
      <c r="BJ541" t="n">
        <v>0</v>
      </c>
      <c r="BK541" t="n">
        <v>0</v>
      </c>
    </row>
    <row r="542">
      <c r="A542" t="inlineStr">
        <is>
          <t>Aaron Wan-Bissaka</t>
        </is>
      </c>
      <c r="C542" t="inlineStr">
        <is>
          <t>WHU</t>
        </is>
      </c>
      <c r="D542" t="b">
        <v>0</v>
      </c>
      <c r="F542" t="inlineStr">
        <is>
          <t>DEF</t>
        </is>
      </c>
      <c r="G542" t="b">
        <v>0</v>
      </c>
      <c r="H542" s="2" t="n"/>
      <c r="K542" s="2" t="n">
        <v>2084</v>
      </c>
      <c r="M542" s="3" t="n"/>
      <c r="N542" s="8" t="n">
        <v>2084</v>
      </c>
      <c r="O542" s="8" t="n">
        <v>0</v>
      </c>
      <c r="R542" s="6" t="n">
        <v>2084</v>
      </c>
      <c r="S542" t="inlineStr">
        <is>
          <t>25/26 actual</t>
        </is>
      </c>
      <c r="U542" s="6" t="n">
        <v>86.8</v>
      </c>
      <c r="V542" s="2" t="n">
        <v>23</v>
      </c>
      <c r="W542" s="7">
        <f>IF(N(U542)&lt;=0,0,MIN(Assumptions!$B$15,N(R542)/N(U542)))</f>
        <v/>
      </c>
      <c r="X542" s="6" t="n"/>
      <c r="Y542" s="3" t="n">
        <v>0</v>
      </c>
      <c r="Z542" t="inlineStr">
        <is>
          <t>adjusted xGOT</t>
        </is>
      </c>
      <c r="AA542" s="3" t="n">
        <v>1</v>
      </c>
      <c r="AB542" s="3" t="n">
        <v>0.878</v>
      </c>
      <c r="AC542" s="3" t="n">
        <v>2.5</v>
      </c>
      <c r="AD542" s="3" t="n">
        <v>0.0617</v>
      </c>
      <c r="AE542" s="3" t="n">
        <v>7.569</v>
      </c>
      <c r="AF542" s="3" t="n">
        <v>0</v>
      </c>
      <c r="AG542" s="3" t="n">
        <v>6.946</v>
      </c>
      <c r="AH542" s="3" t="n">
        <v>0</v>
      </c>
      <c r="AI542" s="3" t="n">
        <v>48</v>
      </c>
      <c r="AJ542" s="3" t="n"/>
      <c r="AK542" s="3" t="n"/>
      <c r="AL542" s="3" t="n"/>
      <c r="AM542" s="6" t="n">
        <v>0</v>
      </c>
      <c r="AN542" s="3" t="n">
        <v>0</v>
      </c>
      <c r="AO542" s="3" t="n">
        <v>0</v>
      </c>
      <c r="AP542" s="3" t="n">
        <v>0</v>
      </c>
      <c r="AQ542" s="3">
        <f>N(X542)*N(BJ542)</f>
        <v/>
      </c>
      <c r="AR542" s="3" t="n">
        <v>0</v>
      </c>
      <c r="AS542" s="3" t="n">
        <v>0</v>
      </c>
      <c r="AT542" s="3" t="n">
        <v>0</v>
      </c>
      <c r="AU542" s="3">
        <f>SUM(AO542:AT542)</f>
        <v/>
      </c>
      <c r="AV542" s="7">
        <f>IF(OR(N(W542)&lt;=0,N(BH542)=0),0,N(W542)*IF(N(R542)/N(W542)&gt;=60,N(BH542),1))</f>
        <v/>
      </c>
      <c r="AW542" s="7">
        <f>N(W542)*N(AF542)*N(BI542)</f>
        <v/>
      </c>
      <c r="AX542" s="3">
        <f>IF(N(BH542)=0,0,N(W542)*N(AH542))</f>
        <v/>
      </c>
      <c r="AY542" s="7">
        <f>N(AM542)*(Assumptions!$B$13*N(BK542)-(1-Assumptions!$B$13)*Assumptions!$B$14)+N(AN542)</f>
        <v/>
      </c>
      <c r="AZ542" s="7">
        <f>N(AU542)*N(R542)/90+N(AV542)+N(AW542)+N(AX542)+N(AY542)</f>
        <v/>
      </c>
      <c r="BA542" s="3">
        <f>IF(N(R542)&lt;=0,0,(N(AZ542)-N(AY542))*90/N(R542))</f>
        <v/>
      </c>
      <c r="BB542" s="7">
        <f>IFERROR(AZ542-VLOOKUP($E542,Assumptions!$A$40:$C$43,3,FALSE),"")</f>
        <v/>
      </c>
      <c r="BC542" s="3">
        <f>IFERROR(BB542/H542,"")</f>
        <v/>
      </c>
      <c r="BD542">
        <f>IF(AND($G542=TRUE,$E542="GKP"),AZ542,"")</f>
        <v/>
      </c>
      <c r="BE542">
        <f>IF(AND($G542=TRUE,$E542="DEF"),AZ542,"")</f>
        <v/>
      </c>
      <c r="BF542">
        <f>IF(AND($G542=TRUE,$E542="MID"),AZ542,"")</f>
        <v/>
      </c>
      <c r="BG542">
        <f>IF(AND($G542=TRUE,$E542="FWD"),AZ542,"")</f>
        <v/>
      </c>
      <c r="BH542" t="n">
        <v>0</v>
      </c>
      <c r="BI542" t="n">
        <v>0</v>
      </c>
      <c r="BJ542" t="n">
        <v>0</v>
      </c>
      <c r="BK542" t="n">
        <v>0</v>
      </c>
    </row>
    <row r="543">
      <c r="A543" t="inlineStr">
        <is>
          <t>Tomás Soucek</t>
        </is>
      </c>
      <c r="C543" t="inlineStr">
        <is>
          <t>WHU</t>
        </is>
      </c>
      <c r="D543" t="b">
        <v>0</v>
      </c>
      <c r="F543" t="inlineStr">
        <is>
          <t>MID</t>
        </is>
      </c>
      <c r="G543" t="b">
        <v>0</v>
      </c>
      <c r="H543" s="2" t="n"/>
      <c r="K543" s="2" t="n">
        <v>2198</v>
      </c>
      <c r="M543" s="3" t="n"/>
      <c r="N543" s="8" t="n">
        <v>2198</v>
      </c>
      <c r="O543" s="8" t="n">
        <v>0</v>
      </c>
      <c r="R543" s="6" t="n">
        <v>2198</v>
      </c>
      <c r="S543" t="inlineStr">
        <is>
          <t>25/26 actual</t>
        </is>
      </c>
      <c r="U543" s="6" t="n">
        <v>83</v>
      </c>
      <c r="V543" s="2" t="n">
        <v>23</v>
      </c>
      <c r="W543" s="7">
        <f>IF(N(U543)&lt;=0,0,MIN(Assumptions!$B$15,N(R543)/N(U543)))</f>
        <v/>
      </c>
      <c r="X543" s="6" t="n"/>
      <c r="Y543" s="3" t="n">
        <v>0.2578</v>
      </c>
      <c r="Z543" t="inlineStr">
        <is>
          <t>adjusted xGOT</t>
        </is>
      </c>
      <c r="AA543" s="3" t="n">
        <v>1</v>
      </c>
      <c r="AB543" s="3" t="n">
        <v>1.099</v>
      </c>
      <c r="AC543" s="3" t="n">
        <v>23</v>
      </c>
      <c r="AD543" s="3" t="n">
        <v>0.0336</v>
      </c>
      <c r="AE543" s="3" t="n">
        <v>9.050000000000001</v>
      </c>
      <c r="AF543" s="3" t="n">
        <v>0</v>
      </c>
      <c r="AG543" s="3" t="n">
        <v>6.261</v>
      </c>
      <c r="AH543" s="3" t="n">
        <v>0</v>
      </c>
      <c r="AI543" s="3" t="n">
        <v>58</v>
      </c>
      <c r="AJ543" s="3" t="n"/>
      <c r="AK543" s="3" t="n"/>
      <c r="AL543" s="3" t="n"/>
      <c r="AM543" s="6" t="n">
        <v>0</v>
      </c>
      <c r="AN543" s="3" t="n">
        <v>0</v>
      </c>
      <c r="AO543" s="3" t="n">
        <v>0</v>
      </c>
      <c r="AP543" s="3" t="n">
        <v>0</v>
      </c>
      <c r="AQ543" s="3">
        <f>N(X543)*N(BJ543)</f>
        <v/>
      </c>
      <c r="AR543" s="3" t="n">
        <v>0</v>
      </c>
      <c r="AS543" s="3" t="n">
        <v>0</v>
      </c>
      <c r="AT543" s="3" t="n">
        <v>0</v>
      </c>
      <c r="AU543" s="3">
        <f>SUM(AO543:AT543)</f>
        <v/>
      </c>
      <c r="AV543" s="7">
        <f>IF(OR(N(W543)&lt;=0,N(BH543)=0),0,N(W543)*IF(N(R543)/N(W543)&gt;=60,N(BH543),1))</f>
        <v/>
      </c>
      <c r="AW543" s="7">
        <f>N(W543)*N(AF543)*N(BI543)</f>
        <v/>
      </c>
      <c r="AX543" s="3">
        <f>IF(N(BH543)=0,0,N(W543)*N(AH543))</f>
        <v/>
      </c>
      <c r="AY543" s="7">
        <f>N(AM543)*(Assumptions!$B$13*N(BK543)-(1-Assumptions!$B$13)*Assumptions!$B$14)+N(AN543)</f>
        <v/>
      </c>
      <c r="AZ543" s="7">
        <f>N(AU543)*N(R543)/90+N(AV543)+N(AW543)+N(AX543)+N(AY543)</f>
        <v/>
      </c>
      <c r="BA543" s="3">
        <f>IF(N(R543)&lt;=0,0,(N(AZ543)-N(AY543))*90/N(R543))</f>
        <v/>
      </c>
      <c r="BB543" s="7">
        <f>IFERROR(AZ543-VLOOKUP($E543,Assumptions!$A$40:$C$43,3,FALSE),"")</f>
        <v/>
      </c>
      <c r="BC543" s="3">
        <f>IFERROR(BB543/H543,"")</f>
        <v/>
      </c>
      <c r="BD543">
        <f>IF(AND($G543=TRUE,$E543="GKP"),AZ543,"")</f>
        <v/>
      </c>
      <c r="BE543">
        <f>IF(AND($G543=TRUE,$E543="DEF"),AZ543,"")</f>
        <v/>
      </c>
      <c r="BF543">
        <f>IF(AND($G543=TRUE,$E543="MID"),AZ543,"")</f>
        <v/>
      </c>
      <c r="BG543">
        <f>IF(AND($G543=TRUE,$E543="FWD"),AZ543,"")</f>
        <v/>
      </c>
      <c r="BH543" t="n">
        <v>0</v>
      </c>
      <c r="BI543" t="n">
        <v>0</v>
      </c>
      <c r="BJ543" t="n">
        <v>0</v>
      </c>
      <c r="BK543" t="n">
        <v>0</v>
      </c>
    </row>
    <row r="544">
      <c r="A544" t="inlineStr">
        <is>
          <t>Dara O'Shea</t>
        </is>
      </c>
      <c r="B544" t="inlineStr">
        <is>
          <t>IPS</t>
        </is>
      </c>
      <c r="D544" t="b">
        <v>0</v>
      </c>
      <c r="E544" t="inlineStr">
        <is>
          <t>DEF</t>
        </is>
      </c>
      <c r="G544" t="b">
        <v>1</v>
      </c>
      <c r="H544" s="2" t="n">
        <v>4</v>
      </c>
      <c r="I544" t="inlineStr">
        <is>
          <t>a</t>
        </is>
      </c>
      <c r="K544" s="2" t="n"/>
      <c r="M544" s="3" t="n">
        <v>3232</v>
      </c>
      <c r="N544" s="8" t="n">
        <v>3232</v>
      </c>
      <c r="O544" s="8" t="n">
        <v>0</v>
      </c>
      <c r="Q544" t="inlineStr">
        <is>
          <t>flat</t>
        </is>
      </c>
      <c r="R544" s="6" t="n">
        <v>3232</v>
      </c>
      <c r="S544" t="inlineStr">
        <is>
          <t>Solio</t>
        </is>
      </c>
      <c r="U544" s="6" t="n">
        <v>85</v>
      </c>
      <c r="V544" s="2" t="n"/>
      <c r="W544" s="7">
        <f>IF(N(U544)&lt;=0,0,MIN(Assumptions!$B$15,N(R544)/N(U544)))</f>
        <v/>
      </c>
      <c r="X544" s="6" t="n">
        <v>0.17</v>
      </c>
      <c r="Y544" s="3" t="n"/>
      <c r="Z544" t="inlineStr"/>
      <c r="AA544" s="3" t="n">
        <v>1</v>
      </c>
      <c r="AB544" s="3" t="n"/>
      <c r="AC544" s="3" t="n"/>
      <c r="AD544" s="3" t="n"/>
      <c r="AE544" s="3" t="n"/>
      <c r="AF544" s="3" t="n">
        <v>0</v>
      </c>
      <c r="AG544" s="3" t="n"/>
      <c r="AH544" s="3" t="n">
        <v>0</v>
      </c>
      <c r="AI544" s="3" t="n"/>
      <c r="AJ544" s="3" t="n">
        <v>3.5741</v>
      </c>
      <c r="AK544" s="3" t="n">
        <v>1.8319</v>
      </c>
      <c r="AL544" s="3" t="n">
        <v>-0.1930079917092188</v>
      </c>
      <c r="AM544" s="6" t="n">
        <v>0</v>
      </c>
      <c r="AN544" s="3" t="n">
        <v>0</v>
      </c>
      <c r="AO544" s="3" t="n">
        <v>0</v>
      </c>
      <c r="AP544" s="3" t="n">
        <v>0</v>
      </c>
      <c r="AQ544" s="3">
        <f>N(X544)*N(BJ544)</f>
        <v/>
      </c>
      <c r="AR544" s="3" t="n">
        <v>0</v>
      </c>
      <c r="AS544" s="3" t="n">
        <v>-0.6723587286814016</v>
      </c>
      <c r="AT544" s="3" t="n">
        <v>-0.1930079917092188</v>
      </c>
      <c r="AU544" s="3">
        <f>SUM(AO544:AT544)</f>
        <v/>
      </c>
      <c r="AV544" s="7">
        <f>IF(OR(N(W544)&lt;=0,N(BH544)=0),0,N(W544)*IF(N(R544)/N(W544)&gt;=60,N(BH544),1))</f>
        <v/>
      </c>
      <c r="AW544" s="7">
        <f>N(W544)*N(AF544)*N(BI544)</f>
        <v/>
      </c>
      <c r="AX544" s="3">
        <f>IF(N(BH544)=0,0,N(W544)*N(AH544))</f>
        <v/>
      </c>
      <c r="AY544" s="7">
        <f>N(AM544)*(Assumptions!$B$13*N(BK544)-(1-Assumptions!$B$13)*Assumptions!$B$14)+N(AN544)</f>
        <v/>
      </c>
      <c r="AZ544" s="7">
        <f>N(AU544)*N(R544)/90+N(AV544)+N(AW544)+N(AX544)+N(AY544)</f>
        <v/>
      </c>
      <c r="BA544" s="3">
        <f>IF(N(R544)&lt;=0,0,(N(AZ544)-N(AY544))*90/N(R544))</f>
        <v/>
      </c>
      <c r="BB544" s="7">
        <f>IFERROR(AZ544-VLOOKUP($E544,Assumptions!$A$40:$C$43,3,FALSE),"")</f>
        <v/>
      </c>
      <c r="BC544" s="3">
        <f>IFERROR(BB544/H544,"")</f>
        <v/>
      </c>
      <c r="BD544">
        <f>IF(AND($G544=TRUE,$E544="GKP"),AZ544,"")</f>
        <v/>
      </c>
      <c r="BE544">
        <f>IF(AND($G544=TRUE,$E544="DEF"),AZ544,"")</f>
        <v/>
      </c>
      <c r="BF544">
        <f>IF(AND($G544=TRUE,$E544="MID"),AZ544,"")</f>
        <v/>
      </c>
      <c r="BG544">
        <f>IF(AND($G544=TRUE,$E544="FWD"),AZ544,"")</f>
        <v/>
      </c>
      <c r="BH544" t="n">
        <v>2</v>
      </c>
      <c r="BI544" t="n">
        <v>2</v>
      </c>
      <c r="BJ544" t="n">
        <v>4</v>
      </c>
      <c r="BK544" t="n">
        <v>6</v>
      </c>
    </row>
    <row r="545">
      <c r="A545" t="inlineStr">
        <is>
          <t>Samuel Chukwueze</t>
        </is>
      </c>
      <c r="C545" t="inlineStr">
        <is>
          <t>FUL</t>
        </is>
      </c>
      <c r="D545" t="b">
        <v>0</v>
      </c>
      <c r="F545" t="inlineStr">
        <is>
          <t>MID</t>
        </is>
      </c>
      <c r="G545" t="b">
        <v>0</v>
      </c>
      <c r="H545" s="2" t="n"/>
      <c r="K545" s="2" t="n">
        <v>1075</v>
      </c>
      <c r="M545" s="3" t="n"/>
      <c r="N545" s="8" t="n">
        <v>1075</v>
      </c>
      <c r="O545" s="8" t="n">
        <v>0</v>
      </c>
      <c r="R545" s="6" t="n">
        <v>1075</v>
      </c>
      <c r="S545" t="inlineStr">
        <is>
          <t>25/26 actual</t>
        </is>
      </c>
      <c r="U545" s="6" t="n">
        <v>77.3</v>
      </c>
      <c r="V545" s="2" t="n">
        <v>10</v>
      </c>
      <c r="W545" s="7">
        <f>IF(N(U545)&lt;=0,0,MIN(Assumptions!$B$15,N(R545)/N(U545)))</f>
        <v/>
      </c>
      <c r="X545" s="6" t="n"/>
      <c r="Y545" s="3" t="n">
        <v>0.1932</v>
      </c>
      <c r="Z545" t="inlineStr">
        <is>
          <t>adjusted xGOT</t>
        </is>
      </c>
      <c r="AA545" s="3" t="n">
        <v>1</v>
      </c>
      <c r="AB545" s="3" t="n">
        <v>1.099</v>
      </c>
      <c r="AC545" s="3" t="n">
        <v>2.1</v>
      </c>
      <c r="AD545" s="3" t="n">
        <v>0.2374</v>
      </c>
      <c r="AE545" s="3" t="n">
        <v>7.535</v>
      </c>
      <c r="AF545" s="3" t="n">
        <v>0</v>
      </c>
      <c r="AG545" s="3" t="n">
        <v>5.372</v>
      </c>
      <c r="AH545" s="3" t="n">
        <v>0</v>
      </c>
      <c r="AI545" s="3" t="n">
        <v>32</v>
      </c>
      <c r="AJ545" s="3" t="n"/>
      <c r="AK545" s="3" t="n"/>
      <c r="AL545" s="3" t="n"/>
      <c r="AM545" s="6" t="n">
        <v>0</v>
      </c>
      <c r="AN545" s="3" t="n">
        <v>0</v>
      </c>
      <c r="AO545" s="3" t="n">
        <v>0</v>
      </c>
      <c r="AP545" s="3" t="n">
        <v>0</v>
      </c>
      <c r="AQ545" s="3">
        <f>N(X545)*N(BJ545)</f>
        <v/>
      </c>
      <c r="AR545" s="3" t="n">
        <v>0</v>
      </c>
      <c r="AS545" s="3" t="n">
        <v>0</v>
      </c>
      <c r="AT545" s="3" t="n">
        <v>0</v>
      </c>
      <c r="AU545" s="3">
        <f>SUM(AO545:AT545)</f>
        <v/>
      </c>
      <c r="AV545" s="7">
        <f>IF(OR(N(W545)&lt;=0,N(BH545)=0),0,N(W545)*IF(N(R545)/N(W545)&gt;=60,N(BH545),1))</f>
        <v/>
      </c>
      <c r="AW545" s="7">
        <f>N(W545)*N(AF545)*N(BI545)</f>
        <v/>
      </c>
      <c r="AX545" s="3">
        <f>IF(N(BH545)=0,0,N(W545)*N(AH545))</f>
        <v/>
      </c>
      <c r="AY545" s="7">
        <f>N(AM545)*(Assumptions!$B$13*N(BK545)-(1-Assumptions!$B$13)*Assumptions!$B$14)+N(AN545)</f>
        <v/>
      </c>
      <c r="AZ545" s="7">
        <f>N(AU545)*N(R545)/90+N(AV545)+N(AW545)+N(AX545)+N(AY545)</f>
        <v/>
      </c>
      <c r="BA545" s="3">
        <f>IF(N(R545)&lt;=0,0,(N(AZ545)-N(AY545))*90/N(R545))</f>
        <v/>
      </c>
      <c r="BB545" s="7">
        <f>IFERROR(AZ545-VLOOKUP($E545,Assumptions!$A$40:$C$43,3,FALSE),"")</f>
        <v/>
      </c>
      <c r="BC545" s="3">
        <f>IFERROR(BB545/H545,"")</f>
        <v/>
      </c>
      <c r="BD545">
        <f>IF(AND($G545=TRUE,$E545="GKP"),AZ545,"")</f>
        <v/>
      </c>
      <c r="BE545">
        <f>IF(AND($G545=TRUE,$E545="DEF"),AZ545,"")</f>
        <v/>
      </c>
      <c r="BF545">
        <f>IF(AND($G545=TRUE,$E545="MID"),AZ545,"")</f>
        <v/>
      </c>
      <c r="BG545">
        <f>IF(AND($G545=TRUE,$E545="FWD"),AZ545,"")</f>
        <v/>
      </c>
      <c r="BH545" t="n">
        <v>0</v>
      </c>
      <c r="BI545" t="n">
        <v>0</v>
      </c>
      <c r="BJ545" t="n">
        <v>0</v>
      </c>
      <c r="BK545" t="n">
        <v>0</v>
      </c>
    </row>
    <row r="546">
      <c r="A546" t="inlineStr">
        <is>
          <t>Ellis Simms</t>
        </is>
      </c>
      <c r="B546" t="inlineStr">
        <is>
          <t>COV</t>
        </is>
      </c>
      <c r="D546" t="b">
        <v>0</v>
      </c>
      <c r="E546" t="inlineStr">
        <is>
          <t>FWD</t>
        </is>
      </c>
      <c r="G546" t="b">
        <v>1</v>
      </c>
      <c r="H546" s="2" t="n">
        <v>5</v>
      </c>
      <c r="I546" t="inlineStr">
        <is>
          <t>a</t>
        </is>
      </c>
      <c r="K546" s="2" t="n"/>
      <c r="M546" s="3" t="n">
        <v>744</v>
      </c>
      <c r="N546" s="8" t="n">
        <v>744</v>
      </c>
      <c r="O546" s="8" t="n">
        <v>0</v>
      </c>
      <c r="Q546" t="inlineStr">
        <is>
          <t>fade (losing his place)</t>
        </is>
      </c>
      <c r="R546" s="6" t="n">
        <v>744</v>
      </c>
      <c r="S546" t="inlineStr">
        <is>
          <t>Solio</t>
        </is>
      </c>
      <c r="U546" s="6" t="n">
        <v>85</v>
      </c>
      <c r="V546" s="2" t="n"/>
      <c r="W546" s="7">
        <f>IF(N(U546)&lt;=0,0,MIN(Assumptions!$B$15,N(R546)/N(U546)))</f>
        <v/>
      </c>
      <c r="X546" s="6" t="n">
        <v>0.17</v>
      </c>
      <c r="Y546" s="3" t="n"/>
      <c r="Z546" t="inlineStr"/>
      <c r="AA546" s="3" t="n">
        <v>1</v>
      </c>
      <c r="AB546" s="3" t="n"/>
      <c r="AC546" s="3" t="n"/>
      <c r="AD546" s="3" t="n"/>
      <c r="AE546" s="3" t="n"/>
      <c r="AF546" s="3" t="n">
        <v>0</v>
      </c>
      <c r="AG546" s="3" t="n"/>
      <c r="AH546" s="3" t="n">
        <v>0</v>
      </c>
      <c r="AI546" s="3" t="n"/>
      <c r="AJ546" s="3" t="n">
        <v>3.6194</v>
      </c>
      <c r="AK546" s="3" t="n">
        <v>1.8271</v>
      </c>
      <c r="AL546" s="3" t="n">
        <v>-0.174691292596322</v>
      </c>
      <c r="AM546" s="6" t="n">
        <v>0</v>
      </c>
      <c r="AN546" s="3" t="n">
        <v>0</v>
      </c>
      <c r="AO546" s="3" t="n">
        <v>0</v>
      </c>
      <c r="AP546" s="3" t="n">
        <v>0</v>
      </c>
      <c r="AQ546" s="3">
        <f>N(X546)*N(BJ546)</f>
        <v/>
      </c>
      <c r="AR546" s="3" t="n">
        <v>0</v>
      </c>
      <c r="AS546" s="3" t="n">
        <v>-0</v>
      </c>
      <c r="AT546" s="3" t="n">
        <v>-0.174691292596322</v>
      </c>
      <c r="AU546" s="3">
        <f>SUM(AO546:AT546)</f>
        <v/>
      </c>
      <c r="AV546" s="7">
        <f>IF(OR(N(W546)&lt;=0,N(BH546)=0),0,N(W546)*IF(N(R546)/N(W546)&gt;=60,N(BH546),1))</f>
        <v/>
      </c>
      <c r="AW546" s="7">
        <f>N(W546)*N(AF546)*N(BI546)</f>
        <v/>
      </c>
      <c r="AX546" s="3">
        <f>IF(N(BH546)=0,0,N(W546)*N(AH546))</f>
        <v/>
      </c>
      <c r="AY546" s="7">
        <f>N(AM546)*(Assumptions!$B$13*N(BK546)-(1-Assumptions!$B$13)*Assumptions!$B$14)+N(AN546)</f>
        <v/>
      </c>
      <c r="AZ546" s="7">
        <f>N(AU546)*N(R546)/90+N(AV546)+N(AW546)+N(AX546)+N(AY546)</f>
        <v/>
      </c>
      <c r="BA546" s="3">
        <f>IF(N(R546)&lt;=0,0,(N(AZ546)-N(AY546))*90/N(R546))</f>
        <v/>
      </c>
      <c r="BB546" s="7">
        <f>IFERROR(AZ546-VLOOKUP($E546,Assumptions!$A$40:$C$43,3,FALSE),"")</f>
        <v/>
      </c>
      <c r="BC546" s="3">
        <f>IFERROR(BB546/H546,"")</f>
        <v/>
      </c>
      <c r="BD546">
        <f>IF(AND($G546=TRUE,$E546="GKP"),AZ546,"")</f>
        <v/>
      </c>
      <c r="BE546">
        <f>IF(AND($G546=TRUE,$E546="DEF"),AZ546,"")</f>
        <v/>
      </c>
      <c r="BF546">
        <f>IF(AND($G546=TRUE,$E546="MID"),AZ546,"")</f>
        <v/>
      </c>
      <c r="BG546">
        <f>IF(AND($G546=TRUE,$E546="FWD"),AZ546,"")</f>
        <v/>
      </c>
      <c r="BH546" t="n">
        <v>2</v>
      </c>
      <c r="BI546" t="n">
        <v>2</v>
      </c>
      <c r="BJ546" t="n">
        <v>0</v>
      </c>
      <c r="BK546" t="n">
        <v>4</v>
      </c>
    </row>
    <row r="547">
      <c r="A547" t="inlineStr">
        <is>
          <t>Luke Woolfenden</t>
        </is>
      </c>
      <c r="B547" t="inlineStr">
        <is>
          <t>COV</t>
        </is>
      </c>
      <c r="D547" t="b">
        <v>0</v>
      </c>
      <c r="E547" t="inlineStr">
        <is>
          <t>DEF</t>
        </is>
      </c>
      <c r="G547" t="b">
        <v>1</v>
      </c>
      <c r="H547" s="2" t="n">
        <v>4</v>
      </c>
      <c r="I547" t="inlineStr">
        <is>
          <t>a</t>
        </is>
      </c>
      <c r="K547" s="2" t="n"/>
      <c r="M547" s="3" t="n">
        <v>270</v>
      </c>
      <c r="N547" s="8" t="n">
        <v>270</v>
      </c>
      <c r="O547" s="8" t="n">
        <v>0</v>
      </c>
      <c r="Q547" t="inlineStr">
        <is>
          <t>flat</t>
        </is>
      </c>
      <c r="R547" s="6" t="n">
        <v>270</v>
      </c>
      <c r="S547" t="inlineStr">
        <is>
          <t>Solio</t>
        </is>
      </c>
      <c r="U547" s="6" t="n">
        <v>85</v>
      </c>
      <c r="V547" s="2" t="n"/>
      <c r="W547" s="7">
        <f>IF(N(U547)&lt;=0,0,MIN(Assumptions!$B$15,N(R547)/N(U547)))</f>
        <v/>
      </c>
      <c r="X547" s="6" t="n">
        <v>0.17</v>
      </c>
      <c r="Y547" s="3" t="n"/>
      <c r="Z547" t="inlineStr"/>
      <c r="AA547" s="3" t="n">
        <v>1</v>
      </c>
      <c r="AB547" s="3" t="n"/>
      <c r="AC547" s="3" t="n"/>
      <c r="AD547" s="3" t="n"/>
      <c r="AE547" s="3" t="n"/>
      <c r="AF547" s="3" t="n">
        <v>0</v>
      </c>
      <c r="AG547" s="3" t="n"/>
      <c r="AH547" s="3" t="n">
        <v>0</v>
      </c>
      <c r="AI547" s="3" t="n"/>
      <c r="AJ547" s="3" t="n">
        <v>3.6194</v>
      </c>
      <c r="AK547" s="3" t="n">
        <v>1.8271</v>
      </c>
      <c r="AL547" s="3" t="n">
        <v>-0.1940389217566572</v>
      </c>
      <c r="AM547" s="6" t="n">
        <v>0</v>
      </c>
      <c r="AN547" s="3" t="n">
        <v>0</v>
      </c>
      <c r="AO547" s="3" t="n">
        <v>0</v>
      </c>
      <c r="AP547" s="3" t="n">
        <v>0</v>
      </c>
      <c r="AQ547" s="3">
        <f>N(X547)*N(BJ547)</f>
        <v/>
      </c>
      <c r="AR547" s="3" t="n">
        <v>0</v>
      </c>
      <c r="AS547" s="3" t="n">
        <v>-0.670020548738316</v>
      </c>
      <c r="AT547" s="3" t="n">
        <v>-0.1940389217566572</v>
      </c>
      <c r="AU547" s="3">
        <f>SUM(AO547:AT547)</f>
        <v/>
      </c>
      <c r="AV547" s="7">
        <f>IF(OR(N(W547)&lt;=0,N(BH547)=0),0,N(W547)*IF(N(R547)/N(W547)&gt;=60,N(BH547),1))</f>
        <v/>
      </c>
      <c r="AW547" s="7">
        <f>N(W547)*N(AF547)*N(BI547)</f>
        <v/>
      </c>
      <c r="AX547" s="3">
        <f>IF(N(BH547)=0,0,N(W547)*N(AH547))</f>
        <v/>
      </c>
      <c r="AY547" s="7">
        <f>N(AM547)*(Assumptions!$B$13*N(BK547)-(1-Assumptions!$B$13)*Assumptions!$B$14)+N(AN547)</f>
        <v/>
      </c>
      <c r="AZ547" s="7">
        <f>N(AU547)*N(R547)/90+N(AV547)+N(AW547)+N(AX547)+N(AY547)</f>
        <v/>
      </c>
      <c r="BA547" s="3">
        <f>IF(N(R547)&lt;=0,0,(N(AZ547)-N(AY547))*90/N(R547))</f>
        <v/>
      </c>
      <c r="BB547" s="7">
        <f>IFERROR(AZ547-VLOOKUP($E547,Assumptions!$A$40:$C$43,3,FALSE),"")</f>
        <v/>
      </c>
      <c r="BC547" s="3">
        <f>IFERROR(BB547/H547,"")</f>
        <v/>
      </c>
      <c r="BD547">
        <f>IF(AND($G547=TRUE,$E547="GKP"),AZ547,"")</f>
        <v/>
      </c>
      <c r="BE547">
        <f>IF(AND($G547=TRUE,$E547="DEF"),AZ547,"")</f>
        <v/>
      </c>
      <c r="BF547">
        <f>IF(AND($G547=TRUE,$E547="MID"),AZ547,"")</f>
        <v/>
      </c>
      <c r="BG547">
        <f>IF(AND($G547=TRUE,$E547="FWD"),AZ547,"")</f>
        <v/>
      </c>
      <c r="BH547" t="n">
        <v>2</v>
      </c>
      <c r="BI547" t="n">
        <v>2</v>
      </c>
      <c r="BJ547" t="n">
        <v>4</v>
      </c>
      <c r="BK547" t="n">
        <v>6</v>
      </c>
    </row>
    <row r="548">
      <c r="A548" t="inlineStr">
        <is>
          <t>Ben Johnson</t>
        </is>
      </c>
      <c r="B548" t="inlineStr">
        <is>
          <t>IPS</t>
        </is>
      </c>
      <c r="D548" t="b">
        <v>0</v>
      </c>
      <c r="E548" t="inlineStr">
        <is>
          <t>DEF</t>
        </is>
      </c>
      <c r="G548" t="b">
        <v>1</v>
      </c>
      <c r="H548" s="2" t="n">
        <v>4</v>
      </c>
      <c r="I548" t="inlineStr">
        <is>
          <t>a</t>
        </is>
      </c>
      <c r="K548" s="2" t="n"/>
      <c r="M548" s="3" t="n">
        <v>382</v>
      </c>
      <c r="N548" s="8" t="n">
        <v>382</v>
      </c>
      <c r="O548" s="8" t="n">
        <v>0</v>
      </c>
      <c r="Q548" t="inlineStr">
        <is>
          <t>flat</t>
        </is>
      </c>
      <c r="R548" s="6" t="n">
        <v>382</v>
      </c>
      <c r="S548" t="inlineStr">
        <is>
          <t>Solio</t>
        </is>
      </c>
      <c r="U548" s="6" t="n">
        <v>85</v>
      </c>
      <c r="V548" s="2" t="n"/>
      <c r="W548" s="7">
        <f>IF(N(U548)&lt;=0,0,MIN(Assumptions!$B$15,N(R548)/N(U548)))</f>
        <v/>
      </c>
      <c r="X548" s="6" t="n">
        <v>0.17</v>
      </c>
      <c r="Y548" s="3" t="n"/>
      <c r="Z548" t="inlineStr"/>
      <c r="AA548" s="3" t="n">
        <v>1</v>
      </c>
      <c r="AB548" s="3" t="n"/>
      <c r="AC548" s="3" t="n"/>
      <c r="AD548" s="3" t="n"/>
      <c r="AE548" s="3" t="n"/>
      <c r="AF548" s="3" t="n">
        <v>0</v>
      </c>
      <c r="AG548" s="3" t="n"/>
      <c r="AH548" s="3" t="n">
        <v>0</v>
      </c>
      <c r="AI548" s="3" t="n"/>
      <c r="AJ548" s="3" t="n">
        <v>3.5741</v>
      </c>
      <c r="AK548" s="3" t="n">
        <v>1.8319</v>
      </c>
      <c r="AL548" s="3" t="n">
        <v>-0.2087847133313149</v>
      </c>
      <c r="AM548" s="6" t="n">
        <v>0</v>
      </c>
      <c r="AN548" s="3" t="n">
        <v>0</v>
      </c>
      <c r="AO548" s="3" t="n">
        <v>0</v>
      </c>
      <c r="AP548" s="3" t="n">
        <v>0</v>
      </c>
      <c r="AQ548" s="3">
        <f>N(X548)*N(BJ548)</f>
        <v/>
      </c>
      <c r="AR548" s="3" t="n">
        <v>0</v>
      </c>
      <c r="AS548" s="3" t="n">
        <v>-0.6723587286814016</v>
      </c>
      <c r="AT548" s="3" t="n">
        <v>-0.2087847133313149</v>
      </c>
      <c r="AU548" s="3">
        <f>SUM(AO548:AT548)</f>
        <v/>
      </c>
      <c r="AV548" s="7">
        <f>IF(OR(N(W548)&lt;=0,N(BH548)=0),0,N(W548)*IF(N(R548)/N(W548)&gt;=60,N(BH548),1))</f>
        <v/>
      </c>
      <c r="AW548" s="7">
        <f>N(W548)*N(AF548)*N(BI548)</f>
        <v/>
      </c>
      <c r="AX548" s="3">
        <f>IF(N(BH548)=0,0,N(W548)*N(AH548))</f>
        <v/>
      </c>
      <c r="AY548" s="7">
        <f>N(AM548)*(Assumptions!$B$13*N(BK548)-(1-Assumptions!$B$13)*Assumptions!$B$14)+N(AN548)</f>
        <v/>
      </c>
      <c r="AZ548" s="7">
        <f>N(AU548)*N(R548)/90+N(AV548)+N(AW548)+N(AX548)+N(AY548)</f>
        <v/>
      </c>
      <c r="BA548" s="3">
        <f>IF(N(R548)&lt;=0,0,(N(AZ548)-N(AY548))*90/N(R548))</f>
        <v/>
      </c>
      <c r="BB548" s="7">
        <f>IFERROR(AZ548-VLOOKUP($E548,Assumptions!$A$40:$C$43,3,FALSE),"")</f>
        <v/>
      </c>
      <c r="BC548" s="3">
        <f>IFERROR(BB548/H548,"")</f>
        <v/>
      </c>
      <c r="BD548">
        <f>IF(AND($G548=TRUE,$E548="GKP"),AZ548,"")</f>
        <v/>
      </c>
      <c r="BE548">
        <f>IF(AND($G548=TRUE,$E548="DEF"),AZ548,"")</f>
        <v/>
      </c>
      <c r="BF548">
        <f>IF(AND($G548=TRUE,$E548="MID"),AZ548,"")</f>
        <v/>
      </c>
      <c r="BG548">
        <f>IF(AND($G548=TRUE,$E548="FWD"),AZ548,"")</f>
        <v/>
      </c>
      <c r="BH548" t="n">
        <v>2</v>
      </c>
      <c r="BI548" t="n">
        <v>2</v>
      </c>
      <c r="BJ548" t="n">
        <v>4</v>
      </c>
      <c r="BK548" t="n">
        <v>6</v>
      </c>
    </row>
    <row r="549">
      <c r="A549" t="inlineStr">
        <is>
          <t>George Hirst</t>
        </is>
      </c>
      <c r="B549" t="inlineStr">
        <is>
          <t>IPS</t>
        </is>
      </c>
      <c r="D549" t="b">
        <v>0</v>
      </c>
      <c r="E549" t="inlineStr">
        <is>
          <t>FWD</t>
        </is>
      </c>
      <c r="G549" t="b">
        <v>1</v>
      </c>
      <c r="H549" s="2" t="n">
        <v>5</v>
      </c>
      <c r="I549" t="inlineStr">
        <is>
          <t>a</t>
        </is>
      </c>
      <c r="K549" s="2" t="n"/>
      <c r="M549" s="3" t="n">
        <v>448</v>
      </c>
      <c r="N549" s="8" t="n">
        <v>448</v>
      </c>
      <c r="O549" s="8" t="n">
        <v>0</v>
      </c>
      <c r="Q549" t="inlineStr">
        <is>
          <t>flat</t>
        </is>
      </c>
      <c r="R549" s="6" t="n">
        <v>448</v>
      </c>
      <c r="S549" t="inlineStr">
        <is>
          <t>Solio</t>
        </is>
      </c>
      <c r="U549" s="6" t="n">
        <v>85</v>
      </c>
      <c r="V549" s="2" t="n"/>
      <c r="W549" s="7">
        <f>IF(N(U549)&lt;=0,0,MIN(Assumptions!$B$15,N(R549)/N(U549)))</f>
        <v/>
      </c>
      <c r="X549" s="6" t="n">
        <v>0.17</v>
      </c>
      <c r="Y549" s="3" t="n"/>
      <c r="Z549" t="inlineStr"/>
      <c r="AA549" s="3" t="n">
        <v>1</v>
      </c>
      <c r="AB549" s="3" t="n"/>
      <c r="AC549" s="3" t="n"/>
      <c r="AD549" s="3" t="n"/>
      <c r="AE549" s="3" t="n"/>
      <c r="AF549" s="3" t="n">
        <v>0</v>
      </c>
      <c r="AG549" s="3" t="n"/>
      <c r="AH549" s="3" t="n">
        <v>0</v>
      </c>
      <c r="AI549" s="3" t="n"/>
      <c r="AJ549" s="3" t="n">
        <v>3.5741</v>
      </c>
      <c r="AK549" s="3" t="n">
        <v>1.8319</v>
      </c>
      <c r="AL549" s="3" t="n">
        <v>-0.2288203642589416</v>
      </c>
      <c r="AM549" s="6" t="n">
        <v>0.092526340607123</v>
      </c>
      <c r="AN549" s="3" t="n">
        <v>0</v>
      </c>
      <c r="AO549" s="3" t="n">
        <v>0</v>
      </c>
      <c r="AP549" s="3" t="n">
        <v>0</v>
      </c>
      <c r="AQ549" s="3">
        <f>N(X549)*N(BJ549)</f>
        <v/>
      </c>
      <c r="AR549" s="3" t="n">
        <v>0</v>
      </c>
      <c r="AS549" s="3" t="n">
        <v>-0</v>
      </c>
      <c r="AT549" s="3" t="n">
        <v>-0.2288203642589416</v>
      </c>
      <c r="AU549" s="3">
        <f>SUM(AO549:AT549)</f>
        <v/>
      </c>
      <c r="AV549" s="7">
        <f>IF(OR(N(W549)&lt;=0,N(BH549)=0),0,N(W549)*IF(N(R549)/N(W549)&gt;=60,N(BH549),1))</f>
        <v/>
      </c>
      <c r="AW549" s="7">
        <f>N(W549)*N(AF549)*N(BI549)</f>
        <v/>
      </c>
      <c r="AX549" s="3">
        <f>IF(N(BH549)=0,0,N(W549)*N(AH549))</f>
        <v/>
      </c>
      <c r="AY549" s="7">
        <f>N(AM549)*(Assumptions!$B$13*N(BK549)-(1-Assumptions!$B$13)*Assumptions!$B$14)+N(AN549)</f>
        <v/>
      </c>
      <c r="AZ549" s="7">
        <f>N(AU549)*N(R549)/90+N(AV549)+N(AW549)+N(AX549)+N(AY549)</f>
        <v/>
      </c>
      <c r="BA549" s="3">
        <f>IF(N(R549)&lt;=0,0,(N(AZ549)-N(AY549))*90/N(R549))</f>
        <v/>
      </c>
      <c r="BB549" s="7">
        <f>IFERROR(AZ549-VLOOKUP($E549,Assumptions!$A$40:$C$43,3,FALSE),"")</f>
        <v/>
      </c>
      <c r="BC549" s="3">
        <f>IFERROR(BB549/H549,"")</f>
        <v/>
      </c>
      <c r="BD549">
        <f>IF(AND($G549=TRUE,$E549="GKP"),AZ549,"")</f>
        <v/>
      </c>
      <c r="BE549">
        <f>IF(AND($G549=TRUE,$E549="DEF"),AZ549,"")</f>
        <v/>
      </c>
      <c r="BF549">
        <f>IF(AND($G549=TRUE,$E549="MID"),AZ549,"")</f>
        <v/>
      </c>
      <c r="BG549">
        <f>IF(AND($G549=TRUE,$E549="FWD"),AZ549,"")</f>
        <v/>
      </c>
      <c r="BH549" t="n">
        <v>2</v>
      </c>
      <c r="BI549" t="n">
        <v>2</v>
      </c>
      <c r="BJ549" t="n">
        <v>0</v>
      </c>
      <c r="BK549" t="n">
        <v>4</v>
      </c>
    </row>
    <row r="550">
      <c r="A550" t="inlineStr">
        <is>
          <t>Tyrell Malacia</t>
        </is>
      </c>
      <c r="C550" t="inlineStr">
        <is>
          <t>MUN</t>
        </is>
      </c>
      <c r="D550" t="b">
        <v>0</v>
      </c>
      <c r="F550" t="inlineStr">
        <is>
          <t>DEF</t>
        </is>
      </c>
      <c r="G550" t="b">
        <v>0</v>
      </c>
      <c r="H550" s="2" t="n"/>
      <c r="K550" s="2" t="n">
        <v>15</v>
      </c>
      <c r="M550" s="3" t="n"/>
      <c r="N550" s="8" t="n">
        <v>15</v>
      </c>
      <c r="O550" s="8" t="n">
        <v>0</v>
      </c>
      <c r="R550" s="6" t="n">
        <v>15</v>
      </c>
      <c r="S550" t="inlineStr">
        <is>
          <t>25/26 actual</t>
        </is>
      </c>
      <c r="U550" s="6" t="n">
        <v>85.5</v>
      </c>
      <c r="V550" s="2" t="n">
        <v>0</v>
      </c>
      <c r="W550" s="7">
        <f>IF(N(U550)&lt;=0,0,MIN(Assumptions!$B$15,N(R550)/N(U550)))</f>
        <v/>
      </c>
      <c r="X550" s="6" t="n"/>
      <c r="Y550" s="3" t="n">
        <v>0</v>
      </c>
      <c r="Z550" t="inlineStr">
        <is>
          <t>adjusted xGOT</t>
        </is>
      </c>
      <c r="AA550" s="3" t="n">
        <v>1</v>
      </c>
      <c r="AB550" s="3" t="n">
        <v>0.984</v>
      </c>
      <c r="AC550" s="3" t="n">
        <v>0.2</v>
      </c>
      <c r="AD550" s="3" t="n"/>
      <c r="AE550" s="3" t="n">
        <v>8.018000000000001</v>
      </c>
      <c r="AF550" s="3" t="n">
        <v>0</v>
      </c>
      <c r="AG550" s="3" t="n">
        <v>8.227</v>
      </c>
      <c r="AH550" s="3" t="n">
        <v>0</v>
      </c>
      <c r="AI550" s="3" t="n">
        <v>3</v>
      </c>
      <c r="AJ550" s="3" t="n"/>
      <c r="AK550" s="3" t="n"/>
      <c r="AL550" s="3" t="n"/>
      <c r="AM550" s="6" t="n">
        <v>0</v>
      </c>
      <c r="AN550" s="3" t="n">
        <v>0</v>
      </c>
      <c r="AO550" s="3" t="n">
        <v>0</v>
      </c>
      <c r="AP550" s="3" t="n">
        <v>0</v>
      </c>
      <c r="AQ550" s="3">
        <f>N(X550)*N(BJ550)</f>
        <v/>
      </c>
      <c r="AR550" s="3" t="n">
        <v>0</v>
      </c>
      <c r="AS550" s="3" t="n">
        <v>0</v>
      </c>
      <c r="AT550" s="3" t="n">
        <v>0</v>
      </c>
      <c r="AU550" s="3">
        <f>SUM(AO550:AT550)</f>
        <v/>
      </c>
      <c r="AV550" s="7">
        <f>IF(OR(N(W550)&lt;=0,N(BH550)=0),0,N(W550)*IF(N(R550)/N(W550)&gt;=60,N(BH550),1))</f>
        <v/>
      </c>
      <c r="AW550" s="7">
        <f>N(W550)*N(AF550)*N(BI550)</f>
        <v/>
      </c>
      <c r="AX550" s="3">
        <f>IF(N(BH550)=0,0,N(W550)*N(AH550))</f>
        <v/>
      </c>
      <c r="AY550" s="7">
        <f>N(AM550)*(Assumptions!$B$13*N(BK550)-(1-Assumptions!$B$13)*Assumptions!$B$14)+N(AN550)</f>
        <v/>
      </c>
      <c r="AZ550" s="7">
        <f>N(AU550)*N(R550)/90+N(AV550)+N(AW550)+N(AX550)+N(AY550)</f>
        <v/>
      </c>
      <c r="BA550" s="3">
        <f>IF(N(R550)&lt;=0,0,(N(AZ550)-N(AY550))*90/N(R550))</f>
        <v/>
      </c>
      <c r="BB550" s="7">
        <f>IFERROR(AZ550-VLOOKUP($E550,Assumptions!$A$40:$C$43,3,FALSE),"")</f>
        <v/>
      </c>
      <c r="BC550" s="3">
        <f>IFERROR(BB550/H550,"")</f>
        <v/>
      </c>
      <c r="BD550">
        <f>IF(AND($G550=TRUE,$E550="GKP"),AZ550,"")</f>
        <v/>
      </c>
      <c r="BE550">
        <f>IF(AND($G550=TRUE,$E550="DEF"),AZ550,"")</f>
        <v/>
      </c>
      <c r="BF550">
        <f>IF(AND($G550=TRUE,$E550="MID"),AZ550,"")</f>
        <v/>
      </c>
      <c r="BG550">
        <f>IF(AND($G550=TRUE,$E550="FWD"),AZ550,"")</f>
        <v/>
      </c>
      <c r="BH550" t="n">
        <v>0</v>
      </c>
      <c r="BI550" t="n">
        <v>0</v>
      </c>
      <c r="BJ550" t="n">
        <v>0</v>
      </c>
      <c r="BK550" t="n">
        <v>0</v>
      </c>
    </row>
    <row r="551">
      <c r="A551" t="inlineStr">
        <is>
          <t>Dan Neil</t>
        </is>
      </c>
      <c r="C551" t="inlineStr">
        <is>
          <t>SUN</t>
        </is>
      </c>
      <c r="D551" t="b">
        <v>0</v>
      </c>
      <c r="F551" t="inlineStr">
        <is>
          <t>MID</t>
        </is>
      </c>
      <c r="G551" t="b">
        <v>0</v>
      </c>
      <c r="H551" s="2" t="n"/>
      <c r="K551" s="2" t="n">
        <v>13</v>
      </c>
      <c r="M551" s="3" t="n"/>
      <c r="N551" s="8" t="n">
        <v>13</v>
      </c>
      <c r="O551" s="8" t="n">
        <v>0</v>
      </c>
      <c r="R551" s="6" t="n">
        <v>13</v>
      </c>
      <c r="S551" t="inlineStr">
        <is>
          <t>25/26 actual</t>
        </is>
      </c>
      <c r="U551" s="6" t="n">
        <v>80.09999999999999</v>
      </c>
      <c r="V551" s="2" t="n">
        <v>0</v>
      </c>
      <c r="W551" s="7">
        <f>IF(N(U551)&lt;=0,0,MIN(Assumptions!$B$15,N(R551)/N(U551)))</f>
        <v/>
      </c>
      <c r="X551" s="6" t="n"/>
      <c r="Y551" s="3" t="n">
        <v>0</v>
      </c>
      <c r="Z551" t="inlineStr">
        <is>
          <t>blended xG</t>
        </is>
      </c>
      <c r="AA551" s="3" t="n">
        <v>1</v>
      </c>
      <c r="AB551" s="3" t="n">
        <v>1</v>
      </c>
      <c r="AC551" s="3" t="n">
        <v>0</v>
      </c>
      <c r="AD551" s="3" t="n">
        <v>0</v>
      </c>
      <c r="AE551" s="3" t="n">
        <v>8.67</v>
      </c>
      <c r="AF551" s="3" t="n">
        <v>0</v>
      </c>
      <c r="AG551" s="3" t="n">
        <v>7.137</v>
      </c>
      <c r="AH551" s="3" t="n">
        <v>0</v>
      </c>
      <c r="AI551" s="3" t="n">
        <v>3</v>
      </c>
      <c r="AJ551" s="3" t="n"/>
      <c r="AK551" s="3" t="n"/>
      <c r="AL551" s="3" t="n"/>
      <c r="AM551" s="6" t="n">
        <v>0</v>
      </c>
      <c r="AN551" s="3" t="n">
        <v>0</v>
      </c>
      <c r="AO551" s="3" t="n">
        <v>0</v>
      </c>
      <c r="AP551" s="3" t="n">
        <v>0</v>
      </c>
      <c r="AQ551" s="3">
        <f>N(X551)*N(BJ551)</f>
        <v/>
      </c>
      <c r="AR551" s="3" t="n">
        <v>0</v>
      </c>
      <c r="AS551" s="3" t="n">
        <v>0</v>
      </c>
      <c r="AT551" s="3" t="n">
        <v>0</v>
      </c>
      <c r="AU551" s="3">
        <f>SUM(AO551:AT551)</f>
        <v/>
      </c>
      <c r="AV551" s="7">
        <f>IF(OR(N(W551)&lt;=0,N(BH551)=0),0,N(W551)*IF(N(R551)/N(W551)&gt;=60,N(BH551),1))</f>
        <v/>
      </c>
      <c r="AW551" s="7">
        <f>N(W551)*N(AF551)*N(BI551)</f>
        <v/>
      </c>
      <c r="AX551" s="3">
        <f>IF(N(BH551)=0,0,N(W551)*N(AH551))</f>
        <v/>
      </c>
      <c r="AY551" s="7">
        <f>N(AM551)*(Assumptions!$B$13*N(BK551)-(1-Assumptions!$B$13)*Assumptions!$B$14)+N(AN551)</f>
        <v/>
      </c>
      <c r="AZ551" s="7">
        <f>N(AU551)*N(R551)/90+N(AV551)+N(AW551)+N(AX551)+N(AY551)</f>
        <v/>
      </c>
      <c r="BA551" s="3">
        <f>IF(N(R551)&lt;=0,0,(N(AZ551)-N(AY551))*90/N(R551))</f>
        <v/>
      </c>
      <c r="BB551" s="7">
        <f>IFERROR(AZ551-VLOOKUP($E551,Assumptions!$A$40:$C$43,3,FALSE),"")</f>
        <v/>
      </c>
      <c r="BC551" s="3">
        <f>IFERROR(BB551/H551,"")</f>
        <v/>
      </c>
      <c r="BD551">
        <f>IF(AND($G551=TRUE,$E551="GKP"),AZ551,"")</f>
        <v/>
      </c>
      <c r="BE551">
        <f>IF(AND($G551=TRUE,$E551="DEF"),AZ551,"")</f>
        <v/>
      </c>
      <c r="BF551">
        <f>IF(AND($G551=TRUE,$E551="MID"),AZ551,"")</f>
        <v/>
      </c>
      <c r="BG551">
        <f>IF(AND($G551=TRUE,$E551="FWD"),AZ551,"")</f>
        <v/>
      </c>
      <c r="BH551" t="n">
        <v>0</v>
      </c>
      <c r="BI551" t="n">
        <v>0</v>
      </c>
      <c r="BJ551" t="n">
        <v>0</v>
      </c>
      <c r="BK551" t="n">
        <v>0</v>
      </c>
    </row>
    <row r="552">
      <c r="A552" t="inlineStr">
        <is>
          <t>Takehiro Tomiyasu</t>
        </is>
      </c>
      <c r="B552" t="inlineStr">
        <is>
          <t>CRY</t>
        </is>
      </c>
      <c r="D552" t="b">
        <v>0</v>
      </c>
      <c r="E552" t="inlineStr">
        <is>
          <t>DEF</t>
        </is>
      </c>
      <c r="G552" t="b">
        <v>1</v>
      </c>
      <c r="H552" s="2" t="n">
        <v>4.5</v>
      </c>
      <c r="I552" t="inlineStr">
        <is>
          <t>a</t>
        </is>
      </c>
      <c r="K552" s="2" t="n"/>
      <c r="M552" s="3" t="n">
        <v>2822</v>
      </c>
      <c r="N552" s="4" t="n">
        <v>1300</v>
      </c>
      <c r="O552" s="4" t="n">
        <v>-1522</v>
      </c>
      <c r="P552" s="5" t="inlineStr">
        <is>
          <t>high</t>
        </is>
      </c>
      <c r="Q552" t="inlineStr">
        <is>
          <t>flat</t>
        </is>
      </c>
      <c r="R552" s="6" t="n">
        <v>1300</v>
      </c>
      <c r="S552" t="inlineStr">
        <is>
          <t>research</t>
        </is>
      </c>
      <c r="T552" s="5" t="inlineStr">
        <is>
          <t>Solio projects roughly 31 full matches for a player signed on a free on 7 August after a trial in the Como Cup. His entire recent workload is eight Ajax appearances plus three World Cup games; he had not played between October 2024 and February 2026 because of a knee injury, and the reporting states Palace wanted to be sure about his fitness before signing. In the final friendly at Freiburg he did not start, coming on to replace Chadi Riad. Both the availability risk and the current pecking order point well below 2822.</t>
        </is>
      </c>
      <c r="U552" s="6" t="n">
        <v>85</v>
      </c>
      <c r="V552" s="2" t="n"/>
      <c r="W552" s="7">
        <f>IF(N(U552)&lt;=0,0,MIN(Assumptions!$B$15,N(R552)/N(U552)))</f>
        <v/>
      </c>
      <c r="X552" s="6" t="n">
        <v>0.216</v>
      </c>
      <c r="Y552" s="3" t="n"/>
      <c r="Z552" t="inlineStr"/>
      <c r="AA552" s="3" t="n">
        <v>1</v>
      </c>
      <c r="AB552" s="3" t="n"/>
      <c r="AC552" s="3" t="n"/>
      <c r="AD552" s="3" t="n"/>
      <c r="AE552" s="3" t="n"/>
      <c r="AF552" s="3" t="n">
        <v>0</v>
      </c>
      <c r="AG552" s="3" t="n"/>
      <c r="AH552" s="3" t="n">
        <v>0</v>
      </c>
      <c r="AI552" s="3" t="n"/>
      <c r="AJ552" s="3" t="n">
        <v>3.2035</v>
      </c>
      <c r="AK552" s="3" t="n">
        <v>1.5923</v>
      </c>
      <c r="AL552" s="3" t="n">
        <v>-0.1601682920894244</v>
      </c>
      <c r="AM552" s="6" t="n">
        <v>0</v>
      </c>
      <c r="AN552" s="3" t="n">
        <v>0</v>
      </c>
      <c r="AO552" s="3" t="n">
        <v>0</v>
      </c>
      <c r="AP552" s="3" t="n">
        <v>0</v>
      </c>
      <c r="AQ552" s="3">
        <f>N(X552)*N(BJ552)</f>
        <v/>
      </c>
      <c r="AR552" s="3" t="n">
        <v>0</v>
      </c>
      <c r="AS552" s="3" t="n">
        <v>-0.5564987001023466</v>
      </c>
      <c r="AT552" s="3" t="n">
        <v>-0.1601682920894244</v>
      </c>
      <c r="AU552" s="3">
        <f>SUM(AO552:AT552)</f>
        <v/>
      </c>
      <c r="AV552" s="7">
        <f>IF(OR(N(W552)&lt;=0,N(BH552)=0),0,N(W552)*IF(N(R552)/N(W552)&gt;=60,N(BH552),1))</f>
        <v/>
      </c>
      <c r="AW552" s="7">
        <f>N(W552)*N(AF552)*N(BI552)</f>
        <v/>
      </c>
      <c r="AX552" s="3">
        <f>IF(N(BH552)=0,0,N(W552)*N(AH552))</f>
        <v/>
      </c>
      <c r="AY552" s="7">
        <f>N(AM552)*(Assumptions!$B$13*N(BK552)-(1-Assumptions!$B$13)*Assumptions!$B$14)+N(AN552)</f>
        <v/>
      </c>
      <c r="AZ552" s="7">
        <f>N(AU552)*N(R552)/90+N(AV552)+N(AW552)+N(AX552)+N(AY552)</f>
        <v/>
      </c>
      <c r="BA552" s="3">
        <f>IF(N(R552)&lt;=0,0,(N(AZ552)-N(AY552))*90/N(R552))</f>
        <v/>
      </c>
      <c r="BB552" s="7">
        <f>IFERROR(AZ552-VLOOKUP($E552,Assumptions!$A$40:$C$43,3,FALSE),"")</f>
        <v/>
      </c>
      <c r="BC552" s="3">
        <f>IFERROR(BB552/H552,"")</f>
        <v/>
      </c>
      <c r="BD552">
        <f>IF(AND($G552=TRUE,$E552="GKP"),AZ552,"")</f>
        <v/>
      </c>
      <c r="BE552">
        <f>IF(AND($G552=TRUE,$E552="DEF"),AZ552,"")</f>
        <v/>
      </c>
      <c r="BF552">
        <f>IF(AND($G552=TRUE,$E552="MID"),AZ552,"")</f>
        <v/>
      </c>
      <c r="BG552">
        <f>IF(AND($G552=TRUE,$E552="FWD"),AZ552,"")</f>
        <v/>
      </c>
      <c r="BH552" t="n">
        <v>2</v>
      </c>
      <c r="BI552" t="n">
        <v>2</v>
      </c>
      <c r="BJ552" t="n">
        <v>4</v>
      </c>
      <c r="BK552" t="n">
        <v>6</v>
      </c>
    </row>
    <row r="553">
      <c r="A553" t="inlineStr">
        <is>
          <t>Lucas Paquetá</t>
        </is>
      </c>
      <c r="C553" t="inlineStr">
        <is>
          <t>WHU</t>
        </is>
      </c>
      <c r="D553" t="b">
        <v>0</v>
      </c>
      <c r="F553" t="inlineStr">
        <is>
          <t>MID</t>
        </is>
      </c>
      <c r="G553" t="b">
        <v>0</v>
      </c>
      <c r="H553" s="2" t="n"/>
      <c r="K553" s="2" t="n">
        <v>1521</v>
      </c>
      <c r="M553" s="3" t="n"/>
      <c r="N553" s="8" t="n">
        <v>1521</v>
      </c>
      <c r="O553" s="8" t="n">
        <v>0</v>
      </c>
      <c r="R553" s="6" t="n">
        <v>1521</v>
      </c>
      <c r="S553" t="inlineStr">
        <is>
          <t>25/26 actual</t>
        </is>
      </c>
      <c r="U553" s="6" t="n">
        <v>82.59999999999999</v>
      </c>
      <c r="V553" s="2" t="n">
        <v>17</v>
      </c>
      <c r="W553" s="7">
        <f>IF(N(U553)&lt;=0,0,MIN(Assumptions!$B$15,N(R553)/N(U553)))</f>
        <v/>
      </c>
      <c r="X553" s="6" t="n"/>
      <c r="Y553" s="3" t="n">
        <v>0.0554</v>
      </c>
      <c r="Z553" t="inlineStr">
        <is>
          <t>adjusted xGOT</t>
        </is>
      </c>
      <c r="AA553" s="3" t="n">
        <v>0.376</v>
      </c>
      <c r="AB553" s="3" t="n">
        <v>0.872</v>
      </c>
      <c r="AC553" s="3" t="n">
        <v>17.8</v>
      </c>
      <c r="AD553" s="3" t="n">
        <v>0.1782</v>
      </c>
      <c r="AE553" s="3" t="n">
        <v>8.65</v>
      </c>
      <c r="AF553" s="3" t="n">
        <v>0</v>
      </c>
      <c r="AG553" s="3" t="n">
        <v>6.782</v>
      </c>
      <c r="AH553" s="3" t="n">
        <v>0</v>
      </c>
      <c r="AI553" s="3" t="n">
        <v>36</v>
      </c>
      <c r="AJ553" s="3" t="n"/>
      <c r="AK553" s="3" t="n"/>
      <c r="AL553" s="3" t="n"/>
      <c r="AM553" s="6" t="n">
        <v>0</v>
      </c>
      <c r="AN553" s="3" t="n">
        <v>0</v>
      </c>
      <c r="AO553" s="3" t="n">
        <v>0</v>
      </c>
      <c r="AP553" s="3" t="n">
        <v>0</v>
      </c>
      <c r="AQ553" s="3">
        <f>N(X553)*N(BJ553)</f>
        <v/>
      </c>
      <c r="AR553" s="3" t="n">
        <v>0</v>
      </c>
      <c r="AS553" s="3" t="n">
        <v>0</v>
      </c>
      <c r="AT553" s="3" t="n">
        <v>0</v>
      </c>
      <c r="AU553" s="3">
        <f>SUM(AO553:AT553)</f>
        <v/>
      </c>
      <c r="AV553" s="7">
        <f>IF(OR(N(W553)&lt;=0,N(BH553)=0),0,N(W553)*IF(N(R553)/N(W553)&gt;=60,N(BH553),1))</f>
        <v/>
      </c>
      <c r="AW553" s="7">
        <f>N(W553)*N(AF553)*N(BI553)</f>
        <v/>
      </c>
      <c r="AX553" s="3">
        <f>IF(N(BH553)=0,0,N(W553)*N(AH553))</f>
        <v/>
      </c>
      <c r="AY553" s="7">
        <f>N(AM553)*(Assumptions!$B$13*N(BK553)-(1-Assumptions!$B$13)*Assumptions!$B$14)+N(AN553)</f>
        <v/>
      </c>
      <c r="AZ553" s="7">
        <f>N(AU553)*N(R553)/90+N(AV553)+N(AW553)+N(AX553)+N(AY553)</f>
        <v/>
      </c>
      <c r="BA553" s="3">
        <f>IF(N(R553)&lt;=0,0,(N(AZ553)-N(AY553))*90/N(R553))</f>
        <v/>
      </c>
      <c r="BB553" s="7">
        <f>IFERROR(AZ553-VLOOKUP($E553,Assumptions!$A$40:$C$43,3,FALSE),"")</f>
        <v/>
      </c>
      <c r="BC553" s="3">
        <f>IFERROR(BB553/H553,"")</f>
        <v/>
      </c>
      <c r="BD553">
        <f>IF(AND($G553=TRUE,$E553="GKP"),AZ553,"")</f>
        <v/>
      </c>
      <c r="BE553">
        <f>IF(AND($G553=TRUE,$E553="DEF"),AZ553,"")</f>
        <v/>
      </c>
      <c r="BF553">
        <f>IF(AND($G553=TRUE,$E553="MID"),AZ553,"")</f>
        <v/>
      </c>
      <c r="BG553">
        <f>IF(AND($G553=TRUE,$E553="FWD"),AZ553,"")</f>
        <v/>
      </c>
      <c r="BH553" t="n">
        <v>0</v>
      </c>
      <c r="BI553" t="n">
        <v>0</v>
      </c>
      <c r="BJ553" t="n">
        <v>0</v>
      </c>
      <c r="BK553" t="n">
        <v>0</v>
      </c>
    </row>
    <row r="554">
      <c r="A554" t="inlineStr">
        <is>
          <t>Aaron Ramsdale</t>
        </is>
      </c>
      <c r="C554" t="inlineStr">
        <is>
          <t>NEW</t>
        </is>
      </c>
      <c r="D554" t="b">
        <v>0</v>
      </c>
      <c r="F554" t="inlineStr">
        <is>
          <t>GKP</t>
        </is>
      </c>
      <c r="G554" t="b">
        <v>0</v>
      </c>
      <c r="H554" s="2" t="n"/>
      <c r="K554" s="2" t="n">
        <v>1003</v>
      </c>
      <c r="M554" s="3" t="n"/>
      <c r="N554" s="8" t="n">
        <v>1003</v>
      </c>
      <c r="O554" s="8" t="n">
        <v>0</v>
      </c>
      <c r="R554" s="6" t="n">
        <v>1003</v>
      </c>
      <c r="S554" t="inlineStr">
        <is>
          <t>25/26 actual</t>
        </is>
      </c>
      <c r="U554" s="6" t="n">
        <v>89.90000000000001</v>
      </c>
      <c r="V554" s="2" t="n">
        <v>11</v>
      </c>
      <c r="W554" s="7">
        <f>IF(N(U554)&lt;=0,0,MIN(Assumptions!$B$15,N(R554)/N(U554)))</f>
        <v/>
      </c>
      <c r="X554" s="6" t="n"/>
      <c r="Y554" s="3" t="n">
        <v>0</v>
      </c>
      <c r="Z554" t="inlineStr">
        <is>
          <t>blended xG</t>
        </is>
      </c>
      <c r="AA554" s="3" t="n">
        <v>1</v>
      </c>
      <c r="AB554" s="3" t="n">
        <v>1</v>
      </c>
      <c r="AC554" s="3" t="n">
        <v>0</v>
      </c>
      <c r="AD554" s="3" t="n">
        <v>0.0064</v>
      </c>
      <c r="AE554" s="3" t="n">
        <v>0</v>
      </c>
      <c r="AF554" s="3" t="n">
        <v>0</v>
      </c>
      <c r="AG554" s="3" t="n">
        <v>5.209</v>
      </c>
      <c r="AH554" s="3" t="n">
        <v>0</v>
      </c>
      <c r="AI554" s="3" t="n">
        <v>23</v>
      </c>
      <c r="AJ554" s="3" t="n"/>
      <c r="AK554" s="3" t="n"/>
      <c r="AL554" s="3" t="n"/>
      <c r="AM554" s="6" t="n">
        <v>0</v>
      </c>
      <c r="AN554" s="3" t="n">
        <v>0</v>
      </c>
      <c r="AO554" s="3" t="n">
        <v>0</v>
      </c>
      <c r="AP554" s="3" t="n">
        <v>0</v>
      </c>
      <c r="AQ554" s="3">
        <f>N(X554)*N(BJ554)</f>
        <v/>
      </c>
      <c r="AR554" s="3" t="n">
        <v>0</v>
      </c>
      <c r="AS554" s="3" t="n">
        <v>0</v>
      </c>
      <c r="AT554" s="3" t="n">
        <v>0</v>
      </c>
      <c r="AU554" s="3">
        <f>SUM(AO554:AT554)</f>
        <v/>
      </c>
      <c r="AV554" s="7">
        <f>IF(OR(N(W554)&lt;=0,N(BH554)=0),0,N(W554)*IF(N(R554)/N(W554)&gt;=60,N(BH554),1))</f>
        <v/>
      </c>
      <c r="AW554" s="7">
        <f>N(W554)*N(AF554)*N(BI554)</f>
        <v/>
      </c>
      <c r="AX554" s="3">
        <f>IF(N(BH554)=0,0,N(W554)*N(AH554))</f>
        <v/>
      </c>
      <c r="AY554" s="7">
        <f>N(AM554)*(Assumptions!$B$13*N(BK554)-(1-Assumptions!$B$13)*Assumptions!$B$14)+N(AN554)</f>
        <v/>
      </c>
      <c r="AZ554" s="7">
        <f>N(AU554)*N(R554)/90+N(AV554)+N(AW554)+N(AX554)+N(AY554)</f>
        <v/>
      </c>
      <c r="BA554" s="3">
        <f>IF(N(R554)&lt;=0,0,(N(AZ554)-N(AY554))*90/N(R554))</f>
        <v/>
      </c>
      <c r="BB554" s="7">
        <f>IFERROR(AZ554-VLOOKUP($E554,Assumptions!$A$40:$C$43,3,FALSE),"")</f>
        <v/>
      </c>
      <c r="BC554" s="3">
        <f>IFERROR(BB554/H554,"")</f>
        <v/>
      </c>
      <c r="BD554">
        <f>IF(AND($G554=TRUE,$E554="GKP"),AZ554,"")</f>
        <v/>
      </c>
      <c r="BE554">
        <f>IF(AND($G554=TRUE,$E554="DEF"),AZ554,"")</f>
        <v/>
      </c>
      <c r="BF554">
        <f>IF(AND($G554=TRUE,$E554="MID"),AZ554,"")</f>
        <v/>
      </c>
      <c r="BG554">
        <f>IF(AND($G554=TRUE,$E554="FWD"),AZ554,"")</f>
        <v/>
      </c>
      <c r="BH554" t="n">
        <v>0</v>
      </c>
      <c r="BI554" t="n">
        <v>0</v>
      </c>
      <c r="BJ554" t="n">
        <v>0</v>
      </c>
      <c r="BK554" t="n">
        <v>0</v>
      </c>
    </row>
    <row r="555">
      <c r="A555" t="inlineStr">
        <is>
          <t>Victor Torp</t>
        </is>
      </c>
      <c r="B555" t="inlineStr">
        <is>
          <t>COV</t>
        </is>
      </c>
      <c r="D555" t="b">
        <v>0</v>
      </c>
      <c r="E555" t="inlineStr">
        <is>
          <t>MID</t>
        </is>
      </c>
      <c r="G555" t="b">
        <v>1</v>
      </c>
      <c r="H555" s="2" t="n">
        <v>5.5</v>
      </c>
      <c r="I555" t="inlineStr">
        <is>
          <t>a</t>
        </is>
      </c>
      <c r="K555" s="2" t="n"/>
      <c r="M555" s="3" t="n">
        <v>724</v>
      </c>
      <c r="N555" s="8" t="n">
        <v>724</v>
      </c>
      <c r="O555" s="8" t="n">
        <v>0</v>
      </c>
      <c r="Q555" t="inlineStr">
        <is>
          <t>flat</t>
        </is>
      </c>
      <c r="R555" s="6" t="n">
        <v>724</v>
      </c>
      <c r="S555" t="inlineStr">
        <is>
          <t>Solio</t>
        </is>
      </c>
      <c r="U555" s="6" t="n">
        <v>85</v>
      </c>
      <c r="V555" s="2" t="n"/>
      <c r="W555" s="7">
        <f>IF(N(U555)&lt;=0,0,MIN(Assumptions!$B$15,N(R555)/N(U555)))</f>
        <v/>
      </c>
      <c r="X555" s="6" t="n">
        <v>0.17</v>
      </c>
      <c r="Y555" s="3" t="n"/>
      <c r="Z555" t="inlineStr"/>
      <c r="AA555" s="3" t="n">
        <v>1</v>
      </c>
      <c r="AB555" s="3" t="n"/>
      <c r="AC555" s="3" t="n"/>
      <c r="AD555" s="3" t="n"/>
      <c r="AE555" s="3" t="n"/>
      <c r="AF555" s="3" t="n">
        <v>0</v>
      </c>
      <c r="AG555" s="3" t="n"/>
      <c r="AH555" s="3" t="n">
        <v>0</v>
      </c>
      <c r="AI555" s="3" t="n"/>
      <c r="AJ555" s="3" t="n">
        <v>3.6194</v>
      </c>
      <c r="AK555" s="3" t="n">
        <v>1.8271</v>
      </c>
      <c r="AL555" s="3" t="n">
        <v>-0.2160434166173144</v>
      </c>
      <c r="AM555" s="6" t="n">
        <v>0.1579568010773154</v>
      </c>
      <c r="AN555" s="3" t="n">
        <v>0</v>
      </c>
      <c r="AO555" s="3" t="n">
        <v>0</v>
      </c>
      <c r="AP555" s="3" t="n">
        <v>0</v>
      </c>
      <c r="AQ555" s="3">
        <f>N(X555)*N(BJ555)</f>
        <v/>
      </c>
      <c r="AR555" s="3" t="n">
        <v>0</v>
      </c>
      <c r="AS555" s="3" t="n">
        <v>-0</v>
      </c>
      <c r="AT555" s="3" t="n">
        <v>-0.2160434166173144</v>
      </c>
      <c r="AU555" s="3">
        <f>SUM(AO555:AT555)</f>
        <v/>
      </c>
      <c r="AV555" s="7">
        <f>IF(OR(N(W555)&lt;=0,N(BH555)=0),0,N(W555)*IF(N(R555)/N(W555)&gt;=60,N(BH555),1))</f>
        <v/>
      </c>
      <c r="AW555" s="7">
        <f>N(W555)*N(AF555)*N(BI555)</f>
        <v/>
      </c>
      <c r="AX555" s="3">
        <f>IF(N(BH555)=0,0,N(W555)*N(AH555))</f>
        <v/>
      </c>
      <c r="AY555" s="7">
        <f>N(AM555)*(Assumptions!$B$13*N(BK555)-(1-Assumptions!$B$13)*Assumptions!$B$14)+N(AN555)</f>
        <v/>
      </c>
      <c r="AZ555" s="7">
        <f>N(AU555)*N(R555)/90+N(AV555)+N(AW555)+N(AX555)+N(AY555)</f>
        <v/>
      </c>
      <c r="BA555" s="3">
        <f>IF(N(R555)&lt;=0,0,(N(AZ555)-N(AY555))*90/N(R555))</f>
        <v/>
      </c>
      <c r="BB555" s="7">
        <f>IFERROR(AZ555-VLOOKUP($E555,Assumptions!$A$40:$C$43,3,FALSE),"")</f>
        <v/>
      </c>
      <c r="BC555" s="3">
        <f>IFERROR(BB555/H555,"")</f>
        <v/>
      </c>
      <c r="BD555">
        <f>IF(AND($G555=TRUE,$E555="GKP"),AZ555,"")</f>
        <v/>
      </c>
      <c r="BE555">
        <f>IF(AND($G555=TRUE,$E555="DEF"),AZ555,"")</f>
        <v/>
      </c>
      <c r="BF555">
        <f>IF(AND($G555=TRUE,$E555="MID"),AZ555,"")</f>
        <v/>
      </c>
      <c r="BG555">
        <f>IF(AND($G555=TRUE,$E555="FWD"),AZ555,"")</f>
        <v/>
      </c>
      <c r="BH555" t="n">
        <v>2</v>
      </c>
      <c r="BI555" t="n">
        <v>2</v>
      </c>
      <c r="BJ555" t="n">
        <v>1</v>
      </c>
      <c r="BK555" t="n">
        <v>5</v>
      </c>
    </row>
    <row r="556">
      <c r="A556" t="inlineStr">
        <is>
          <t>Yves Bissouma</t>
        </is>
      </c>
      <c r="C556" t="inlineStr">
        <is>
          <t>TOT</t>
        </is>
      </c>
      <c r="D556" t="b">
        <v>0</v>
      </c>
      <c r="F556" t="inlineStr">
        <is>
          <t>MID</t>
        </is>
      </c>
      <c r="G556" t="b">
        <v>0</v>
      </c>
      <c r="H556" s="2" t="n"/>
      <c r="K556" s="2" t="n">
        <v>605</v>
      </c>
      <c r="M556" s="3" t="n"/>
      <c r="N556" s="8" t="n">
        <v>605</v>
      </c>
      <c r="O556" s="8" t="n">
        <v>0</v>
      </c>
      <c r="R556" s="6" t="n">
        <v>605</v>
      </c>
      <c r="S556" t="inlineStr">
        <is>
          <t>25/26 actual</t>
        </is>
      </c>
      <c r="U556" s="6" t="n">
        <v>75.09999999999999</v>
      </c>
      <c r="V556" s="2" t="n">
        <v>7</v>
      </c>
      <c r="W556" s="7">
        <f>IF(N(U556)&lt;=0,0,MIN(Assumptions!$B$15,N(R556)/N(U556)))</f>
        <v/>
      </c>
      <c r="X556" s="6" t="n"/>
      <c r="Y556" s="3" t="n">
        <v>0.0533</v>
      </c>
      <c r="Z556" t="inlineStr">
        <is>
          <t>adjusted xGOT</t>
        </is>
      </c>
      <c r="AA556" s="3" t="n">
        <v>1</v>
      </c>
      <c r="AB556" s="3" t="n">
        <v>0.995</v>
      </c>
      <c r="AC556" s="3" t="n">
        <v>2.3</v>
      </c>
      <c r="AD556" s="3" t="n">
        <v>0</v>
      </c>
      <c r="AE556" s="3" t="n">
        <v>9.724</v>
      </c>
      <c r="AF556" s="3" t="n">
        <v>0</v>
      </c>
      <c r="AG556" s="3" t="n">
        <v>8.207000000000001</v>
      </c>
      <c r="AH556" s="3" t="n">
        <v>0</v>
      </c>
      <c r="AI556" s="3" t="n">
        <v>16</v>
      </c>
      <c r="AJ556" s="3" t="n"/>
      <c r="AK556" s="3" t="n"/>
      <c r="AL556" s="3" t="n"/>
      <c r="AM556" s="6" t="n">
        <v>0</v>
      </c>
      <c r="AN556" s="3" t="n">
        <v>0</v>
      </c>
      <c r="AO556" s="3" t="n">
        <v>0</v>
      </c>
      <c r="AP556" s="3" t="n">
        <v>0</v>
      </c>
      <c r="AQ556" s="3">
        <f>N(X556)*N(BJ556)</f>
        <v/>
      </c>
      <c r="AR556" s="3" t="n">
        <v>0</v>
      </c>
      <c r="AS556" s="3" t="n">
        <v>0</v>
      </c>
      <c r="AT556" s="3" t="n">
        <v>0</v>
      </c>
      <c r="AU556" s="3">
        <f>SUM(AO556:AT556)</f>
        <v/>
      </c>
      <c r="AV556" s="7">
        <f>IF(OR(N(W556)&lt;=0,N(BH556)=0),0,N(W556)*IF(N(R556)/N(W556)&gt;=60,N(BH556),1))</f>
        <v/>
      </c>
      <c r="AW556" s="7">
        <f>N(W556)*N(AF556)*N(BI556)</f>
        <v/>
      </c>
      <c r="AX556" s="3">
        <f>IF(N(BH556)=0,0,N(W556)*N(AH556))</f>
        <v/>
      </c>
      <c r="AY556" s="7">
        <f>N(AM556)*(Assumptions!$B$13*N(BK556)-(1-Assumptions!$B$13)*Assumptions!$B$14)+N(AN556)</f>
        <v/>
      </c>
      <c r="AZ556" s="7">
        <f>N(AU556)*N(R556)/90+N(AV556)+N(AW556)+N(AX556)+N(AY556)</f>
        <v/>
      </c>
      <c r="BA556" s="3">
        <f>IF(N(R556)&lt;=0,0,(N(AZ556)-N(AY556))*90/N(R556))</f>
        <v/>
      </c>
      <c r="BB556" s="7">
        <f>IFERROR(AZ556-VLOOKUP($E556,Assumptions!$A$40:$C$43,3,FALSE),"")</f>
        <v/>
      </c>
      <c r="BC556" s="3">
        <f>IFERROR(BB556/H556,"")</f>
        <v/>
      </c>
      <c r="BD556">
        <f>IF(AND($G556=TRUE,$E556="GKP"),AZ556,"")</f>
        <v/>
      </c>
      <c r="BE556">
        <f>IF(AND($G556=TRUE,$E556="DEF"),AZ556,"")</f>
        <v/>
      </c>
      <c r="BF556">
        <f>IF(AND($G556=TRUE,$E556="MID"),AZ556,"")</f>
        <v/>
      </c>
      <c r="BG556">
        <f>IF(AND($G556=TRUE,$E556="FWD"),AZ556,"")</f>
        <v/>
      </c>
      <c r="BH556" t="n">
        <v>0</v>
      </c>
      <c r="BI556" t="n">
        <v>0</v>
      </c>
      <c r="BJ556" t="n">
        <v>0</v>
      </c>
      <c r="BK556" t="n">
        <v>0</v>
      </c>
    </row>
    <row r="557">
      <c r="A557" t="inlineStr">
        <is>
          <t>Chiedozie Ogbene</t>
        </is>
      </c>
      <c r="B557" t="inlineStr">
        <is>
          <t>IPS</t>
        </is>
      </c>
      <c r="D557" t="b">
        <v>0</v>
      </c>
      <c r="E557" t="inlineStr">
        <is>
          <t>MID</t>
        </is>
      </c>
      <c r="G557" t="b">
        <v>1</v>
      </c>
      <c r="H557" s="2" t="n">
        <v>5</v>
      </c>
      <c r="I557" t="inlineStr">
        <is>
          <t>a</t>
        </is>
      </c>
      <c r="K557" s="2" t="n"/>
      <c r="M557" s="3" t="n">
        <v>0</v>
      </c>
      <c r="N557" s="8" t="n">
        <v>0</v>
      </c>
      <c r="O557" s="8" t="n">
        <v>0</v>
      </c>
      <c r="Q557" t="inlineStr">
        <is>
          <t>flat</t>
        </is>
      </c>
      <c r="R557" s="6" t="n">
        <v>0</v>
      </c>
      <c r="S557" t="inlineStr">
        <is>
          <t>Solio</t>
        </is>
      </c>
      <c r="U557" s="6" t="n">
        <v>85</v>
      </c>
      <c r="V557" s="2" t="n"/>
      <c r="W557" s="7">
        <f>IF(N(U557)&lt;=0,0,MIN(Assumptions!$B$15,N(R557)/N(U557)))</f>
        <v/>
      </c>
      <c r="X557" s="6" t="n">
        <v>0.17</v>
      </c>
      <c r="Y557" s="3" t="n"/>
      <c r="Z557" t="inlineStr"/>
      <c r="AA557" s="3" t="n">
        <v>1</v>
      </c>
      <c r="AB557" s="3" t="n"/>
      <c r="AC557" s="3" t="n"/>
      <c r="AD557" s="3" t="n"/>
      <c r="AE557" s="3" t="n"/>
      <c r="AF557" s="3" t="n">
        <v>0</v>
      </c>
      <c r="AG557" s="3" t="n"/>
      <c r="AH557" s="3" t="n">
        <v>0</v>
      </c>
      <c r="AI557" s="3" t="n"/>
      <c r="AJ557" s="3" t="n">
        <v>3.5741</v>
      </c>
      <c r="AK557" s="3" t="n">
        <v>1.8319</v>
      </c>
      <c r="AL557" s="3" t="n">
        <v>-0.1525827731981517</v>
      </c>
      <c r="AM557" s="6" t="n">
        <v>0</v>
      </c>
      <c r="AN557" s="3" t="n">
        <v>0</v>
      </c>
      <c r="AO557" s="3" t="n">
        <v>0</v>
      </c>
      <c r="AP557" s="3" t="n">
        <v>0</v>
      </c>
      <c r="AQ557" s="3">
        <f>N(X557)*N(BJ557)</f>
        <v/>
      </c>
      <c r="AR557" s="3" t="n">
        <v>0</v>
      </c>
      <c r="AS557" s="3" t="n">
        <v>-0</v>
      </c>
      <c r="AT557" s="3" t="n">
        <v>-0.1525827731981517</v>
      </c>
      <c r="AU557" s="3">
        <f>SUM(AO557:AT557)</f>
        <v/>
      </c>
      <c r="AV557" s="7">
        <f>IF(OR(N(W557)&lt;=0,N(BH557)=0),0,N(W557)*IF(N(R557)/N(W557)&gt;=60,N(BH557),1))</f>
        <v/>
      </c>
      <c r="AW557" s="7">
        <f>N(W557)*N(AF557)*N(BI557)</f>
        <v/>
      </c>
      <c r="AX557" s="3">
        <f>IF(N(BH557)=0,0,N(W557)*N(AH557))</f>
        <v/>
      </c>
      <c r="AY557" s="7">
        <f>N(AM557)*(Assumptions!$B$13*N(BK557)-(1-Assumptions!$B$13)*Assumptions!$B$14)+N(AN557)</f>
        <v/>
      </c>
      <c r="AZ557" s="7">
        <f>N(AU557)*N(R557)/90+N(AV557)+N(AW557)+N(AX557)+N(AY557)</f>
        <v/>
      </c>
      <c r="BA557" s="3">
        <f>IF(N(R557)&lt;=0,0,(N(AZ557)-N(AY557))*90/N(R557))</f>
        <v/>
      </c>
      <c r="BB557" s="7">
        <f>IFERROR(AZ557-VLOOKUP($E557,Assumptions!$A$40:$C$43,3,FALSE),"")</f>
        <v/>
      </c>
      <c r="BC557" s="3">
        <f>IFERROR(BB557/H557,"")</f>
        <v/>
      </c>
      <c r="BD557">
        <f>IF(AND($G557=TRUE,$E557="GKP"),AZ557,"")</f>
        <v/>
      </c>
      <c r="BE557">
        <f>IF(AND($G557=TRUE,$E557="DEF"),AZ557,"")</f>
        <v/>
      </c>
      <c r="BF557">
        <f>IF(AND($G557=TRUE,$E557="MID"),AZ557,"")</f>
        <v/>
      </c>
      <c r="BG557">
        <f>IF(AND($G557=TRUE,$E557="FWD"),AZ557,"")</f>
        <v/>
      </c>
      <c r="BH557" t="n">
        <v>2</v>
      </c>
      <c r="BI557" t="n">
        <v>2</v>
      </c>
      <c r="BJ557" t="n">
        <v>1</v>
      </c>
      <c r="BK557" t="n">
        <v>5</v>
      </c>
    </row>
    <row r="558">
      <c r="A558" t="inlineStr">
        <is>
          <t>Andy Irving</t>
        </is>
      </c>
      <c r="C558" t="inlineStr">
        <is>
          <t>WHU</t>
        </is>
      </c>
      <c r="D558" t="b">
        <v>0</v>
      </c>
      <c r="F558" t="inlineStr">
        <is>
          <t>MID</t>
        </is>
      </c>
      <c r="G558" t="b">
        <v>0</v>
      </c>
      <c r="H558" s="2" t="n"/>
      <c r="K558" s="2" t="n">
        <v>157</v>
      </c>
      <c r="M558" s="3" t="n"/>
      <c r="N558" s="8" t="n">
        <v>157</v>
      </c>
      <c r="O558" s="8" t="n">
        <v>0</v>
      </c>
      <c r="R558" s="6" t="n">
        <v>157</v>
      </c>
      <c r="S558" t="inlineStr">
        <is>
          <t>25/26 actual</t>
        </is>
      </c>
      <c r="U558" s="6" t="n">
        <v>77.09999999999999</v>
      </c>
      <c r="V558" s="2" t="n">
        <v>2</v>
      </c>
      <c r="W558" s="7">
        <f>IF(N(U558)&lt;=0,0,MIN(Assumptions!$B$15,N(R558)/N(U558)))</f>
        <v/>
      </c>
      <c r="X558" s="6" t="n"/>
      <c r="Y558" s="3" t="n">
        <v>0</v>
      </c>
      <c r="Z558" t="inlineStr">
        <is>
          <t>adjusted xGOT</t>
        </is>
      </c>
      <c r="AA558" s="3" t="n">
        <v>1</v>
      </c>
      <c r="AB558" s="3" t="n">
        <v>0.996</v>
      </c>
      <c r="AC558" s="3" t="n">
        <v>0.1</v>
      </c>
      <c r="AD558" s="3" t="n">
        <v>0.1159</v>
      </c>
      <c r="AE558" s="3" t="n">
        <v>9.31</v>
      </c>
      <c r="AF558" s="3" t="n">
        <v>0</v>
      </c>
      <c r="AG558" s="3" t="n">
        <v>8.169</v>
      </c>
      <c r="AH558" s="3" t="n">
        <v>0</v>
      </c>
      <c r="AI558" s="3" t="n">
        <v>9</v>
      </c>
      <c r="AJ558" s="3" t="n"/>
      <c r="AK558" s="3" t="n"/>
      <c r="AL558" s="3" t="n"/>
      <c r="AM558" s="6" t="n">
        <v>0</v>
      </c>
      <c r="AN558" s="3" t="n">
        <v>0</v>
      </c>
      <c r="AO558" s="3" t="n">
        <v>0</v>
      </c>
      <c r="AP558" s="3" t="n">
        <v>0</v>
      </c>
      <c r="AQ558" s="3">
        <f>N(X558)*N(BJ558)</f>
        <v/>
      </c>
      <c r="AR558" s="3" t="n">
        <v>0</v>
      </c>
      <c r="AS558" s="3" t="n">
        <v>0</v>
      </c>
      <c r="AT558" s="3" t="n">
        <v>0</v>
      </c>
      <c r="AU558" s="3">
        <f>SUM(AO558:AT558)</f>
        <v/>
      </c>
      <c r="AV558" s="7">
        <f>IF(OR(N(W558)&lt;=0,N(BH558)=0),0,N(W558)*IF(N(R558)/N(W558)&gt;=60,N(BH558),1))</f>
        <v/>
      </c>
      <c r="AW558" s="7">
        <f>N(W558)*N(AF558)*N(BI558)</f>
        <v/>
      </c>
      <c r="AX558" s="3">
        <f>IF(N(BH558)=0,0,N(W558)*N(AH558))</f>
        <v/>
      </c>
      <c r="AY558" s="7">
        <f>N(AM558)*(Assumptions!$B$13*N(BK558)-(1-Assumptions!$B$13)*Assumptions!$B$14)+N(AN558)</f>
        <v/>
      </c>
      <c r="AZ558" s="7">
        <f>N(AU558)*N(R558)/90+N(AV558)+N(AW558)+N(AX558)+N(AY558)</f>
        <v/>
      </c>
      <c r="BA558" s="3">
        <f>IF(N(R558)&lt;=0,0,(N(AZ558)-N(AY558))*90/N(R558))</f>
        <v/>
      </c>
      <c r="BB558" s="7">
        <f>IFERROR(AZ558-VLOOKUP($E558,Assumptions!$A$40:$C$43,3,FALSE),"")</f>
        <v/>
      </c>
      <c r="BC558" s="3">
        <f>IFERROR(BB558/H558,"")</f>
        <v/>
      </c>
      <c r="BD558">
        <f>IF(AND($G558=TRUE,$E558="GKP"),AZ558,"")</f>
        <v/>
      </c>
      <c r="BE558">
        <f>IF(AND($G558=TRUE,$E558="DEF"),AZ558,"")</f>
        <v/>
      </c>
      <c r="BF558">
        <f>IF(AND($G558=TRUE,$E558="MID"),AZ558,"")</f>
        <v/>
      </c>
      <c r="BG558">
        <f>IF(AND($G558=TRUE,$E558="FWD"),AZ558,"")</f>
        <v/>
      </c>
      <c r="BH558" t="n">
        <v>0</v>
      </c>
      <c r="BI558" t="n">
        <v>0</v>
      </c>
      <c r="BJ558" t="n">
        <v>0</v>
      </c>
      <c r="BK558" t="n">
        <v>0</v>
      </c>
    </row>
    <row r="559">
      <c r="A559" t="inlineStr">
        <is>
          <t>Douglas Luiz</t>
        </is>
      </c>
      <c r="C559" t="inlineStr">
        <is>
          <t>AVL</t>
        </is>
      </c>
      <c r="D559" t="b">
        <v>0</v>
      </c>
      <c r="F559" t="inlineStr">
        <is>
          <t>MID</t>
        </is>
      </c>
      <c r="G559" t="b">
        <v>0</v>
      </c>
      <c r="H559" s="2" t="n"/>
      <c r="K559" s="2" t="n">
        <v>923</v>
      </c>
      <c r="M559" s="3" t="n"/>
      <c r="N559" s="8" t="n">
        <v>923</v>
      </c>
      <c r="O559" s="8" t="n">
        <v>0</v>
      </c>
      <c r="R559" s="6" t="n">
        <v>923</v>
      </c>
      <c r="S559" t="inlineStr">
        <is>
          <t>25/26 actual</t>
        </is>
      </c>
      <c r="U559" s="6" t="n">
        <v>72.09999999999999</v>
      </c>
      <c r="V559" s="2" t="n">
        <v>12</v>
      </c>
      <c r="W559" s="7">
        <f>IF(N(U559)&lt;=0,0,MIN(Assumptions!$B$15,N(R559)/N(U559)))</f>
        <v/>
      </c>
      <c r="X559" s="6" t="n"/>
      <c r="Y559" s="3" t="n">
        <v>0.0626</v>
      </c>
      <c r="Z559" t="inlineStr">
        <is>
          <t>adjusted xGOT</t>
        </is>
      </c>
      <c r="AA559" s="3" t="n">
        <v>1</v>
      </c>
      <c r="AB559" s="3" t="n">
        <v>1.21</v>
      </c>
      <c r="AC559" s="3" t="n">
        <v>10</v>
      </c>
      <c r="AD559" s="3" t="n">
        <v>0.1778</v>
      </c>
      <c r="AE559" s="3" t="n">
        <v>9.569000000000001</v>
      </c>
      <c r="AF559" s="3" t="n">
        <v>0</v>
      </c>
      <c r="AG559" s="3" t="n">
        <v>9.35</v>
      </c>
      <c r="AH559" s="3" t="n">
        <v>0</v>
      </c>
      <c r="AI559" s="3" t="n">
        <v>29</v>
      </c>
      <c r="AJ559" s="3" t="n"/>
      <c r="AK559" s="3" t="n"/>
      <c r="AL559" s="3" t="n"/>
      <c r="AM559" s="6" t="n">
        <v>0</v>
      </c>
      <c r="AN559" s="3" t="n">
        <v>0</v>
      </c>
      <c r="AO559" s="3" t="n">
        <v>0</v>
      </c>
      <c r="AP559" s="3" t="n">
        <v>0</v>
      </c>
      <c r="AQ559" s="3">
        <f>N(X559)*N(BJ559)</f>
        <v/>
      </c>
      <c r="AR559" s="3" t="n">
        <v>0</v>
      </c>
      <c r="AS559" s="3" t="n">
        <v>0</v>
      </c>
      <c r="AT559" s="3" t="n">
        <v>0</v>
      </c>
      <c r="AU559" s="3">
        <f>SUM(AO559:AT559)</f>
        <v/>
      </c>
      <c r="AV559" s="7">
        <f>IF(OR(N(W559)&lt;=0,N(BH559)=0),0,N(W559)*IF(N(R559)/N(W559)&gt;=60,N(BH559),1))</f>
        <v/>
      </c>
      <c r="AW559" s="7">
        <f>N(W559)*N(AF559)*N(BI559)</f>
        <v/>
      </c>
      <c r="AX559" s="3">
        <f>IF(N(BH559)=0,0,N(W559)*N(AH559))</f>
        <v/>
      </c>
      <c r="AY559" s="7">
        <f>N(AM559)*(Assumptions!$B$13*N(BK559)-(1-Assumptions!$B$13)*Assumptions!$B$14)+N(AN559)</f>
        <v/>
      </c>
      <c r="AZ559" s="7">
        <f>N(AU559)*N(R559)/90+N(AV559)+N(AW559)+N(AX559)+N(AY559)</f>
        <v/>
      </c>
      <c r="BA559" s="3">
        <f>IF(N(R559)&lt;=0,0,(N(AZ559)-N(AY559))*90/N(R559))</f>
        <v/>
      </c>
      <c r="BB559" s="7">
        <f>IFERROR(AZ559-VLOOKUP($E559,Assumptions!$A$40:$C$43,3,FALSE),"")</f>
        <v/>
      </c>
      <c r="BC559" s="3">
        <f>IFERROR(BB559/H559,"")</f>
        <v/>
      </c>
      <c r="BD559">
        <f>IF(AND($G559=TRUE,$E559="GKP"),AZ559,"")</f>
        <v/>
      </c>
      <c r="BE559">
        <f>IF(AND($G559=TRUE,$E559="DEF"),AZ559,"")</f>
        <v/>
      </c>
      <c r="BF559">
        <f>IF(AND($G559=TRUE,$E559="MID"),AZ559,"")</f>
        <v/>
      </c>
      <c r="BG559">
        <f>IF(AND($G559=TRUE,$E559="FWD"),AZ559,"")</f>
        <v/>
      </c>
      <c r="BH559" t="n">
        <v>0</v>
      </c>
      <c r="BI559" t="n">
        <v>0</v>
      </c>
      <c r="BJ559" t="n">
        <v>0</v>
      </c>
      <c r="BK559" t="n">
        <v>0</v>
      </c>
    </row>
    <row r="560">
      <c r="A560" t="inlineStr">
        <is>
          <t>Jhon Arias</t>
        </is>
      </c>
      <c r="C560" t="inlineStr">
        <is>
          <t>WOL</t>
        </is>
      </c>
      <c r="D560" t="b">
        <v>0</v>
      </c>
      <c r="F560" t="inlineStr">
        <is>
          <t>MID</t>
        </is>
      </c>
      <c r="G560" t="b">
        <v>0</v>
      </c>
      <c r="H560" s="2" t="n"/>
      <c r="K560" s="2" t="n">
        <v>1121</v>
      </c>
      <c r="M560" s="3" t="n"/>
      <c r="N560" s="8" t="n">
        <v>1121</v>
      </c>
      <c r="O560" s="8" t="n">
        <v>0</v>
      </c>
      <c r="R560" s="6" t="n">
        <v>1121</v>
      </c>
      <c r="S560" t="inlineStr">
        <is>
          <t>25/26 actual</t>
        </is>
      </c>
      <c r="U560" s="6" t="n">
        <v>74.7</v>
      </c>
      <c r="V560" s="2" t="n">
        <v>14</v>
      </c>
      <c r="W560" s="7">
        <f>IF(N(U560)&lt;=0,0,MIN(Assumptions!$B$15,N(R560)/N(U560)))</f>
        <v/>
      </c>
      <c r="X560" s="6" t="n"/>
      <c r="Y560" s="3" t="n">
        <v>0.2099</v>
      </c>
      <c r="Z560" t="inlineStr">
        <is>
          <t>adjusted xGOT</t>
        </is>
      </c>
      <c r="AA560" s="3" t="n">
        <v>1</v>
      </c>
      <c r="AB560" s="3" t="n">
        <v>0.773</v>
      </c>
      <c r="AC560" s="3" t="n">
        <v>3.4</v>
      </c>
      <c r="AD560" s="3" t="n">
        <v>0.07199999999999999</v>
      </c>
      <c r="AE560" s="3" t="n">
        <v>9.486000000000001</v>
      </c>
      <c r="AF560" s="3" t="n">
        <v>0</v>
      </c>
      <c r="AG560" s="3" t="n">
        <v>6.047</v>
      </c>
      <c r="AH560" s="3" t="n">
        <v>0</v>
      </c>
      <c r="AI560" s="3" t="n">
        <v>33</v>
      </c>
      <c r="AJ560" s="3" t="n"/>
      <c r="AK560" s="3" t="n"/>
      <c r="AL560" s="3" t="n"/>
      <c r="AM560" s="6" t="n">
        <v>0</v>
      </c>
      <c r="AN560" s="3" t="n">
        <v>0</v>
      </c>
      <c r="AO560" s="3" t="n">
        <v>0</v>
      </c>
      <c r="AP560" s="3" t="n">
        <v>0</v>
      </c>
      <c r="AQ560" s="3">
        <f>N(X560)*N(BJ560)</f>
        <v/>
      </c>
      <c r="AR560" s="3" t="n">
        <v>0</v>
      </c>
      <c r="AS560" s="3" t="n">
        <v>0</v>
      </c>
      <c r="AT560" s="3" t="n">
        <v>0</v>
      </c>
      <c r="AU560" s="3">
        <f>SUM(AO560:AT560)</f>
        <v/>
      </c>
      <c r="AV560" s="7">
        <f>IF(OR(N(W560)&lt;=0,N(BH560)=0),0,N(W560)*IF(N(R560)/N(W560)&gt;=60,N(BH560),1))</f>
        <v/>
      </c>
      <c r="AW560" s="7">
        <f>N(W560)*N(AF560)*N(BI560)</f>
        <v/>
      </c>
      <c r="AX560" s="3">
        <f>IF(N(BH560)=0,0,N(W560)*N(AH560))</f>
        <v/>
      </c>
      <c r="AY560" s="7">
        <f>N(AM560)*(Assumptions!$B$13*N(BK560)-(1-Assumptions!$B$13)*Assumptions!$B$14)+N(AN560)</f>
        <v/>
      </c>
      <c r="AZ560" s="7">
        <f>N(AU560)*N(R560)/90+N(AV560)+N(AW560)+N(AX560)+N(AY560)</f>
        <v/>
      </c>
      <c r="BA560" s="3">
        <f>IF(N(R560)&lt;=0,0,(N(AZ560)-N(AY560))*90/N(R560))</f>
        <v/>
      </c>
      <c r="BB560" s="7">
        <f>IFERROR(AZ560-VLOOKUP($E560,Assumptions!$A$40:$C$43,3,FALSE),"")</f>
        <v/>
      </c>
      <c r="BC560" s="3">
        <f>IFERROR(BB560/H560,"")</f>
        <v/>
      </c>
      <c r="BD560">
        <f>IF(AND($G560=TRUE,$E560="GKP"),AZ560,"")</f>
        <v/>
      </c>
      <c r="BE560">
        <f>IF(AND($G560=TRUE,$E560="DEF"),AZ560,"")</f>
        <v/>
      </c>
      <c r="BF560">
        <f>IF(AND($G560=TRUE,$E560="MID"),AZ560,"")</f>
        <v/>
      </c>
      <c r="BG560">
        <f>IF(AND($G560=TRUE,$E560="FWD"),AZ560,"")</f>
        <v/>
      </c>
      <c r="BH560" t="n">
        <v>0</v>
      </c>
      <c r="BI560" t="n">
        <v>0</v>
      </c>
      <c r="BJ560" t="n">
        <v>0</v>
      </c>
      <c r="BK560" t="n">
        <v>0</v>
      </c>
    </row>
    <row r="561">
      <c r="A561" t="inlineStr">
        <is>
          <t>Brandon Thomas-Asante</t>
        </is>
      </c>
      <c r="B561" t="inlineStr">
        <is>
          <t>COV</t>
        </is>
      </c>
      <c r="D561" t="b">
        <v>0</v>
      </c>
      <c r="E561" t="inlineStr">
        <is>
          <t>FWD</t>
        </is>
      </c>
      <c r="G561" t="b">
        <v>1</v>
      </c>
      <c r="H561" s="2" t="n">
        <v>5</v>
      </c>
      <c r="I561" t="inlineStr">
        <is>
          <t>a</t>
        </is>
      </c>
      <c r="K561" s="2" t="n"/>
      <c r="M561" s="3" t="n">
        <v>1282</v>
      </c>
      <c r="N561" s="8" t="n">
        <v>1282</v>
      </c>
      <c r="O561" s="8" t="n">
        <v>0</v>
      </c>
      <c r="Q561" t="inlineStr">
        <is>
          <t>flat</t>
        </is>
      </c>
      <c r="R561" s="6" t="n">
        <v>1282</v>
      </c>
      <c r="S561" t="inlineStr">
        <is>
          <t>Solio</t>
        </is>
      </c>
      <c r="U561" s="6" t="n">
        <v>85</v>
      </c>
      <c r="V561" s="2" t="n"/>
      <c r="W561" s="7">
        <f>IF(N(U561)&lt;=0,0,MIN(Assumptions!$B$15,N(R561)/N(U561)))</f>
        <v/>
      </c>
      <c r="X561" s="6" t="n">
        <v>0.17</v>
      </c>
      <c r="Y561" s="3" t="n"/>
      <c r="Z561" t="inlineStr"/>
      <c r="AA561" s="3" t="n">
        <v>1</v>
      </c>
      <c r="AB561" s="3" t="n"/>
      <c r="AC561" s="3" t="n"/>
      <c r="AD561" s="3" t="n"/>
      <c r="AE561" s="3" t="n"/>
      <c r="AF561" s="3" t="n">
        <v>0</v>
      </c>
      <c r="AG561" s="3" t="n"/>
      <c r="AH561" s="3" t="n">
        <v>0</v>
      </c>
      <c r="AI561" s="3" t="n"/>
      <c r="AJ561" s="3" t="n">
        <v>3.6194</v>
      </c>
      <c r="AK561" s="3" t="n">
        <v>1.8271</v>
      </c>
      <c r="AL561" s="3" t="n">
        <v>-0.174691292596322</v>
      </c>
      <c r="AM561" s="6" t="n">
        <v>0.0484811937834495</v>
      </c>
      <c r="AN561" s="3" t="n">
        <v>0</v>
      </c>
      <c r="AO561" s="3" t="n">
        <v>0</v>
      </c>
      <c r="AP561" s="3" t="n">
        <v>0</v>
      </c>
      <c r="AQ561" s="3">
        <f>N(X561)*N(BJ561)</f>
        <v/>
      </c>
      <c r="AR561" s="3" t="n">
        <v>0</v>
      </c>
      <c r="AS561" s="3" t="n">
        <v>-0</v>
      </c>
      <c r="AT561" s="3" t="n">
        <v>-0.174691292596322</v>
      </c>
      <c r="AU561" s="3">
        <f>SUM(AO561:AT561)</f>
        <v/>
      </c>
      <c r="AV561" s="7">
        <f>IF(OR(N(W561)&lt;=0,N(BH561)=0),0,N(W561)*IF(N(R561)/N(W561)&gt;=60,N(BH561),1))</f>
        <v/>
      </c>
      <c r="AW561" s="7">
        <f>N(W561)*N(AF561)*N(BI561)</f>
        <v/>
      </c>
      <c r="AX561" s="3">
        <f>IF(N(BH561)=0,0,N(W561)*N(AH561))</f>
        <v/>
      </c>
      <c r="AY561" s="7">
        <f>N(AM561)*(Assumptions!$B$13*N(BK561)-(1-Assumptions!$B$13)*Assumptions!$B$14)+N(AN561)</f>
        <v/>
      </c>
      <c r="AZ561" s="7">
        <f>N(AU561)*N(R561)/90+N(AV561)+N(AW561)+N(AX561)+N(AY561)</f>
        <v/>
      </c>
      <c r="BA561" s="3">
        <f>IF(N(R561)&lt;=0,0,(N(AZ561)-N(AY561))*90/N(R561))</f>
        <v/>
      </c>
      <c r="BB561" s="7">
        <f>IFERROR(AZ561-VLOOKUP($E561,Assumptions!$A$40:$C$43,3,FALSE),"")</f>
        <v/>
      </c>
      <c r="BC561" s="3">
        <f>IFERROR(BB561/H561,"")</f>
        <v/>
      </c>
      <c r="BD561">
        <f>IF(AND($G561=TRUE,$E561="GKP"),AZ561,"")</f>
        <v/>
      </c>
      <c r="BE561">
        <f>IF(AND($G561=TRUE,$E561="DEF"),AZ561,"")</f>
        <v/>
      </c>
      <c r="BF561">
        <f>IF(AND($G561=TRUE,$E561="MID"),AZ561,"")</f>
        <v/>
      </c>
      <c r="BG561">
        <f>IF(AND($G561=TRUE,$E561="FWD"),AZ561,"")</f>
        <v/>
      </c>
      <c r="BH561" t="n">
        <v>2</v>
      </c>
      <c r="BI561" t="n">
        <v>2</v>
      </c>
      <c r="BJ561" t="n">
        <v>0</v>
      </c>
      <c r="BK561" t="n">
        <v>4</v>
      </c>
    </row>
    <row r="562">
      <c r="A562" t="inlineStr">
        <is>
          <t>Jean-Ricner Bellegarde</t>
        </is>
      </c>
      <c r="C562" t="inlineStr">
        <is>
          <t>WOL</t>
        </is>
      </c>
      <c r="D562" t="b">
        <v>0</v>
      </c>
      <c r="F562" t="inlineStr">
        <is>
          <t>MID</t>
        </is>
      </c>
      <c r="G562" t="b">
        <v>0</v>
      </c>
      <c r="H562" s="2" t="n"/>
      <c r="K562" s="2" t="n">
        <v>1251</v>
      </c>
      <c r="M562" s="3" t="n"/>
      <c r="N562" s="8" t="n">
        <v>1251</v>
      </c>
      <c r="O562" s="8" t="n">
        <v>0</v>
      </c>
      <c r="R562" s="6" t="n">
        <v>1251</v>
      </c>
      <c r="S562" t="inlineStr">
        <is>
          <t>25/26 actual</t>
        </is>
      </c>
      <c r="U562" s="6" t="n">
        <v>72.8</v>
      </c>
      <c r="V562" s="2" t="n">
        <v>15</v>
      </c>
      <c r="W562" s="7">
        <f>IF(N(U562)&lt;=0,0,MIN(Assumptions!$B$15,N(R562)/N(U562)))</f>
        <v/>
      </c>
      <c r="X562" s="6" t="n"/>
      <c r="Y562" s="3" t="n">
        <v>0.07580000000000001</v>
      </c>
      <c r="Z562" t="inlineStr">
        <is>
          <t>adjusted xGOT</t>
        </is>
      </c>
      <c r="AA562" s="3" t="n">
        <v>1</v>
      </c>
      <c r="AB562" s="3" t="n">
        <v>1.013</v>
      </c>
      <c r="AC562" s="3" t="n">
        <v>3.8</v>
      </c>
      <c r="AD562" s="3" t="n">
        <v>0.08749999999999999</v>
      </c>
      <c r="AE562" s="3" t="n">
        <v>7.976</v>
      </c>
      <c r="AF562" s="3" t="n">
        <v>0</v>
      </c>
      <c r="AG562" s="3" t="n">
        <v>6.651</v>
      </c>
      <c r="AH562" s="3" t="n">
        <v>0</v>
      </c>
      <c r="AI562" s="3" t="n">
        <v>38</v>
      </c>
      <c r="AJ562" s="3" t="n"/>
      <c r="AK562" s="3" t="n"/>
      <c r="AL562" s="3" t="n"/>
      <c r="AM562" s="6" t="n">
        <v>0</v>
      </c>
      <c r="AN562" s="3" t="n">
        <v>0</v>
      </c>
      <c r="AO562" s="3" t="n">
        <v>0</v>
      </c>
      <c r="AP562" s="3" t="n">
        <v>0</v>
      </c>
      <c r="AQ562" s="3">
        <f>N(X562)*N(BJ562)</f>
        <v/>
      </c>
      <c r="AR562" s="3" t="n">
        <v>0</v>
      </c>
      <c r="AS562" s="3" t="n">
        <v>0</v>
      </c>
      <c r="AT562" s="3" t="n">
        <v>0</v>
      </c>
      <c r="AU562" s="3">
        <f>SUM(AO562:AT562)</f>
        <v/>
      </c>
      <c r="AV562" s="7">
        <f>IF(OR(N(W562)&lt;=0,N(BH562)=0),0,N(W562)*IF(N(R562)/N(W562)&gt;=60,N(BH562),1))</f>
        <v/>
      </c>
      <c r="AW562" s="7">
        <f>N(W562)*N(AF562)*N(BI562)</f>
        <v/>
      </c>
      <c r="AX562" s="3">
        <f>IF(N(BH562)=0,0,N(W562)*N(AH562))</f>
        <v/>
      </c>
      <c r="AY562" s="7">
        <f>N(AM562)*(Assumptions!$B$13*N(BK562)-(1-Assumptions!$B$13)*Assumptions!$B$14)+N(AN562)</f>
        <v/>
      </c>
      <c r="AZ562" s="7">
        <f>N(AU562)*N(R562)/90+N(AV562)+N(AW562)+N(AX562)+N(AY562)</f>
        <v/>
      </c>
      <c r="BA562" s="3">
        <f>IF(N(R562)&lt;=0,0,(N(AZ562)-N(AY562))*90/N(R562))</f>
        <v/>
      </c>
      <c r="BB562" s="7">
        <f>IFERROR(AZ562-VLOOKUP($E562,Assumptions!$A$40:$C$43,3,FALSE),"")</f>
        <v/>
      </c>
      <c r="BC562" s="3">
        <f>IFERROR(BB562/H562,"")</f>
        <v/>
      </c>
      <c r="BD562">
        <f>IF(AND($G562=TRUE,$E562="GKP"),AZ562,"")</f>
        <v/>
      </c>
      <c r="BE562">
        <f>IF(AND($G562=TRUE,$E562="DEF"),AZ562,"")</f>
        <v/>
      </c>
      <c r="BF562">
        <f>IF(AND($G562=TRUE,$E562="MID"),AZ562,"")</f>
        <v/>
      </c>
      <c r="BG562">
        <f>IF(AND($G562=TRUE,$E562="FWD"),AZ562,"")</f>
        <v/>
      </c>
      <c r="BH562" t="n">
        <v>0</v>
      </c>
      <c r="BI562" t="n">
        <v>0</v>
      </c>
      <c r="BJ562" t="n">
        <v>0</v>
      </c>
      <c r="BK562" t="n">
        <v>0</v>
      </c>
    </row>
    <row r="563">
      <c r="A563" t="inlineStr">
        <is>
          <t>Santiago Bueno</t>
        </is>
      </c>
      <c r="C563" t="inlineStr">
        <is>
          <t>WOL</t>
        </is>
      </c>
      <c r="D563" t="b">
        <v>0</v>
      </c>
      <c r="F563" t="inlineStr">
        <is>
          <t>DEF</t>
        </is>
      </c>
      <c r="G563" t="b">
        <v>0</v>
      </c>
      <c r="H563" s="2" t="n"/>
      <c r="K563" s="2" t="n">
        <v>2553</v>
      </c>
      <c r="M563" s="3" t="n"/>
      <c r="N563" s="8" t="n">
        <v>2553</v>
      </c>
      <c r="O563" s="8" t="n">
        <v>0</v>
      </c>
      <c r="R563" s="6" t="n">
        <v>2553</v>
      </c>
      <c r="S563" t="inlineStr">
        <is>
          <t>25/26 actual</t>
        </is>
      </c>
      <c r="U563" s="6" t="n">
        <v>88.8</v>
      </c>
      <c r="V563" s="2" t="n">
        <v>28</v>
      </c>
      <c r="W563" s="7">
        <f>IF(N(U563)&lt;=0,0,MIN(Assumptions!$B$15,N(R563)/N(U563)))</f>
        <v/>
      </c>
      <c r="X563" s="6" t="n"/>
      <c r="Y563" s="3" t="n">
        <v>0.0876</v>
      </c>
      <c r="Z563" t="inlineStr">
        <is>
          <t>adjusted xGOT</t>
        </is>
      </c>
      <c r="AA563" s="3" t="n">
        <v>1</v>
      </c>
      <c r="AB563" s="3" t="n">
        <v>1.09</v>
      </c>
      <c r="AC563" s="3" t="n">
        <v>2.7</v>
      </c>
      <c r="AD563" s="3" t="n">
        <v>0.0318</v>
      </c>
      <c r="AE563" s="3" t="n">
        <v>7.632</v>
      </c>
      <c r="AF563" s="3" t="n">
        <v>0</v>
      </c>
      <c r="AG563" s="3" t="n">
        <v>7.076</v>
      </c>
      <c r="AH563" s="3" t="n">
        <v>0</v>
      </c>
      <c r="AI563" s="3" t="n">
        <v>57</v>
      </c>
      <c r="AJ563" s="3" t="n"/>
      <c r="AK563" s="3" t="n"/>
      <c r="AL563" s="3" t="n"/>
      <c r="AM563" s="6" t="n">
        <v>0</v>
      </c>
      <c r="AN563" s="3" t="n">
        <v>0</v>
      </c>
      <c r="AO563" s="3" t="n">
        <v>0</v>
      </c>
      <c r="AP563" s="3" t="n">
        <v>0</v>
      </c>
      <c r="AQ563" s="3">
        <f>N(X563)*N(BJ563)</f>
        <v/>
      </c>
      <c r="AR563" s="3" t="n">
        <v>0</v>
      </c>
      <c r="AS563" s="3" t="n">
        <v>0</v>
      </c>
      <c r="AT563" s="3" t="n">
        <v>0</v>
      </c>
      <c r="AU563" s="3">
        <f>SUM(AO563:AT563)</f>
        <v/>
      </c>
      <c r="AV563" s="7">
        <f>IF(OR(N(W563)&lt;=0,N(BH563)=0),0,N(W563)*IF(N(R563)/N(W563)&gt;=60,N(BH563),1))</f>
        <v/>
      </c>
      <c r="AW563" s="7">
        <f>N(W563)*N(AF563)*N(BI563)</f>
        <v/>
      </c>
      <c r="AX563" s="3">
        <f>IF(N(BH563)=0,0,N(W563)*N(AH563))</f>
        <v/>
      </c>
      <c r="AY563" s="7">
        <f>N(AM563)*(Assumptions!$B$13*N(BK563)-(1-Assumptions!$B$13)*Assumptions!$B$14)+N(AN563)</f>
        <v/>
      </c>
      <c r="AZ563" s="7">
        <f>N(AU563)*N(R563)/90+N(AV563)+N(AW563)+N(AX563)+N(AY563)</f>
        <v/>
      </c>
      <c r="BA563" s="3">
        <f>IF(N(R563)&lt;=0,0,(N(AZ563)-N(AY563))*90/N(R563))</f>
        <v/>
      </c>
      <c r="BB563" s="7">
        <f>IFERROR(AZ563-VLOOKUP($E563,Assumptions!$A$40:$C$43,3,FALSE),"")</f>
        <v/>
      </c>
      <c r="BC563" s="3">
        <f>IFERROR(BB563/H563,"")</f>
        <v/>
      </c>
      <c r="BD563">
        <f>IF(AND($G563=TRUE,$E563="GKP"),AZ563,"")</f>
        <v/>
      </c>
      <c r="BE563">
        <f>IF(AND($G563=TRUE,$E563="DEF"),AZ563,"")</f>
        <v/>
      </c>
      <c r="BF563">
        <f>IF(AND($G563=TRUE,$E563="MID"),AZ563,"")</f>
        <v/>
      </c>
      <c r="BG563">
        <f>IF(AND($G563=TRUE,$E563="FWD"),AZ563,"")</f>
        <v/>
      </c>
      <c r="BH563" t="n">
        <v>0</v>
      </c>
      <c r="BI563" t="n">
        <v>0</v>
      </c>
      <c r="BJ563" t="n">
        <v>0</v>
      </c>
      <c r="BK563" t="n">
        <v>0</v>
      </c>
    </row>
    <row r="564">
      <c r="A564" t="inlineStr">
        <is>
          <t>Jack Taylor</t>
        </is>
      </c>
      <c r="B564" t="inlineStr">
        <is>
          <t>IPS</t>
        </is>
      </c>
      <c r="D564" t="b">
        <v>0</v>
      </c>
      <c r="E564" t="inlineStr">
        <is>
          <t>MID</t>
        </is>
      </c>
      <c r="G564" t="b">
        <v>1</v>
      </c>
      <c r="H564" s="2" t="n">
        <v>4.5</v>
      </c>
      <c r="I564" t="inlineStr">
        <is>
          <t>i</t>
        </is>
      </c>
      <c r="J564" t="inlineStr">
        <is>
          <t>Knee injury - Unknown return date</t>
        </is>
      </c>
      <c r="K564" s="2" t="n"/>
      <c r="M564" s="3" t="n">
        <v>1317</v>
      </c>
      <c r="N564" s="8" t="n">
        <v>1317</v>
      </c>
      <c r="O564" s="8" t="n">
        <v>0</v>
      </c>
      <c r="Q564" t="inlineStr">
        <is>
          <t>flat</t>
        </is>
      </c>
      <c r="R564" s="6" t="n">
        <v>1317</v>
      </c>
      <c r="S564" t="inlineStr">
        <is>
          <t>Solio</t>
        </is>
      </c>
      <c r="U564" s="6" t="n">
        <v>85</v>
      </c>
      <c r="V564" s="2" t="n"/>
      <c r="W564" s="7">
        <f>IF(N(U564)&lt;=0,0,MIN(Assumptions!$B$15,N(R564)/N(U564)))</f>
        <v/>
      </c>
      <c r="X564" s="6" t="n">
        <v>0.17</v>
      </c>
      <c r="Y564" s="3" t="n"/>
      <c r="Z564" t="inlineStr"/>
      <c r="AA564" s="3" t="n">
        <v>1</v>
      </c>
      <c r="AB564" s="3" t="n"/>
      <c r="AC564" s="3" t="n"/>
      <c r="AD564" s="3" t="n"/>
      <c r="AE564" s="3" t="n"/>
      <c r="AF564" s="3" t="n">
        <v>0</v>
      </c>
      <c r="AG564" s="3" t="n"/>
      <c r="AH564" s="3" t="n">
        <v>0</v>
      </c>
      <c r="AI564" s="3" t="n"/>
      <c r="AJ564" s="3" t="n">
        <v>3.5741</v>
      </c>
      <c r="AK564" s="3" t="n">
        <v>1.8319</v>
      </c>
      <c r="AL564" s="3" t="n">
        <v>-0.2756958479817338</v>
      </c>
      <c r="AM564" s="6" t="n">
        <v>0</v>
      </c>
      <c r="AN564" s="3" t="n">
        <v>0</v>
      </c>
      <c r="AO564" s="3" t="n">
        <v>0</v>
      </c>
      <c r="AP564" s="3" t="n">
        <v>0</v>
      </c>
      <c r="AQ564" s="3">
        <f>N(X564)*N(BJ564)</f>
        <v/>
      </c>
      <c r="AR564" s="3" t="n">
        <v>0</v>
      </c>
      <c r="AS564" s="3" t="n">
        <v>-0</v>
      </c>
      <c r="AT564" s="3" t="n">
        <v>-0.2756958479817338</v>
      </c>
      <c r="AU564" s="3">
        <f>SUM(AO564:AT564)</f>
        <v/>
      </c>
      <c r="AV564" s="7">
        <f>IF(OR(N(W564)&lt;=0,N(BH564)=0),0,N(W564)*IF(N(R564)/N(W564)&gt;=60,N(BH564),1))</f>
        <v/>
      </c>
      <c r="AW564" s="7">
        <f>N(W564)*N(AF564)*N(BI564)</f>
        <v/>
      </c>
      <c r="AX564" s="3">
        <f>IF(N(BH564)=0,0,N(W564)*N(AH564))</f>
        <v/>
      </c>
      <c r="AY564" s="7">
        <f>N(AM564)*(Assumptions!$B$13*N(BK564)-(1-Assumptions!$B$13)*Assumptions!$B$14)+N(AN564)</f>
        <v/>
      </c>
      <c r="AZ564" s="7">
        <f>N(AU564)*N(R564)/90+N(AV564)+N(AW564)+N(AX564)+N(AY564)</f>
        <v/>
      </c>
      <c r="BA564" s="3">
        <f>IF(N(R564)&lt;=0,0,(N(AZ564)-N(AY564))*90/N(R564))</f>
        <v/>
      </c>
      <c r="BB564" s="7">
        <f>IFERROR(AZ564-VLOOKUP($E564,Assumptions!$A$40:$C$43,3,FALSE),"")</f>
        <v/>
      </c>
      <c r="BC564" s="3">
        <f>IFERROR(BB564/H564,"")</f>
        <v/>
      </c>
      <c r="BD564">
        <f>IF(AND($G564=TRUE,$E564="GKP"),AZ564,"")</f>
        <v/>
      </c>
      <c r="BE564">
        <f>IF(AND($G564=TRUE,$E564="DEF"),AZ564,"")</f>
        <v/>
      </c>
      <c r="BF564">
        <f>IF(AND($G564=TRUE,$E564="MID"),AZ564,"")</f>
        <v/>
      </c>
      <c r="BG564">
        <f>IF(AND($G564=TRUE,$E564="FWD"),AZ564,"")</f>
        <v/>
      </c>
      <c r="BH564" t="n">
        <v>2</v>
      </c>
      <c r="BI564" t="n">
        <v>2</v>
      </c>
      <c r="BJ564" t="n">
        <v>1</v>
      </c>
      <c r="BK564" t="n">
        <v>5</v>
      </c>
    </row>
    <row r="565">
      <c r="A565" t="inlineStr">
        <is>
          <t>Ryan Giles</t>
        </is>
      </c>
      <c r="B565" t="inlineStr">
        <is>
          <t>HUL</t>
        </is>
      </c>
      <c r="D565" t="b">
        <v>0</v>
      </c>
      <c r="E565" t="inlineStr">
        <is>
          <t>DEF</t>
        </is>
      </c>
      <c r="G565" t="b">
        <v>1</v>
      </c>
      <c r="H565" s="2" t="n">
        <v>4</v>
      </c>
      <c r="I565" t="inlineStr">
        <is>
          <t>a</t>
        </is>
      </c>
      <c r="K565" s="2" t="n"/>
      <c r="M565" s="3" t="n">
        <v>2787</v>
      </c>
      <c r="N565" s="8" t="n">
        <v>2787</v>
      </c>
      <c r="O565" s="8" t="n">
        <v>0</v>
      </c>
      <c r="Q565" t="inlineStr">
        <is>
          <t>flat</t>
        </is>
      </c>
      <c r="R565" s="6" t="n">
        <v>2787</v>
      </c>
      <c r="S565" t="inlineStr">
        <is>
          <t>Solio</t>
        </is>
      </c>
      <c r="U565" s="6" t="n">
        <v>85</v>
      </c>
      <c r="V565" s="2" t="n"/>
      <c r="W565" s="7">
        <f>IF(N(U565)&lt;=0,0,MIN(Assumptions!$B$15,N(R565)/N(U565)))</f>
        <v/>
      </c>
      <c r="X565" s="6" t="n">
        <v>0.143</v>
      </c>
      <c r="Y565" s="3" t="n"/>
      <c r="Z565" t="inlineStr"/>
      <c r="AA565" s="3" t="n">
        <v>1</v>
      </c>
      <c r="AB565" s="3" t="n"/>
      <c r="AC565" s="3" t="n"/>
      <c r="AD565" s="3" t="n"/>
      <c r="AE565" s="3" t="n"/>
      <c r="AF565" s="3" t="n">
        <v>0</v>
      </c>
      <c r="AG565" s="3" t="n"/>
      <c r="AH565" s="3" t="n">
        <v>0</v>
      </c>
      <c r="AI565" s="3" t="n"/>
      <c r="AJ565" s="3" t="n">
        <v>3.9421</v>
      </c>
      <c r="AK565" s="3" t="n">
        <v>1.99</v>
      </c>
      <c r="AL565" s="3" t="n">
        <v>-0.1822446652757809</v>
      </c>
      <c r="AM565" s="6" t="n">
        <v>0</v>
      </c>
      <c r="AN565" s="3" t="n">
        <v>0</v>
      </c>
      <c r="AO565" s="3" t="n">
        <v>0</v>
      </c>
      <c r="AP565" s="3" t="n">
        <v>0</v>
      </c>
      <c r="AQ565" s="3">
        <f>N(X565)*N(BJ565)</f>
        <v/>
      </c>
      <c r="AR565" s="3" t="n">
        <v>0</v>
      </c>
      <c r="AS565" s="3" t="n">
        <v>-0.7496714098286652</v>
      </c>
      <c r="AT565" s="3" t="n">
        <v>-0.1822446652757809</v>
      </c>
      <c r="AU565" s="3">
        <f>SUM(AO565:AT565)</f>
        <v/>
      </c>
      <c r="AV565" s="7">
        <f>IF(OR(N(W565)&lt;=0,N(BH565)=0),0,N(W565)*IF(N(R565)/N(W565)&gt;=60,N(BH565),1))</f>
        <v/>
      </c>
      <c r="AW565" s="7">
        <f>N(W565)*N(AF565)*N(BI565)</f>
        <v/>
      </c>
      <c r="AX565" s="3">
        <f>IF(N(BH565)=0,0,N(W565)*N(AH565))</f>
        <v/>
      </c>
      <c r="AY565" s="7">
        <f>N(AM565)*(Assumptions!$B$13*N(BK565)-(1-Assumptions!$B$13)*Assumptions!$B$14)+N(AN565)</f>
        <v/>
      </c>
      <c r="AZ565" s="7">
        <f>N(AU565)*N(R565)/90+N(AV565)+N(AW565)+N(AX565)+N(AY565)</f>
        <v/>
      </c>
      <c r="BA565" s="3">
        <f>IF(N(R565)&lt;=0,0,(N(AZ565)-N(AY565))*90/N(R565))</f>
        <v/>
      </c>
      <c r="BB565" s="7">
        <f>IFERROR(AZ565-VLOOKUP($E565,Assumptions!$A$40:$C$43,3,FALSE),"")</f>
        <v/>
      </c>
      <c r="BC565" s="3">
        <f>IFERROR(BB565/H565,"")</f>
        <v/>
      </c>
      <c r="BD565">
        <f>IF(AND($G565=TRUE,$E565="GKP"),AZ565,"")</f>
        <v/>
      </c>
      <c r="BE565">
        <f>IF(AND($G565=TRUE,$E565="DEF"),AZ565,"")</f>
        <v/>
      </c>
      <c r="BF565">
        <f>IF(AND($G565=TRUE,$E565="MID"),AZ565,"")</f>
        <v/>
      </c>
      <c r="BG565">
        <f>IF(AND($G565=TRUE,$E565="FWD"),AZ565,"")</f>
        <v/>
      </c>
      <c r="BH565" t="n">
        <v>2</v>
      </c>
      <c r="BI565" t="n">
        <v>2</v>
      </c>
      <c r="BJ565" t="n">
        <v>4</v>
      </c>
      <c r="BK565" t="n">
        <v>6</v>
      </c>
    </row>
    <row r="566">
      <c r="A566" t="inlineStr">
        <is>
          <t>Anis Mehmeti</t>
        </is>
      </c>
      <c r="B566" t="inlineStr">
        <is>
          <t>IPS</t>
        </is>
      </c>
      <c r="D566" t="b">
        <v>0</v>
      </c>
      <c r="E566" t="inlineStr">
        <is>
          <t>MID</t>
        </is>
      </c>
      <c r="G566" t="b">
        <v>1</v>
      </c>
      <c r="H566" s="2" t="n">
        <v>5</v>
      </c>
      <c r="I566" t="inlineStr">
        <is>
          <t>a</t>
        </is>
      </c>
      <c r="K566" s="2" t="n"/>
      <c r="M566" s="3" t="n">
        <v>1146</v>
      </c>
      <c r="N566" s="8" t="n">
        <v>1146</v>
      </c>
      <c r="O566" s="8" t="n">
        <v>0</v>
      </c>
      <c r="Q566" t="inlineStr">
        <is>
          <t>flat</t>
        </is>
      </c>
      <c r="R566" s="6" t="n">
        <v>1146</v>
      </c>
      <c r="S566" t="inlineStr">
        <is>
          <t>Solio</t>
        </is>
      </c>
      <c r="U566" s="6" t="n">
        <v>85</v>
      </c>
      <c r="V566" s="2" t="n"/>
      <c r="W566" s="7">
        <f>IF(N(U566)&lt;=0,0,MIN(Assumptions!$B$15,N(R566)/N(U566)))</f>
        <v/>
      </c>
      <c r="X566" s="6" t="n">
        <v>0.17</v>
      </c>
      <c r="Y566" s="3" t="n"/>
      <c r="Z566" t="inlineStr"/>
      <c r="AA566" s="3" t="n">
        <v>1</v>
      </c>
      <c r="AB566" s="3" t="n"/>
      <c r="AC566" s="3" t="n"/>
      <c r="AD566" s="3" t="n"/>
      <c r="AE566" s="3" t="n"/>
      <c r="AF566" s="3" t="n">
        <v>0</v>
      </c>
      <c r="AG566" s="3" t="n"/>
      <c r="AH566" s="3" t="n">
        <v>0</v>
      </c>
      <c r="AI566" s="3" t="n"/>
      <c r="AJ566" s="3" t="n">
        <v>3.5741</v>
      </c>
      <c r="AK566" s="3" t="n">
        <v>1.8319</v>
      </c>
      <c r="AL566" s="3" t="n">
        <v>-0.2160434166173144</v>
      </c>
      <c r="AM566" s="6" t="n">
        <v>0</v>
      </c>
      <c r="AN566" s="3" t="n">
        <v>0</v>
      </c>
      <c r="AO566" s="3" t="n">
        <v>0</v>
      </c>
      <c r="AP566" s="3" t="n">
        <v>0</v>
      </c>
      <c r="AQ566" s="3">
        <f>N(X566)*N(BJ566)</f>
        <v/>
      </c>
      <c r="AR566" s="3" t="n">
        <v>0</v>
      </c>
      <c r="AS566" s="3" t="n">
        <v>-0</v>
      </c>
      <c r="AT566" s="3" t="n">
        <v>-0.2160434166173144</v>
      </c>
      <c r="AU566" s="3">
        <f>SUM(AO566:AT566)</f>
        <v/>
      </c>
      <c r="AV566" s="7">
        <f>IF(OR(N(W566)&lt;=0,N(BH566)=0),0,N(W566)*IF(N(R566)/N(W566)&gt;=60,N(BH566),1))</f>
        <v/>
      </c>
      <c r="AW566" s="7">
        <f>N(W566)*N(AF566)*N(BI566)</f>
        <v/>
      </c>
      <c r="AX566" s="3">
        <f>IF(N(BH566)=0,0,N(W566)*N(AH566))</f>
        <v/>
      </c>
      <c r="AY566" s="7">
        <f>N(AM566)*(Assumptions!$B$13*N(BK566)-(1-Assumptions!$B$13)*Assumptions!$B$14)+N(AN566)</f>
        <v/>
      </c>
      <c r="AZ566" s="7">
        <f>N(AU566)*N(R566)/90+N(AV566)+N(AW566)+N(AX566)+N(AY566)</f>
        <v/>
      </c>
      <c r="BA566" s="3">
        <f>IF(N(R566)&lt;=0,0,(N(AZ566)-N(AY566))*90/N(R566))</f>
        <v/>
      </c>
      <c r="BB566" s="7">
        <f>IFERROR(AZ566-VLOOKUP($E566,Assumptions!$A$40:$C$43,3,FALSE),"")</f>
        <v/>
      </c>
      <c r="BC566" s="3">
        <f>IFERROR(BB566/H566,"")</f>
        <v/>
      </c>
      <c r="BD566">
        <f>IF(AND($G566=TRUE,$E566="GKP"),AZ566,"")</f>
        <v/>
      </c>
      <c r="BE566">
        <f>IF(AND($G566=TRUE,$E566="DEF"),AZ566,"")</f>
        <v/>
      </c>
      <c r="BF566">
        <f>IF(AND($G566=TRUE,$E566="MID"),AZ566,"")</f>
        <v/>
      </c>
      <c r="BG566">
        <f>IF(AND($G566=TRUE,$E566="FWD"),AZ566,"")</f>
        <v/>
      </c>
      <c r="BH566" t="n">
        <v>2</v>
      </c>
      <c r="BI566" t="n">
        <v>2</v>
      </c>
      <c r="BJ566" t="n">
        <v>1</v>
      </c>
      <c r="BK566" t="n">
        <v>5</v>
      </c>
    </row>
    <row r="567">
      <c r="A567" t="inlineStr">
        <is>
          <t>Anthony Gordon</t>
        </is>
      </c>
      <c r="C567" t="inlineStr">
        <is>
          <t>NEW</t>
        </is>
      </c>
      <c r="D567" t="b">
        <v>0</v>
      </c>
      <c r="F567" t="inlineStr">
        <is>
          <t>MID</t>
        </is>
      </c>
      <c r="G567" t="b">
        <v>0</v>
      </c>
      <c r="H567" s="2" t="n"/>
      <c r="K567" s="2" t="n">
        <v>1814</v>
      </c>
      <c r="M567" s="3" t="n"/>
      <c r="N567" s="8" t="n">
        <v>1814</v>
      </c>
      <c r="O567" s="8" t="n">
        <v>0</v>
      </c>
      <c r="R567" s="6" t="n">
        <v>1814</v>
      </c>
      <c r="S567" t="inlineStr">
        <is>
          <t>25/26 actual</t>
        </is>
      </c>
      <c r="U567" s="6" t="n">
        <v>76.59999999999999</v>
      </c>
      <c r="V567" s="2" t="n">
        <v>23</v>
      </c>
      <c r="W567" s="7">
        <f>IF(N(U567)&lt;=0,0,MIN(Assumptions!$B$15,N(R567)/N(U567)))</f>
        <v/>
      </c>
      <c r="X567" s="6" t="n"/>
      <c r="Y567" s="3" t="n">
        <v>0.2923</v>
      </c>
      <c r="Z567" t="inlineStr">
        <is>
          <t>adjusted xGOT</t>
        </is>
      </c>
      <c r="AA567" s="3" t="n">
        <v>0.739</v>
      </c>
      <c r="AB567" s="3" t="n">
        <v>0.909</v>
      </c>
      <c r="AC567" s="3" t="n">
        <v>31.7</v>
      </c>
      <c r="AD567" s="3" t="n">
        <v>0.1843</v>
      </c>
      <c r="AE567" s="3" t="n">
        <v>5.705</v>
      </c>
      <c r="AF567" s="3" t="n">
        <v>0</v>
      </c>
      <c r="AG567" s="3" t="n">
        <v>4.702</v>
      </c>
      <c r="AH567" s="3" t="n">
        <v>0</v>
      </c>
      <c r="AI567" s="3" t="n">
        <v>47</v>
      </c>
      <c r="AJ567" s="3" t="n"/>
      <c r="AK567" s="3" t="n"/>
      <c r="AL567" s="3" t="n"/>
      <c r="AM567" s="6" t="n">
        <v>0</v>
      </c>
      <c r="AN567" s="3" t="n">
        <v>0</v>
      </c>
      <c r="AO567" s="3" t="n">
        <v>0</v>
      </c>
      <c r="AP567" s="3" t="n">
        <v>0</v>
      </c>
      <c r="AQ567" s="3">
        <f>N(X567)*N(BJ567)</f>
        <v/>
      </c>
      <c r="AR567" s="3" t="n">
        <v>0</v>
      </c>
      <c r="AS567" s="3" t="n">
        <v>0</v>
      </c>
      <c r="AT567" s="3" t="n">
        <v>0</v>
      </c>
      <c r="AU567" s="3">
        <f>SUM(AO567:AT567)</f>
        <v/>
      </c>
      <c r="AV567" s="7">
        <f>IF(OR(N(W567)&lt;=0,N(BH567)=0),0,N(W567)*IF(N(R567)/N(W567)&gt;=60,N(BH567),1))</f>
        <v/>
      </c>
      <c r="AW567" s="7">
        <f>N(W567)*N(AF567)*N(BI567)</f>
        <v/>
      </c>
      <c r="AX567" s="3">
        <f>IF(N(BH567)=0,0,N(W567)*N(AH567))</f>
        <v/>
      </c>
      <c r="AY567" s="7">
        <f>N(AM567)*(Assumptions!$B$13*N(BK567)-(1-Assumptions!$B$13)*Assumptions!$B$14)+N(AN567)</f>
        <v/>
      </c>
      <c r="AZ567" s="7">
        <f>N(AU567)*N(R567)/90+N(AV567)+N(AW567)+N(AX567)+N(AY567)</f>
        <v/>
      </c>
      <c r="BA567" s="3">
        <f>IF(N(R567)&lt;=0,0,(N(AZ567)-N(AY567))*90/N(R567))</f>
        <v/>
      </c>
      <c r="BB567" s="7">
        <f>IFERROR(AZ567-VLOOKUP($E567,Assumptions!$A$40:$C$43,3,FALSE),"")</f>
        <v/>
      </c>
      <c r="BC567" s="3">
        <f>IFERROR(BB567/H567,"")</f>
        <v/>
      </c>
      <c r="BD567">
        <f>IF(AND($G567=TRUE,$E567="GKP"),AZ567,"")</f>
        <v/>
      </c>
      <c r="BE567">
        <f>IF(AND($G567=TRUE,$E567="DEF"),AZ567,"")</f>
        <v/>
      </c>
      <c r="BF567">
        <f>IF(AND($G567=TRUE,$E567="MID"),AZ567,"")</f>
        <v/>
      </c>
      <c r="BG567">
        <f>IF(AND($G567=TRUE,$E567="FWD"),AZ567,"")</f>
        <v/>
      </c>
      <c r="BH567" t="n">
        <v>0</v>
      </c>
      <c r="BI567" t="n">
        <v>0</v>
      </c>
      <c r="BJ567" t="n">
        <v>0</v>
      </c>
      <c r="BK567" t="n">
        <v>0</v>
      </c>
    </row>
    <row r="568">
      <c r="A568" t="inlineStr">
        <is>
          <t>Liam Millar</t>
        </is>
      </c>
      <c r="B568" t="inlineStr">
        <is>
          <t>HUL</t>
        </is>
      </c>
      <c r="D568" t="b">
        <v>0</v>
      </c>
      <c r="E568" t="inlineStr">
        <is>
          <t>MID</t>
        </is>
      </c>
      <c r="G568" t="b">
        <v>1</v>
      </c>
      <c r="H568" s="2" t="n">
        <v>5</v>
      </c>
      <c r="I568" t="inlineStr">
        <is>
          <t>a</t>
        </is>
      </c>
      <c r="K568" s="2" t="n"/>
      <c r="M568" s="3" t="n">
        <v>1978</v>
      </c>
      <c r="N568" s="8" t="n">
        <v>1978</v>
      </c>
      <c r="O568" s="8" t="n">
        <v>0</v>
      </c>
      <c r="Q568" t="inlineStr">
        <is>
          <t>flat</t>
        </is>
      </c>
      <c r="R568" s="6" t="n">
        <v>1978</v>
      </c>
      <c r="S568" t="inlineStr">
        <is>
          <t>Solio</t>
        </is>
      </c>
      <c r="U568" s="6" t="n">
        <v>85</v>
      </c>
      <c r="V568" s="2" t="n"/>
      <c r="W568" s="7">
        <f>IF(N(U568)&lt;=0,0,MIN(Assumptions!$B$15,N(R568)/N(U568)))</f>
        <v/>
      </c>
      <c r="X568" s="6" t="n">
        <v>0.143</v>
      </c>
      <c r="Y568" s="3" t="n"/>
      <c r="Z568" t="inlineStr"/>
      <c r="AA568" s="3" t="n">
        <v>1</v>
      </c>
      <c r="AB568" s="3" t="n"/>
      <c r="AC568" s="3" t="n"/>
      <c r="AD568" s="3" t="n"/>
      <c r="AE568" s="3" t="n"/>
      <c r="AF568" s="3" t="n">
        <v>0</v>
      </c>
      <c r="AG568" s="3" t="n"/>
      <c r="AH568" s="3" t="n">
        <v>0</v>
      </c>
      <c r="AI568" s="3" t="n"/>
      <c r="AJ568" s="3" t="n">
        <v>3.9421</v>
      </c>
      <c r="AK568" s="3" t="n">
        <v>1.99</v>
      </c>
      <c r="AL568" s="3" t="n">
        <v>-0.2160434166173144</v>
      </c>
      <c r="AM568" s="6" t="n">
        <v>0</v>
      </c>
      <c r="AN568" s="3" t="n">
        <v>0</v>
      </c>
      <c r="AO568" s="3" t="n">
        <v>0</v>
      </c>
      <c r="AP568" s="3" t="n">
        <v>0</v>
      </c>
      <c r="AQ568" s="3">
        <f>N(X568)*N(BJ568)</f>
        <v/>
      </c>
      <c r="AR568" s="3" t="n">
        <v>0</v>
      </c>
      <c r="AS568" s="3" t="n">
        <v>-0</v>
      </c>
      <c r="AT568" s="3" t="n">
        <v>-0.2160434166173144</v>
      </c>
      <c r="AU568" s="3">
        <f>SUM(AO568:AT568)</f>
        <v/>
      </c>
      <c r="AV568" s="7">
        <f>IF(OR(N(W568)&lt;=0,N(BH568)=0),0,N(W568)*IF(N(R568)/N(W568)&gt;=60,N(BH568),1))</f>
        <v/>
      </c>
      <c r="AW568" s="7">
        <f>N(W568)*N(AF568)*N(BI568)</f>
        <v/>
      </c>
      <c r="AX568" s="3">
        <f>IF(N(BH568)=0,0,N(W568)*N(AH568))</f>
        <v/>
      </c>
      <c r="AY568" s="7">
        <f>N(AM568)*(Assumptions!$B$13*N(BK568)-(1-Assumptions!$B$13)*Assumptions!$B$14)+N(AN568)</f>
        <v/>
      </c>
      <c r="AZ568" s="7">
        <f>N(AU568)*N(R568)/90+N(AV568)+N(AW568)+N(AX568)+N(AY568)</f>
        <v/>
      </c>
      <c r="BA568" s="3">
        <f>IF(N(R568)&lt;=0,0,(N(AZ568)-N(AY568))*90/N(R568))</f>
        <v/>
      </c>
      <c r="BB568" s="7">
        <f>IFERROR(AZ568-VLOOKUP($E568,Assumptions!$A$40:$C$43,3,FALSE),"")</f>
        <v/>
      </c>
      <c r="BC568" s="3">
        <f>IFERROR(BB568/H568,"")</f>
        <v/>
      </c>
      <c r="BD568">
        <f>IF(AND($G568=TRUE,$E568="GKP"),AZ568,"")</f>
        <v/>
      </c>
      <c r="BE568">
        <f>IF(AND($G568=TRUE,$E568="DEF"),AZ568,"")</f>
        <v/>
      </c>
      <c r="BF568">
        <f>IF(AND($G568=TRUE,$E568="MID"),AZ568,"")</f>
        <v/>
      </c>
      <c r="BG568">
        <f>IF(AND($G568=TRUE,$E568="FWD"),AZ568,"")</f>
        <v/>
      </c>
      <c r="BH568" t="n">
        <v>2</v>
      </c>
      <c r="BI568" t="n">
        <v>2</v>
      </c>
      <c r="BJ568" t="n">
        <v>1</v>
      </c>
      <c r="BK568" t="n">
        <v>5</v>
      </c>
    </row>
    <row r="569">
      <c r="A569" t="inlineStr">
        <is>
          <t>Konstantinos Mavropanos</t>
        </is>
      </c>
      <c r="C569" t="inlineStr">
        <is>
          <t>WHU</t>
        </is>
      </c>
      <c r="D569" t="b">
        <v>0</v>
      </c>
      <c r="F569" t="inlineStr">
        <is>
          <t>DEF</t>
        </is>
      </c>
      <c r="G569" t="b">
        <v>0</v>
      </c>
      <c r="H569" s="2" t="n"/>
      <c r="K569" s="2" t="n">
        <v>2528</v>
      </c>
      <c r="M569" s="3" t="n"/>
      <c r="N569" s="8" t="n">
        <v>2528</v>
      </c>
      <c r="O569" s="8" t="n">
        <v>0</v>
      </c>
      <c r="R569" s="6" t="n">
        <v>2528</v>
      </c>
      <c r="S569" t="inlineStr">
        <is>
          <t>25/26 actual</t>
        </is>
      </c>
      <c r="U569" s="6" t="n">
        <v>88.8</v>
      </c>
      <c r="V569" s="2" t="n">
        <v>27</v>
      </c>
      <c r="W569" s="7">
        <f>IF(N(U569)&lt;=0,0,MIN(Assumptions!$B$15,N(R569)/N(U569)))</f>
        <v/>
      </c>
      <c r="X569" s="6" t="n"/>
      <c r="Y569" s="3" t="n">
        <v>0.09080000000000001</v>
      </c>
      <c r="Z569" t="inlineStr">
        <is>
          <t>adjusted xGOT</t>
        </is>
      </c>
      <c r="AA569" s="3" t="n">
        <v>1</v>
      </c>
      <c r="AB569" s="3" t="n">
        <v>1.032</v>
      </c>
      <c r="AC569" s="3" t="n">
        <v>5.3</v>
      </c>
      <c r="AD569" s="3" t="n">
        <v>0.0174</v>
      </c>
      <c r="AE569" s="3" t="n">
        <v>10.364</v>
      </c>
      <c r="AF569" s="3" t="n">
        <v>0</v>
      </c>
      <c r="AG569" s="3" t="n">
        <v>8.407999999999999</v>
      </c>
      <c r="AH569" s="3" t="n">
        <v>0</v>
      </c>
      <c r="AI569" s="3" t="n">
        <v>58</v>
      </c>
      <c r="AJ569" s="3" t="n"/>
      <c r="AK569" s="3" t="n"/>
      <c r="AL569" s="3" t="n"/>
      <c r="AM569" s="6" t="n">
        <v>0</v>
      </c>
      <c r="AN569" s="3" t="n">
        <v>0</v>
      </c>
      <c r="AO569" s="3" t="n">
        <v>0</v>
      </c>
      <c r="AP569" s="3" t="n">
        <v>0</v>
      </c>
      <c r="AQ569" s="3">
        <f>N(X569)*N(BJ569)</f>
        <v/>
      </c>
      <c r="AR569" s="3" t="n">
        <v>0</v>
      </c>
      <c r="AS569" s="3" t="n">
        <v>0</v>
      </c>
      <c r="AT569" s="3" t="n">
        <v>0</v>
      </c>
      <c r="AU569" s="3">
        <f>SUM(AO569:AT569)</f>
        <v/>
      </c>
      <c r="AV569" s="7">
        <f>IF(OR(N(W569)&lt;=0,N(BH569)=0),0,N(W569)*IF(N(R569)/N(W569)&gt;=60,N(BH569),1))</f>
        <v/>
      </c>
      <c r="AW569" s="7">
        <f>N(W569)*N(AF569)*N(BI569)</f>
        <v/>
      </c>
      <c r="AX569" s="3">
        <f>IF(N(BH569)=0,0,N(W569)*N(AH569))</f>
        <v/>
      </c>
      <c r="AY569" s="7">
        <f>N(AM569)*(Assumptions!$B$13*N(BK569)-(1-Assumptions!$B$13)*Assumptions!$B$14)+N(AN569)</f>
        <v/>
      </c>
      <c r="AZ569" s="7">
        <f>N(AU569)*N(R569)/90+N(AV569)+N(AW569)+N(AX569)+N(AY569)</f>
        <v/>
      </c>
      <c r="BA569" s="3">
        <f>IF(N(R569)&lt;=0,0,(N(AZ569)-N(AY569))*90/N(R569))</f>
        <v/>
      </c>
      <c r="BB569" s="7">
        <f>IFERROR(AZ569-VLOOKUP($E569,Assumptions!$A$40:$C$43,3,FALSE),"")</f>
        <v/>
      </c>
      <c r="BC569" s="3">
        <f>IFERROR(BB569/H569,"")</f>
        <v/>
      </c>
      <c r="BD569">
        <f>IF(AND($G569=TRUE,$E569="GKP"),AZ569,"")</f>
        <v/>
      </c>
      <c r="BE569">
        <f>IF(AND($G569=TRUE,$E569="DEF"),AZ569,"")</f>
        <v/>
      </c>
      <c r="BF569">
        <f>IF(AND($G569=TRUE,$E569="MID"),AZ569,"")</f>
        <v/>
      </c>
      <c r="BG569">
        <f>IF(AND($G569=TRUE,$E569="FWD"),AZ569,"")</f>
        <v/>
      </c>
      <c r="BH569" t="n">
        <v>0</v>
      </c>
      <c r="BI569" t="n">
        <v>0</v>
      </c>
      <c r="BJ569" t="n">
        <v>0</v>
      </c>
      <c r="BK569" t="n">
        <v>0</v>
      </c>
    </row>
    <row r="570">
      <c r="A570" t="inlineStr">
        <is>
          <t>Azor Matusiwa</t>
        </is>
      </c>
      <c r="B570" t="inlineStr">
        <is>
          <t>IPS</t>
        </is>
      </c>
      <c r="D570" t="b">
        <v>0</v>
      </c>
      <c r="E570" t="inlineStr">
        <is>
          <t>MID</t>
        </is>
      </c>
      <c r="G570" t="b">
        <v>1</v>
      </c>
      <c r="H570" s="2" t="n">
        <v>5</v>
      </c>
      <c r="I570" t="inlineStr">
        <is>
          <t>i</t>
        </is>
      </c>
      <c r="J570" t="inlineStr">
        <is>
          <t>Muscular injury - Unknown return date</t>
        </is>
      </c>
      <c r="K570" s="2" t="n"/>
      <c r="M570" s="3" t="n">
        <v>800</v>
      </c>
      <c r="N570" s="8" t="n">
        <v>800</v>
      </c>
      <c r="O570" s="8" t="n">
        <v>0</v>
      </c>
      <c r="Q570" t="inlineStr">
        <is>
          <t>flat</t>
        </is>
      </c>
      <c r="R570" s="6" t="n">
        <v>800</v>
      </c>
      <c r="S570" t="inlineStr">
        <is>
          <t>Solio</t>
        </is>
      </c>
      <c r="U570" s="6" t="n">
        <v>85</v>
      </c>
      <c r="V570" s="2" t="n"/>
      <c r="W570" s="7">
        <f>IF(N(U570)&lt;=0,0,MIN(Assumptions!$B$15,N(R570)/N(U570)))</f>
        <v/>
      </c>
      <c r="X570" s="6" t="n">
        <v>0.17</v>
      </c>
      <c r="Y570" s="3" t="n"/>
      <c r="Z570" t="inlineStr"/>
      <c r="AA570" s="3" t="n">
        <v>1</v>
      </c>
      <c r="AB570" s="3" t="n"/>
      <c r="AC570" s="3" t="n"/>
      <c r="AD570" s="3" t="n"/>
      <c r="AE570" s="3" t="n"/>
      <c r="AF570" s="3" t="n">
        <v>0</v>
      </c>
      <c r="AG570" s="3" t="n"/>
      <c r="AH570" s="3" t="n">
        <v>0</v>
      </c>
      <c r="AI570" s="3" t="n"/>
      <c r="AJ570" s="3" t="n">
        <v>3.5741</v>
      </c>
      <c r="AK570" s="3" t="n">
        <v>1.8319</v>
      </c>
      <c r="AL570" s="3" t="n">
        <v>-0.2160434166173144</v>
      </c>
      <c r="AM570" s="6" t="n">
        <v>0</v>
      </c>
      <c r="AN570" s="3" t="n">
        <v>0</v>
      </c>
      <c r="AO570" s="3" t="n">
        <v>0</v>
      </c>
      <c r="AP570" s="3" t="n">
        <v>0</v>
      </c>
      <c r="AQ570" s="3">
        <f>N(X570)*N(BJ570)</f>
        <v/>
      </c>
      <c r="AR570" s="3" t="n">
        <v>0</v>
      </c>
      <c r="AS570" s="3" t="n">
        <v>-0</v>
      </c>
      <c r="AT570" s="3" t="n">
        <v>-0.2160434166173144</v>
      </c>
      <c r="AU570" s="3">
        <f>SUM(AO570:AT570)</f>
        <v/>
      </c>
      <c r="AV570" s="7">
        <f>IF(OR(N(W570)&lt;=0,N(BH570)=0),0,N(W570)*IF(N(R570)/N(W570)&gt;=60,N(BH570),1))</f>
        <v/>
      </c>
      <c r="AW570" s="7">
        <f>N(W570)*N(AF570)*N(BI570)</f>
        <v/>
      </c>
      <c r="AX570" s="3">
        <f>IF(N(BH570)=0,0,N(W570)*N(AH570))</f>
        <v/>
      </c>
      <c r="AY570" s="7">
        <f>N(AM570)*(Assumptions!$B$13*N(BK570)-(1-Assumptions!$B$13)*Assumptions!$B$14)+N(AN570)</f>
        <v/>
      </c>
      <c r="AZ570" s="7">
        <f>N(AU570)*N(R570)/90+N(AV570)+N(AW570)+N(AX570)+N(AY570)</f>
        <v/>
      </c>
      <c r="BA570" s="3">
        <f>IF(N(R570)&lt;=0,0,(N(AZ570)-N(AY570))*90/N(R570))</f>
        <v/>
      </c>
      <c r="BB570" s="7">
        <f>IFERROR(AZ570-VLOOKUP($E570,Assumptions!$A$40:$C$43,3,FALSE),"")</f>
        <v/>
      </c>
      <c r="BC570" s="3">
        <f>IFERROR(BB570/H570,"")</f>
        <v/>
      </c>
      <c r="BD570">
        <f>IF(AND($G570=TRUE,$E570="GKP"),AZ570,"")</f>
        <v/>
      </c>
      <c r="BE570">
        <f>IF(AND($G570=TRUE,$E570="DEF"),AZ570,"")</f>
        <v/>
      </c>
      <c r="BF570">
        <f>IF(AND($G570=TRUE,$E570="MID"),AZ570,"")</f>
        <v/>
      </c>
      <c r="BG570">
        <f>IF(AND($G570=TRUE,$E570="FWD"),AZ570,"")</f>
        <v/>
      </c>
      <c r="BH570" t="n">
        <v>2</v>
      </c>
      <c r="BI570" t="n">
        <v>2</v>
      </c>
      <c r="BJ570" t="n">
        <v>1</v>
      </c>
      <c r="BK570" t="n">
        <v>5</v>
      </c>
    </row>
    <row r="571">
      <c r="A571" t="inlineStr">
        <is>
          <t>Ephron Mason-Clark</t>
        </is>
      </c>
      <c r="B571" t="inlineStr">
        <is>
          <t>COV</t>
        </is>
      </c>
      <c r="D571" t="b">
        <v>0</v>
      </c>
      <c r="E571" t="inlineStr">
        <is>
          <t>MID</t>
        </is>
      </c>
      <c r="G571" t="b">
        <v>1</v>
      </c>
      <c r="H571" s="2" t="n">
        <v>5.5</v>
      </c>
      <c r="I571" t="inlineStr">
        <is>
          <t>a</t>
        </is>
      </c>
      <c r="K571" s="2" t="n"/>
      <c r="M571" s="3" t="n">
        <v>2440</v>
      </c>
      <c r="N571" s="8" t="n">
        <v>2440</v>
      </c>
      <c r="O571" s="8" t="n">
        <v>0</v>
      </c>
      <c r="Q571" t="inlineStr">
        <is>
          <t>flat</t>
        </is>
      </c>
      <c r="R571" s="6" t="n">
        <v>2440</v>
      </c>
      <c r="S571" t="inlineStr">
        <is>
          <t>Solio</t>
        </is>
      </c>
      <c r="U571" s="6" t="n">
        <v>85</v>
      </c>
      <c r="V571" s="2" t="n"/>
      <c r="W571" s="7">
        <f>IF(N(U571)&lt;=0,0,MIN(Assumptions!$B$15,N(R571)/N(U571)))</f>
        <v/>
      </c>
      <c r="X571" s="6" t="n">
        <v>0.17</v>
      </c>
      <c r="Y571" s="3" t="n"/>
      <c r="Z571" t="inlineStr"/>
      <c r="AA571" s="3" t="n">
        <v>1</v>
      </c>
      <c r="AB571" s="3" t="n"/>
      <c r="AC571" s="3" t="n"/>
      <c r="AD571" s="3" t="n"/>
      <c r="AE571" s="3" t="n"/>
      <c r="AF571" s="3" t="n">
        <v>0</v>
      </c>
      <c r="AG571" s="3" t="n"/>
      <c r="AH571" s="3" t="n">
        <v>0</v>
      </c>
      <c r="AI571" s="3" t="n"/>
      <c r="AJ571" s="3" t="n">
        <v>3.6194</v>
      </c>
      <c r="AK571" s="3" t="n">
        <v>1.8271</v>
      </c>
      <c r="AL571" s="3" t="n">
        <v>-0.2160434166173144</v>
      </c>
      <c r="AM571" s="6" t="n">
        <v>0</v>
      </c>
      <c r="AN571" s="3" t="n">
        <v>0</v>
      </c>
      <c r="AO571" s="3" t="n">
        <v>0</v>
      </c>
      <c r="AP571" s="3" t="n">
        <v>0</v>
      </c>
      <c r="AQ571" s="3">
        <f>N(X571)*N(BJ571)</f>
        <v/>
      </c>
      <c r="AR571" s="3" t="n">
        <v>0</v>
      </c>
      <c r="AS571" s="3" t="n">
        <v>-0</v>
      </c>
      <c r="AT571" s="3" t="n">
        <v>-0.2160434166173144</v>
      </c>
      <c r="AU571" s="3">
        <f>SUM(AO571:AT571)</f>
        <v/>
      </c>
      <c r="AV571" s="7">
        <f>IF(OR(N(W571)&lt;=0,N(BH571)=0),0,N(W571)*IF(N(R571)/N(W571)&gt;=60,N(BH571),1))</f>
        <v/>
      </c>
      <c r="AW571" s="7">
        <f>N(W571)*N(AF571)*N(BI571)</f>
        <v/>
      </c>
      <c r="AX571" s="3">
        <f>IF(N(BH571)=0,0,N(W571)*N(AH571))</f>
        <v/>
      </c>
      <c r="AY571" s="7">
        <f>N(AM571)*(Assumptions!$B$13*N(BK571)-(1-Assumptions!$B$13)*Assumptions!$B$14)+N(AN571)</f>
        <v/>
      </c>
      <c r="AZ571" s="7">
        <f>N(AU571)*N(R571)/90+N(AV571)+N(AW571)+N(AX571)+N(AY571)</f>
        <v/>
      </c>
      <c r="BA571" s="3">
        <f>IF(N(R571)&lt;=0,0,(N(AZ571)-N(AY571))*90/N(R571))</f>
        <v/>
      </c>
      <c r="BB571" s="7">
        <f>IFERROR(AZ571-VLOOKUP($E571,Assumptions!$A$40:$C$43,3,FALSE),"")</f>
        <v/>
      </c>
      <c r="BC571" s="3">
        <f>IFERROR(BB571/H571,"")</f>
        <v/>
      </c>
      <c r="BD571">
        <f>IF(AND($G571=TRUE,$E571="GKP"),AZ571,"")</f>
        <v/>
      </c>
      <c r="BE571">
        <f>IF(AND($G571=TRUE,$E571="DEF"),AZ571,"")</f>
        <v/>
      </c>
      <c r="BF571">
        <f>IF(AND($G571=TRUE,$E571="MID"),AZ571,"")</f>
        <v/>
      </c>
      <c r="BG571">
        <f>IF(AND($G571=TRUE,$E571="FWD"),AZ571,"")</f>
        <v/>
      </c>
      <c r="BH571" t="n">
        <v>2</v>
      </c>
      <c r="BI571" t="n">
        <v>2</v>
      </c>
      <c r="BJ571" t="n">
        <v>1</v>
      </c>
      <c r="BK571" t="n">
        <v>5</v>
      </c>
    </row>
    <row r="572">
      <c r="A572" t="inlineStr">
        <is>
          <t>Oscar Mingueza</t>
        </is>
      </c>
      <c r="B572" t="inlineStr">
        <is>
          <t>CRY</t>
        </is>
      </c>
      <c r="D572" t="b">
        <v>0</v>
      </c>
      <c r="E572" t="inlineStr">
        <is>
          <t>DEF</t>
        </is>
      </c>
      <c r="G572" t="b">
        <v>1</v>
      </c>
      <c r="H572" s="2" t="n">
        <v>4.5</v>
      </c>
      <c r="I572" t="inlineStr">
        <is>
          <t>a</t>
        </is>
      </c>
      <c r="K572" s="2" t="n"/>
      <c r="M572" s="3" t="n">
        <v>1197</v>
      </c>
      <c r="N572" s="4" t="n">
        <v>1600</v>
      </c>
      <c r="O572" s="4" t="n">
        <v>403</v>
      </c>
      <c r="P572" s="5" t="inlineStr">
        <is>
          <t>medium</t>
        </is>
      </c>
      <c r="Q572" t="inlineStr">
        <is>
          <t>flat</t>
        </is>
      </c>
      <c r="R572" s="6" t="n">
        <v>1600</v>
      </c>
      <c r="S572" t="inlineStr">
        <is>
          <t>research</t>
        </is>
      </c>
      <c r="T572" s="5" t="inlineStr">
        <is>
          <t>Signed on a free from Celta Vigo on 9 July and started both bookend pre-season friendlies, at Swindon in July and at Freiburg on 15 August, playing right wing-back and also being used in the back three. That versatility plus Lacroix's departure makes him a heavier-usage squad player than Solio's 1197, though Khalaili's arrival on 15 August caps how far this can go.</t>
        </is>
      </c>
      <c r="U572" s="6" t="n">
        <v>85</v>
      </c>
      <c r="V572" s="2" t="n"/>
      <c r="W572" s="7">
        <f>IF(N(U572)&lt;=0,0,MIN(Assumptions!$B$15,N(R572)/N(U572)))</f>
        <v/>
      </c>
      <c r="X572" s="6" t="n">
        <v>0.216</v>
      </c>
      <c r="Y572" s="3" t="n"/>
      <c r="Z572" t="inlineStr"/>
      <c r="AA572" s="3" t="n">
        <v>1</v>
      </c>
      <c r="AB572" s="3" t="n"/>
      <c r="AC572" s="3" t="n"/>
      <c r="AD572" s="3" t="n"/>
      <c r="AE572" s="3" t="n"/>
      <c r="AF572" s="3" t="n">
        <v>0</v>
      </c>
      <c r="AG572" s="3" t="n"/>
      <c r="AH572" s="3" t="n">
        <v>0</v>
      </c>
      <c r="AI572" s="3" t="n"/>
      <c r="AJ572" s="3" t="n">
        <v>3.2035</v>
      </c>
      <c r="AK572" s="3" t="n">
        <v>1.5923</v>
      </c>
      <c r="AL572" s="3" t="n">
        <v>-0.2045226422080557</v>
      </c>
      <c r="AM572" s="6" t="n">
        <v>0</v>
      </c>
      <c r="AN572" s="3" t="n">
        <v>0</v>
      </c>
      <c r="AO572" s="3" t="n">
        <v>0</v>
      </c>
      <c r="AP572" s="3" t="n">
        <v>0</v>
      </c>
      <c r="AQ572" s="3">
        <f>N(X572)*N(BJ572)</f>
        <v/>
      </c>
      <c r="AR572" s="3" t="n">
        <v>0</v>
      </c>
      <c r="AS572" s="3" t="n">
        <v>-0.5564987001023466</v>
      </c>
      <c r="AT572" s="3" t="n">
        <v>-0.2045226422080557</v>
      </c>
      <c r="AU572" s="3">
        <f>SUM(AO572:AT572)</f>
        <v/>
      </c>
      <c r="AV572" s="7">
        <f>IF(OR(N(W572)&lt;=0,N(BH572)=0),0,N(W572)*IF(N(R572)/N(W572)&gt;=60,N(BH572),1))</f>
        <v/>
      </c>
      <c r="AW572" s="7">
        <f>N(W572)*N(AF572)*N(BI572)</f>
        <v/>
      </c>
      <c r="AX572" s="3">
        <f>IF(N(BH572)=0,0,N(W572)*N(AH572))</f>
        <v/>
      </c>
      <c r="AY572" s="7">
        <f>N(AM572)*(Assumptions!$B$13*N(BK572)-(1-Assumptions!$B$13)*Assumptions!$B$14)+N(AN572)</f>
        <v/>
      </c>
      <c r="AZ572" s="7">
        <f>N(AU572)*N(R572)/90+N(AV572)+N(AW572)+N(AX572)+N(AY572)</f>
        <v/>
      </c>
      <c r="BA572" s="3">
        <f>IF(N(R572)&lt;=0,0,(N(AZ572)-N(AY572))*90/N(R572))</f>
        <v/>
      </c>
      <c r="BB572" s="7">
        <f>IFERROR(AZ572-VLOOKUP($E572,Assumptions!$A$40:$C$43,3,FALSE),"")</f>
        <v/>
      </c>
      <c r="BC572" s="3">
        <f>IFERROR(BB572/H572,"")</f>
        <v/>
      </c>
      <c r="BD572">
        <f>IF(AND($G572=TRUE,$E572="GKP"),AZ572,"")</f>
        <v/>
      </c>
      <c r="BE572">
        <f>IF(AND($G572=TRUE,$E572="DEF"),AZ572,"")</f>
        <v/>
      </c>
      <c r="BF572">
        <f>IF(AND($G572=TRUE,$E572="MID"),AZ572,"")</f>
        <v/>
      </c>
      <c r="BG572">
        <f>IF(AND($G572=TRUE,$E572="FWD"),AZ572,"")</f>
        <v/>
      </c>
      <c r="BH572" t="n">
        <v>2</v>
      </c>
      <c r="BI572" t="n">
        <v>2</v>
      </c>
      <c r="BJ572" t="n">
        <v>4</v>
      </c>
      <c r="BK572" t="n">
        <v>6</v>
      </c>
    </row>
    <row r="573">
      <c r="A573" t="inlineStr">
        <is>
          <t>Regan Slater</t>
        </is>
      </c>
      <c r="B573" t="inlineStr">
        <is>
          <t>HUL</t>
        </is>
      </c>
      <c r="D573" t="b">
        <v>0</v>
      </c>
      <c r="E573" t="inlineStr">
        <is>
          <t>MID</t>
        </is>
      </c>
      <c r="G573" t="b">
        <v>1</v>
      </c>
      <c r="H573" s="2" t="n">
        <v>4.5</v>
      </c>
      <c r="I573" t="inlineStr">
        <is>
          <t>a</t>
        </is>
      </c>
      <c r="K573" s="2" t="n"/>
      <c r="M573" s="3" t="n">
        <v>2770</v>
      </c>
      <c r="N573" s="8" t="n">
        <v>2770</v>
      </c>
      <c r="O573" s="8" t="n">
        <v>0</v>
      </c>
      <c r="Q573" t="inlineStr">
        <is>
          <t>flat</t>
        </is>
      </c>
      <c r="R573" s="6" t="n">
        <v>2770</v>
      </c>
      <c r="S573" t="inlineStr">
        <is>
          <t>Solio</t>
        </is>
      </c>
      <c r="U573" s="6" t="n">
        <v>85</v>
      </c>
      <c r="V573" s="2" t="n"/>
      <c r="W573" s="7">
        <f>IF(N(U573)&lt;=0,0,MIN(Assumptions!$B$15,N(R573)/N(U573)))</f>
        <v/>
      </c>
      <c r="X573" s="6" t="n">
        <v>0.143</v>
      </c>
      <c r="Y573" s="3" t="n"/>
      <c r="Z573" t="inlineStr"/>
      <c r="AA573" s="3" t="n">
        <v>1</v>
      </c>
      <c r="AB573" s="3" t="n"/>
      <c r="AC573" s="3" t="n"/>
      <c r="AD573" s="3" t="n"/>
      <c r="AE573" s="3" t="n"/>
      <c r="AF573" s="3" t="n">
        <v>0</v>
      </c>
      <c r="AG573" s="3" t="n"/>
      <c r="AH573" s="3" t="n">
        <v>0</v>
      </c>
      <c r="AI573" s="3" t="n"/>
      <c r="AJ573" s="3" t="n">
        <v>3.9421</v>
      </c>
      <c r="AK573" s="3" t="n">
        <v>1.99</v>
      </c>
      <c r="AL573" s="3" t="n">
        <v>-0.2160434166173144</v>
      </c>
      <c r="AM573" s="6" t="n">
        <v>0</v>
      </c>
      <c r="AN573" s="3" t="n">
        <v>0</v>
      </c>
      <c r="AO573" s="3" t="n">
        <v>0</v>
      </c>
      <c r="AP573" s="3" t="n">
        <v>0</v>
      </c>
      <c r="AQ573" s="3">
        <f>N(X573)*N(BJ573)</f>
        <v/>
      </c>
      <c r="AR573" s="3" t="n">
        <v>0</v>
      </c>
      <c r="AS573" s="3" t="n">
        <v>-0</v>
      </c>
      <c r="AT573" s="3" t="n">
        <v>-0.2160434166173144</v>
      </c>
      <c r="AU573" s="3">
        <f>SUM(AO573:AT573)</f>
        <v/>
      </c>
      <c r="AV573" s="7">
        <f>IF(OR(N(W573)&lt;=0,N(BH573)=0),0,N(W573)*IF(N(R573)/N(W573)&gt;=60,N(BH573),1))</f>
        <v/>
      </c>
      <c r="AW573" s="7">
        <f>N(W573)*N(AF573)*N(BI573)</f>
        <v/>
      </c>
      <c r="AX573" s="3">
        <f>IF(N(BH573)=0,0,N(W573)*N(AH573))</f>
        <v/>
      </c>
      <c r="AY573" s="7">
        <f>N(AM573)*(Assumptions!$B$13*N(BK573)-(1-Assumptions!$B$13)*Assumptions!$B$14)+N(AN573)</f>
        <v/>
      </c>
      <c r="AZ573" s="7">
        <f>N(AU573)*N(R573)/90+N(AV573)+N(AW573)+N(AX573)+N(AY573)</f>
        <v/>
      </c>
      <c r="BA573" s="3">
        <f>IF(N(R573)&lt;=0,0,(N(AZ573)-N(AY573))*90/N(R573))</f>
        <v/>
      </c>
      <c r="BB573" s="7">
        <f>IFERROR(AZ573-VLOOKUP($E573,Assumptions!$A$40:$C$43,3,FALSE),"")</f>
        <v/>
      </c>
      <c r="BC573" s="3">
        <f>IFERROR(BB573/H573,"")</f>
        <v/>
      </c>
      <c r="BD573">
        <f>IF(AND($G573=TRUE,$E573="GKP"),AZ573,"")</f>
        <v/>
      </c>
      <c r="BE573">
        <f>IF(AND($G573=TRUE,$E573="DEF"),AZ573,"")</f>
        <v/>
      </c>
      <c r="BF573">
        <f>IF(AND($G573=TRUE,$E573="MID"),AZ573,"")</f>
        <v/>
      </c>
      <c r="BG573">
        <f>IF(AND($G573=TRUE,$E573="FWD"),AZ573,"")</f>
        <v/>
      </c>
      <c r="BH573" t="n">
        <v>2</v>
      </c>
      <c r="BI573" t="n">
        <v>2</v>
      </c>
      <c r="BJ573" t="n">
        <v>1</v>
      </c>
      <c r="BK573" t="n">
        <v>5</v>
      </c>
    </row>
    <row r="574">
      <c r="A574" t="inlineStr">
        <is>
          <t>Hayden Hackney</t>
        </is>
      </c>
      <c r="B574" t="inlineStr">
        <is>
          <t>EVE</t>
        </is>
      </c>
      <c r="D574" t="b">
        <v>0</v>
      </c>
      <c r="E574" t="inlineStr">
        <is>
          <t>MID</t>
        </is>
      </c>
      <c r="G574" t="b">
        <v>1</v>
      </c>
      <c r="H574" s="2" t="n">
        <v>5.5</v>
      </c>
      <c r="I574" t="inlineStr">
        <is>
          <t>a</t>
        </is>
      </c>
      <c r="K574" s="2" t="n"/>
      <c r="M574" s="3" t="n">
        <v>1053</v>
      </c>
      <c r="N574" s="4" t="n">
        <v>1900</v>
      </c>
      <c r="O574" s="4" t="n">
        <v>847</v>
      </c>
      <c r="P574" s="5" t="inlineStr">
        <is>
          <t>medium</t>
        </is>
      </c>
      <c r="Q574" t="inlineStr">
        <is>
          <t>fade (losing his place)</t>
        </is>
      </c>
      <c r="R574" s="6" t="n">
        <v>1900</v>
      </c>
      <c r="S574" t="inlineStr">
        <is>
          <t>research</t>
        </is>
      </c>
      <c r="T574" s="5" t="inlineStr">
        <is>
          <t>The mirror image of the Nørgaard cut. Everton's biggest cash outlay of the summer at GBP 16.5m rising to about GBP 25m, and Read Everton's injury tracker on 14 August says he is 'being worked into regular rotation'. He started central midfield in both of the last two friendlies - alongside Dewsbury-Hall against Newcastle on 12 August and in the three against Lille on 15 August - while Garner was out and Nørgaard was not in the squad. Solio's 1,053 is a fringe number for a player who has started the run-in to the season.</t>
        </is>
      </c>
      <c r="U574" s="6" t="n">
        <v>85</v>
      </c>
      <c r="V574" s="2" t="n"/>
      <c r="W574" s="7">
        <f>IF(N(U574)&lt;=0,0,MIN(Assumptions!$B$15,N(R574)/N(U574)))</f>
        <v/>
      </c>
      <c r="X574" s="6" t="n">
        <v>0.231</v>
      </c>
      <c r="Y574" s="3" t="n"/>
      <c r="Z574" t="inlineStr"/>
      <c r="AA574" s="3" t="n">
        <v>1</v>
      </c>
      <c r="AB574" s="3" t="n"/>
      <c r="AC574" s="3" t="n"/>
      <c r="AD574" s="3" t="n"/>
      <c r="AE574" s="3" t="n"/>
      <c r="AF574" s="3" t="n">
        <v>0</v>
      </c>
      <c r="AG574" s="3" t="n"/>
      <c r="AH574" s="3" t="n">
        <v>0</v>
      </c>
      <c r="AI574" s="3" t="n"/>
      <c r="AJ574" s="3" t="n">
        <v>3.0311</v>
      </c>
      <c r="AK574" s="3" t="n">
        <v>1.5252</v>
      </c>
      <c r="AL574" s="3" t="n">
        <v>-0.2160434166173144</v>
      </c>
      <c r="AM574" s="6" t="n">
        <v>0</v>
      </c>
      <c r="AN574" s="3" t="n">
        <v>0</v>
      </c>
      <c r="AO574" s="3" t="n">
        <v>0</v>
      </c>
      <c r="AP574" s="3" t="n">
        <v>0</v>
      </c>
      <c r="AQ574" s="3">
        <f>N(X574)*N(BJ574)</f>
        <v/>
      </c>
      <c r="AR574" s="3" t="n">
        <v>0</v>
      </c>
      <c r="AS574" s="3" t="n">
        <v>-0</v>
      </c>
      <c r="AT574" s="3" t="n">
        <v>-0.2160434166173144</v>
      </c>
      <c r="AU574" s="3">
        <f>SUM(AO574:AT574)</f>
        <v/>
      </c>
      <c r="AV574" s="7">
        <f>IF(OR(N(W574)&lt;=0,N(BH574)=0),0,N(W574)*IF(N(R574)/N(W574)&gt;=60,N(BH574),1))</f>
        <v/>
      </c>
      <c r="AW574" s="7">
        <f>N(W574)*N(AF574)*N(BI574)</f>
        <v/>
      </c>
      <c r="AX574" s="3">
        <f>IF(N(BH574)=0,0,N(W574)*N(AH574))</f>
        <v/>
      </c>
      <c r="AY574" s="7">
        <f>N(AM574)*(Assumptions!$B$13*N(BK574)-(1-Assumptions!$B$13)*Assumptions!$B$14)+N(AN574)</f>
        <v/>
      </c>
      <c r="AZ574" s="7">
        <f>N(AU574)*N(R574)/90+N(AV574)+N(AW574)+N(AX574)+N(AY574)</f>
        <v/>
      </c>
      <c r="BA574" s="3">
        <f>IF(N(R574)&lt;=0,0,(N(AZ574)-N(AY574))*90/N(R574))</f>
        <v/>
      </c>
      <c r="BB574" s="7">
        <f>IFERROR(AZ574-VLOOKUP($E574,Assumptions!$A$40:$C$43,3,FALSE),"")</f>
        <v/>
      </c>
      <c r="BC574" s="3">
        <f>IFERROR(BB574/H574,"")</f>
        <v/>
      </c>
      <c r="BD574">
        <f>IF(AND($G574=TRUE,$E574="GKP"),AZ574,"")</f>
        <v/>
      </c>
      <c r="BE574">
        <f>IF(AND($G574=TRUE,$E574="DEF"),AZ574,"")</f>
        <v/>
      </c>
      <c r="BF574">
        <f>IF(AND($G574=TRUE,$E574="MID"),AZ574,"")</f>
        <v/>
      </c>
      <c r="BG574">
        <f>IF(AND($G574=TRUE,$E574="FWD"),AZ574,"")</f>
        <v/>
      </c>
      <c r="BH574" t="n">
        <v>2</v>
      </c>
      <c r="BI574" t="n">
        <v>2</v>
      </c>
      <c r="BJ574" t="n">
        <v>1</v>
      </c>
      <c r="BK574" t="n">
        <v>5</v>
      </c>
    </row>
    <row r="575">
      <c r="A575" t="inlineStr">
        <is>
          <t>Valentín Castellanos</t>
        </is>
      </c>
      <c r="C575" t="inlineStr">
        <is>
          <t>WHU</t>
        </is>
      </c>
      <c r="D575" t="b">
        <v>0</v>
      </c>
      <c r="F575" t="inlineStr">
        <is>
          <t>FWD</t>
        </is>
      </c>
      <c r="G575" t="b">
        <v>0</v>
      </c>
      <c r="H575" s="2" t="n"/>
      <c r="K575" s="2" t="n">
        <v>1395</v>
      </c>
      <c r="M575" s="3" t="n"/>
      <c r="N575" s="8" t="n">
        <v>1395</v>
      </c>
      <c r="O575" s="8" t="n">
        <v>0</v>
      </c>
      <c r="R575" s="6" t="n">
        <v>1395</v>
      </c>
      <c r="S575" t="inlineStr">
        <is>
          <t>25/26 actual</t>
        </is>
      </c>
      <c r="U575" s="6" t="n">
        <v>78</v>
      </c>
      <c r="V575" s="2" t="n">
        <v>17</v>
      </c>
      <c r="W575" s="7">
        <f>IF(N(U575)&lt;=0,0,MIN(Assumptions!$B$15,N(R575)/N(U575)))</f>
        <v/>
      </c>
      <c r="X575" s="6" t="n"/>
      <c r="Y575" s="3" t="n">
        <v>0.3858</v>
      </c>
      <c r="Z575" t="inlineStr">
        <is>
          <t>adjusted xGOT</t>
        </is>
      </c>
      <c r="AA575" s="3" t="n">
        <v>1</v>
      </c>
      <c r="AB575" s="3" t="n">
        <v>1.04</v>
      </c>
      <c r="AC575" s="3" t="n">
        <v>5.8</v>
      </c>
      <c r="AD575" s="3" t="n">
        <v>0.0482</v>
      </c>
      <c r="AE575" s="3" t="n">
        <v>4.677</v>
      </c>
      <c r="AF575" s="3" t="n">
        <v>0</v>
      </c>
      <c r="AG575" s="3" t="n">
        <v>0.944</v>
      </c>
      <c r="AH575" s="3" t="n">
        <v>0</v>
      </c>
      <c r="AI575" s="3" t="n">
        <v>35</v>
      </c>
      <c r="AJ575" s="3" t="n"/>
      <c r="AK575" s="3" t="n"/>
      <c r="AL575" s="3" t="n"/>
      <c r="AM575" s="6" t="n">
        <v>0</v>
      </c>
      <c r="AN575" s="3" t="n">
        <v>0</v>
      </c>
      <c r="AO575" s="3" t="n">
        <v>0</v>
      </c>
      <c r="AP575" s="3" t="n">
        <v>0</v>
      </c>
      <c r="AQ575" s="3">
        <f>N(X575)*N(BJ575)</f>
        <v/>
      </c>
      <c r="AR575" s="3" t="n">
        <v>0</v>
      </c>
      <c r="AS575" s="3" t="n">
        <v>0</v>
      </c>
      <c r="AT575" s="3" t="n">
        <v>0</v>
      </c>
      <c r="AU575" s="3">
        <f>SUM(AO575:AT575)</f>
        <v/>
      </c>
      <c r="AV575" s="7">
        <f>IF(OR(N(W575)&lt;=0,N(BH575)=0),0,N(W575)*IF(N(R575)/N(W575)&gt;=60,N(BH575),1))</f>
        <v/>
      </c>
      <c r="AW575" s="7">
        <f>N(W575)*N(AF575)*N(BI575)</f>
        <v/>
      </c>
      <c r="AX575" s="3">
        <f>IF(N(BH575)=0,0,N(W575)*N(AH575))</f>
        <v/>
      </c>
      <c r="AY575" s="7">
        <f>N(AM575)*(Assumptions!$B$13*N(BK575)-(1-Assumptions!$B$13)*Assumptions!$B$14)+N(AN575)</f>
        <v/>
      </c>
      <c r="AZ575" s="7">
        <f>N(AU575)*N(R575)/90+N(AV575)+N(AW575)+N(AX575)+N(AY575)</f>
        <v/>
      </c>
      <c r="BA575" s="3">
        <f>IF(N(R575)&lt;=0,0,(N(AZ575)-N(AY575))*90/N(R575))</f>
        <v/>
      </c>
      <c r="BB575" s="7">
        <f>IFERROR(AZ575-VLOOKUP($E575,Assumptions!$A$40:$C$43,3,FALSE),"")</f>
        <v/>
      </c>
      <c r="BC575" s="3">
        <f>IFERROR(BB575/H575,"")</f>
        <v/>
      </c>
      <c r="BD575">
        <f>IF(AND($G575=TRUE,$E575="GKP"),AZ575,"")</f>
        <v/>
      </c>
      <c r="BE575">
        <f>IF(AND($G575=TRUE,$E575="DEF"),AZ575,"")</f>
        <v/>
      </c>
      <c r="BF575">
        <f>IF(AND($G575=TRUE,$E575="MID"),AZ575,"")</f>
        <v/>
      </c>
      <c r="BG575">
        <f>IF(AND($G575=TRUE,$E575="FWD"),AZ575,"")</f>
        <v/>
      </c>
      <c r="BH575" t="n">
        <v>0</v>
      </c>
      <c r="BI575" t="n">
        <v>0</v>
      </c>
      <c r="BJ575" t="n">
        <v>0</v>
      </c>
      <c r="BK575" t="n">
        <v>0</v>
      </c>
    </row>
    <row r="576">
      <c r="A576" t="inlineStr">
        <is>
          <t>Randal Kolo Muani</t>
        </is>
      </c>
      <c r="C576" t="inlineStr">
        <is>
          <t>TOT</t>
        </is>
      </c>
      <c r="D576" t="b">
        <v>0</v>
      </c>
      <c r="F576" t="inlineStr">
        <is>
          <t>FWD</t>
        </is>
      </c>
      <c r="G576" t="b">
        <v>0</v>
      </c>
      <c r="H576" s="2" t="n"/>
      <c r="K576" s="2" t="n">
        <v>1670</v>
      </c>
      <c r="M576" s="3" t="n"/>
      <c r="N576" s="8" t="n">
        <v>1670</v>
      </c>
      <c r="O576" s="8" t="n">
        <v>0</v>
      </c>
      <c r="R576" s="6" t="n">
        <v>1670</v>
      </c>
      <c r="S576" t="inlineStr">
        <is>
          <t>25/26 actual</t>
        </is>
      </c>
      <c r="U576" s="6" t="n">
        <v>71.8</v>
      </c>
      <c r="V576" s="2" t="n">
        <v>21</v>
      </c>
      <c r="W576" s="7">
        <f>IF(N(U576)&lt;=0,0,MIN(Assumptions!$B$15,N(R576)/N(U576)))</f>
        <v/>
      </c>
      <c r="X576" s="6" t="n"/>
      <c r="Y576" s="3" t="n">
        <v>0.1097</v>
      </c>
      <c r="Z576" t="inlineStr">
        <is>
          <t>adjusted xGOT</t>
        </is>
      </c>
      <c r="AA576" s="3" t="n">
        <v>1</v>
      </c>
      <c r="AB576" s="3" t="n">
        <v>0.983</v>
      </c>
      <c r="AC576" s="3" t="n">
        <v>2.1</v>
      </c>
      <c r="AD576" s="3" t="n">
        <v>0.09959999999999999</v>
      </c>
      <c r="AE576" s="3" t="n">
        <v>5.773</v>
      </c>
      <c r="AF576" s="3" t="n">
        <v>0</v>
      </c>
      <c r="AG576" s="3" t="n">
        <v>0.429</v>
      </c>
      <c r="AH576" s="3" t="n">
        <v>0</v>
      </c>
      <c r="AI576" s="3" t="n">
        <v>47</v>
      </c>
      <c r="AJ576" s="3" t="n"/>
      <c r="AK576" s="3" t="n"/>
      <c r="AL576" s="3" t="n"/>
      <c r="AM576" s="6" t="n">
        <v>0</v>
      </c>
      <c r="AN576" s="3" t="n">
        <v>0</v>
      </c>
      <c r="AO576" s="3" t="n">
        <v>0</v>
      </c>
      <c r="AP576" s="3" t="n">
        <v>0</v>
      </c>
      <c r="AQ576" s="3">
        <f>N(X576)*N(BJ576)</f>
        <v/>
      </c>
      <c r="AR576" s="3" t="n">
        <v>0</v>
      </c>
      <c r="AS576" s="3" t="n">
        <v>0</v>
      </c>
      <c r="AT576" s="3" t="n">
        <v>0</v>
      </c>
      <c r="AU576" s="3">
        <f>SUM(AO576:AT576)</f>
        <v/>
      </c>
      <c r="AV576" s="7">
        <f>IF(OR(N(W576)&lt;=0,N(BH576)=0),0,N(W576)*IF(N(R576)/N(W576)&gt;=60,N(BH576),1))</f>
        <v/>
      </c>
      <c r="AW576" s="7">
        <f>N(W576)*N(AF576)*N(BI576)</f>
        <v/>
      </c>
      <c r="AX576" s="3">
        <f>IF(N(BH576)=0,0,N(W576)*N(AH576))</f>
        <v/>
      </c>
      <c r="AY576" s="7">
        <f>N(AM576)*(Assumptions!$B$13*N(BK576)-(1-Assumptions!$B$13)*Assumptions!$B$14)+N(AN576)</f>
        <v/>
      </c>
      <c r="AZ576" s="7">
        <f>N(AU576)*N(R576)/90+N(AV576)+N(AW576)+N(AX576)+N(AY576)</f>
        <v/>
      </c>
      <c r="BA576" s="3">
        <f>IF(N(R576)&lt;=0,0,(N(AZ576)-N(AY576))*90/N(R576))</f>
        <v/>
      </c>
      <c r="BB576" s="7">
        <f>IFERROR(AZ576-VLOOKUP($E576,Assumptions!$A$40:$C$43,3,FALSE),"")</f>
        <v/>
      </c>
      <c r="BC576" s="3">
        <f>IFERROR(BB576/H576,"")</f>
        <v/>
      </c>
      <c r="BD576">
        <f>IF(AND($G576=TRUE,$E576="GKP"),AZ576,"")</f>
        <v/>
      </c>
      <c r="BE576">
        <f>IF(AND($G576=TRUE,$E576="DEF"),AZ576,"")</f>
        <v/>
      </c>
      <c r="BF576">
        <f>IF(AND($G576=TRUE,$E576="MID"),AZ576,"")</f>
        <v/>
      </c>
      <c r="BG576">
        <f>IF(AND($G576=TRUE,$E576="FWD"),AZ576,"")</f>
        <v/>
      </c>
      <c r="BH576" t="n">
        <v>0</v>
      </c>
      <c r="BI576" t="n">
        <v>0</v>
      </c>
      <c r="BJ576" t="n">
        <v>0</v>
      </c>
      <c r="BK576" t="n">
        <v>0</v>
      </c>
    </row>
    <row r="577">
      <c r="A577" t="inlineStr">
        <is>
          <t>Lutsharel Geertruida</t>
        </is>
      </c>
      <c r="C577" t="inlineStr">
        <is>
          <t>SUN</t>
        </is>
      </c>
      <c r="D577" t="b">
        <v>0</v>
      </c>
      <c r="F577" t="inlineStr">
        <is>
          <t>DEF</t>
        </is>
      </c>
      <c r="G577" t="b">
        <v>0</v>
      </c>
      <c r="H577" s="2" t="n"/>
      <c r="K577" s="2" t="n">
        <v>1685</v>
      </c>
      <c r="M577" s="3" t="n"/>
      <c r="N577" s="8" t="n">
        <v>1685</v>
      </c>
      <c r="O577" s="8" t="n">
        <v>0</v>
      </c>
      <c r="R577" s="6" t="n">
        <v>1685</v>
      </c>
      <c r="S577" t="inlineStr">
        <is>
          <t>25/26 actual</t>
        </is>
      </c>
      <c r="U577" s="6" t="n">
        <v>86.40000000000001</v>
      </c>
      <c r="V577" s="2" t="n">
        <v>17</v>
      </c>
      <c r="W577" s="7">
        <f>IF(N(U577)&lt;=0,0,MIN(Assumptions!$B$15,N(R577)/N(U577)))</f>
        <v/>
      </c>
      <c r="X577" s="6" t="n"/>
      <c r="Y577" s="3" t="n">
        <v>0.0422</v>
      </c>
      <c r="Z577" t="inlineStr">
        <is>
          <t>adjusted xGOT</t>
        </is>
      </c>
      <c r="AA577" s="3" t="n">
        <v>1</v>
      </c>
      <c r="AB577" s="3" t="n">
        <v>1.001</v>
      </c>
      <c r="AC577" s="3" t="n">
        <v>0.8</v>
      </c>
      <c r="AD577" s="3" t="n">
        <v>0.0413</v>
      </c>
      <c r="AE577" s="3" t="n">
        <v>6.54</v>
      </c>
      <c r="AF577" s="3" t="n">
        <v>0</v>
      </c>
      <c r="AG577" s="3" t="n">
        <v>8.169</v>
      </c>
      <c r="AH577" s="3" t="n">
        <v>0</v>
      </c>
      <c r="AI577" s="3" t="n">
        <v>45</v>
      </c>
      <c r="AJ577" s="3" t="n"/>
      <c r="AK577" s="3" t="n"/>
      <c r="AL577" s="3" t="n"/>
      <c r="AM577" s="6" t="n">
        <v>0</v>
      </c>
      <c r="AN577" s="3" t="n">
        <v>0</v>
      </c>
      <c r="AO577" s="3" t="n">
        <v>0</v>
      </c>
      <c r="AP577" s="3" t="n">
        <v>0</v>
      </c>
      <c r="AQ577" s="3">
        <f>N(X577)*N(BJ577)</f>
        <v/>
      </c>
      <c r="AR577" s="3" t="n">
        <v>0</v>
      </c>
      <c r="AS577" s="3" t="n">
        <v>0</v>
      </c>
      <c r="AT577" s="3" t="n">
        <v>0</v>
      </c>
      <c r="AU577" s="3">
        <f>SUM(AO577:AT577)</f>
        <v/>
      </c>
      <c r="AV577" s="7">
        <f>IF(OR(N(W577)&lt;=0,N(BH577)=0),0,N(W577)*IF(N(R577)/N(W577)&gt;=60,N(BH577),1))</f>
        <v/>
      </c>
      <c r="AW577" s="7">
        <f>N(W577)*N(AF577)*N(BI577)</f>
        <v/>
      </c>
      <c r="AX577" s="3">
        <f>IF(N(BH577)=0,0,N(W577)*N(AH577))</f>
        <v/>
      </c>
      <c r="AY577" s="7">
        <f>N(AM577)*(Assumptions!$B$13*N(BK577)-(1-Assumptions!$B$13)*Assumptions!$B$14)+N(AN577)</f>
        <v/>
      </c>
      <c r="AZ577" s="7">
        <f>N(AU577)*N(R577)/90+N(AV577)+N(AW577)+N(AX577)+N(AY577)</f>
        <v/>
      </c>
      <c r="BA577" s="3">
        <f>IF(N(R577)&lt;=0,0,(N(AZ577)-N(AY577))*90/N(R577))</f>
        <v/>
      </c>
      <c r="BB577" s="7">
        <f>IFERROR(AZ577-VLOOKUP($E577,Assumptions!$A$40:$C$43,3,FALSE),"")</f>
        <v/>
      </c>
      <c r="BC577" s="3">
        <f>IFERROR(BB577/H577,"")</f>
        <v/>
      </c>
      <c r="BD577">
        <f>IF(AND($G577=TRUE,$E577="GKP"),AZ577,"")</f>
        <v/>
      </c>
      <c r="BE577">
        <f>IF(AND($G577=TRUE,$E577="DEF"),AZ577,"")</f>
        <v/>
      </c>
      <c r="BF577">
        <f>IF(AND($G577=TRUE,$E577="MID"),AZ577,"")</f>
        <v/>
      </c>
      <c r="BG577">
        <f>IF(AND($G577=TRUE,$E577="FWD"),AZ577,"")</f>
        <v/>
      </c>
      <c r="BH577" t="n">
        <v>0</v>
      </c>
      <c r="BI577" t="n">
        <v>0</v>
      </c>
      <c r="BJ577" t="n">
        <v>0</v>
      </c>
      <c r="BK577" t="n">
        <v>0</v>
      </c>
    </row>
    <row r="578">
      <c r="A578" t="inlineStr">
        <is>
          <t>Hamed Traoré</t>
        </is>
      </c>
      <c r="C578" t="inlineStr">
        <is>
          <t>BOU</t>
        </is>
      </c>
      <c r="D578" t="b">
        <v>0</v>
      </c>
      <c r="F578" t="inlineStr">
        <is>
          <t>MID</t>
        </is>
      </c>
      <c r="G578" t="b">
        <v>0</v>
      </c>
      <c r="H578" s="2" t="n"/>
      <c r="K578" s="2" t="n">
        <v>16</v>
      </c>
      <c r="M578" s="3" t="n"/>
      <c r="N578" s="8" t="n">
        <v>16</v>
      </c>
      <c r="O578" s="8" t="n">
        <v>0</v>
      </c>
      <c r="R578" s="6" t="n">
        <v>16</v>
      </c>
      <c r="S578" t="inlineStr">
        <is>
          <t>25/26 actual</t>
        </is>
      </c>
      <c r="U578" s="6" t="n">
        <v>80.09999999999999</v>
      </c>
      <c r="V578" s="2" t="n">
        <v>0</v>
      </c>
      <c r="W578" s="7">
        <f>IF(N(U578)&lt;=0,0,MIN(Assumptions!$B$15,N(R578)/N(U578)))</f>
        <v/>
      </c>
      <c r="X578" s="6" t="n"/>
      <c r="Y578" s="3" t="n">
        <v>0</v>
      </c>
      <c r="Z578" t="inlineStr">
        <is>
          <t>adjusted xGOT</t>
        </is>
      </c>
      <c r="AA578" s="3" t="n">
        <v>1</v>
      </c>
      <c r="AB578" s="3" t="n">
        <v>0.869</v>
      </c>
      <c r="AC578" s="3" t="n">
        <v>1.2</v>
      </c>
      <c r="AD578" s="3" t="n">
        <v>0.5377</v>
      </c>
      <c r="AE578" s="3" t="n">
        <v>8.880000000000001</v>
      </c>
      <c r="AF578" s="3" t="n">
        <v>0</v>
      </c>
      <c r="AG578" s="3" t="n">
        <v>6.623</v>
      </c>
      <c r="AH578" s="3" t="n">
        <v>0</v>
      </c>
      <c r="AI578" s="3" t="n">
        <v>1</v>
      </c>
      <c r="AJ578" s="3" t="n"/>
      <c r="AK578" s="3" t="n"/>
      <c r="AL578" s="3" t="n"/>
      <c r="AM578" s="6" t="n">
        <v>0</v>
      </c>
      <c r="AN578" s="3" t="n">
        <v>0</v>
      </c>
      <c r="AO578" s="3" t="n">
        <v>0</v>
      </c>
      <c r="AP578" s="3" t="n">
        <v>0</v>
      </c>
      <c r="AQ578" s="3">
        <f>N(X578)*N(BJ578)</f>
        <v/>
      </c>
      <c r="AR578" s="3" t="n">
        <v>0</v>
      </c>
      <c r="AS578" s="3" t="n">
        <v>0</v>
      </c>
      <c r="AT578" s="3" t="n">
        <v>0</v>
      </c>
      <c r="AU578" s="3">
        <f>SUM(AO578:AT578)</f>
        <v/>
      </c>
      <c r="AV578" s="7">
        <f>IF(OR(N(W578)&lt;=0,N(BH578)=0),0,N(W578)*IF(N(R578)/N(W578)&gt;=60,N(BH578),1))</f>
        <v/>
      </c>
      <c r="AW578" s="7">
        <f>N(W578)*N(AF578)*N(BI578)</f>
        <v/>
      </c>
      <c r="AX578" s="3">
        <f>IF(N(BH578)=0,0,N(W578)*N(AH578))</f>
        <v/>
      </c>
      <c r="AY578" s="7">
        <f>N(AM578)*(Assumptions!$B$13*N(BK578)-(1-Assumptions!$B$13)*Assumptions!$B$14)+N(AN578)</f>
        <v/>
      </c>
      <c r="AZ578" s="7">
        <f>N(AU578)*N(R578)/90+N(AV578)+N(AW578)+N(AX578)+N(AY578)</f>
        <v/>
      </c>
      <c r="BA578" s="3">
        <f>IF(N(R578)&lt;=0,0,(N(AZ578)-N(AY578))*90/N(R578))</f>
        <v/>
      </c>
      <c r="BB578" s="7">
        <f>IFERROR(AZ578-VLOOKUP($E578,Assumptions!$A$40:$C$43,3,FALSE),"")</f>
        <v/>
      </c>
      <c r="BC578" s="3">
        <f>IFERROR(BB578/H578,"")</f>
        <v/>
      </c>
      <c r="BD578">
        <f>IF(AND($G578=TRUE,$E578="GKP"),AZ578,"")</f>
        <v/>
      </c>
      <c r="BE578">
        <f>IF(AND($G578=TRUE,$E578="DEF"),AZ578,"")</f>
        <v/>
      </c>
      <c r="BF578">
        <f>IF(AND($G578=TRUE,$E578="MID"),AZ578,"")</f>
        <v/>
      </c>
      <c r="BG578">
        <f>IF(AND($G578=TRUE,$E578="FWD"),AZ578,"")</f>
        <v/>
      </c>
      <c r="BH578" t="n">
        <v>0</v>
      </c>
      <c r="BI578" t="n">
        <v>0</v>
      </c>
      <c r="BJ578" t="n">
        <v>0</v>
      </c>
      <c r="BK578" t="n">
        <v>0</v>
      </c>
    </row>
    <row r="579">
      <c r="A579" t="inlineStr">
        <is>
          <t>Sasa Kalajdzic</t>
        </is>
      </c>
      <c r="C579" t="inlineStr">
        <is>
          <t>WOL</t>
        </is>
      </c>
      <c r="D579" t="b">
        <v>0</v>
      </c>
      <c r="F579" t="inlineStr">
        <is>
          <t>FWD</t>
        </is>
      </c>
      <c r="G579" t="b">
        <v>0</v>
      </c>
      <c r="H579" s="2" t="n"/>
      <c r="K579" s="2" t="n">
        <v>14</v>
      </c>
      <c r="M579" s="3" t="n"/>
      <c r="N579" s="8" t="n">
        <v>14</v>
      </c>
      <c r="O579" s="8" t="n">
        <v>0</v>
      </c>
      <c r="R579" s="6" t="n">
        <v>14</v>
      </c>
      <c r="S579" t="inlineStr">
        <is>
          <t>25/26 actual</t>
        </is>
      </c>
      <c r="U579" s="6" t="n">
        <v>78.5</v>
      </c>
      <c r="V579" s="2" t="n">
        <v>0</v>
      </c>
      <c r="W579" s="7">
        <f>IF(N(U579)&lt;=0,0,MIN(Assumptions!$B$15,N(R579)/N(U579)))</f>
        <v/>
      </c>
      <c r="X579" s="6" t="n"/>
      <c r="Y579" s="3" t="n">
        <v>0</v>
      </c>
      <c r="Z579" t="inlineStr">
        <is>
          <t>adjusted xGOT</t>
        </is>
      </c>
      <c r="AA579" s="3" t="n">
        <v>1</v>
      </c>
      <c r="AB579" s="3" t="n">
        <v>1.034</v>
      </c>
      <c r="AC579" s="3" t="n">
        <v>1.3</v>
      </c>
      <c r="AD579" s="3" t="n">
        <v>0</v>
      </c>
      <c r="AE579" s="3" t="n">
        <v>4.947</v>
      </c>
      <c r="AF579" s="3" t="n">
        <v>0</v>
      </c>
      <c r="AG579" s="3" t="n">
        <v>0.9340000000000001</v>
      </c>
      <c r="AH579" s="3" t="n">
        <v>0</v>
      </c>
      <c r="AI579" s="3" t="n">
        <v>1</v>
      </c>
      <c r="AJ579" s="3" t="n"/>
      <c r="AK579" s="3" t="n"/>
      <c r="AL579" s="3" t="n"/>
      <c r="AM579" s="6" t="n">
        <v>0</v>
      </c>
      <c r="AN579" s="3" t="n">
        <v>0</v>
      </c>
      <c r="AO579" s="3" t="n">
        <v>0</v>
      </c>
      <c r="AP579" s="3" t="n">
        <v>0</v>
      </c>
      <c r="AQ579" s="3">
        <f>N(X579)*N(BJ579)</f>
        <v/>
      </c>
      <c r="AR579" s="3" t="n">
        <v>0</v>
      </c>
      <c r="AS579" s="3" t="n">
        <v>0</v>
      </c>
      <c r="AT579" s="3" t="n">
        <v>0</v>
      </c>
      <c r="AU579" s="3">
        <f>SUM(AO579:AT579)</f>
        <v/>
      </c>
      <c r="AV579" s="7">
        <f>IF(OR(N(W579)&lt;=0,N(BH579)=0),0,N(W579)*IF(N(R579)/N(W579)&gt;=60,N(BH579),1))</f>
        <v/>
      </c>
      <c r="AW579" s="7">
        <f>N(W579)*N(AF579)*N(BI579)</f>
        <v/>
      </c>
      <c r="AX579" s="3">
        <f>IF(N(BH579)=0,0,N(W579)*N(AH579))</f>
        <v/>
      </c>
      <c r="AY579" s="7">
        <f>N(AM579)*(Assumptions!$B$13*N(BK579)-(1-Assumptions!$B$13)*Assumptions!$B$14)+N(AN579)</f>
        <v/>
      </c>
      <c r="AZ579" s="7">
        <f>N(AU579)*N(R579)/90+N(AV579)+N(AW579)+N(AX579)+N(AY579)</f>
        <v/>
      </c>
      <c r="BA579" s="3">
        <f>IF(N(R579)&lt;=0,0,(N(AZ579)-N(AY579))*90/N(R579))</f>
        <v/>
      </c>
      <c r="BB579" s="7">
        <f>IFERROR(AZ579-VLOOKUP($E579,Assumptions!$A$40:$C$43,3,FALSE),"")</f>
        <v/>
      </c>
      <c r="BC579" s="3">
        <f>IFERROR(BB579/H579,"")</f>
        <v/>
      </c>
      <c r="BD579">
        <f>IF(AND($G579=TRUE,$E579="GKP"),AZ579,"")</f>
        <v/>
      </c>
      <c r="BE579">
        <f>IF(AND($G579=TRUE,$E579="DEF"),AZ579,"")</f>
        <v/>
      </c>
      <c r="BF579">
        <f>IF(AND($G579=TRUE,$E579="MID"),AZ579,"")</f>
        <v/>
      </c>
      <c r="BG579">
        <f>IF(AND($G579=TRUE,$E579="FWD"),AZ579,"")</f>
        <v/>
      </c>
      <c r="BH579" t="n">
        <v>0</v>
      </c>
      <c r="BI579" t="n">
        <v>0</v>
      </c>
      <c r="BJ579" t="n">
        <v>0</v>
      </c>
      <c r="BK579" t="n">
        <v>0</v>
      </c>
    </row>
    <row r="580">
      <c r="A580" t="inlineStr">
        <is>
          <t>Ladislav Krejcí</t>
        </is>
      </c>
      <c r="C580" t="inlineStr">
        <is>
          <t>WOL</t>
        </is>
      </c>
      <c r="D580" t="b">
        <v>0</v>
      </c>
      <c r="F580" t="inlineStr">
        <is>
          <t>DEF</t>
        </is>
      </c>
      <c r="G580" t="b">
        <v>0</v>
      </c>
      <c r="H580" s="2" t="n"/>
      <c r="K580" s="2" t="n">
        <v>2361</v>
      </c>
      <c r="M580" s="3" t="n"/>
      <c r="N580" s="8" t="n">
        <v>2361</v>
      </c>
      <c r="O580" s="8" t="n">
        <v>0</v>
      </c>
      <c r="R580" s="6" t="n">
        <v>2361</v>
      </c>
      <c r="S580" t="inlineStr">
        <is>
          <t>25/26 actual</t>
        </is>
      </c>
      <c r="U580" s="6" t="n">
        <v>86.2</v>
      </c>
      <c r="V580" s="2" t="n">
        <v>26</v>
      </c>
      <c r="W580" s="7">
        <f>IF(N(U580)&lt;=0,0,MIN(Assumptions!$B$15,N(R580)/N(U580)))</f>
        <v/>
      </c>
      <c r="X580" s="6" t="n"/>
      <c r="Y580" s="3" t="n">
        <v>0.0897</v>
      </c>
      <c r="Z580" t="inlineStr">
        <is>
          <t>adjusted xGOT</t>
        </is>
      </c>
      <c r="AA580" s="3" t="n">
        <v>1</v>
      </c>
      <c r="AB580" s="3" t="n">
        <v>1.056</v>
      </c>
      <c r="AC580" s="3" t="n">
        <v>2.2</v>
      </c>
      <c r="AD580" s="3" t="n">
        <v>0.0568</v>
      </c>
      <c r="AE580" s="3" t="n">
        <v>7.563</v>
      </c>
      <c r="AF580" s="3" t="n">
        <v>0</v>
      </c>
      <c r="AG580" s="3" t="n">
        <v>6.771</v>
      </c>
      <c r="AH580" s="3" t="n">
        <v>0</v>
      </c>
      <c r="AI580" s="3" t="n">
        <v>55</v>
      </c>
      <c r="AJ580" s="3" t="n"/>
      <c r="AK580" s="3" t="n"/>
      <c r="AL580" s="3" t="n"/>
      <c r="AM580" s="6" t="n">
        <v>0</v>
      </c>
      <c r="AN580" s="3" t="n">
        <v>0</v>
      </c>
      <c r="AO580" s="3" t="n">
        <v>0</v>
      </c>
      <c r="AP580" s="3" t="n">
        <v>0</v>
      </c>
      <c r="AQ580" s="3">
        <f>N(X580)*N(BJ580)</f>
        <v/>
      </c>
      <c r="AR580" s="3" t="n">
        <v>0</v>
      </c>
      <c r="AS580" s="3" t="n">
        <v>0</v>
      </c>
      <c r="AT580" s="3" t="n">
        <v>0</v>
      </c>
      <c r="AU580" s="3">
        <f>SUM(AO580:AT580)</f>
        <v/>
      </c>
      <c r="AV580" s="7">
        <f>IF(OR(N(W580)&lt;=0,N(BH580)=0),0,N(W580)*IF(N(R580)/N(W580)&gt;=60,N(BH580),1))</f>
        <v/>
      </c>
      <c r="AW580" s="7">
        <f>N(W580)*N(AF580)*N(BI580)</f>
        <v/>
      </c>
      <c r="AX580" s="3">
        <f>IF(N(BH580)=0,0,N(W580)*N(AH580))</f>
        <v/>
      </c>
      <c r="AY580" s="7">
        <f>N(AM580)*(Assumptions!$B$13*N(BK580)-(1-Assumptions!$B$13)*Assumptions!$B$14)+N(AN580)</f>
        <v/>
      </c>
      <c r="AZ580" s="7">
        <f>N(AU580)*N(R580)/90+N(AV580)+N(AW580)+N(AX580)+N(AY580)</f>
        <v/>
      </c>
      <c r="BA580" s="3">
        <f>IF(N(R580)&lt;=0,0,(N(AZ580)-N(AY580))*90/N(R580))</f>
        <v/>
      </c>
      <c r="BB580" s="7">
        <f>IFERROR(AZ580-VLOOKUP($E580,Assumptions!$A$40:$C$43,3,FALSE),"")</f>
        <v/>
      </c>
      <c r="BC580" s="3">
        <f>IFERROR(BB580/H580,"")</f>
        <v/>
      </c>
      <c r="BD580">
        <f>IF(AND($G580=TRUE,$E580="GKP"),AZ580,"")</f>
        <v/>
      </c>
      <c r="BE580">
        <f>IF(AND($G580=TRUE,$E580="DEF"),AZ580,"")</f>
        <v/>
      </c>
      <c r="BF580">
        <f>IF(AND($G580=TRUE,$E580="MID"),AZ580,"")</f>
        <v/>
      </c>
      <c r="BG580">
        <f>IF(AND($G580=TRUE,$E580="FWD"),AZ580,"")</f>
        <v/>
      </c>
      <c r="BH580" t="n">
        <v>0</v>
      </c>
      <c r="BI580" t="n">
        <v>0</v>
      </c>
      <c r="BJ580" t="n">
        <v>0</v>
      </c>
      <c r="BK580" t="n">
        <v>0</v>
      </c>
    </row>
    <row r="581">
      <c r="A581" t="inlineStr">
        <is>
          <t>Zian Flemming</t>
        </is>
      </c>
      <c r="C581" t="inlineStr">
        <is>
          <t>BUR</t>
        </is>
      </c>
      <c r="D581" t="b">
        <v>0</v>
      </c>
      <c r="F581" t="inlineStr">
        <is>
          <t>FWD</t>
        </is>
      </c>
      <c r="G581" t="b">
        <v>0</v>
      </c>
      <c r="H581" s="2" t="n"/>
      <c r="K581" s="2" t="n">
        <v>1776</v>
      </c>
      <c r="M581" s="3" t="n"/>
      <c r="N581" s="8" t="n">
        <v>1776</v>
      </c>
      <c r="O581" s="8" t="n">
        <v>0</v>
      </c>
      <c r="R581" s="6" t="n">
        <v>1776</v>
      </c>
      <c r="S581" t="inlineStr">
        <is>
          <t>25/26 actual</t>
        </is>
      </c>
      <c r="U581" s="6" t="n">
        <v>79.2</v>
      </c>
      <c r="V581" s="2" t="n">
        <v>21</v>
      </c>
      <c r="W581" s="7">
        <f>IF(N(U581)&lt;=0,0,MIN(Assumptions!$B$15,N(R581)/N(U581)))</f>
        <v/>
      </c>
      <c r="X581" s="6" t="n"/>
      <c r="Y581" s="3" t="n">
        <v>0.3331</v>
      </c>
      <c r="Z581" t="inlineStr">
        <is>
          <t>adjusted xGOT</t>
        </is>
      </c>
      <c r="AA581" s="3" t="n">
        <v>0.841</v>
      </c>
      <c r="AB581" s="3" t="n">
        <v>0.985</v>
      </c>
      <c r="AC581" s="3" t="n">
        <v>7.9</v>
      </c>
      <c r="AD581" s="3" t="n">
        <v>0.0347</v>
      </c>
      <c r="AE581" s="3" t="n">
        <v>4.976</v>
      </c>
      <c r="AF581" s="3" t="n">
        <v>0</v>
      </c>
      <c r="AG581" s="3" t="n">
        <v>-0.047</v>
      </c>
      <c r="AH581" s="3" t="n">
        <v>0</v>
      </c>
      <c r="AI581" s="3" t="n">
        <v>49</v>
      </c>
      <c r="AJ581" s="3" t="n"/>
      <c r="AK581" s="3" t="n"/>
      <c r="AL581" s="3" t="n"/>
      <c r="AM581" s="6" t="n">
        <v>0</v>
      </c>
      <c r="AN581" s="3" t="n">
        <v>0</v>
      </c>
      <c r="AO581" s="3" t="n">
        <v>0</v>
      </c>
      <c r="AP581" s="3" t="n">
        <v>0</v>
      </c>
      <c r="AQ581" s="3">
        <f>N(X581)*N(BJ581)</f>
        <v/>
      </c>
      <c r="AR581" s="3" t="n">
        <v>0</v>
      </c>
      <c r="AS581" s="3" t="n">
        <v>0</v>
      </c>
      <c r="AT581" s="3" t="n">
        <v>0</v>
      </c>
      <c r="AU581" s="3">
        <f>SUM(AO581:AT581)</f>
        <v/>
      </c>
      <c r="AV581" s="7">
        <f>IF(OR(N(W581)&lt;=0,N(BH581)=0),0,N(W581)*IF(N(R581)/N(W581)&gt;=60,N(BH581),1))</f>
        <v/>
      </c>
      <c r="AW581" s="7">
        <f>N(W581)*N(AF581)*N(BI581)</f>
        <v/>
      </c>
      <c r="AX581" s="3">
        <f>IF(N(BH581)=0,0,N(W581)*N(AH581))</f>
        <v/>
      </c>
      <c r="AY581" s="7">
        <f>N(AM581)*(Assumptions!$B$13*N(BK581)-(1-Assumptions!$B$13)*Assumptions!$B$14)+N(AN581)</f>
        <v/>
      </c>
      <c r="AZ581" s="7">
        <f>N(AU581)*N(R581)/90+N(AV581)+N(AW581)+N(AX581)+N(AY581)</f>
        <v/>
      </c>
      <c r="BA581" s="3">
        <f>IF(N(R581)&lt;=0,0,(N(AZ581)-N(AY581))*90/N(R581))</f>
        <v/>
      </c>
      <c r="BB581" s="7">
        <f>IFERROR(AZ581-VLOOKUP($E581,Assumptions!$A$40:$C$43,3,FALSE),"")</f>
        <v/>
      </c>
      <c r="BC581" s="3">
        <f>IFERROR(BB581/H581,"")</f>
        <v/>
      </c>
      <c r="BD581">
        <f>IF(AND($G581=TRUE,$E581="GKP"),AZ581,"")</f>
        <v/>
      </c>
      <c r="BE581">
        <f>IF(AND($G581=TRUE,$E581="DEF"),AZ581,"")</f>
        <v/>
      </c>
      <c r="BF581">
        <f>IF(AND($G581=TRUE,$E581="MID"),AZ581,"")</f>
        <v/>
      </c>
      <c r="BG581">
        <f>IF(AND($G581=TRUE,$E581="FWD"),AZ581,"")</f>
        <v/>
      </c>
      <c r="BH581" t="n">
        <v>0</v>
      </c>
      <c r="BI581" t="n">
        <v>0</v>
      </c>
      <c r="BJ581" t="n">
        <v>0</v>
      </c>
      <c r="BK581" t="n">
        <v>0</v>
      </c>
    </row>
    <row r="582">
      <c r="A582" t="inlineStr">
        <is>
          <t>Vitezslav Jaros</t>
        </is>
      </c>
      <c r="B582" t="inlineStr">
        <is>
          <t>LIV</t>
        </is>
      </c>
      <c r="D582" t="b">
        <v>0</v>
      </c>
      <c r="E582" t="inlineStr">
        <is>
          <t>GKP</t>
        </is>
      </c>
      <c r="G582" t="b">
        <v>1</v>
      </c>
      <c r="H582" s="2" t="n">
        <v>4</v>
      </c>
      <c r="I582" t="inlineStr">
        <is>
          <t>i</t>
        </is>
      </c>
      <c r="J582" t="inlineStr">
        <is>
          <t>Knee injury - Unknown return date</t>
        </is>
      </c>
      <c r="K582" s="2" t="n"/>
      <c r="M582" s="3" t="n">
        <v>0</v>
      </c>
      <c r="N582" s="8" t="n">
        <v>0</v>
      </c>
      <c r="O582" s="8" t="n">
        <v>0</v>
      </c>
      <c r="Q582" t="inlineStr">
        <is>
          <t>flat</t>
        </is>
      </c>
      <c r="R582" s="6" t="n">
        <v>0</v>
      </c>
      <c r="S582" t="inlineStr">
        <is>
          <t>Solio</t>
        </is>
      </c>
      <c r="U582" s="6" t="n">
        <v>85</v>
      </c>
      <c r="V582" s="2" t="n"/>
      <c r="W582" s="7">
        <f>IF(N(U582)&lt;=0,0,MIN(Assumptions!$B$15,N(R582)/N(U582)))</f>
        <v/>
      </c>
      <c r="X582" s="6" t="n">
        <v>0.342</v>
      </c>
      <c r="Y582" s="3" t="n"/>
      <c r="Z582" t="inlineStr"/>
      <c r="AA582" s="3" t="n">
        <v>1</v>
      </c>
      <c r="AB582" s="3" t="n"/>
      <c r="AC582" s="3" t="n"/>
      <c r="AD582" s="3" t="n"/>
      <c r="AE582" s="3" t="n">
        <v>0</v>
      </c>
      <c r="AF582" s="3" t="n">
        <v>0</v>
      </c>
      <c r="AG582" s="3" t="n"/>
      <c r="AH582" s="3" t="n">
        <v>0</v>
      </c>
      <c r="AI582" s="3" t="n"/>
      <c r="AJ582" s="3" t="n">
        <v>2.409</v>
      </c>
      <c r="AK582" s="3" t="n">
        <v>1.1228</v>
      </c>
      <c r="AL582" s="3" t="n">
        <v>-0.0759869441214969</v>
      </c>
      <c r="AM582" s="6" t="n">
        <v>0</v>
      </c>
      <c r="AN582" s="3" t="n">
        <v>0</v>
      </c>
      <c r="AO582" s="3" t="n">
        <v>0</v>
      </c>
      <c r="AP582" s="3" t="n">
        <v>0</v>
      </c>
      <c r="AQ582" s="3">
        <f>N(X582)*N(BJ582)</f>
        <v/>
      </c>
      <c r="AR582" s="3" t="n">
        <v>0.4697511244203511</v>
      </c>
      <c r="AS582" s="3" t="n">
        <v>-0.3378660007281162</v>
      </c>
      <c r="AT582" s="3" t="n">
        <v>-0.0759869441214969</v>
      </c>
      <c r="AU582" s="3">
        <f>SUM(AO582:AT582)</f>
        <v/>
      </c>
      <c r="AV582" s="7">
        <f>IF(OR(N(W582)&lt;=0,N(BH582)=0),0,N(W582)*IF(N(R582)/N(W582)&gt;=60,N(BH582),1))</f>
        <v/>
      </c>
      <c r="AW582" s="7">
        <f>N(W582)*N(AF582)*N(BI582)</f>
        <v/>
      </c>
      <c r="AX582" s="3">
        <f>IF(N(BH582)=0,0,N(W582)*N(AH582))</f>
        <v/>
      </c>
      <c r="AY582" s="7">
        <f>N(AM582)*(Assumptions!$B$13*N(BK582)-(1-Assumptions!$B$13)*Assumptions!$B$14)+N(AN582)</f>
        <v/>
      </c>
      <c r="AZ582" s="7">
        <f>N(AU582)*N(R582)/90+N(AV582)+N(AW582)+N(AX582)+N(AY582)</f>
        <v/>
      </c>
      <c r="BA582" s="3">
        <f>IF(N(R582)&lt;=0,0,(N(AZ582)-N(AY582))*90/N(R582))</f>
        <v/>
      </c>
      <c r="BB582" s="7">
        <f>IFERROR(AZ582-VLOOKUP($E582,Assumptions!$A$40:$C$43,3,FALSE),"")</f>
        <v/>
      </c>
      <c r="BC582" s="3">
        <f>IFERROR(BB582/H582,"")</f>
        <v/>
      </c>
      <c r="BD582">
        <f>IF(AND($G582=TRUE,$E582="GKP"),AZ582,"")</f>
        <v/>
      </c>
      <c r="BE582">
        <f>IF(AND($G582=TRUE,$E582="DEF"),AZ582,"")</f>
        <v/>
      </c>
      <c r="BF582">
        <f>IF(AND($G582=TRUE,$E582="MID"),AZ582,"")</f>
        <v/>
      </c>
      <c r="BG582">
        <f>IF(AND($G582=TRUE,$E582="FWD"),AZ582,"")</f>
        <v/>
      </c>
      <c r="BH582" t="n">
        <v>2</v>
      </c>
      <c r="BI582" t="n">
        <v>0</v>
      </c>
      <c r="BJ582" t="n">
        <v>4</v>
      </c>
      <c r="BK582" t="n">
        <v>10</v>
      </c>
    </row>
    <row r="583">
      <c r="A583" t="inlineStr">
        <is>
          <t>Marshall Munetsi</t>
        </is>
      </c>
      <c r="C583" t="inlineStr">
        <is>
          <t>WOL</t>
        </is>
      </c>
      <c r="D583" t="b">
        <v>0</v>
      </c>
      <c r="F583" t="inlineStr">
        <is>
          <t>MID</t>
        </is>
      </c>
      <c r="G583" t="b">
        <v>0</v>
      </c>
      <c r="H583" s="2" t="n"/>
      <c r="K583" s="2" t="n">
        <v>873</v>
      </c>
      <c r="M583" s="3" t="n"/>
      <c r="N583" s="8" t="n">
        <v>873</v>
      </c>
      <c r="O583" s="8" t="n">
        <v>0</v>
      </c>
      <c r="R583" s="6" t="n">
        <v>873</v>
      </c>
      <c r="S583" t="inlineStr">
        <is>
          <t>25/26 actual</t>
        </is>
      </c>
      <c r="U583" s="6" t="n">
        <v>83.09999999999999</v>
      </c>
      <c r="V583" s="2" t="n">
        <v>9</v>
      </c>
      <c r="W583" s="7">
        <f>IF(N(U583)&lt;=0,0,MIN(Assumptions!$B$15,N(R583)/N(U583)))</f>
        <v/>
      </c>
      <c r="X583" s="6" t="n"/>
      <c r="Y583" s="3" t="n">
        <v>0.1618</v>
      </c>
      <c r="Z583" t="inlineStr">
        <is>
          <t>adjusted xGOT</t>
        </is>
      </c>
      <c r="AA583" s="3" t="n">
        <v>1</v>
      </c>
      <c r="AB583" s="3" t="n">
        <v>0.957</v>
      </c>
      <c r="AC583" s="3" t="n">
        <v>5</v>
      </c>
      <c r="AD583" s="3" t="n">
        <v>0.0393</v>
      </c>
      <c r="AE583" s="3" t="n">
        <v>8.401999999999999</v>
      </c>
      <c r="AF583" s="3" t="n">
        <v>0</v>
      </c>
      <c r="AG583" s="3" t="n">
        <v>5.123</v>
      </c>
      <c r="AH583" s="3" t="n">
        <v>0</v>
      </c>
      <c r="AI583" s="3" t="n">
        <v>22</v>
      </c>
      <c r="AJ583" s="3" t="n"/>
      <c r="AK583" s="3" t="n"/>
      <c r="AL583" s="3" t="n"/>
      <c r="AM583" s="6" t="n">
        <v>0</v>
      </c>
      <c r="AN583" s="3" t="n">
        <v>0</v>
      </c>
      <c r="AO583" s="3" t="n">
        <v>0</v>
      </c>
      <c r="AP583" s="3" t="n">
        <v>0</v>
      </c>
      <c r="AQ583" s="3">
        <f>N(X583)*N(BJ583)</f>
        <v/>
      </c>
      <c r="AR583" s="3" t="n">
        <v>0</v>
      </c>
      <c r="AS583" s="3" t="n">
        <v>0</v>
      </c>
      <c r="AT583" s="3" t="n">
        <v>0</v>
      </c>
      <c r="AU583" s="3">
        <f>SUM(AO583:AT583)</f>
        <v/>
      </c>
      <c r="AV583" s="7">
        <f>IF(OR(N(W583)&lt;=0,N(BH583)=0),0,N(W583)*IF(N(R583)/N(W583)&gt;=60,N(BH583),1))</f>
        <v/>
      </c>
      <c r="AW583" s="7">
        <f>N(W583)*N(AF583)*N(BI583)</f>
        <v/>
      </c>
      <c r="AX583" s="3">
        <f>IF(N(BH583)=0,0,N(W583)*N(AH583))</f>
        <v/>
      </c>
      <c r="AY583" s="7">
        <f>N(AM583)*(Assumptions!$B$13*N(BK583)-(1-Assumptions!$B$13)*Assumptions!$B$14)+N(AN583)</f>
        <v/>
      </c>
      <c r="AZ583" s="7">
        <f>N(AU583)*N(R583)/90+N(AV583)+N(AW583)+N(AX583)+N(AY583)</f>
        <v/>
      </c>
      <c r="BA583" s="3">
        <f>IF(N(R583)&lt;=0,0,(N(AZ583)-N(AY583))*90/N(R583))</f>
        <v/>
      </c>
      <c r="BB583" s="7">
        <f>IFERROR(AZ583-VLOOKUP($E583,Assumptions!$A$40:$C$43,3,FALSE),"")</f>
        <v/>
      </c>
      <c r="BC583" s="3">
        <f>IFERROR(BB583/H583,"")</f>
        <v/>
      </c>
      <c r="BD583">
        <f>IF(AND($G583=TRUE,$E583="GKP"),AZ583,"")</f>
        <v/>
      </c>
      <c r="BE583">
        <f>IF(AND($G583=TRUE,$E583="DEF"),AZ583,"")</f>
        <v/>
      </c>
      <c r="BF583">
        <f>IF(AND($G583=TRUE,$E583="MID"),AZ583,"")</f>
        <v/>
      </c>
      <c r="BG583">
        <f>IF(AND($G583=TRUE,$E583="FWD"),AZ583,"")</f>
        <v/>
      </c>
      <c r="BH583" t="n">
        <v>0</v>
      </c>
      <c r="BI583" t="n">
        <v>0</v>
      </c>
      <c r="BJ583" t="n">
        <v>0</v>
      </c>
      <c r="BK583" t="n">
        <v>0</v>
      </c>
    </row>
    <row r="584">
      <c r="A584" t="inlineStr">
        <is>
          <t>Cody Drameh</t>
        </is>
      </c>
      <c r="B584" t="inlineStr">
        <is>
          <t>HUL</t>
        </is>
      </c>
      <c r="D584" t="b">
        <v>0</v>
      </c>
      <c r="E584" t="inlineStr">
        <is>
          <t>DEF</t>
        </is>
      </c>
      <c r="G584" t="b">
        <v>1</v>
      </c>
      <c r="H584" s="2" t="n">
        <v>4</v>
      </c>
      <c r="I584" t="inlineStr">
        <is>
          <t>i</t>
        </is>
      </c>
      <c r="J584" t="inlineStr">
        <is>
          <t>Hamstring injury - Expected back 29 Aug</t>
        </is>
      </c>
      <c r="K584" s="2" t="n"/>
      <c r="M584" s="3" t="n">
        <v>619</v>
      </c>
      <c r="N584" s="8" t="n">
        <v>619</v>
      </c>
      <c r="O584" s="8" t="n">
        <v>0</v>
      </c>
      <c r="Q584" t="inlineStr">
        <is>
          <t>flat</t>
        </is>
      </c>
      <c r="R584" s="6" t="n">
        <v>619</v>
      </c>
      <c r="S584" t="inlineStr">
        <is>
          <t>Solio</t>
        </is>
      </c>
      <c r="U584" s="6" t="n">
        <v>85</v>
      </c>
      <c r="V584" s="2" t="n"/>
      <c r="W584" s="7">
        <f>IF(N(U584)&lt;=0,0,MIN(Assumptions!$B$15,N(R584)/N(U584)))</f>
        <v/>
      </c>
      <c r="X584" s="6" t="n">
        <v>0.143</v>
      </c>
      <c r="Y584" s="3" t="n"/>
      <c r="Z584" t="inlineStr"/>
      <c r="AA584" s="3" t="n">
        <v>1</v>
      </c>
      <c r="AB584" s="3" t="n"/>
      <c r="AC584" s="3" t="n"/>
      <c r="AD584" s="3" t="n"/>
      <c r="AE584" s="3" t="n"/>
      <c r="AF584" s="3" t="n">
        <v>0</v>
      </c>
      <c r="AG584" s="3" t="n"/>
      <c r="AH584" s="3" t="n">
        <v>0</v>
      </c>
      <c r="AI584" s="3" t="n"/>
      <c r="AJ584" s="3" t="n">
        <v>3.9421</v>
      </c>
      <c r="AK584" s="3" t="n">
        <v>1.99</v>
      </c>
      <c r="AL584" s="3" t="n">
        <v>-0.2045226422080557</v>
      </c>
      <c r="AM584" s="6" t="n">
        <v>0</v>
      </c>
      <c r="AN584" s="3" t="n">
        <v>0</v>
      </c>
      <c r="AO584" s="3" t="n">
        <v>0</v>
      </c>
      <c r="AP584" s="3" t="n">
        <v>0</v>
      </c>
      <c r="AQ584" s="3">
        <f>N(X584)*N(BJ584)</f>
        <v/>
      </c>
      <c r="AR584" s="3" t="n">
        <v>0</v>
      </c>
      <c r="AS584" s="3" t="n">
        <v>-0.7496714098286652</v>
      </c>
      <c r="AT584" s="3" t="n">
        <v>-0.2045226422080557</v>
      </c>
      <c r="AU584" s="3">
        <f>SUM(AO584:AT584)</f>
        <v/>
      </c>
      <c r="AV584" s="7">
        <f>IF(OR(N(W584)&lt;=0,N(BH584)=0),0,N(W584)*IF(N(R584)/N(W584)&gt;=60,N(BH584),1))</f>
        <v/>
      </c>
      <c r="AW584" s="7">
        <f>N(W584)*N(AF584)*N(BI584)</f>
        <v/>
      </c>
      <c r="AX584" s="3">
        <f>IF(N(BH584)=0,0,N(W584)*N(AH584))</f>
        <v/>
      </c>
      <c r="AY584" s="7">
        <f>N(AM584)*(Assumptions!$B$13*N(BK584)-(1-Assumptions!$B$13)*Assumptions!$B$14)+N(AN584)</f>
        <v/>
      </c>
      <c r="AZ584" s="7">
        <f>N(AU584)*N(R584)/90+N(AV584)+N(AW584)+N(AX584)+N(AY584)</f>
        <v/>
      </c>
      <c r="BA584" s="3">
        <f>IF(N(R584)&lt;=0,0,(N(AZ584)-N(AY584))*90/N(R584))</f>
        <v/>
      </c>
      <c r="BB584" s="7">
        <f>IFERROR(AZ584-VLOOKUP($E584,Assumptions!$A$40:$C$43,3,FALSE),"")</f>
        <v/>
      </c>
      <c r="BC584" s="3">
        <f>IFERROR(BB584/H584,"")</f>
        <v/>
      </c>
      <c r="BD584">
        <f>IF(AND($G584=TRUE,$E584="GKP"),AZ584,"")</f>
        <v/>
      </c>
      <c r="BE584">
        <f>IF(AND($G584=TRUE,$E584="DEF"),AZ584,"")</f>
        <v/>
      </c>
      <c r="BF584">
        <f>IF(AND($G584=TRUE,$E584="MID"),AZ584,"")</f>
        <v/>
      </c>
      <c r="BG584">
        <f>IF(AND($G584=TRUE,$E584="FWD"),AZ584,"")</f>
        <v/>
      </c>
      <c r="BH584" t="n">
        <v>2</v>
      </c>
      <c r="BI584" t="n">
        <v>2</v>
      </c>
      <c r="BJ584" t="n">
        <v>4</v>
      </c>
      <c r="BK584" t="n">
        <v>6</v>
      </c>
    </row>
    <row r="585">
      <c r="A585" t="inlineStr">
        <is>
          <t>Lyle Foster</t>
        </is>
      </c>
      <c r="C585" t="inlineStr">
        <is>
          <t>BUR</t>
        </is>
      </c>
      <c r="D585" t="b">
        <v>0</v>
      </c>
      <c r="F585" t="inlineStr">
        <is>
          <t>FWD</t>
        </is>
      </c>
      <c r="G585" t="b">
        <v>0</v>
      </c>
      <c r="H585" s="2" t="n"/>
      <c r="K585" s="2" t="n">
        <v>1372</v>
      </c>
      <c r="M585" s="3" t="n"/>
      <c r="N585" s="8" t="n">
        <v>1372</v>
      </c>
      <c r="O585" s="8" t="n">
        <v>0</v>
      </c>
      <c r="R585" s="6" t="n">
        <v>1372</v>
      </c>
      <c r="S585" t="inlineStr">
        <is>
          <t>25/26 actual</t>
        </is>
      </c>
      <c r="U585" s="6" t="n">
        <v>76.59999999999999</v>
      </c>
      <c r="V585" s="2" t="n">
        <v>15</v>
      </c>
      <c r="W585" s="7">
        <f>IF(N(U585)&lt;=0,0,MIN(Assumptions!$B$15,N(R585)/N(U585)))</f>
        <v/>
      </c>
      <c r="X585" s="6" t="n"/>
      <c r="Y585" s="3" t="n">
        <v>0.2373</v>
      </c>
      <c r="Z585" t="inlineStr">
        <is>
          <t>adjusted xGOT</t>
        </is>
      </c>
      <c r="AA585" s="3" t="n">
        <v>1</v>
      </c>
      <c r="AB585" s="3" t="n">
        <v>1.123</v>
      </c>
      <c r="AC585" s="3" t="n">
        <v>7.6</v>
      </c>
      <c r="AD585" s="3" t="n">
        <v>0.0752</v>
      </c>
      <c r="AE585" s="3" t="n">
        <v>5.334</v>
      </c>
      <c r="AF585" s="3" t="n">
        <v>0</v>
      </c>
      <c r="AG585" s="3" t="n">
        <v>1.147</v>
      </c>
      <c r="AH585" s="3" t="n">
        <v>0</v>
      </c>
      <c r="AI585" s="3" t="n">
        <v>40</v>
      </c>
      <c r="AJ585" s="3" t="n"/>
      <c r="AK585" s="3" t="n"/>
      <c r="AL585" s="3" t="n"/>
      <c r="AM585" s="6" t="n">
        <v>0</v>
      </c>
      <c r="AN585" s="3" t="n">
        <v>0</v>
      </c>
      <c r="AO585" s="3" t="n">
        <v>0</v>
      </c>
      <c r="AP585" s="3" t="n">
        <v>0</v>
      </c>
      <c r="AQ585" s="3">
        <f>N(X585)*N(BJ585)</f>
        <v/>
      </c>
      <c r="AR585" s="3" t="n">
        <v>0</v>
      </c>
      <c r="AS585" s="3" t="n">
        <v>0</v>
      </c>
      <c r="AT585" s="3" t="n">
        <v>0</v>
      </c>
      <c r="AU585" s="3">
        <f>SUM(AO585:AT585)</f>
        <v/>
      </c>
      <c r="AV585" s="7">
        <f>IF(OR(N(W585)&lt;=0,N(BH585)=0),0,N(W585)*IF(N(R585)/N(W585)&gt;=60,N(BH585),1))</f>
        <v/>
      </c>
      <c r="AW585" s="7">
        <f>N(W585)*N(AF585)*N(BI585)</f>
        <v/>
      </c>
      <c r="AX585" s="3">
        <f>IF(N(BH585)=0,0,N(W585)*N(AH585))</f>
        <v/>
      </c>
      <c r="AY585" s="7">
        <f>N(AM585)*(Assumptions!$B$13*N(BK585)-(1-Assumptions!$B$13)*Assumptions!$B$14)+N(AN585)</f>
        <v/>
      </c>
      <c r="AZ585" s="7">
        <f>N(AU585)*N(R585)/90+N(AV585)+N(AW585)+N(AX585)+N(AY585)</f>
        <v/>
      </c>
      <c r="BA585" s="3">
        <f>IF(N(R585)&lt;=0,0,(N(AZ585)-N(AY585))*90/N(R585))</f>
        <v/>
      </c>
      <c r="BB585" s="7">
        <f>IFERROR(AZ585-VLOOKUP($E585,Assumptions!$A$40:$C$43,3,FALSE),"")</f>
        <v/>
      </c>
      <c r="BC585" s="3">
        <f>IFERROR(BB585/H585,"")</f>
        <v/>
      </c>
      <c r="BD585">
        <f>IF(AND($G585=TRUE,$E585="GKP"),AZ585,"")</f>
        <v/>
      </c>
      <c r="BE585">
        <f>IF(AND($G585=TRUE,$E585="DEF"),AZ585,"")</f>
        <v/>
      </c>
      <c r="BF585">
        <f>IF(AND($G585=TRUE,$E585="MID"),AZ585,"")</f>
        <v/>
      </c>
      <c r="BG585">
        <f>IF(AND($G585=TRUE,$E585="FWD"),AZ585,"")</f>
        <v/>
      </c>
      <c r="BH585" t="n">
        <v>0</v>
      </c>
      <c r="BI585" t="n">
        <v>0</v>
      </c>
      <c r="BJ585" t="n">
        <v>0</v>
      </c>
      <c r="BK585" t="n">
        <v>0</v>
      </c>
    </row>
    <row r="586">
      <c r="A586" t="inlineStr">
        <is>
          <t>Liam Kitching</t>
        </is>
      </c>
      <c r="B586" t="inlineStr">
        <is>
          <t>COV</t>
        </is>
      </c>
      <c r="D586" t="b">
        <v>0</v>
      </c>
      <c r="E586" t="inlineStr">
        <is>
          <t>DEF</t>
        </is>
      </c>
      <c r="G586" t="b">
        <v>1</v>
      </c>
      <c r="H586" s="2" t="n">
        <v>4</v>
      </c>
      <c r="I586" t="inlineStr">
        <is>
          <t>a</t>
        </is>
      </c>
      <c r="K586" s="2" t="n"/>
      <c r="M586" s="3" t="n">
        <v>847</v>
      </c>
      <c r="N586" s="8" t="n">
        <v>847</v>
      </c>
      <c r="O586" s="8" t="n">
        <v>0</v>
      </c>
      <c r="Q586" t="inlineStr">
        <is>
          <t>flat</t>
        </is>
      </c>
      <c r="R586" s="6" t="n">
        <v>847</v>
      </c>
      <c r="S586" t="inlineStr">
        <is>
          <t>Solio</t>
        </is>
      </c>
      <c r="U586" s="6" t="n">
        <v>85</v>
      </c>
      <c r="V586" s="2" t="n"/>
      <c r="W586" s="7">
        <f>IF(N(U586)&lt;=0,0,MIN(Assumptions!$B$15,N(R586)/N(U586)))</f>
        <v/>
      </c>
      <c r="X586" s="6" t="n">
        <v>0.17</v>
      </c>
      <c r="Y586" s="3" t="n"/>
      <c r="Z586" t="inlineStr"/>
      <c r="AA586" s="3" t="n">
        <v>1</v>
      </c>
      <c r="AB586" s="3" t="n"/>
      <c r="AC586" s="3" t="n"/>
      <c r="AD586" s="3" t="n"/>
      <c r="AE586" s="3" t="n"/>
      <c r="AF586" s="3" t="n">
        <v>0</v>
      </c>
      <c r="AG586" s="3" t="n"/>
      <c r="AH586" s="3" t="n">
        <v>0</v>
      </c>
      <c r="AI586" s="3" t="n"/>
      <c r="AJ586" s="3" t="n">
        <v>3.6194</v>
      </c>
      <c r="AK586" s="3" t="n">
        <v>1.8271</v>
      </c>
      <c r="AL586" s="3" t="n">
        <v>-0.2045226422080557</v>
      </c>
      <c r="AM586" s="6" t="n">
        <v>0</v>
      </c>
      <c r="AN586" s="3" t="n">
        <v>0</v>
      </c>
      <c r="AO586" s="3" t="n">
        <v>0</v>
      </c>
      <c r="AP586" s="3" t="n">
        <v>0</v>
      </c>
      <c r="AQ586" s="3">
        <f>N(X586)*N(BJ586)</f>
        <v/>
      </c>
      <c r="AR586" s="3" t="n">
        <v>0</v>
      </c>
      <c r="AS586" s="3" t="n">
        <v>-0.670020548738316</v>
      </c>
      <c r="AT586" s="3" t="n">
        <v>-0.2045226422080557</v>
      </c>
      <c r="AU586" s="3">
        <f>SUM(AO586:AT586)</f>
        <v/>
      </c>
      <c r="AV586" s="7">
        <f>IF(OR(N(W586)&lt;=0,N(BH586)=0),0,N(W586)*IF(N(R586)/N(W586)&gt;=60,N(BH586),1))</f>
        <v/>
      </c>
      <c r="AW586" s="7">
        <f>N(W586)*N(AF586)*N(BI586)</f>
        <v/>
      </c>
      <c r="AX586" s="3">
        <f>IF(N(BH586)=0,0,N(W586)*N(AH586))</f>
        <v/>
      </c>
      <c r="AY586" s="7">
        <f>N(AM586)*(Assumptions!$B$13*N(BK586)-(1-Assumptions!$B$13)*Assumptions!$B$14)+N(AN586)</f>
        <v/>
      </c>
      <c r="AZ586" s="7">
        <f>N(AU586)*N(R586)/90+N(AV586)+N(AW586)+N(AX586)+N(AY586)</f>
        <v/>
      </c>
      <c r="BA586" s="3">
        <f>IF(N(R586)&lt;=0,0,(N(AZ586)-N(AY586))*90/N(R586))</f>
        <v/>
      </c>
      <c r="BB586" s="7">
        <f>IFERROR(AZ586-VLOOKUP($E586,Assumptions!$A$40:$C$43,3,FALSE),"")</f>
        <v/>
      </c>
      <c r="BC586" s="3">
        <f>IFERROR(BB586/H586,"")</f>
        <v/>
      </c>
      <c r="BD586">
        <f>IF(AND($G586=TRUE,$E586="GKP"),AZ586,"")</f>
        <v/>
      </c>
      <c r="BE586">
        <f>IF(AND($G586=TRUE,$E586="DEF"),AZ586,"")</f>
        <v/>
      </c>
      <c r="BF586">
        <f>IF(AND($G586=TRUE,$E586="MID"),AZ586,"")</f>
        <v/>
      </c>
      <c r="BG586">
        <f>IF(AND($G586=TRUE,$E586="FWD"),AZ586,"")</f>
        <v/>
      </c>
      <c r="BH586" t="n">
        <v>2</v>
      </c>
      <c r="BI586" t="n">
        <v>2</v>
      </c>
      <c r="BJ586" t="n">
        <v>4</v>
      </c>
      <c r="BK586" t="n">
        <v>6</v>
      </c>
    </row>
    <row r="587">
      <c r="A587" t="inlineStr">
        <is>
          <t>Mike Trésor</t>
        </is>
      </c>
      <c r="C587" t="inlineStr">
        <is>
          <t>BUR</t>
        </is>
      </c>
      <c r="D587" t="b">
        <v>0</v>
      </c>
      <c r="F587" t="inlineStr">
        <is>
          <t>MID</t>
        </is>
      </c>
      <c r="G587" t="b">
        <v>0</v>
      </c>
      <c r="H587" s="2" t="n"/>
      <c r="K587" s="2" t="n">
        <v>37</v>
      </c>
      <c r="M587" s="3" t="n"/>
      <c r="N587" s="8" t="n">
        <v>37</v>
      </c>
      <c r="O587" s="8" t="n">
        <v>0</v>
      </c>
      <c r="R587" s="6" t="n">
        <v>37</v>
      </c>
      <c r="S587" t="inlineStr">
        <is>
          <t>25/26 actual</t>
        </is>
      </c>
      <c r="U587" s="6" t="n">
        <v>80.09999999999999</v>
      </c>
      <c r="V587" s="2" t="n">
        <v>0</v>
      </c>
      <c r="W587" s="7">
        <f>IF(N(U587)&lt;=0,0,MIN(Assumptions!$B$15,N(R587)/N(U587)))</f>
        <v/>
      </c>
      <c r="X587" s="6" t="n"/>
      <c r="Y587" s="3" t="n">
        <v>0</v>
      </c>
      <c r="Z587" t="inlineStr">
        <is>
          <t>adjusted xGOT</t>
        </is>
      </c>
      <c r="AA587" s="3" t="n">
        <v>1</v>
      </c>
      <c r="AB587" s="3" t="n">
        <v>0.956</v>
      </c>
      <c r="AC587" s="3" t="n">
        <v>0.4</v>
      </c>
      <c r="AD587" s="3" t="n">
        <v>0</v>
      </c>
      <c r="AE587" s="3" t="n">
        <v>8.752000000000001</v>
      </c>
      <c r="AF587" s="3" t="n">
        <v>0</v>
      </c>
      <c r="AG587" s="3" t="n">
        <v>7.035</v>
      </c>
      <c r="AH587" s="3" t="n">
        <v>0</v>
      </c>
      <c r="AI587" s="3" t="n">
        <v>6</v>
      </c>
      <c r="AJ587" s="3" t="n"/>
      <c r="AK587" s="3" t="n"/>
      <c r="AL587" s="3" t="n"/>
      <c r="AM587" s="6" t="n">
        <v>0</v>
      </c>
      <c r="AN587" s="3" t="n">
        <v>0</v>
      </c>
      <c r="AO587" s="3" t="n">
        <v>0</v>
      </c>
      <c r="AP587" s="3" t="n">
        <v>0</v>
      </c>
      <c r="AQ587" s="3">
        <f>N(X587)*N(BJ587)</f>
        <v/>
      </c>
      <c r="AR587" s="3" t="n">
        <v>0</v>
      </c>
      <c r="AS587" s="3" t="n">
        <v>0</v>
      </c>
      <c r="AT587" s="3" t="n">
        <v>0</v>
      </c>
      <c r="AU587" s="3">
        <f>SUM(AO587:AT587)</f>
        <v/>
      </c>
      <c r="AV587" s="7">
        <f>IF(OR(N(W587)&lt;=0,N(BH587)=0),0,N(W587)*IF(N(R587)/N(W587)&gt;=60,N(BH587),1))</f>
        <v/>
      </c>
      <c r="AW587" s="7">
        <f>N(W587)*N(AF587)*N(BI587)</f>
        <v/>
      </c>
      <c r="AX587" s="3">
        <f>IF(N(BH587)=0,0,N(W587)*N(AH587))</f>
        <v/>
      </c>
      <c r="AY587" s="7">
        <f>N(AM587)*(Assumptions!$B$13*N(BK587)-(1-Assumptions!$B$13)*Assumptions!$B$14)+N(AN587)</f>
        <v/>
      </c>
      <c r="AZ587" s="7">
        <f>N(AU587)*N(R587)/90+N(AV587)+N(AW587)+N(AX587)+N(AY587)</f>
        <v/>
      </c>
      <c r="BA587" s="3">
        <f>IF(N(R587)&lt;=0,0,(N(AZ587)-N(AY587))*90/N(R587))</f>
        <v/>
      </c>
      <c r="BB587" s="7">
        <f>IFERROR(AZ587-VLOOKUP($E587,Assumptions!$A$40:$C$43,3,FALSE),"")</f>
        <v/>
      </c>
      <c r="BC587" s="3">
        <f>IFERROR(BB587/H587,"")</f>
        <v/>
      </c>
      <c r="BD587">
        <f>IF(AND($G587=TRUE,$E587="GKP"),AZ587,"")</f>
        <v/>
      </c>
      <c r="BE587">
        <f>IF(AND($G587=TRUE,$E587="DEF"),AZ587,"")</f>
        <v/>
      </c>
      <c r="BF587">
        <f>IF(AND($G587=TRUE,$E587="MID"),AZ587,"")</f>
        <v/>
      </c>
      <c r="BG587">
        <f>IF(AND($G587=TRUE,$E587="FWD"),AZ587,"")</f>
        <v/>
      </c>
      <c r="BH587" t="n">
        <v>0</v>
      </c>
      <c r="BI587" t="n">
        <v>0</v>
      </c>
      <c r="BJ587" t="n">
        <v>0</v>
      </c>
      <c r="BK587" t="n">
        <v>0</v>
      </c>
    </row>
    <row r="588">
      <c r="A588" t="inlineStr">
        <is>
          <t>Christos Tzolis</t>
        </is>
      </c>
      <c r="B588" t="inlineStr">
        <is>
          <t>ARS</t>
        </is>
      </c>
      <c r="D588" t="b">
        <v>0</v>
      </c>
      <c r="E588" t="inlineStr">
        <is>
          <t>MID</t>
        </is>
      </c>
      <c r="G588" t="b">
        <v>1</v>
      </c>
      <c r="H588" s="2" t="n">
        <v>6.5</v>
      </c>
      <c r="I588" t="inlineStr">
        <is>
          <t>a</t>
        </is>
      </c>
      <c r="K588" s="2" t="n"/>
      <c r="M588" s="3" t="n">
        <v>2155</v>
      </c>
      <c r="N588" s="8" t="n">
        <v>2155</v>
      </c>
      <c r="O588" s="8" t="n">
        <v>0</v>
      </c>
      <c r="Q588" t="inlineStr">
        <is>
          <t>flat</t>
        </is>
      </c>
      <c r="R588" s="6" t="n">
        <v>2155</v>
      </c>
      <c r="S588" t="inlineStr">
        <is>
          <t>Solio</t>
        </is>
      </c>
      <c r="U588" s="6" t="n">
        <v>85</v>
      </c>
      <c r="V588" s="2" t="n"/>
      <c r="W588" s="7">
        <f>IF(N(U588)&lt;=0,0,MIN(Assumptions!$B$15,N(R588)/N(U588)))</f>
        <v/>
      </c>
      <c r="X588" s="6" t="n">
        <v>0.391</v>
      </c>
      <c r="Y588" s="3" t="n"/>
      <c r="Z588" t="inlineStr"/>
      <c r="AA588" s="3" t="n">
        <v>1</v>
      </c>
      <c r="AB588" s="3" t="n"/>
      <c r="AC588" s="3" t="n"/>
      <c r="AD588" s="3" t="n"/>
      <c r="AE588" s="3" t="n"/>
      <c r="AF588" s="3" t="n">
        <v>0</v>
      </c>
      <c r="AG588" s="3" t="n"/>
      <c r="AH588" s="3" t="n">
        <v>0</v>
      </c>
      <c r="AI588" s="3" t="n"/>
      <c r="AJ588" s="3" t="n">
        <v>2.067</v>
      </c>
      <c r="AK588" s="3" t="n">
        <v>0.9838</v>
      </c>
      <c r="AL588" s="3" t="n">
        <v>-0.2160434166173144</v>
      </c>
      <c r="AM588" s="6" t="n">
        <v>0</v>
      </c>
      <c r="AN588" s="3" t="n">
        <v>0</v>
      </c>
      <c r="AO588" s="3" t="n">
        <v>0</v>
      </c>
      <c r="AP588" s="3" t="n">
        <v>0</v>
      </c>
      <c r="AQ588" s="3">
        <f>N(X588)*N(BJ588)</f>
        <v/>
      </c>
      <c r="AR588" s="3" t="n">
        <v>0</v>
      </c>
      <c r="AS588" s="3" t="n">
        <v>-0</v>
      </c>
      <c r="AT588" s="3" t="n">
        <v>-0.2160434166173144</v>
      </c>
      <c r="AU588" s="3">
        <f>SUM(AO588:AT588)</f>
        <v/>
      </c>
      <c r="AV588" s="7">
        <f>IF(OR(N(W588)&lt;=0,N(BH588)=0),0,N(W588)*IF(N(R588)/N(W588)&gt;=60,N(BH588),1))</f>
        <v/>
      </c>
      <c r="AW588" s="7">
        <f>N(W588)*N(AF588)*N(BI588)</f>
        <v/>
      </c>
      <c r="AX588" s="3">
        <f>IF(N(BH588)=0,0,N(W588)*N(AH588))</f>
        <v/>
      </c>
      <c r="AY588" s="7">
        <f>N(AM588)*(Assumptions!$B$13*N(BK588)-(1-Assumptions!$B$13)*Assumptions!$B$14)+N(AN588)</f>
        <v/>
      </c>
      <c r="AZ588" s="7">
        <f>N(AU588)*N(R588)/90+N(AV588)+N(AW588)+N(AX588)+N(AY588)</f>
        <v/>
      </c>
      <c r="BA588" s="3">
        <f>IF(N(R588)&lt;=0,0,(N(AZ588)-N(AY588))*90/N(R588))</f>
        <v/>
      </c>
      <c r="BB588" s="7">
        <f>IFERROR(AZ588-VLOOKUP($E588,Assumptions!$A$40:$C$43,3,FALSE),"")</f>
        <v/>
      </c>
      <c r="BC588" s="3">
        <f>IFERROR(BB588/H588,"")</f>
        <v/>
      </c>
      <c r="BD588">
        <f>IF(AND($G588=TRUE,$E588="GKP"),AZ588,"")</f>
        <v/>
      </c>
      <c r="BE588">
        <f>IF(AND($G588=TRUE,$E588="DEF"),AZ588,"")</f>
        <v/>
      </c>
      <c r="BF588">
        <f>IF(AND($G588=TRUE,$E588="MID"),AZ588,"")</f>
        <v/>
      </c>
      <c r="BG588">
        <f>IF(AND($G588=TRUE,$E588="FWD"),AZ588,"")</f>
        <v/>
      </c>
      <c r="BH588" t="n">
        <v>2</v>
      </c>
      <c r="BI588" t="n">
        <v>2</v>
      </c>
      <c r="BJ588" t="n">
        <v>1</v>
      </c>
      <c r="BK588" t="n">
        <v>5</v>
      </c>
    </row>
    <row r="589">
      <c r="A589" t="inlineStr">
        <is>
          <t>Josh Eccles</t>
        </is>
      </c>
      <c r="B589" t="inlineStr">
        <is>
          <t>COV</t>
        </is>
      </c>
      <c r="D589" t="b">
        <v>0</v>
      </c>
      <c r="E589" t="inlineStr">
        <is>
          <t>MID</t>
        </is>
      </c>
      <c r="G589" t="b">
        <v>1</v>
      </c>
      <c r="H589" s="2" t="n">
        <v>5</v>
      </c>
      <c r="I589" t="inlineStr">
        <is>
          <t>a</t>
        </is>
      </c>
      <c r="K589" s="2" t="n"/>
      <c r="M589" s="3" t="n">
        <v>192</v>
      </c>
      <c r="N589" s="8" t="n">
        <v>192</v>
      </c>
      <c r="O589" s="8" t="n">
        <v>0</v>
      </c>
      <c r="Q589" t="inlineStr">
        <is>
          <t>flat</t>
        </is>
      </c>
      <c r="R589" s="6" t="n">
        <v>192</v>
      </c>
      <c r="S589" t="inlineStr">
        <is>
          <t>Solio</t>
        </is>
      </c>
      <c r="U589" s="6" t="n">
        <v>85</v>
      </c>
      <c r="V589" s="2" t="n"/>
      <c r="W589" s="7">
        <f>IF(N(U589)&lt;=0,0,MIN(Assumptions!$B$15,N(R589)/N(U589)))</f>
        <v/>
      </c>
      <c r="X589" s="6" t="n">
        <v>0.17</v>
      </c>
      <c r="Y589" s="3" t="n"/>
      <c r="Z589" t="inlineStr"/>
      <c r="AA589" s="3" t="n">
        <v>1</v>
      </c>
      <c r="AB589" s="3" t="n"/>
      <c r="AC589" s="3" t="n"/>
      <c r="AD589" s="3" t="n"/>
      <c r="AE589" s="3" t="n"/>
      <c r="AF589" s="3" t="n">
        <v>0</v>
      </c>
      <c r="AG589" s="3" t="n"/>
      <c r="AH589" s="3" t="n">
        <v>0</v>
      </c>
      <c r="AI589" s="3" t="n"/>
      <c r="AJ589" s="3" t="n">
        <v>3.6194</v>
      </c>
      <c r="AK589" s="3" t="n">
        <v>1.8271</v>
      </c>
      <c r="AL589" s="3" t="n">
        <v>-0.2160434166173144</v>
      </c>
      <c r="AM589" s="6" t="n">
        <v>0</v>
      </c>
      <c r="AN589" s="3" t="n">
        <v>0</v>
      </c>
      <c r="AO589" s="3" t="n">
        <v>0</v>
      </c>
      <c r="AP589" s="3" t="n">
        <v>0</v>
      </c>
      <c r="AQ589" s="3">
        <f>N(X589)*N(BJ589)</f>
        <v/>
      </c>
      <c r="AR589" s="3" t="n">
        <v>0</v>
      </c>
      <c r="AS589" s="3" t="n">
        <v>-0</v>
      </c>
      <c r="AT589" s="3" t="n">
        <v>-0.2160434166173144</v>
      </c>
      <c r="AU589" s="3">
        <f>SUM(AO589:AT589)</f>
        <v/>
      </c>
      <c r="AV589" s="7">
        <f>IF(OR(N(W589)&lt;=0,N(BH589)=0),0,N(W589)*IF(N(R589)/N(W589)&gt;=60,N(BH589),1))</f>
        <v/>
      </c>
      <c r="AW589" s="7">
        <f>N(W589)*N(AF589)*N(BI589)</f>
        <v/>
      </c>
      <c r="AX589" s="3">
        <f>IF(N(BH589)=0,0,N(W589)*N(AH589))</f>
        <v/>
      </c>
      <c r="AY589" s="7">
        <f>N(AM589)*(Assumptions!$B$13*N(BK589)-(1-Assumptions!$B$13)*Assumptions!$B$14)+N(AN589)</f>
        <v/>
      </c>
      <c r="AZ589" s="7">
        <f>N(AU589)*N(R589)/90+N(AV589)+N(AW589)+N(AX589)+N(AY589)</f>
        <v/>
      </c>
      <c r="BA589" s="3">
        <f>IF(N(R589)&lt;=0,0,(N(AZ589)-N(AY589))*90/N(R589))</f>
        <v/>
      </c>
      <c r="BB589" s="7">
        <f>IFERROR(AZ589-VLOOKUP($E589,Assumptions!$A$40:$C$43,3,FALSE),"")</f>
        <v/>
      </c>
      <c r="BC589" s="3">
        <f>IFERROR(BB589/H589,"")</f>
        <v/>
      </c>
      <c r="BD589">
        <f>IF(AND($G589=TRUE,$E589="GKP"),AZ589,"")</f>
        <v/>
      </c>
      <c r="BE589">
        <f>IF(AND($G589=TRUE,$E589="DEF"),AZ589,"")</f>
        <v/>
      </c>
      <c r="BF589">
        <f>IF(AND($G589=TRUE,$E589="MID"),AZ589,"")</f>
        <v/>
      </c>
      <c r="BG589">
        <f>IF(AND($G589=TRUE,$E589="FWD"),AZ589,"")</f>
        <v/>
      </c>
      <c r="BH589" t="n">
        <v>2</v>
      </c>
      <c r="BI589" t="n">
        <v>2</v>
      </c>
      <c r="BJ589" t="n">
        <v>1</v>
      </c>
      <c r="BK589" t="n">
        <v>5</v>
      </c>
    </row>
    <row r="590">
      <c r="A590" t="inlineStr">
        <is>
          <t>Armando Broja</t>
        </is>
      </c>
      <c r="C590" t="inlineStr">
        <is>
          <t>BUR</t>
        </is>
      </c>
      <c r="D590" t="b">
        <v>0</v>
      </c>
      <c r="F590" t="inlineStr">
        <is>
          <t>FWD</t>
        </is>
      </c>
      <c r="G590" t="b">
        <v>0</v>
      </c>
      <c r="H590" s="2" t="n"/>
      <c r="K590" s="2" t="n">
        <v>849</v>
      </c>
      <c r="M590" s="3" t="n"/>
      <c r="N590" s="8" t="n">
        <v>849</v>
      </c>
      <c r="O590" s="8" t="n">
        <v>0</v>
      </c>
      <c r="R590" s="6" t="n">
        <v>849</v>
      </c>
      <c r="S590" t="inlineStr">
        <is>
          <t>25/26 actual</t>
        </is>
      </c>
      <c r="U590" s="6" t="n">
        <v>78.7</v>
      </c>
      <c r="V590" s="2" t="n">
        <v>8</v>
      </c>
      <c r="W590" s="7">
        <f>IF(N(U590)&lt;=0,0,MIN(Assumptions!$B$15,N(R590)/N(U590)))</f>
        <v/>
      </c>
      <c r="X590" s="6" t="n"/>
      <c r="Y590" s="3" t="n">
        <v>0.228</v>
      </c>
      <c r="Z590" t="inlineStr">
        <is>
          <t>adjusted xGOT</t>
        </is>
      </c>
      <c r="AA590" s="3" t="n">
        <v>1</v>
      </c>
      <c r="AB590" s="3" t="n">
        <v>1.005</v>
      </c>
      <c r="AC590" s="3" t="n">
        <v>5.3</v>
      </c>
      <c r="AD590" s="3" t="n">
        <v>0.0646</v>
      </c>
      <c r="AE590" s="3" t="n">
        <v>4.741</v>
      </c>
      <c r="AF590" s="3" t="n">
        <v>0</v>
      </c>
      <c r="AG590" s="3" t="n">
        <v>0.8159999999999999</v>
      </c>
      <c r="AH590" s="3" t="n">
        <v>0</v>
      </c>
      <c r="AI590" s="3" t="n">
        <v>32</v>
      </c>
      <c r="AJ590" s="3" t="n"/>
      <c r="AK590" s="3" t="n"/>
      <c r="AL590" s="3" t="n"/>
      <c r="AM590" s="6" t="n">
        <v>0</v>
      </c>
      <c r="AN590" s="3" t="n">
        <v>0</v>
      </c>
      <c r="AO590" s="3" t="n">
        <v>0</v>
      </c>
      <c r="AP590" s="3" t="n">
        <v>0</v>
      </c>
      <c r="AQ590" s="3">
        <f>N(X590)*N(BJ590)</f>
        <v/>
      </c>
      <c r="AR590" s="3" t="n">
        <v>0</v>
      </c>
      <c r="AS590" s="3" t="n">
        <v>0</v>
      </c>
      <c r="AT590" s="3" t="n">
        <v>0</v>
      </c>
      <c r="AU590" s="3">
        <f>SUM(AO590:AT590)</f>
        <v/>
      </c>
      <c r="AV590" s="7">
        <f>IF(OR(N(W590)&lt;=0,N(BH590)=0),0,N(W590)*IF(N(R590)/N(W590)&gt;=60,N(BH590),1))</f>
        <v/>
      </c>
      <c r="AW590" s="7">
        <f>N(W590)*N(AF590)*N(BI590)</f>
        <v/>
      </c>
      <c r="AX590" s="3">
        <f>IF(N(BH590)=0,0,N(W590)*N(AH590))</f>
        <v/>
      </c>
      <c r="AY590" s="7">
        <f>N(AM590)*(Assumptions!$B$13*N(BK590)-(1-Assumptions!$B$13)*Assumptions!$B$14)+N(AN590)</f>
        <v/>
      </c>
      <c r="AZ590" s="7">
        <f>N(AU590)*N(R590)/90+N(AV590)+N(AW590)+N(AX590)+N(AY590)</f>
        <v/>
      </c>
      <c r="BA590" s="3">
        <f>IF(N(R590)&lt;=0,0,(N(AZ590)-N(AY590))*90/N(R590))</f>
        <v/>
      </c>
      <c r="BB590" s="7">
        <f>IFERROR(AZ590-VLOOKUP($E590,Assumptions!$A$40:$C$43,3,FALSE),"")</f>
        <v/>
      </c>
      <c r="BC590" s="3">
        <f>IFERROR(BB590/H590,"")</f>
        <v/>
      </c>
      <c r="BD590">
        <f>IF(AND($G590=TRUE,$E590="GKP"),AZ590,"")</f>
        <v/>
      </c>
      <c r="BE590">
        <f>IF(AND($G590=TRUE,$E590="DEF"),AZ590,"")</f>
        <v/>
      </c>
      <c r="BF590">
        <f>IF(AND($G590=TRUE,$E590="MID"),AZ590,"")</f>
        <v/>
      </c>
      <c r="BG590">
        <f>IF(AND($G590=TRUE,$E590="FWD"),AZ590,"")</f>
        <v/>
      </c>
      <c r="BH590" t="n">
        <v>0</v>
      </c>
      <c r="BI590" t="n">
        <v>0</v>
      </c>
      <c r="BJ590" t="n">
        <v>0</v>
      </c>
      <c r="BK590" t="n">
        <v>0</v>
      </c>
    </row>
    <row r="591">
      <c r="A591" t="inlineStr">
        <is>
          <t>Ki-Jana Hoever</t>
        </is>
      </c>
      <c r="C591" t="inlineStr">
        <is>
          <t>WOL</t>
        </is>
      </c>
      <c r="D591" t="b">
        <v>0</v>
      </c>
      <c r="F591" t="inlineStr">
        <is>
          <t>DEF</t>
        </is>
      </c>
      <c r="G591" t="b">
        <v>0</v>
      </c>
      <c r="H591" s="2" t="n"/>
      <c r="K591" s="2" t="n">
        <v>428</v>
      </c>
      <c r="M591" s="3" t="n"/>
      <c r="N591" s="8" t="n">
        <v>428</v>
      </c>
      <c r="O591" s="8" t="n">
        <v>0</v>
      </c>
      <c r="R591" s="6" t="n">
        <v>428</v>
      </c>
      <c r="S591" t="inlineStr">
        <is>
          <t>25/26 actual</t>
        </is>
      </c>
      <c r="U591" s="6" t="n">
        <v>77.90000000000001</v>
      </c>
      <c r="V591" s="2" t="n">
        <v>6</v>
      </c>
      <c r="W591" s="7">
        <f>IF(N(U591)&lt;=0,0,MIN(Assumptions!$B$15,N(R591)/N(U591)))</f>
        <v/>
      </c>
      <c r="X591" s="6" t="n"/>
      <c r="Y591" s="3" t="n">
        <v>0.0042</v>
      </c>
      <c r="Z591" t="inlineStr">
        <is>
          <t>adjusted xGOT</t>
        </is>
      </c>
      <c r="AA591" s="3" t="n">
        <v>1</v>
      </c>
      <c r="AB591" s="3" t="n">
        <v>0.998</v>
      </c>
      <c r="AC591" s="3" t="n">
        <v>0</v>
      </c>
      <c r="AD591" s="3" t="n">
        <v>0.0712</v>
      </c>
      <c r="AE591" s="3" t="n">
        <v>7.991</v>
      </c>
      <c r="AF591" s="3" t="n">
        <v>0</v>
      </c>
      <c r="AG591" s="3" t="n">
        <v>9.06</v>
      </c>
      <c r="AH591" s="3" t="n">
        <v>0</v>
      </c>
      <c r="AI591" s="3" t="n">
        <v>12</v>
      </c>
      <c r="AJ591" s="3" t="n"/>
      <c r="AK591" s="3" t="n"/>
      <c r="AL591" s="3" t="n"/>
      <c r="AM591" s="6" t="n">
        <v>0</v>
      </c>
      <c r="AN591" s="3" t="n">
        <v>0</v>
      </c>
      <c r="AO591" s="3" t="n">
        <v>0</v>
      </c>
      <c r="AP591" s="3" t="n">
        <v>0</v>
      </c>
      <c r="AQ591" s="3">
        <f>N(X591)*N(BJ591)</f>
        <v/>
      </c>
      <c r="AR591" s="3" t="n">
        <v>0</v>
      </c>
      <c r="AS591" s="3" t="n">
        <v>0</v>
      </c>
      <c r="AT591" s="3" t="n">
        <v>0</v>
      </c>
      <c r="AU591" s="3">
        <f>SUM(AO591:AT591)</f>
        <v/>
      </c>
      <c r="AV591" s="7">
        <f>IF(OR(N(W591)&lt;=0,N(BH591)=0),0,N(W591)*IF(N(R591)/N(W591)&gt;=60,N(BH591),1))</f>
        <v/>
      </c>
      <c r="AW591" s="7">
        <f>N(W591)*N(AF591)*N(BI591)</f>
        <v/>
      </c>
      <c r="AX591" s="3">
        <f>IF(N(BH591)=0,0,N(W591)*N(AH591))</f>
        <v/>
      </c>
      <c r="AY591" s="7">
        <f>N(AM591)*(Assumptions!$B$13*N(BK591)-(1-Assumptions!$B$13)*Assumptions!$B$14)+N(AN591)</f>
        <v/>
      </c>
      <c r="AZ591" s="7">
        <f>N(AU591)*N(R591)/90+N(AV591)+N(AW591)+N(AX591)+N(AY591)</f>
        <v/>
      </c>
      <c r="BA591" s="3">
        <f>IF(N(R591)&lt;=0,0,(N(AZ591)-N(AY591))*90/N(R591))</f>
        <v/>
      </c>
      <c r="BB591" s="7">
        <f>IFERROR(AZ591-VLOOKUP($E591,Assumptions!$A$40:$C$43,3,FALSE),"")</f>
        <v/>
      </c>
      <c r="BC591" s="3">
        <f>IFERROR(BB591/H591,"")</f>
        <v/>
      </c>
      <c r="BD591">
        <f>IF(AND($G591=TRUE,$E591="GKP"),AZ591,"")</f>
        <v/>
      </c>
      <c r="BE591">
        <f>IF(AND($G591=TRUE,$E591="DEF"),AZ591,"")</f>
        <v/>
      </c>
      <c r="BF591">
        <f>IF(AND($G591=TRUE,$E591="MID"),AZ591,"")</f>
        <v/>
      </c>
      <c r="BG591">
        <f>IF(AND($G591=TRUE,$E591="FWD"),AZ591,"")</f>
        <v/>
      </c>
      <c r="BH591" t="n">
        <v>0</v>
      </c>
      <c r="BI591" t="n">
        <v>0</v>
      </c>
      <c r="BJ591" t="n">
        <v>0</v>
      </c>
      <c r="BK591" t="n">
        <v>0</v>
      </c>
    </row>
    <row r="592">
      <c r="A592" t="inlineStr">
        <is>
          <t>Daizen Maeda</t>
        </is>
      </c>
      <c r="B592" t="inlineStr">
        <is>
          <t>IPS</t>
        </is>
      </c>
      <c r="D592" t="b">
        <v>0</v>
      </c>
      <c r="E592" t="inlineStr">
        <is>
          <t>MID</t>
        </is>
      </c>
      <c r="G592" t="b">
        <v>1</v>
      </c>
      <c r="H592" s="2" t="n">
        <v>5.5</v>
      </c>
      <c r="I592" t="inlineStr">
        <is>
          <t>a</t>
        </is>
      </c>
      <c r="K592" s="2" t="n"/>
      <c r="M592" s="3" t="n">
        <v>2502</v>
      </c>
      <c r="N592" s="8" t="n">
        <v>2502</v>
      </c>
      <c r="O592" s="8" t="n">
        <v>0</v>
      </c>
      <c r="Q592" t="inlineStr">
        <is>
          <t>flat</t>
        </is>
      </c>
      <c r="R592" s="6" t="n">
        <v>2502</v>
      </c>
      <c r="S592" t="inlineStr">
        <is>
          <t>Solio</t>
        </is>
      </c>
      <c r="U592" s="6" t="n">
        <v>85</v>
      </c>
      <c r="V592" s="2" t="n"/>
      <c r="W592" s="7">
        <f>IF(N(U592)&lt;=0,0,MIN(Assumptions!$B$15,N(R592)/N(U592)))</f>
        <v/>
      </c>
      <c r="X592" s="6" t="n">
        <v>0.17</v>
      </c>
      <c r="Y592" s="3" t="n"/>
      <c r="Z592" t="inlineStr"/>
      <c r="AA592" s="3" t="n">
        <v>1</v>
      </c>
      <c r="AB592" s="3" t="n"/>
      <c r="AC592" s="3" t="n"/>
      <c r="AD592" s="3" t="n"/>
      <c r="AE592" s="3" t="n"/>
      <c r="AF592" s="3" t="n">
        <v>0</v>
      </c>
      <c r="AG592" s="3" t="n"/>
      <c r="AH592" s="3" t="n">
        <v>0</v>
      </c>
      <c r="AI592" s="3" t="n"/>
      <c r="AJ592" s="3" t="n">
        <v>3.5741</v>
      </c>
      <c r="AK592" s="3" t="n">
        <v>1.8319</v>
      </c>
      <c r="AL592" s="3" t="n">
        <v>-0.2160434166173144</v>
      </c>
      <c r="AM592" s="6" t="n">
        <v>0</v>
      </c>
      <c r="AN592" s="3" t="n">
        <v>0</v>
      </c>
      <c r="AO592" s="3" t="n">
        <v>0</v>
      </c>
      <c r="AP592" s="3" t="n">
        <v>0</v>
      </c>
      <c r="AQ592" s="3">
        <f>N(X592)*N(BJ592)</f>
        <v/>
      </c>
      <c r="AR592" s="3" t="n">
        <v>0</v>
      </c>
      <c r="AS592" s="3" t="n">
        <v>-0</v>
      </c>
      <c r="AT592" s="3" t="n">
        <v>-0.2160434166173144</v>
      </c>
      <c r="AU592" s="3">
        <f>SUM(AO592:AT592)</f>
        <v/>
      </c>
      <c r="AV592" s="7">
        <f>IF(OR(N(W592)&lt;=0,N(BH592)=0),0,N(W592)*IF(N(R592)/N(W592)&gt;=60,N(BH592),1))</f>
        <v/>
      </c>
      <c r="AW592" s="7">
        <f>N(W592)*N(AF592)*N(BI592)</f>
        <v/>
      </c>
      <c r="AX592" s="3">
        <f>IF(N(BH592)=0,0,N(W592)*N(AH592))</f>
        <v/>
      </c>
      <c r="AY592" s="7">
        <f>N(AM592)*(Assumptions!$B$13*N(BK592)-(1-Assumptions!$B$13)*Assumptions!$B$14)+N(AN592)</f>
        <v/>
      </c>
      <c r="AZ592" s="7">
        <f>N(AU592)*N(R592)/90+N(AV592)+N(AW592)+N(AX592)+N(AY592)</f>
        <v/>
      </c>
      <c r="BA592" s="3">
        <f>IF(N(R592)&lt;=0,0,(N(AZ592)-N(AY592))*90/N(R592))</f>
        <v/>
      </c>
      <c r="BB592" s="7">
        <f>IFERROR(AZ592-VLOOKUP($E592,Assumptions!$A$40:$C$43,3,FALSE),"")</f>
        <v/>
      </c>
      <c r="BC592" s="3">
        <f>IFERROR(BB592/H592,"")</f>
        <v/>
      </c>
      <c r="BD592">
        <f>IF(AND($G592=TRUE,$E592="GKP"),AZ592,"")</f>
        <v/>
      </c>
      <c r="BE592">
        <f>IF(AND($G592=TRUE,$E592="DEF"),AZ592,"")</f>
        <v/>
      </c>
      <c r="BF592">
        <f>IF(AND($G592=TRUE,$E592="MID"),AZ592,"")</f>
        <v/>
      </c>
      <c r="BG592">
        <f>IF(AND($G592=TRUE,$E592="FWD"),AZ592,"")</f>
        <v/>
      </c>
      <c r="BH592" t="n">
        <v>2</v>
      </c>
      <c r="BI592" t="n">
        <v>2</v>
      </c>
      <c r="BJ592" t="n">
        <v>1</v>
      </c>
      <c r="BK592" t="n">
        <v>5</v>
      </c>
    </row>
    <row r="593">
      <c r="A593" t="inlineStr">
        <is>
          <t>Jack Clarke</t>
        </is>
      </c>
      <c r="B593" t="inlineStr">
        <is>
          <t>IPS</t>
        </is>
      </c>
      <c r="D593" t="b">
        <v>0</v>
      </c>
      <c r="E593" t="inlineStr">
        <is>
          <t>MID</t>
        </is>
      </c>
      <c r="G593" t="b">
        <v>1</v>
      </c>
      <c r="H593" s="2" t="n">
        <v>5.5</v>
      </c>
      <c r="I593" t="inlineStr">
        <is>
          <t>a</t>
        </is>
      </c>
      <c r="K593" s="2" t="n"/>
      <c r="M593" s="3" t="n">
        <v>1060</v>
      </c>
      <c r="N593" s="8" t="n">
        <v>1060</v>
      </c>
      <c r="O593" s="8" t="n">
        <v>0</v>
      </c>
      <c r="Q593" t="inlineStr">
        <is>
          <t>flat</t>
        </is>
      </c>
      <c r="R593" s="6" t="n">
        <v>1060</v>
      </c>
      <c r="S593" t="inlineStr">
        <is>
          <t>Solio</t>
        </is>
      </c>
      <c r="U593" s="6" t="n">
        <v>85</v>
      </c>
      <c r="V593" s="2" t="n"/>
      <c r="W593" s="7">
        <f>IF(N(U593)&lt;=0,0,MIN(Assumptions!$B$15,N(R593)/N(U593)))</f>
        <v/>
      </c>
      <c r="X593" s="6" t="n">
        <v>0.17</v>
      </c>
      <c r="Y593" s="3" t="n"/>
      <c r="Z593" t="inlineStr"/>
      <c r="AA593" s="3" t="n">
        <v>1</v>
      </c>
      <c r="AB593" s="3" t="n"/>
      <c r="AC593" s="3" t="n"/>
      <c r="AD593" s="3" t="n"/>
      <c r="AE593" s="3" t="n"/>
      <c r="AF593" s="3" t="n">
        <v>0</v>
      </c>
      <c r="AG593" s="3" t="n"/>
      <c r="AH593" s="3" t="n">
        <v>0</v>
      </c>
      <c r="AI593" s="3" t="n"/>
      <c r="AJ593" s="3" t="n">
        <v>3.5741</v>
      </c>
      <c r="AK593" s="3" t="n">
        <v>1.8319</v>
      </c>
      <c r="AL593" s="3" t="n">
        <v>-0.2015773965073861</v>
      </c>
      <c r="AM593" s="6" t="n">
        <v>1.029420555023602</v>
      </c>
      <c r="AN593" s="3" t="n">
        <v>0</v>
      </c>
      <c r="AO593" s="3" t="n">
        <v>0</v>
      </c>
      <c r="AP593" s="3" t="n">
        <v>0</v>
      </c>
      <c r="AQ593" s="3">
        <f>N(X593)*N(BJ593)</f>
        <v/>
      </c>
      <c r="AR593" s="3" t="n">
        <v>0</v>
      </c>
      <c r="AS593" s="3" t="n">
        <v>-0</v>
      </c>
      <c r="AT593" s="3" t="n">
        <v>-0.2015773965073861</v>
      </c>
      <c r="AU593" s="3">
        <f>SUM(AO593:AT593)</f>
        <v/>
      </c>
      <c r="AV593" s="7">
        <f>IF(OR(N(W593)&lt;=0,N(BH593)=0),0,N(W593)*IF(N(R593)/N(W593)&gt;=60,N(BH593),1))</f>
        <v/>
      </c>
      <c r="AW593" s="7">
        <f>N(W593)*N(AF593)*N(BI593)</f>
        <v/>
      </c>
      <c r="AX593" s="3">
        <f>IF(N(BH593)=0,0,N(W593)*N(AH593))</f>
        <v/>
      </c>
      <c r="AY593" s="7">
        <f>N(AM593)*(Assumptions!$B$13*N(BK593)-(1-Assumptions!$B$13)*Assumptions!$B$14)+N(AN593)</f>
        <v/>
      </c>
      <c r="AZ593" s="7">
        <f>N(AU593)*N(R593)/90+N(AV593)+N(AW593)+N(AX593)+N(AY593)</f>
        <v/>
      </c>
      <c r="BA593" s="3">
        <f>IF(N(R593)&lt;=0,0,(N(AZ593)-N(AY593))*90/N(R593))</f>
        <v/>
      </c>
      <c r="BB593" s="7">
        <f>IFERROR(AZ593-VLOOKUP($E593,Assumptions!$A$40:$C$43,3,FALSE),"")</f>
        <v/>
      </c>
      <c r="BC593" s="3">
        <f>IFERROR(BB593/H593,"")</f>
        <v/>
      </c>
      <c r="BD593">
        <f>IF(AND($G593=TRUE,$E593="GKP"),AZ593,"")</f>
        <v/>
      </c>
      <c r="BE593">
        <f>IF(AND($G593=TRUE,$E593="DEF"),AZ593,"")</f>
        <v/>
      </c>
      <c r="BF593">
        <f>IF(AND($G593=TRUE,$E593="MID"),AZ593,"")</f>
        <v/>
      </c>
      <c r="BG593">
        <f>IF(AND($G593=TRUE,$E593="FWD"),AZ593,"")</f>
        <v/>
      </c>
      <c r="BH593" t="n">
        <v>2</v>
      </c>
      <c r="BI593" t="n">
        <v>2</v>
      </c>
      <c r="BJ593" t="n">
        <v>1</v>
      </c>
      <c r="BK593" t="n">
        <v>5</v>
      </c>
    </row>
    <row r="594">
      <c r="A594" t="inlineStr">
        <is>
          <t>Thimothée Lo-Tutala</t>
        </is>
      </c>
      <c r="B594" t="inlineStr">
        <is>
          <t>HUL</t>
        </is>
      </c>
      <c r="D594" t="b">
        <v>0</v>
      </c>
      <c r="E594" t="inlineStr">
        <is>
          <t>GKP</t>
        </is>
      </c>
      <c r="G594" t="b">
        <v>1</v>
      </c>
      <c r="H594" s="2" t="n">
        <v>4</v>
      </c>
      <c r="I594" t="inlineStr">
        <is>
          <t>a</t>
        </is>
      </c>
      <c r="K594" s="2" t="n"/>
      <c r="M594" s="3" t="n">
        <v>0</v>
      </c>
      <c r="N594" s="8" t="n">
        <v>0</v>
      </c>
      <c r="O594" s="8" t="n">
        <v>0</v>
      </c>
      <c r="Q594" t="inlineStr">
        <is>
          <t>flat</t>
        </is>
      </c>
      <c r="R594" s="6" t="n">
        <v>0</v>
      </c>
      <c r="S594" t="inlineStr">
        <is>
          <t>Solio</t>
        </is>
      </c>
      <c r="U594" s="6" t="n">
        <v>85</v>
      </c>
      <c r="V594" s="2" t="n"/>
      <c r="W594" s="7">
        <f>IF(N(U594)&lt;=0,0,MIN(Assumptions!$B$15,N(R594)/N(U594)))</f>
        <v/>
      </c>
      <c r="X594" s="6" t="n">
        <v>0.143</v>
      </c>
      <c r="Y594" s="3" t="n"/>
      <c r="Z594" t="inlineStr"/>
      <c r="AA594" s="3" t="n">
        <v>1</v>
      </c>
      <c r="AB594" s="3" t="n"/>
      <c r="AC594" s="3" t="n"/>
      <c r="AD594" s="3" t="n"/>
      <c r="AE594" s="3" t="n">
        <v>0</v>
      </c>
      <c r="AF594" s="3" t="n">
        <v>0</v>
      </c>
      <c r="AG594" s="3" t="n"/>
      <c r="AH594" s="3" t="n">
        <v>0</v>
      </c>
      <c r="AI594" s="3" t="n"/>
      <c r="AJ594" s="3" t="n">
        <v>3.9421</v>
      </c>
      <c r="AK594" s="3" t="n">
        <v>1.99</v>
      </c>
      <c r="AL594" s="3" t="n">
        <v>-0.0763216474948735</v>
      </c>
      <c r="AM594" s="6" t="n">
        <v>0</v>
      </c>
      <c r="AN594" s="3" t="n">
        <v>0</v>
      </c>
      <c r="AO594" s="3" t="n">
        <v>0</v>
      </c>
      <c r="AP594" s="3" t="n">
        <v>0</v>
      </c>
      <c r="AQ594" s="3">
        <f>N(X594)*N(BJ594)</f>
        <v/>
      </c>
      <c r="AR594" s="3" t="n">
        <v>0.979692031005534</v>
      </c>
      <c r="AS594" s="3" t="n">
        <v>-0.7496714098286652</v>
      </c>
      <c r="AT594" s="3" t="n">
        <v>-0.0763216474948735</v>
      </c>
      <c r="AU594" s="3">
        <f>SUM(AO594:AT594)</f>
        <v/>
      </c>
      <c r="AV594" s="7">
        <f>IF(OR(N(W594)&lt;=0,N(BH594)=0),0,N(W594)*IF(N(R594)/N(W594)&gt;=60,N(BH594),1))</f>
        <v/>
      </c>
      <c r="AW594" s="7">
        <f>N(W594)*N(AF594)*N(BI594)</f>
        <v/>
      </c>
      <c r="AX594" s="3">
        <f>IF(N(BH594)=0,0,N(W594)*N(AH594))</f>
        <v/>
      </c>
      <c r="AY594" s="7">
        <f>N(AM594)*(Assumptions!$B$13*N(BK594)-(1-Assumptions!$B$13)*Assumptions!$B$14)+N(AN594)</f>
        <v/>
      </c>
      <c r="AZ594" s="7">
        <f>N(AU594)*N(R594)/90+N(AV594)+N(AW594)+N(AX594)+N(AY594)</f>
        <v/>
      </c>
      <c r="BA594" s="3">
        <f>IF(N(R594)&lt;=0,0,(N(AZ594)-N(AY594))*90/N(R594))</f>
        <v/>
      </c>
      <c r="BB594" s="7">
        <f>IFERROR(AZ594-VLOOKUP($E594,Assumptions!$A$40:$C$43,3,FALSE),"")</f>
        <v/>
      </c>
      <c r="BC594" s="3">
        <f>IFERROR(BB594/H594,"")</f>
        <v/>
      </c>
      <c r="BD594">
        <f>IF(AND($G594=TRUE,$E594="GKP"),AZ594,"")</f>
        <v/>
      </c>
      <c r="BE594">
        <f>IF(AND($G594=TRUE,$E594="DEF"),AZ594,"")</f>
        <v/>
      </c>
      <c r="BF594">
        <f>IF(AND($G594=TRUE,$E594="MID"),AZ594,"")</f>
        <v/>
      </c>
      <c r="BG594">
        <f>IF(AND($G594=TRUE,$E594="FWD"),AZ594,"")</f>
        <v/>
      </c>
      <c r="BH594" t="n">
        <v>2</v>
      </c>
      <c r="BI594" t="n">
        <v>0</v>
      </c>
      <c r="BJ594" t="n">
        <v>4</v>
      </c>
      <c r="BK594" t="n">
        <v>10</v>
      </c>
    </row>
    <row r="595">
      <c r="A595" t="inlineStr">
        <is>
          <t>Hidemasa Morita</t>
        </is>
      </c>
      <c r="B595" t="inlineStr">
        <is>
          <t>HUL</t>
        </is>
      </c>
      <c r="D595" t="b">
        <v>0</v>
      </c>
      <c r="E595" t="inlineStr">
        <is>
          <t>MID</t>
        </is>
      </c>
      <c r="G595" t="b">
        <v>1</v>
      </c>
      <c r="H595" s="2" t="n">
        <v>5</v>
      </c>
      <c r="I595" t="inlineStr">
        <is>
          <t>a</t>
        </is>
      </c>
      <c r="K595" s="2" t="n"/>
      <c r="M595" s="3" t="n">
        <v>2525</v>
      </c>
      <c r="N595" s="8" t="n">
        <v>2525</v>
      </c>
      <c r="O595" s="8" t="n">
        <v>0</v>
      </c>
      <c r="Q595" t="inlineStr">
        <is>
          <t>flat</t>
        </is>
      </c>
      <c r="R595" s="6" t="n">
        <v>2525</v>
      </c>
      <c r="S595" t="inlineStr">
        <is>
          <t>Solio</t>
        </is>
      </c>
      <c r="U595" s="6" t="n">
        <v>85</v>
      </c>
      <c r="V595" s="2" t="n"/>
      <c r="W595" s="7">
        <f>IF(N(U595)&lt;=0,0,MIN(Assumptions!$B$15,N(R595)/N(U595)))</f>
        <v/>
      </c>
      <c r="X595" s="6" t="n">
        <v>0.143</v>
      </c>
      <c r="Y595" s="3" t="n"/>
      <c r="Z595" t="inlineStr"/>
      <c r="AA595" s="3" t="n">
        <v>1</v>
      </c>
      <c r="AB595" s="3" t="n"/>
      <c r="AC595" s="3" t="n"/>
      <c r="AD595" s="3" t="n"/>
      <c r="AE595" s="3" t="n"/>
      <c r="AF595" s="3" t="n">
        <v>0</v>
      </c>
      <c r="AG595" s="3" t="n"/>
      <c r="AH595" s="3" t="n">
        <v>0</v>
      </c>
      <c r="AI595" s="3" t="n"/>
      <c r="AJ595" s="3" t="n">
        <v>3.9421</v>
      </c>
      <c r="AK595" s="3" t="n">
        <v>1.99</v>
      </c>
      <c r="AL595" s="3" t="n">
        <v>-0.2160434166173144</v>
      </c>
      <c r="AM595" s="6" t="n">
        <v>0</v>
      </c>
      <c r="AN595" s="3" t="n">
        <v>0</v>
      </c>
      <c r="AO595" s="3" t="n">
        <v>0</v>
      </c>
      <c r="AP595" s="3" t="n">
        <v>0</v>
      </c>
      <c r="AQ595" s="3">
        <f>N(X595)*N(BJ595)</f>
        <v/>
      </c>
      <c r="AR595" s="3" t="n">
        <v>0</v>
      </c>
      <c r="AS595" s="3" t="n">
        <v>-0</v>
      </c>
      <c r="AT595" s="3" t="n">
        <v>-0.2160434166173144</v>
      </c>
      <c r="AU595" s="3">
        <f>SUM(AO595:AT595)</f>
        <v/>
      </c>
      <c r="AV595" s="7">
        <f>IF(OR(N(W595)&lt;=0,N(BH595)=0),0,N(W595)*IF(N(R595)/N(W595)&gt;=60,N(BH595),1))</f>
        <v/>
      </c>
      <c r="AW595" s="7">
        <f>N(W595)*N(AF595)*N(BI595)</f>
        <v/>
      </c>
      <c r="AX595" s="3">
        <f>IF(N(BH595)=0,0,N(W595)*N(AH595))</f>
        <v/>
      </c>
      <c r="AY595" s="7">
        <f>N(AM595)*(Assumptions!$B$13*N(BK595)-(1-Assumptions!$B$13)*Assumptions!$B$14)+N(AN595)</f>
        <v/>
      </c>
      <c r="AZ595" s="7">
        <f>N(AU595)*N(R595)/90+N(AV595)+N(AW595)+N(AX595)+N(AY595)</f>
        <v/>
      </c>
      <c r="BA595" s="3">
        <f>IF(N(R595)&lt;=0,0,(N(AZ595)-N(AY595))*90/N(R595))</f>
        <v/>
      </c>
      <c r="BB595" s="7">
        <f>IFERROR(AZ595-VLOOKUP($E595,Assumptions!$A$40:$C$43,3,FALSE),"")</f>
        <v/>
      </c>
      <c r="BC595" s="3">
        <f>IFERROR(BB595/H595,"")</f>
        <v/>
      </c>
      <c r="BD595">
        <f>IF(AND($G595=TRUE,$E595="GKP"),AZ595,"")</f>
        <v/>
      </c>
      <c r="BE595">
        <f>IF(AND($G595=TRUE,$E595="DEF"),AZ595,"")</f>
        <v/>
      </c>
      <c r="BF595">
        <f>IF(AND($G595=TRUE,$E595="MID"),AZ595,"")</f>
        <v/>
      </c>
      <c r="BG595">
        <f>IF(AND($G595=TRUE,$E595="FWD"),AZ595,"")</f>
        <v/>
      </c>
      <c r="BH595" t="n">
        <v>2</v>
      </c>
      <c r="BI595" t="n">
        <v>2</v>
      </c>
      <c r="BJ595" t="n">
        <v>1</v>
      </c>
      <c r="BK595" t="n">
        <v>5</v>
      </c>
    </row>
    <row r="596">
      <c r="A596" t="inlineStr">
        <is>
          <t>Ronald Araujo</t>
        </is>
      </c>
      <c r="B596" t="inlineStr">
        <is>
          <t>LIV</t>
        </is>
      </c>
      <c r="D596" t="b">
        <v>0</v>
      </c>
      <c r="E596" t="inlineStr">
        <is>
          <t>DEF</t>
        </is>
      </c>
      <c r="G596" t="b">
        <v>1</v>
      </c>
      <c r="H596" s="2" t="n">
        <v>5.5</v>
      </c>
      <c r="I596" t="inlineStr">
        <is>
          <t>a</t>
        </is>
      </c>
      <c r="K596" s="2" t="n"/>
      <c r="M596" s="3" t="n">
        <v>1984</v>
      </c>
      <c r="N596" s="4" t="n">
        <v>2340</v>
      </c>
      <c r="O596" s="4" t="n">
        <v>356</v>
      </c>
      <c r="P596" s="5" t="inlineStr">
        <is>
          <t>medium</t>
        </is>
      </c>
      <c r="Q596" t="inlineStr">
        <is>
          <t>flat</t>
        </is>
      </c>
      <c r="R596" s="6" t="n">
        <v>2340</v>
      </c>
      <c r="S596" t="inlineStr">
        <is>
          <t>research</t>
        </is>
      </c>
      <c r="T596" s="5" t="inlineStr">
        <is>
          <t>Signed on loan from Barcelona on 11 August. This Is Anfield: 'With Jacquet still building up fitness and Joe Gomez sidelined, the starting spot alongside Van Dijk at St James' Park appears to be Araujo's to lose.' He is also the emergency right-back cover. Solio's 1984 under-rates a player who starts the season as the first-choice partner to Van Dijk.</t>
        </is>
      </c>
      <c r="U596" s="6" t="n">
        <v>85</v>
      </c>
      <c r="V596" s="2" t="n"/>
      <c r="W596" s="7">
        <f>IF(N(U596)&lt;=0,0,MIN(Assumptions!$B$15,N(R596)/N(U596)))</f>
        <v/>
      </c>
      <c r="X596" s="6" t="n">
        <v>0.342</v>
      </c>
      <c r="Y596" s="3" t="n"/>
      <c r="Z596" t="inlineStr"/>
      <c r="AA596" s="3" t="n">
        <v>1</v>
      </c>
      <c r="AB596" s="3" t="n"/>
      <c r="AC596" s="3" t="n"/>
      <c r="AD596" s="3" t="n"/>
      <c r="AE596" s="3" t="n"/>
      <c r="AF596" s="3" t="n">
        <v>0</v>
      </c>
      <c r="AG596" s="3" t="n"/>
      <c r="AH596" s="3" t="n">
        <v>0</v>
      </c>
      <c r="AI596" s="3" t="n"/>
      <c r="AJ596" s="3" t="n">
        <v>2.409</v>
      </c>
      <c r="AK596" s="3" t="n">
        <v>1.1228</v>
      </c>
      <c r="AL596" s="3" t="n">
        <v>-0.2045226422080557</v>
      </c>
      <c r="AM596" s="6" t="n">
        <v>0</v>
      </c>
      <c r="AN596" s="3" t="n">
        <v>0</v>
      </c>
      <c r="AO596" s="3" t="n">
        <v>0</v>
      </c>
      <c r="AP596" s="3" t="n">
        <v>0</v>
      </c>
      <c r="AQ596" s="3">
        <f>N(X596)*N(BJ596)</f>
        <v/>
      </c>
      <c r="AR596" s="3" t="n">
        <v>0</v>
      </c>
      <c r="AS596" s="3" t="n">
        <v>-0.3378660007281162</v>
      </c>
      <c r="AT596" s="3" t="n">
        <v>-0.2045226422080557</v>
      </c>
      <c r="AU596" s="3">
        <f>SUM(AO596:AT596)</f>
        <v/>
      </c>
      <c r="AV596" s="7">
        <f>IF(OR(N(W596)&lt;=0,N(BH596)=0),0,N(W596)*IF(N(R596)/N(W596)&gt;=60,N(BH596),1))</f>
        <v/>
      </c>
      <c r="AW596" s="7">
        <f>N(W596)*N(AF596)*N(BI596)</f>
        <v/>
      </c>
      <c r="AX596" s="3">
        <f>IF(N(BH596)=0,0,N(W596)*N(AH596))</f>
        <v/>
      </c>
      <c r="AY596" s="7">
        <f>N(AM596)*(Assumptions!$B$13*N(BK596)-(1-Assumptions!$B$13)*Assumptions!$B$14)+N(AN596)</f>
        <v/>
      </c>
      <c r="AZ596" s="7">
        <f>N(AU596)*N(R596)/90+N(AV596)+N(AW596)+N(AX596)+N(AY596)</f>
        <v/>
      </c>
      <c r="BA596" s="3">
        <f>IF(N(R596)&lt;=0,0,(N(AZ596)-N(AY596))*90/N(R596))</f>
        <v/>
      </c>
      <c r="BB596" s="7">
        <f>IFERROR(AZ596-VLOOKUP($E596,Assumptions!$A$40:$C$43,3,FALSE),"")</f>
        <v/>
      </c>
      <c r="BC596" s="3">
        <f>IFERROR(BB596/H596,"")</f>
        <v/>
      </c>
      <c r="BD596">
        <f>IF(AND($G596=TRUE,$E596="GKP"),AZ596,"")</f>
        <v/>
      </c>
      <c r="BE596">
        <f>IF(AND($G596=TRUE,$E596="DEF"),AZ596,"")</f>
        <v/>
      </c>
      <c r="BF596">
        <f>IF(AND($G596=TRUE,$E596="MID"),AZ596,"")</f>
        <v/>
      </c>
      <c r="BG596">
        <f>IF(AND($G596=TRUE,$E596="FWD"),AZ596,"")</f>
        <v/>
      </c>
      <c r="BH596" t="n">
        <v>2</v>
      </c>
      <c r="BI596" t="n">
        <v>2</v>
      </c>
      <c r="BJ596" t="n">
        <v>4</v>
      </c>
      <c r="BK596" t="n">
        <v>6</v>
      </c>
    </row>
    <row r="597">
      <c r="A597" t="inlineStr">
        <is>
          <t>Matty Jacob</t>
        </is>
      </c>
      <c r="B597" t="inlineStr">
        <is>
          <t>HUL</t>
        </is>
      </c>
      <c r="D597" t="b">
        <v>0</v>
      </c>
      <c r="E597" t="inlineStr">
        <is>
          <t>DEF</t>
        </is>
      </c>
      <c r="G597" t="b">
        <v>1</v>
      </c>
      <c r="H597" s="2" t="n">
        <v>4</v>
      </c>
      <c r="I597" t="inlineStr">
        <is>
          <t>d</t>
        </is>
      </c>
      <c r="J597" t="inlineStr">
        <is>
          <t>Hip injury - 75% chance of playing</t>
        </is>
      </c>
      <c r="K597" s="2" t="n"/>
      <c r="M597" s="3" t="n">
        <v>38</v>
      </c>
      <c r="N597" s="8" t="n">
        <v>38</v>
      </c>
      <c r="O597" s="8" t="n">
        <v>0</v>
      </c>
      <c r="Q597" t="inlineStr">
        <is>
          <t>flat</t>
        </is>
      </c>
      <c r="R597" s="6" t="n">
        <v>38</v>
      </c>
      <c r="S597" t="inlineStr">
        <is>
          <t>Solio</t>
        </is>
      </c>
      <c r="U597" s="6" t="n">
        <v>85</v>
      </c>
      <c r="V597" s="2" t="n"/>
      <c r="W597" s="7">
        <f>IF(N(U597)&lt;=0,0,MIN(Assumptions!$B$15,N(R597)/N(U597)))</f>
        <v/>
      </c>
      <c r="X597" s="6" t="n">
        <v>0.143</v>
      </c>
      <c r="Y597" s="3" t="n"/>
      <c r="Z597" t="inlineStr"/>
      <c r="AA597" s="3" t="n">
        <v>1</v>
      </c>
      <c r="AB597" s="3" t="n"/>
      <c r="AC597" s="3" t="n"/>
      <c r="AD597" s="3" t="n"/>
      <c r="AE597" s="3" t="n"/>
      <c r="AF597" s="3" t="n">
        <v>0</v>
      </c>
      <c r="AG597" s="3" t="n"/>
      <c r="AH597" s="3" t="n">
        <v>0</v>
      </c>
      <c r="AI597" s="3" t="n"/>
      <c r="AJ597" s="3" t="n">
        <v>3.9421</v>
      </c>
      <c r="AK597" s="3" t="n">
        <v>1.99</v>
      </c>
      <c r="AL597" s="3" t="n">
        <v>-0.2045226422080557</v>
      </c>
      <c r="AM597" s="6" t="n">
        <v>0</v>
      </c>
      <c r="AN597" s="3" t="n">
        <v>0</v>
      </c>
      <c r="AO597" s="3" t="n">
        <v>0</v>
      </c>
      <c r="AP597" s="3" t="n">
        <v>0</v>
      </c>
      <c r="AQ597" s="3">
        <f>N(X597)*N(BJ597)</f>
        <v/>
      </c>
      <c r="AR597" s="3" t="n">
        <v>0</v>
      </c>
      <c r="AS597" s="3" t="n">
        <v>-0.7496714098286652</v>
      </c>
      <c r="AT597" s="3" t="n">
        <v>-0.2045226422080557</v>
      </c>
      <c r="AU597" s="3">
        <f>SUM(AO597:AT597)</f>
        <v/>
      </c>
      <c r="AV597" s="7">
        <f>IF(OR(N(W597)&lt;=0,N(BH597)=0),0,N(W597)*IF(N(R597)/N(W597)&gt;=60,N(BH597),1))</f>
        <v/>
      </c>
      <c r="AW597" s="7">
        <f>N(W597)*N(AF597)*N(BI597)</f>
        <v/>
      </c>
      <c r="AX597" s="3">
        <f>IF(N(BH597)=0,0,N(W597)*N(AH597))</f>
        <v/>
      </c>
      <c r="AY597" s="7">
        <f>N(AM597)*(Assumptions!$B$13*N(BK597)-(1-Assumptions!$B$13)*Assumptions!$B$14)+N(AN597)</f>
        <v/>
      </c>
      <c r="AZ597" s="7">
        <f>N(AU597)*N(R597)/90+N(AV597)+N(AW597)+N(AX597)+N(AY597)</f>
        <v/>
      </c>
      <c r="BA597" s="3">
        <f>IF(N(R597)&lt;=0,0,(N(AZ597)-N(AY597))*90/N(R597))</f>
        <v/>
      </c>
      <c r="BB597" s="7">
        <f>IFERROR(AZ597-VLOOKUP($E597,Assumptions!$A$40:$C$43,3,FALSE),"")</f>
        <v/>
      </c>
      <c r="BC597" s="3">
        <f>IFERROR(BB597/H597,"")</f>
        <v/>
      </c>
      <c r="BD597">
        <f>IF(AND($G597=TRUE,$E597="GKP"),AZ597,"")</f>
        <v/>
      </c>
      <c r="BE597">
        <f>IF(AND($G597=TRUE,$E597="DEF"),AZ597,"")</f>
        <v/>
      </c>
      <c r="BF597">
        <f>IF(AND($G597=TRUE,$E597="MID"),AZ597,"")</f>
        <v/>
      </c>
      <c r="BG597">
        <f>IF(AND($G597=TRUE,$E597="FWD"),AZ597,"")</f>
        <v/>
      </c>
      <c r="BH597" t="n">
        <v>2</v>
      </c>
      <c r="BI597" t="n">
        <v>2</v>
      </c>
      <c r="BJ597" t="n">
        <v>4</v>
      </c>
      <c r="BK597" t="n">
        <v>6</v>
      </c>
    </row>
    <row r="598">
      <c r="A598" t="inlineStr">
        <is>
          <t>Jacob Greaves</t>
        </is>
      </c>
      <c r="B598" t="inlineStr">
        <is>
          <t>IPS</t>
        </is>
      </c>
      <c r="D598" t="b">
        <v>0</v>
      </c>
      <c r="E598" t="inlineStr">
        <is>
          <t>DEF</t>
        </is>
      </c>
      <c r="G598" t="b">
        <v>1</v>
      </c>
      <c r="H598" s="2" t="n">
        <v>4</v>
      </c>
      <c r="I598" t="inlineStr">
        <is>
          <t>a</t>
        </is>
      </c>
      <c r="K598" s="2" t="n"/>
      <c r="M598" s="3" t="n">
        <v>1533</v>
      </c>
      <c r="N598" s="8" t="n">
        <v>1533</v>
      </c>
      <c r="O598" s="8" t="n">
        <v>0</v>
      </c>
      <c r="Q598" t="inlineStr">
        <is>
          <t>flat</t>
        </is>
      </c>
      <c r="R598" s="6" t="n">
        <v>1533</v>
      </c>
      <c r="S598" t="inlineStr">
        <is>
          <t>Solio</t>
        </is>
      </c>
      <c r="U598" s="6" t="n">
        <v>85</v>
      </c>
      <c r="V598" s="2" t="n"/>
      <c r="W598" s="7">
        <f>IF(N(U598)&lt;=0,0,MIN(Assumptions!$B$15,N(R598)/N(U598)))</f>
        <v/>
      </c>
      <c r="X598" s="6" t="n">
        <v>0.17</v>
      </c>
      <c r="Y598" s="3" t="n"/>
      <c r="Z598" t="inlineStr"/>
      <c r="AA598" s="3" t="n">
        <v>1</v>
      </c>
      <c r="AB598" s="3" t="n"/>
      <c r="AC598" s="3" t="n"/>
      <c r="AD598" s="3" t="n"/>
      <c r="AE598" s="3" t="n"/>
      <c r="AF598" s="3" t="n">
        <v>0</v>
      </c>
      <c r="AG598" s="3" t="n"/>
      <c r="AH598" s="3" t="n">
        <v>0</v>
      </c>
      <c r="AI598" s="3" t="n"/>
      <c r="AJ598" s="3" t="n">
        <v>3.5741</v>
      </c>
      <c r="AK598" s="3" t="n">
        <v>1.8319</v>
      </c>
      <c r="AL598" s="3" t="n">
        <v>-0.2144621594178463</v>
      </c>
      <c r="AM598" s="6" t="n">
        <v>0</v>
      </c>
      <c r="AN598" s="3" t="n">
        <v>0</v>
      </c>
      <c r="AO598" s="3" t="n">
        <v>0</v>
      </c>
      <c r="AP598" s="3" t="n">
        <v>0</v>
      </c>
      <c r="AQ598" s="3">
        <f>N(X598)*N(BJ598)</f>
        <v/>
      </c>
      <c r="AR598" s="3" t="n">
        <v>0</v>
      </c>
      <c r="AS598" s="3" t="n">
        <v>-0.6723587286814016</v>
      </c>
      <c r="AT598" s="3" t="n">
        <v>-0.2144621594178463</v>
      </c>
      <c r="AU598" s="3">
        <f>SUM(AO598:AT598)</f>
        <v/>
      </c>
      <c r="AV598" s="7">
        <f>IF(OR(N(W598)&lt;=0,N(BH598)=0),0,N(W598)*IF(N(R598)/N(W598)&gt;=60,N(BH598),1))</f>
        <v/>
      </c>
      <c r="AW598" s="7">
        <f>N(W598)*N(AF598)*N(BI598)</f>
        <v/>
      </c>
      <c r="AX598" s="3">
        <f>IF(N(BH598)=0,0,N(W598)*N(AH598))</f>
        <v/>
      </c>
      <c r="AY598" s="7">
        <f>N(AM598)*(Assumptions!$B$13*N(BK598)-(1-Assumptions!$B$13)*Assumptions!$B$14)+N(AN598)</f>
        <v/>
      </c>
      <c r="AZ598" s="7">
        <f>N(AU598)*N(R598)/90+N(AV598)+N(AW598)+N(AX598)+N(AY598)</f>
        <v/>
      </c>
      <c r="BA598" s="3">
        <f>IF(N(R598)&lt;=0,0,(N(AZ598)-N(AY598))*90/N(R598))</f>
        <v/>
      </c>
      <c r="BB598" s="7">
        <f>IFERROR(AZ598-VLOOKUP($E598,Assumptions!$A$40:$C$43,3,FALSE),"")</f>
        <v/>
      </c>
      <c r="BC598" s="3">
        <f>IFERROR(BB598/H598,"")</f>
        <v/>
      </c>
      <c r="BD598">
        <f>IF(AND($G598=TRUE,$E598="GKP"),AZ598,"")</f>
        <v/>
      </c>
      <c r="BE598">
        <f>IF(AND($G598=TRUE,$E598="DEF"),AZ598,"")</f>
        <v/>
      </c>
      <c r="BF598">
        <f>IF(AND($G598=TRUE,$E598="MID"),AZ598,"")</f>
        <v/>
      </c>
      <c r="BG598">
        <f>IF(AND($G598=TRUE,$E598="FWD"),AZ598,"")</f>
        <v/>
      </c>
      <c r="BH598" t="n">
        <v>2</v>
      </c>
      <c r="BI598" t="n">
        <v>2</v>
      </c>
      <c r="BJ598" t="n">
        <v>4</v>
      </c>
      <c r="BK598" t="n">
        <v>6</v>
      </c>
    </row>
    <row r="599">
      <c r="A599" t="inlineStr">
        <is>
          <t>Crysencio Summerville</t>
        </is>
      </c>
      <c r="C599" t="inlineStr">
        <is>
          <t>WHU</t>
        </is>
      </c>
      <c r="D599" t="b">
        <v>0</v>
      </c>
      <c r="F599" t="inlineStr">
        <is>
          <t>MID</t>
        </is>
      </c>
      <c r="G599" t="b">
        <v>0</v>
      </c>
      <c r="H599" s="2" t="n"/>
      <c r="K599" s="2" t="n">
        <v>2480</v>
      </c>
      <c r="M599" s="3" t="n"/>
      <c r="N599" s="8" t="n">
        <v>2480</v>
      </c>
      <c r="O599" s="8" t="n">
        <v>0</v>
      </c>
      <c r="R599" s="6" t="n">
        <v>2480</v>
      </c>
      <c r="S599" t="inlineStr">
        <is>
          <t>25/26 actual</t>
        </is>
      </c>
      <c r="U599" s="6" t="n">
        <v>83</v>
      </c>
      <c r="V599" s="2" t="n">
        <v>29</v>
      </c>
      <c r="W599" s="7">
        <f>IF(N(U599)&lt;=0,0,MIN(Assumptions!$B$15,N(R599)/N(U599)))</f>
        <v/>
      </c>
      <c r="X599" s="6" t="n"/>
      <c r="Y599" s="3" t="n">
        <v>0.2029</v>
      </c>
      <c r="Z599" t="inlineStr">
        <is>
          <t>adjusted xGOT</t>
        </is>
      </c>
      <c r="AA599" s="3" t="n">
        <v>1</v>
      </c>
      <c r="AB599" s="3" t="n">
        <v>1.03</v>
      </c>
      <c r="AC599" s="3" t="n">
        <v>9.9</v>
      </c>
      <c r="AD599" s="3" t="n">
        <v>0.1174</v>
      </c>
      <c r="AE599" s="3" t="n">
        <v>8.002000000000001</v>
      </c>
      <c r="AF599" s="3" t="n">
        <v>0</v>
      </c>
      <c r="AG599" s="3" t="n">
        <v>4.83</v>
      </c>
      <c r="AH599" s="3" t="n">
        <v>0</v>
      </c>
      <c r="AI599" s="3" t="n">
        <v>59</v>
      </c>
      <c r="AJ599" s="3" t="n"/>
      <c r="AK599" s="3" t="n"/>
      <c r="AL599" s="3" t="n"/>
      <c r="AM599" s="6" t="n">
        <v>0</v>
      </c>
      <c r="AN599" s="3" t="n">
        <v>0</v>
      </c>
      <c r="AO599" s="3" t="n">
        <v>0</v>
      </c>
      <c r="AP599" s="3" t="n">
        <v>0</v>
      </c>
      <c r="AQ599" s="3">
        <f>N(X599)*N(BJ599)</f>
        <v/>
      </c>
      <c r="AR599" s="3" t="n">
        <v>0</v>
      </c>
      <c r="AS599" s="3" t="n">
        <v>0</v>
      </c>
      <c r="AT599" s="3" t="n">
        <v>0</v>
      </c>
      <c r="AU599" s="3">
        <f>SUM(AO599:AT599)</f>
        <v/>
      </c>
      <c r="AV599" s="7">
        <f>IF(OR(N(W599)&lt;=0,N(BH599)=0),0,N(W599)*IF(N(R599)/N(W599)&gt;=60,N(BH599),1))</f>
        <v/>
      </c>
      <c r="AW599" s="7">
        <f>N(W599)*N(AF599)*N(BI599)</f>
        <v/>
      </c>
      <c r="AX599" s="3">
        <f>IF(N(BH599)=0,0,N(W599)*N(AH599))</f>
        <v/>
      </c>
      <c r="AY599" s="7">
        <f>N(AM599)*(Assumptions!$B$13*N(BK599)-(1-Assumptions!$B$13)*Assumptions!$B$14)+N(AN599)</f>
        <v/>
      </c>
      <c r="AZ599" s="7">
        <f>N(AU599)*N(R599)/90+N(AV599)+N(AW599)+N(AX599)+N(AY599)</f>
        <v/>
      </c>
      <c r="BA599" s="3">
        <f>IF(N(R599)&lt;=0,0,(N(AZ599)-N(AY599))*90/N(R599))</f>
        <v/>
      </c>
      <c r="BB599" s="7">
        <f>IFERROR(AZ599-VLOOKUP($E599,Assumptions!$A$40:$C$43,3,FALSE),"")</f>
        <v/>
      </c>
      <c r="BC599" s="3">
        <f>IFERROR(BB599/H599,"")</f>
        <v/>
      </c>
      <c r="BD599">
        <f>IF(AND($G599=TRUE,$E599="GKP"),AZ599,"")</f>
        <v/>
      </c>
      <c r="BE599">
        <f>IF(AND($G599=TRUE,$E599="DEF"),AZ599,"")</f>
        <v/>
      </c>
      <c r="BF599">
        <f>IF(AND($G599=TRUE,$E599="MID"),AZ599,"")</f>
        <v/>
      </c>
      <c r="BG599">
        <f>IF(AND($G599=TRUE,$E599="FWD"),AZ599,"")</f>
        <v/>
      </c>
      <c r="BH599" t="n">
        <v>0</v>
      </c>
      <c r="BI599" t="n">
        <v>0</v>
      </c>
      <c r="BJ599" t="n">
        <v>0</v>
      </c>
      <c r="BK599" t="n">
        <v>0</v>
      </c>
    </row>
    <row r="600">
      <c r="A600" t="inlineStr">
        <is>
          <t>Myles Peart-Harris</t>
        </is>
      </c>
      <c r="C600" t="inlineStr">
        <is>
          <t>BRE</t>
        </is>
      </c>
      <c r="D600" t="b">
        <v>0</v>
      </c>
      <c r="F600" t="inlineStr">
        <is>
          <t>MID</t>
        </is>
      </c>
      <c r="G600" t="b">
        <v>0</v>
      </c>
      <c r="H600" s="2" t="n"/>
      <c r="K600" s="2" t="n">
        <v>1</v>
      </c>
      <c r="M600" s="3" t="n"/>
      <c r="N600" s="8" t="n">
        <v>1</v>
      </c>
      <c r="O600" s="8" t="n">
        <v>0</v>
      </c>
      <c r="R600" s="6" t="n">
        <v>1</v>
      </c>
      <c r="S600" t="inlineStr">
        <is>
          <t>25/26 actual</t>
        </is>
      </c>
      <c r="U600" s="6" t="n">
        <v>80.09999999999999</v>
      </c>
      <c r="V600" s="2" t="n">
        <v>0</v>
      </c>
      <c r="W600" s="7">
        <f>IF(N(U600)&lt;=0,0,MIN(Assumptions!$B$15,N(R600)/N(U600)))</f>
        <v/>
      </c>
      <c r="X600" s="6" t="n"/>
      <c r="Y600" s="3" t="n">
        <v>0</v>
      </c>
      <c r="Z600" t="inlineStr">
        <is>
          <t>blended xG</t>
        </is>
      </c>
      <c r="AA600" s="3" t="n">
        <v>1</v>
      </c>
      <c r="AB600" s="3" t="n">
        <v>1</v>
      </c>
      <c r="AC600" s="3" t="n">
        <v>0</v>
      </c>
      <c r="AD600" s="3" t="n">
        <v>0</v>
      </c>
      <c r="AE600" s="3" t="n">
        <v>8.565</v>
      </c>
      <c r="AF600" s="3" t="n">
        <v>0</v>
      </c>
      <c r="AG600" s="3" t="n">
        <v>6.911</v>
      </c>
      <c r="AH600" s="3" t="n">
        <v>0</v>
      </c>
      <c r="AI600" s="3" t="n">
        <v>1</v>
      </c>
      <c r="AJ600" s="3" t="n"/>
      <c r="AK600" s="3" t="n"/>
      <c r="AL600" s="3" t="n"/>
      <c r="AM600" s="6" t="n">
        <v>0</v>
      </c>
      <c r="AN600" s="3" t="n">
        <v>0</v>
      </c>
      <c r="AO600" s="3" t="n">
        <v>0</v>
      </c>
      <c r="AP600" s="3" t="n">
        <v>0</v>
      </c>
      <c r="AQ600" s="3">
        <f>N(X600)*N(BJ600)</f>
        <v/>
      </c>
      <c r="AR600" s="3" t="n">
        <v>0</v>
      </c>
      <c r="AS600" s="3" t="n">
        <v>0</v>
      </c>
      <c r="AT600" s="3" t="n">
        <v>0</v>
      </c>
      <c r="AU600" s="3">
        <f>SUM(AO600:AT600)</f>
        <v/>
      </c>
      <c r="AV600" s="7">
        <f>IF(OR(N(W600)&lt;=0,N(BH600)=0),0,N(W600)*IF(N(R600)/N(W600)&gt;=60,N(BH600),1))</f>
        <v/>
      </c>
      <c r="AW600" s="7">
        <f>N(W600)*N(AF600)*N(BI600)</f>
        <v/>
      </c>
      <c r="AX600" s="3">
        <f>IF(N(BH600)=0,0,N(W600)*N(AH600))</f>
        <v/>
      </c>
      <c r="AY600" s="7">
        <f>N(AM600)*(Assumptions!$B$13*N(BK600)-(1-Assumptions!$B$13)*Assumptions!$B$14)+N(AN600)</f>
        <v/>
      </c>
      <c r="AZ600" s="7">
        <f>N(AU600)*N(R600)/90+N(AV600)+N(AW600)+N(AX600)+N(AY600)</f>
        <v/>
      </c>
      <c r="BA600" s="3">
        <f>IF(N(R600)&lt;=0,0,(N(AZ600)-N(AY600))*90/N(R600))</f>
        <v/>
      </c>
      <c r="BB600" s="7">
        <f>IFERROR(AZ600-VLOOKUP($E600,Assumptions!$A$40:$C$43,3,FALSE),"")</f>
        <v/>
      </c>
      <c r="BC600" s="3">
        <f>IFERROR(BB600/H600,"")</f>
        <v/>
      </c>
      <c r="BD600">
        <f>IF(AND($G600=TRUE,$E600="GKP"),AZ600,"")</f>
        <v/>
      </c>
      <c r="BE600">
        <f>IF(AND($G600=TRUE,$E600="DEF"),AZ600,"")</f>
        <v/>
      </c>
      <c r="BF600">
        <f>IF(AND($G600=TRUE,$E600="MID"),AZ600,"")</f>
        <v/>
      </c>
      <c r="BG600">
        <f>IF(AND($G600=TRUE,$E600="FWD"),AZ600,"")</f>
        <v/>
      </c>
      <c r="BH600" t="n">
        <v>0</v>
      </c>
      <c r="BI600" t="n">
        <v>0</v>
      </c>
      <c r="BJ600" t="n">
        <v>0</v>
      </c>
      <c r="BK600" t="n">
        <v>0</v>
      </c>
    </row>
    <row r="601">
      <c r="A601" t="inlineStr">
        <is>
          <t>Milan van Ewijk</t>
        </is>
      </c>
      <c r="B601" t="inlineStr">
        <is>
          <t>COV</t>
        </is>
      </c>
      <c r="D601" t="b">
        <v>0</v>
      </c>
      <c r="E601" t="inlineStr">
        <is>
          <t>DEF</t>
        </is>
      </c>
      <c r="G601" t="b">
        <v>1</v>
      </c>
      <c r="H601" s="2" t="n">
        <v>4</v>
      </c>
      <c r="I601" t="inlineStr">
        <is>
          <t>a</t>
        </is>
      </c>
      <c r="K601" s="2" t="n"/>
      <c r="M601" s="3" t="n">
        <v>3342</v>
      </c>
      <c r="N601" s="8" t="n">
        <v>3342</v>
      </c>
      <c r="O601" s="8" t="n">
        <v>0</v>
      </c>
      <c r="Q601" t="inlineStr">
        <is>
          <t>flat</t>
        </is>
      </c>
      <c r="R601" s="6" t="n">
        <v>3342</v>
      </c>
      <c r="S601" t="inlineStr">
        <is>
          <t>Solio</t>
        </is>
      </c>
      <c r="U601" s="6" t="n">
        <v>85</v>
      </c>
      <c r="V601" s="2" t="n"/>
      <c r="W601" s="7">
        <f>IF(N(U601)&lt;=0,0,MIN(Assumptions!$B$15,N(R601)/N(U601)))</f>
        <v/>
      </c>
      <c r="X601" s="6" t="n">
        <v>0.17</v>
      </c>
      <c r="Y601" s="3" t="n"/>
      <c r="Z601" t="inlineStr"/>
      <c r="AA601" s="3" t="n">
        <v>1</v>
      </c>
      <c r="AB601" s="3" t="n"/>
      <c r="AC601" s="3" t="n"/>
      <c r="AD601" s="3" t="n"/>
      <c r="AE601" s="3" t="n"/>
      <c r="AF601" s="3" t="n">
        <v>0</v>
      </c>
      <c r="AG601" s="3" t="n"/>
      <c r="AH601" s="3" t="n">
        <v>0</v>
      </c>
      <c r="AI601" s="3" t="n"/>
      <c r="AJ601" s="3" t="n">
        <v>3.6194</v>
      </c>
      <c r="AK601" s="3" t="n">
        <v>1.8271</v>
      </c>
      <c r="AL601" s="3" t="n">
        <v>-0.2045226422080557</v>
      </c>
      <c r="AM601" s="6" t="n">
        <v>0</v>
      </c>
      <c r="AN601" s="3" t="n">
        <v>0</v>
      </c>
      <c r="AO601" s="3" t="n">
        <v>0</v>
      </c>
      <c r="AP601" s="3" t="n">
        <v>0</v>
      </c>
      <c r="AQ601" s="3">
        <f>N(X601)*N(BJ601)</f>
        <v/>
      </c>
      <c r="AR601" s="3" t="n">
        <v>0</v>
      </c>
      <c r="AS601" s="3" t="n">
        <v>-0.670020548738316</v>
      </c>
      <c r="AT601" s="3" t="n">
        <v>-0.2045226422080557</v>
      </c>
      <c r="AU601" s="3">
        <f>SUM(AO601:AT601)</f>
        <v/>
      </c>
      <c r="AV601" s="7">
        <f>IF(OR(N(W601)&lt;=0,N(BH601)=0),0,N(W601)*IF(N(R601)/N(W601)&gt;=60,N(BH601),1))</f>
        <v/>
      </c>
      <c r="AW601" s="7">
        <f>N(W601)*N(AF601)*N(BI601)</f>
        <v/>
      </c>
      <c r="AX601" s="3">
        <f>IF(N(BH601)=0,0,N(W601)*N(AH601))</f>
        <v/>
      </c>
      <c r="AY601" s="7">
        <f>N(AM601)*(Assumptions!$B$13*N(BK601)-(1-Assumptions!$B$13)*Assumptions!$B$14)+N(AN601)</f>
        <v/>
      </c>
      <c r="AZ601" s="7">
        <f>N(AU601)*N(R601)/90+N(AV601)+N(AW601)+N(AX601)+N(AY601)</f>
        <v/>
      </c>
      <c r="BA601" s="3">
        <f>IF(N(R601)&lt;=0,0,(N(AZ601)-N(AY601))*90/N(R601))</f>
        <v/>
      </c>
      <c r="BB601" s="7">
        <f>IFERROR(AZ601-VLOOKUP($E601,Assumptions!$A$40:$C$43,3,FALSE),"")</f>
        <v/>
      </c>
      <c r="BC601" s="3">
        <f>IFERROR(BB601/H601,"")</f>
        <v/>
      </c>
      <c r="BD601">
        <f>IF(AND($G601=TRUE,$E601="GKP"),AZ601,"")</f>
        <v/>
      </c>
      <c r="BE601">
        <f>IF(AND($G601=TRUE,$E601="DEF"),AZ601,"")</f>
        <v/>
      </c>
      <c r="BF601">
        <f>IF(AND($G601=TRUE,$E601="MID"),AZ601,"")</f>
        <v/>
      </c>
      <c r="BG601">
        <f>IF(AND($G601=TRUE,$E601="FWD"),AZ601,"")</f>
        <v/>
      </c>
      <c r="BH601" t="n">
        <v>2</v>
      </c>
      <c r="BI601" t="n">
        <v>2</v>
      </c>
      <c r="BJ601" t="n">
        <v>4</v>
      </c>
      <c r="BK601" t="n">
        <v>6</v>
      </c>
    </row>
    <row r="602">
      <c r="A602" t="inlineStr">
        <is>
          <t>João Pedro Loureiro da Costa</t>
        </is>
      </c>
      <c r="B602" t="inlineStr">
        <is>
          <t>BHA</t>
        </is>
      </c>
      <c r="D602" t="b">
        <v>0</v>
      </c>
      <c r="E602" t="inlineStr">
        <is>
          <t>DEF</t>
        </is>
      </c>
      <c r="G602" t="b">
        <v>1</v>
      </c>
      <c r="H602" s="2" t="n">
        <v>4.5</v>
      </c>
      <c r="I602" t="inlineStr">
        <is>
          <t>a</t>
        </is>
      </c>
      <c r="K602" s="2" t="n"/>
      <c r="M602" s="3" t="n">
        <v>346</v>
      </c>
      <c r="N602" s="4" t="n">
        <v>650</v>
      </c>
      <c r="O602" s="4" t="n">
        <v>304</v>
      </c>
      <c r="P602" s="5" t="inlineStr">
        <is>
          <t>medium</t>
        </is>
      </c>
      <c r="Q602" t="inlineStr">
        <is>
          <t>flat</t>
        </is>
      </c>
      <c r="R602" s="6" t="n">
        <v>650</v>
      </c>
      <c r="S602" t="inlineStr">
        <is>
          <t>research</t>
        </is>
      </c>
      <c r="T602" s="5" t="inlineStr">
        <is>
          <t>Signed from Olympiacos for GBP 11m on 15 Jun 2026 as a right-back, and Solio's 346 minutes carries a null 2025/26 record, i.e. it is a no-data placeholder rather than a judgement. He came off the bench in both August friendlies (59' v Roma, 78' v Bologna). Wieffer is clearly ahead of him, so this is a backup allocation with Conference League starts, not a starter's.</t>
        </is>
      </c>
      <c r="U602" s="6" t="n">
        <v>85</v>
      </c>
      <c r="V602" s="2" t="n"/>
      <c r="W602" s="7">
        <f>IF(N(U602)&lt;=0,0,MIN(Assumptions!$B$15,N(R602)/N(U602)))</f>
        <v/>
      </c>
      <c r="X602" s="6" t="n">
        <v>0.252</v>
      </c>
      <c r="Y602" s="3" t="n"/>
      <c r="Z602" t="inlineStr"/>
      <c r="AA602" s="3" t="n">
        <v>1</v>
      </c>
      <c r="AB602" s="3" t="n"/>
      <c r="AC602" s="3" t="n"/>
      <c r="AD602" s="3" t="n"/>
      <c r="AE602" s="3" t="n"/>
      <c r="AF602" s="3" t="n">
        <v>0</v>
      </c>
      <c r="AG602" s="3" t="n"/>
      <c r="AH602" s="3" t="n">
        <v>0</v>
      </c>
      <c r="AI602" s="3" t="n"/>
      <c r="AJ602" s="3" t="n">
        <v>2.8404</v>
      </c>
      <c r="AK602" s="3" t="n">
        <v>1.439</v>
      </c>
      <c r="AL602" s="3" t="n">
        <v>-0.2045226422080557</v>
      </c>
      <c r="AM602" s="6" t="n">
        <v>0</v>
      </c>
      <c r="AN602" s="3" t="n">
        <v>0</v>
      </c>
      <c r="AO602" s="3" t="n">
        <v>0</v>
      </c>
      <c r="AP602" s="3" t="n">
        <v>0</v>
      </c>
      <c r="AQ602" s="3">
        <f>N(X602)*N(BJ602)</f>
        <v/>
      </c>
      <c r="AR602" s="3" t="n">
        <v>0</v>
      </c>
      <c r="AS602" s="3" t="n">
        <v>-0.4835617861760246</v>
      </c>
      <c r="AT602" s="3" t="n">
        <v>-0.2045226422080557</v>
      </c>
      <c r="AU602" s="3">
        <f>SUM(AO602:AT602)</f>
        <v/>
      </c>
      <c r="AV602" s="7">
        <f>IF(OR(N(W602)&lt;=0,N(BH602)=0),0,N(W602)*IF(N(R602)/N(W602)&gt;=60,N(BH602),1))</f>
        <v/>
      </c>
      <c r="AW602" s="7">
        <f>N(W602)*N(AF602)*N(BI602)</f>
        <v/>
      </c>
      <c r="AX602" s="3">
        <f>IF(N(BH602)=0,0,N(W602)*N(AH602))</f>
        <v/>
      </c>
      <c r="AY602" s="7">
        <f>N(AM602)*(Assumptions!$B$13*N(BK602)-(1-Assumptions!$B$13)*Assumptions!$B$14)+N(AN602)</f>
        <v/>
      </c>
      <c r="AZ602" s="7">
        <f>N(AU602)*N(R602)/90+N(AV602)+N(AW602)+N(AX602)+N(AY602)</f>
        <v/>
      </c>
      <c r="BA602" s="3">
        <f>IF(N(R602)&lt;=0,0,(N(AZ602)-N(AY602))*90/N(R602))</f>
        <v/>
      </c>
      <c r="BB602" s="7">
        <f>IFERROR(AZ602-VLOOKUP($E602,Assumptions!$A$40:$C$43,3,FALSE),"")</f>
        <v/>
      </c>
      <c r="BC602" s="3">
        <f>IFERROR(BB602/H602,"")</f>
        <v/>
      </c>
      <c r="BD602">
        <f>IF(AND($G602=TRUE,$E602="GKP"),AZ602,"")</f>
        <v/>
      </c>
      <c r="BE602">
        <f>IF(AND($G602=TRUE,$E602="DEF"),AZ602,"")</f>
        <v/>
      </c>
      <c r="BF602">
        <f>IF(AND($G602=TRUE,$E602="MID"),AZ602,"")</f>
        <v/>
      </c>
      <c r="BG602">
        <f>IF(AND($G602=TRUE,$E602="FWD"),AZ602,"")</f>
        <v/>
      </c>
      <c r="BH602" t="n">
        <v>2</v>
      </c>
      <c r="BI602" t="n">
        <v>2</v>
      </c>
      <c r="BJ602" t="n">
        <v>4</v>
      </c>
      <c r="BK602" t="n">
        <v>6</v>
      </c>
    </row>
    <row r="603">
      <c r="A603" t="inlineStr">
        <is>
          <t>Michael Svoboda</t>
        </is>
      </c>
      <c r="B603" t="inlineStr">
        <is>
          <t>BHA</t>
        </is>
      </c>
      <c r="D603" t="b">
        <v>0</v>
      </c>
      <c r="E603" t="inlineStr">
        <is>
          <t>DEF</t>
        </is>
      </c>
      <c r="G603" t="b">
        <v>1</v>
      </c>
      <c r="H603" s="2" t="n">
        <v>5</v>
      </c>
      <c r="I603" t="inlineStr">
        <is>
          <t>a</t>
        </is>
      </c>
      <c r="K603" s="2" t="n"/>
      <c r="M603" s="3" t="n">
        <v>148</v>
      </c>
      <c r="N603" s="8" t="n">
        <v>148</v>
      </c>
      <c r="O603" s="8" t="n">
        <v>0</v>
      </c>
      <c r="Q603" t="inlineStr">
        <is>
          <t>flat</t>
        </is>
      </c>
      <c r="R603" s="6" t="n">
        <v>148</v>
      </c>
      <c r="S603" t="inlineStr">
        <is>
          <t>Solio</t>
        </is>
      </c>
      <c r="U603" s="6" t="n">
        <v>85</v>
      </c>
      <c r="V603" s="2" t="n"/>
      <c r="W603" s="7">
        <f>IF(N(U603)&lt;=0,0,MIN(Assumptions!$B$15,N(R603)/N(U603)))</f>
        <v/>
      </c>
      <c r="X603" s="6" t="n">
        <v>0.252</v>
      </c>
      <c r="Y603" s="3" t="n"/>
      <c r="Z603" t="inlineStr"/>
      <c r="AA603" s="3" t="n">
        <v>1</v>
      </c>
      <c r="AB603" s="3" t="n"/>
      <c r="AC603" s="3" t="n"/>
      <c r="AD603" s="3" t="n"/>
      <c r="AE603" s="3" t="n"/>
      <c r="AF603" s="3" t="n">
        <v>0</v>
      </c>
      <c r="AG603" s="3" t="n"/>
      <c r="AH603" s="3" t="n">
        <v>0</v>
      </c>
      <c r="AI603" s="3" t="n"/>
      <c r="AJ603" s="3" t="n">
        <v>2.8404</v>
      </c>
      <c r="AK603" s="3" t="n">
        <v>1.439</v>
      </c>
      <c r="AL603" s="3" t="n">
        <v>-0.2045226422080557</v>
      </c>
      <c r="AM603" s="6" t="n">
        <v>0</v>
      </c>
      <c r="AN603" s="3" t="n">
        <v>0</v>
      </c>
      <c r="AO603" s="3" t="n">
        <v>0</v>
      </c>
      <c r="AP603" s="3" t="n">
        <v>0</v>
      </c>
      <c r="AQ603" s="3">
        <f>N(X603)*N(BJ603)</f>
        <v/>
      </c>
      <c r="AR603" s="3" t="n">
        <v>0</v>
      </c>
      <c r="AS603" s="3" t="n">
        <v>-0.4835617861760246</v>
      </c>
      <c r="AT603" s="3" t="n">
        <v>-0.2045226422080557</v>
      </c>
      <c r="AU603" s="3">
        <f>SUM(AO603:AT603)</f>
        <v/>
      </c>
      <c r="AV603" s="7">
        <f>IF(OR(N(W603)&lt;=0,N(BH603)=0),0,N(W603)*IF(N(R603)/N(W603)&gt;=60,N(BH603),1))</f>
        <v/>
      </c>
      <c r="AW603" s="7">
        <f>N(W603)*N(AF603)*N(BI603)</f>
        <v/>
      </c>
      <c r="AX603" s="3">
        <f>IF(N(BH603)=0,0,N(W603)*N(AH603))</f>
        <v/>
      </c>
      <c r="AY603" s="7">
        <f>N(AM603)*(Assumptions!$B$13*N(BK603)-(1-Assumptions!$B$13)*Assumptions!$B$14)+N(AN603)</f>
        <v/>
      </c>
      <c r="AZ603" s="7">
        <f>N(AU603)*N(R603)/90+N(AV603)+N(AW603)+N(AX603)+N(AY603)</f>
        <v/>
      </c>
      <c r="BA603" s="3">
        <f>IF(N(R603)&lt;=0,0,(N(AZ603)-N(AY603))*90/N(R603))</f>
        <v/>
      </c>
      <c r="BB603" s="7">
        <f>IFERROR(AZ603-VLOOKUP($E603,Assumptions!$A$40:$C$43,3,FALSE),"")</f>
        <v/>
      </c>
      <c r="BC603" s="3">
        <f>IFERROR(BB603/H603,"")</f>
        <v/>
      </c>
      <c r="BD603">
        <f>IF(AND($G603=TRUE,$E603="GKP"),AZ603,"")</f>
        <v/>
      </c>
      <c r="BE603">
        <f>IF(AND($G603=TRUE,$E603="DEF"),AZ603,"")</f>
        <v/>
      </c>
      <c r="BF603">
        <f>IF(AND($G603=TRUE,$E603="MID"),AZ603,"")</f>
        <v/>
      </c>
      <c r="BG603">
        <f>IF(AND($G603=TRUE,$E603="FWD"),AZ603,"")</f>
        <v/>
      </c>
      <c r="BH603" t="n">
        <v>2</v>
      </c>
      <c r="BI603" t="n">
        <v>2</v>
      </c>
      <c r="BJ603" t="n">
        <v>4</v>
      </c>
      <c r="BK603" t="n">
        <v>6</v>
      </c>
    </row>
    <row r="604">
      <c r="A604" t="inlineStr">
        <is>
          <t>Leif Davis</t>
        </is>
      </c>
      <c r="B604" t="inlineStr">
        <is>
          <t>IPS</t>
        </is>
      </c>
      <c r="D604" t="b">
        <v>0</v>
      </c>
      <c r="E604" t="inlineStr">
        <is>
          <t>DEF</t>
        </is>
      </c>
      <c r="G604" t="b">
        <v>1</v>
      </c>
      <c r="H604" s="2" t="n">
        <v>4</v>
      </c>
      <c r="I604" t="inlineStr">
        <is>
          <t>a</t>
        </is>
      </c>
      <c r="K604" s="2" t="n"/>
      <c r="M604" s="3" t="n">
        <v>3186</v>
      </c>
      <c r="N604" s="8" t="n">
        <v>3186</v>
      </c>
      <c r="O604" s="8" t="n">
        <v>0</v>
      </c>
      <c r="Q604" t="inlineStr">
        <is>
          <t>flat</t>
        </is>
      </c>
      <c r="R604" s="6" t="n">
        <v>3186</v>
      </c>
      <c r="S604" t="inlineStr">
        <is>
          <t>Solio</t>
        </is>
      </c>
      <c r="U604" s="6" t="n">
        <v>85</v>
      </c>
      <c r="V604" s="2" t="n"/>
      <c r="W604" s="7">
        <f>IF(N(U604)&lt;=0,0,MIN(Assumptions!$B$15,N(R604)/N(U604)))</f>
        <v/>
      </c>
      <c r="X604" s="6" t="n">
        <v>0.17</v>
      </c>
      <c r="Y604" s="3" t="n"/>
      <c r="Z604" t="inlineStr"/>
      <c r="AA604" s="3" t="n">
        <v>1</v>
      </c>
      <c r="AB604" s="3" t="n"/>
      <c r="AC604" s="3" t="n"/>
      <c r="AD604" s="3" t="n"/>
      <c r="AE604" s="3" t="n"/>
      <c r="AF604" s="3" t="n">
        <v>0</v>
      </c>
      <c r="AG604" s="3" t="n"/>
      <c r="AH604" s="3" t="n">
        <v>0</v>
      </c>
      <c r="AI604" s="3" t="n"/>
      <c r="AJ604" s="3" t="n">
        <v>3.5741</v>
      </c>
      <c r="AK604" s="3" t="n">
        <v>1.8319</v>
      </c>
      <c r="AL604" s="3" t="n">
        <v>-0.1942789057521099</v>
      </c>
      <c r="AM604" s="6" t="n">
        <v>0</v>
      </c>
      <c r="AN604" s="3" t="n">
        <v>0</v>
      </c>
      <c r="AO604" s="3" t="n">
        <v>0</v>
      </c>
      <c r="AP604" s="3" t="n">
        <v>0</v>
      </c>
      <c r="AQ604" s="3">
        <f>N(X604)*N(BJ604)</f>
        <v/>
      </c>
      <c r="AR604" s="3" t="n">
        <v>0</v>
      </c>
      <c r="AS604" s="3" t="n">
        <v>-0.6723587286814016</v>
      </c>
      <c r="AT604" s="3" t="n">
        <v>-0.1942789057521099</v>
      </c>
      <c r="AU604" s="3">
        <f>SUM(AO604:AT604)</f>
        <v/>
      </c>
      <c r="AV604" s="7">
        <f>IF(OR(N(W604)&lt;=0,N(BH604)=0),0,N(W604)*IF(N(R604)/N(W604)&gt;=60,N(BH604),1))</f>
        <v/>
      </c>
      <c r="AW604" s="7">
        <f>N(W604)*N(AF604)*N(BI604)</f>
        <v/>
      </c>
      <c r="AX604" s="3">
        <f>IF(N(BH604)=0,0,N(W604)*N(AH604))</f>
        <v/>
      </c>
      <c r="AY604" s="7">
        <f>N(AM604)*(Assumptions!$B$13*N(BK604)-(1-Assumptions!$B$13)*Assumptions!$B$14)+N(AN604)</f>
        <v/>
      </c>
      <c r="AZ604" s="7">
        <f>N(AU604)*N(R604)/90+N(AV604)+N(AW604)+N(AX604)+N(AY604)</f>
        <v/>
      </c>
      <c r="BA604" s="3">
        <f>IF(N(R604)&lt;=0,0,(N(AZ604)-N(AY604))*90/N(R604))</f>
        <v/>
      </c>
      <c r="BB604" s="7">
        <f>IFERROR(AZ604-VLOOKUP($E604,Assumptions!$A$40:$C$43,3,FALSE),"")</f>
        <v/>
      </c>
      <c r="BC604" s="3">
        <f>IFERROR(BB604/H604,"")</f>
        <v/>
      </c>
      <c r="BD604">
        <f>IF(AND($G604=TRUE,$E604="GKP"),AZ604,"")</f>
        <v/>
      </c>
      <c r="BE604">
        <f>IF(AND($G604=TRUE,$E604="DEF"),AZ604,"")</f>
        <v/>
      </c>
      <c r="BF604">
        <f>IF(AND($G604=TRUE,$E604="MID"),AZ604,"")</f>
        <v/>
      </c>
      <c r="BG604">
        <f>IF(AND($G604=TRUE,$E604="FWD"),AZ604,"")</f>
        <v/>
      </c>
      <c r="BH604" t="n">
        <v>2</v>
      </c>
      <c r="BI604" t="n">
        <v>2</v>
      </c>
      <c r="BJ604" t="n">
        <v>4</v>
      </c>
      <c r="BK604" t="n">
        <v>6</v>
      </c>
    </row>
    <row r="605">
      <c r="A605" t="inlineStr">
        <is>
          <t>Bobby Thomas</t>
        </is>
      </c>
      <c r="B605" t="inlineStr">
        <is>
          <t>COV</t>
        </is>
      </c>
      <c r="D605" t="b">
        <v>0</v>
      </c>
      <c r="E605" t="inlineStr">
        <is>
          <t>DEF</t>
        </is>
      </c>
      <c r="G605" t="b">
        <v>1</v>
      </c>
      <c r="H605" s="2" t="n">
        <v>4</v>
      </c>
      <c r="I605" t="inlineStr">
        <is>
          <t>a</t>
        </is>
      </c>
      <c r="K605" s="2" t="n"/>
      <c r="M605" s="3" t="n">
        <v>3135</v>
      </c>
      <c r="N605" s="8" t="n">
        <v>3135</v>
      </c>
      <c r="O605" s="8" t="n">
        <v>0</v>
      </c>
      <c r="Q605" t="inlineStr">
        <is>
          <t>flat</t>
        </is>
      </c>
      <c r="R605" s="6" t="n">
        <v>3135</v>
      </c>
      <c r="S605" t="inlineStr">
        <is>
          <t>Solio</t>
        </is>
      </c>
      <c r="U605" s="6" t="n">
        <v>85</v>
      </c>
      <c r="V605" s="2" t="n"/>
      <c r="W605" s="7">
        <f>IF(N(U605)&lt;=0,0,MIN(Assumptions!$B$15,N(R605)/N(U605)))</f>
        <v/>
      </c>
      <c r="X605" s="6" t="n">
        <v>0.17</v>
      </c>
      <c r="Y605" s="3" t="n"/>
      <c r="Z605" t="inlineStr"/>
      <c r="AA605" s="3" t="n">
        <v>1</v>
      </c>
      <c r="AB605" s="3" t="n"/>
      <c r="AC605" s="3" t="n"/>
      <c r="AD605" s="3" t="n"/>
      <c r="AE605" s="3" t="n"/>
      <c r="AF605" s="3" t="n">
        <v>0</v>
      </c>
      <c r="AG605" s="3" t="n"/>
      <c r="AH605" s="3" t="n">
        <v>0</v>
      </c>
      <c r="AI605" s="3" t="n"/>
      <c r="AJ605" s="3" t="n">
        <v>3.6194</v>
      </c>
      <c r="AK605" s="3" t="n">
        <v>1.8271</v>
      </c>
      <c r="AL605" s="3" t="n">
        <v>-0.2045226422080557</v>
      </c>
      <c r="AM605" s="6" t="n">
        <v>0</v>
      </c>
      <c r="AN605" s="3" t="n">
        <v>0</v>
      </c>
      <c r="AO605" s="3" t="n">
        <v>0</v>
      </c>
      <c r="AP605" s="3" t="n">
        <v>0</v>
      </c>
      <c r="AQ605" s="3">
        <f>N(X605)*N(BJ605)</f>
        <v/>
      </c>
      <c r="AR605" s="3" t="n">
        <v>0</v>
      </c>
      <c r="AS605" s="3" t="n">
        <v>-0.670020548738316</v>
      </c>
      <c r="AT605" s="3" t="n">
        <v>-0.2045226422080557</v>
      </c>
      <c r="AU605" s="3">
        <f>SUM(AO605:AT605)</f>
        <v/>
      </c>
      <c r="AV605" s="7">
        <f>IF(OR(N(W605)&lt;=0,N(BH605)=0),0,N(W605)*IF(N(R605)/N(W605)&gt;=60,N(BH605),1))</f>
        <v/>
      </c>
      <c r="AW605" s="7">
        <f>N(W605)*N(AF605)*N(BI605)</f>
        <v/>
      </c>
      <c r="AX605" s="3">
        <f>IF(N(BH605)=0,0,N(W605)*N(AH605))</f>
        <v/>
      </c>
      <c r="AY605" s="7">
        <f>N(AM605)*(Assumptions!$B$13*N(BK605)-(1-Assumptions!$B$13)*Assumptions!$B$14)+N(AN605)</f>
        <v/>
      </c>
      <c r="AZ605" s="7">
        <f>N(AU605)*N(R605)/90+N(AV605)+N(AW605)+N(AX605)+N(AY605)</f>
        <v/>
      </c>
      <c r="BA605" s="3">
        <f>IF(N(R605)&lt;=0,0,(N(AZ605)-N(AY605))*90/N(R605))</f>
        <v/>
      </c>
      <c r="BB605" s="7">
        <f>IFERROR(AZ605-VLOOKUP($E605,Assumptions!$A$40:$C$43,3,FALSE),"")</f>
        <v/>
      </c>
      <c r="BC605" s="3">
        <f>IFERROR(BB605/H605,"")</f>
        <v/>
      </c>
      <c r="BD605">
        <f>IF(AND($G605=TRUE,$E605="GKP"),AZ605,"")</f>
        <v/>
      </c>
      <c r="BE605">
        <f>IF(AND($G605=TRUE,$E605="DEF"),AZ605,"")</f>
        <v/>
      </c>
      <c r="BF605">
        <f>IF(AND($G605=TRUE,$E605="MID"),AZ605,"")</f>
        <v/>
      </c>
      <c r="BG605">
        <f>IF(AND($G605=TRUE,$E605="FWD"),AZ605,"")</f>
        <v/>
      </c>
      <c r="BH605" t="n">
        <v>2</v>
      </c>
      <c r="BI605" t="n">
        <v>2</v>
      </c>
      <c r="BJ605" t="n">
        <v>4</v>
      </c>
      <c r="BK605" t="n">
        <v>6</v>
      </c>
    </row>
    <row r="606">
      <c r="A606" t="inlineStr">
        <is>
          <t>Bashir Humphreys</t>
        </is>
      </c>
      <c r="C606" t="inlineStr">
        <is>
          <t>BUR</t>
        </is>
      </c>
      <c r="D606" t="b">
        <v>0</v>
      </c>
      <c r="F606" t="inlineStr">
        <is>
          <t>DEF</t>
        </is>
      </c>
      <c r="G606" t="b">
        <v>0</v>
      </c>
      <c r="H606" s="2" t="n"/>
      <c r="K606" s="2" t="n">
        <v>1578</v>
      </c>
      <c r="M606" s="3" t="n"/>
      <c r="N606" s="8" t="n">
        <v>1578</v>
      </c>
      <c r="O606" s="8" t="n">
        <v>0</v>
      </c>
      <c r="R606" s="6" t="n">
        <v>1578</v>
      </c>
      <c r="S606" t="inlineStr">
        <is>
          <t>25/26 actual</t>
        </is>
      </c>
      <c r="U606" s="6" t="n">
        <v>86.8</v>
      </c>
      <c r="V606" s="2" t="n">
        <v>17</v>
      </c>
      <c r="W606" s="7">
        <f>IF(N(U606)&lt;=0,0,MIN(Assumptions!$B$15,N(R606)/N(U606)))</f>
        <v/>
      </c>
      <c r="X606" s="6" t="n"/>
      <c r="Y606" s="3" t="n">
        <v>0.0245</v>
      </c>
      <c r="Z606" t="inlineStr">
        <is>
          <t>adjusted xGOT</t>
        </is>
      </c>
      <c r="AA606" s="3" t="n">
        <v>1</v>
      </c>
      <c r="AB606" s="3" t="n">
        <v>1.021</v>
      </c>
      <c r="AC606" s="3" t="n">
        <v>0.4</v>
      </c>
      <c r="AD606" s="3" t="n">
        <v>0.0493</v>
      </c>
      <c r="AE606" s="3" t="n">
        <v>7.944</v>
      </c>
      <c r="AF606" s="3" t="n">
        <v>0</v>
      </c>
      <c r="AG606" s="3" t="n">
        <v>9.555</v>
      </c>
      <c r="AH606" s="3" t="n">
        <v>0</v>
      </c>
      <c r="AI606" s="3" t="n">
        <v>38</v>
      </c>
      <c r="AJ606" s="3" t="n"/>
      <c r="AK606" s="3" t="n"/>
      <c r="AL606" s="3" t="n"/>
      <c r="AM606" s="6" t="n">
        <v>0</v>
      </c>
      <c r="AN606" s="3" t="n">
        <v>0</v>
      </c>
      <c r="AO606" s="3" t="n">
        <v>0</v>
      </c>
      <c r="AP606" s="3" t="n">
        <v>0</v>
      </c>
      <c r="AQ606" s="3">
        <f>N(X606)*N(BJ606)</f>
        <v/>
      </c>
      <c r="AR606" s="3" t="n">
        <v>0</v>
      </c>
      <c r="AS606" s="3" t="n">
        <v>0</v>
      </c>
      <c r="AT606" s="3" t="n">
        <v>0</v>
      </c>
      <c r="AU606" s="3">
        <f>SUM(AO606:AT606)</f>
        <v/>
      </c>
      <c r="AV606" s="7">
        <f>IF(OR(N(W606)&lt;=0,N(BH606)=0),0,N(W606)*IF(N(R606)/N(W606)&gt;=60,N(BH606),1))</f>
        <v/>
      </c>
      <c r="AW606" s="7">
        <f>N(W606)*N(AF606)*N(BI606)</f>
        <v/>
      </c>
      <c r="AX606" s="3">
        <f>IF(N(BH606)=0,0,N(W606)*N(AH606))</f>
        <v/>
      </c>
      <c r="AY606" s="7">
        <f>N(AM606)*(Assumptions!$B$13*N(BK606)-(1-Assumptions!$B$13)*Assumptions!$B$14)+N(AN606)</f>
        <v/>
      </c>
      <c r="AZ606" s="7">
        <f>N(AU606)*N(R606)/90+N(AV606)+N(AW606)+N(AX606)+N(AY606)</f>
        <v/>
      </c>
      <c r="BA606" s="3">
        <f>IF(N(R606)&lt;=0,0,(N(AZ606)-N(AY606))*90/N(R606))</f>
        <v/>
      </c>
      <c r="BB606" s="7">
        <f>IFERROR(AZ606-VLOOKUP($E606,Assumptions!$A$40:$C$43,3,FALSE),"")</f>
        <v/>
      </c>
      <c r="BC606" s="3">
        <f>IFERROR(BB606/H606,"")</f>
        <v/>
      </c>
      <c r="BD606">
        <f>IF(AND($G606=TRUE,$E606="GKP"),AZ606,"")</f>
        <v/>
      </c>
      <c r="BE606">
        <f>IF(AND($G606=TRUE,$E606="DEF"),AZ606,"")</f>
        <v/>
      </c>
      <c r="BF606">
        <f>IF(AND($G606=TRUE,$E606="MID"),AZ606,"")</f>
        <v/>
      </c>
      <c r="BG606">
        <f>IF(AND($G606=TRUE,$E606="FWD"),AZ606,"")</f>
        <v/>
      </c>
      <c r="BH606" t="n">
        <v>0</v>
      </c>
      <c r="BI606" t="n">
        <v>0</v>
      </c>
      <c r="BJ606" t="n">
        <v>0</v>
      </c>
      <c r="BK606" t="n">
        <v>0</v>
      </c>
    </row>
    <row r="607">
      <c r="A607" t="inlineStr">
        <is>
          <t>Dennis Cirkin</t>
        </is>
      </c>
      <c r="C607" t="inlineStr">
        <is>
          <t>SUN</t>
        </is>
      </c>
      <c r="D607" t="b">
        <v>0</v>
      </c>
      <c r="F607" t="inlineStr">
        <is>
          <t>DEF</t>
        </is>
      </c>
      <c r="G607" t="b">
        <v>0</v>
      </c>
      <c r="H607" s="2" t="n"/>
      <c r="K607" s="2" t="n">
        <v>320</v>
      </c>
      <c r="M607" s="3" t="n"/>
      <c r="N607" s="8" t="n">
        <v>320</v>
      </c>
      <c r="O607" s="8" t="n">
        <v>0</v>
      </c>
      <c r="R607" s="6" t="n">
        <v>320</v>
      </c>
      <c r="S607" t="inlineStr">
        <is>
          <t>25/26 actual</t>
        </is>
      </c>
      <c r="U607" s="6" t="n">
        <v>84.09999999999999</v>
      </c>
      <c r="V607" s="2" t="n">
        <v>3</v>
      </c>
      <c r="W607" s="7">
        <f>IF(N(U607)&lt;=0,0,MIN(Assumptions!$B$15,N(R607)/N(U607)))</f>
        <v/>
      </c>
      <c r="X607" s="6" t="n"/>
      <c r="Y607" s="3" t="n">
        <v>0.0222</v>
      </c>
      <c r="Z607" t="inlineStr">
        <is>
          <t>adjusted xGOT</t>
        </is>
      </c>
      <c r="AA607" s="3" t="n">
        <v>1</v>
      </c>
      <c r="AB607" s="3" t="n">
        <v>0.99</v>
      </c>
      <c r="AC607" s="3" t="n">
        <v>0.1</v>
      </c>
      <c r="AD607" s="3" t="n">
        <v>0</v>
      </c>
      <c r="AE607" s="3" t="n">
        <v>7.751</v>
      </c>
      <c r="AF607" s="3" t="n">
        <v>0</v>
      </c>
      <c r="AG607" s="3" t="n">
        <v>6.97</v>
      </c>
      <c r="AH607" s="3" t="n">
        <v>0</v>
      </c>
      <c r="AI607" s="3" t="n">
        <v>10</v>
      </c>
      <c r="AJ607" s="3" t="n"/>
      <c r="AK607" s="3" t="n"/>
      <c r="AL607" s="3" t="n"/>
      <c r="AM607" s="6" t="n">
        <v>0</v>
      </c>
      <c r="AN607" s="3" t="n">
        <v>0</v>
      </c>
      <c r="AO607" s="3" t="n">
        <v>0</v>
      </c>
      <c r="AP607" s="3" t="n">
        <v>0</v>
      </c>
      <c r="AQ607" s="3">
        <f>N(X607)*N(BJ607)</f>
        <v/>
      </c>
      <c r="AR607" s="3" t="n">
        <v>0</v>
      </c>
      <c r="AS607" s="3" t="n">
        <v>0</v>
      </c>
      <c r="AT607" s="3" t="n">
        <v>0</v>
      </c>
      <c r="AU607" s="3">
        <f>SUM(AO607:AT607)</f>
        <v/>
      </c>
      <c r="AV607" s="7">
        <f>IF(OR(N(W607)&lt;=0,N(BH607)=0),0,N(W607)*IF(N(R607)/N(W607)&gt;=60,N(BH607),1))</f>
        <v/>
      </c>
      <c r="AW607" s="7">
        <f>N(W607)*N(AF607)*N(BI607)</f>
        <v/>
      </c>
      <c r="AX607" s="3">
        <f>IF(N(BH607)=0,0,N(W607)*N(AH607))</f>
        <v/>
      </c>
      <c r="AY607" s="7">
        <f>N(AM607)*(Assumptions!$B$13*N(BK607)-(1-Assumptions!$B$13)*Assumptions!$B$14)+N(AN607)</f>
        <v/>
      </c>
      <c r="AZ607" s="7">
        <f>N(AU607)*N(R607)/90+N(AV607)+N(AW607)+N(AX607)+N(AY607)</f>
        <v/>
      </c>
      <c r="BA607" s="3">
        <f>IF(N(R607)&lt;=0,0,(N(AZ607)-N(AY607))*90/N(R607))</f>
        <v/>
      </c>
      <c r="BB607" s="7">
        <f>IFERROR(AZ607-VLOOKUP($E607,Assumptions!$A$40:$C$43,3,FALSE),"")</f>
        <v/>
      </c>
      <c r="BC607" s="3">
        <f>IFERROR(BB607/H607,"")</f>
        <v/>
      </c>
      <c r="BD607">
        <f>IF(AND($G607=TRUE,$E607="GKP"),AZ607,"")</f>
        <v/>
      </c>
      <c r="BE607">
        <f>IF(AND($G607=TRUE,$E607="DEF"),AZ607,"")</f>
        <v/>
      </c>
      <c r="BF607">
        <f>IF(AND($G607=TRUE,$E607="MID"),AZ607,"")</f>
        <v/>
      </c>
      <c r="BG607">
        <f>IF(AND($G607=TRUE,$E607="FWD"),AZ607,"")</f>
        <v/>
      </c>
      <c r="BH607" t="n">
        <v>0</v>
      </c>
      <c r="BI607" t="n">
        <v>0</v>
      </c>
      <c r="BJ607" t="n">
        <v>0</v>
      </c>
      <c r="BK607" t="n">
        <v>0</v>
      </c>
    </row>
    <row r="608">
      <c r="A608" t="inlineStr">
        <is>
          <t>Kasey McAteer</t>
        </is>
      </c>
      <c r="B608" t="inlineStr">
        <is>
          <t>IPS</t>
        </is>
      </c>
      <c r="D608" t="b">
        <v>0</v>
      </c>
      <c r="E608" t="inlineStr">
        <is>
          <t>MID</t>
        </is>
      </c>
      <c r="G608" t="b">
        <v>1</v>
      </c>
      <c r="H608" s="2" t="n">
        <v>4.5</v>
      </c>
      <c r="I608" t="inlineStr">
        <is>
          <t>a</t>
        </is>
      </c>
      <c r="K608" s="2" t="n"/>
      <c r="M608" s="3" t="n">
        <v>0</v>
      </c>
      <c r="N608" s="8" t="n">
        <v>0</v>
      </c>
      <c r="O608" s="8" t="n">
        <v>0</v>
      </c>
      <c r="Q608" t="inlineStr">
        <is>
          <t>flat</t>
        </is>
      </c>
      <c r="R608" s="6" t="n">
        <v>0</v>
      </c>
      <c r="S608" t="inlineStr">
        <is>
          <t>Solio</t>
        </is>
      </c>
      <c r="U608" s="6" t="n">
        <v>85</v>
      </c>
      <c r="V608" s="2" t="n"/>
      <c r="W608" s="7">
        <f>IF(N(U608)&lt;=0,0,MIN(Assumptions!$B$15,N(R608)/N(U608)))</f>
        <v/>
      </c>
      <c r="X608" s="6" t="n">
        <v>0.17</v>
      </c>
      <c r="Y608" s="3" t="n"/>
      <c r="Z608" t="inlineStr"/>
      <c r="AA608" s="3" t="n">
        <v>1</v>
      </c>
      <c r="AB608" s="3" t="n"/>
      <c r="AC608" s="3" t="n"/>
      <c r="AD608" s="3" t="n"/>
      <c r="AE608" s="3" t="n"/>
      <c r="AF608" s="3" t="n">
        <v>0</v>
      </c>
      <c r="AG608" s="3" t="n"/>
      <c r="AH608" s="3" t="n">
        <v>0</v>
      </c>
      <c r="AI608" s="3" t="n"/>
      <c r="AJ608" s="3" t="n">
        <v>3.5741</v>
      </c>
      <c r="AK608" s="3" t="n">
        <v>1.8319</v>
      </c>
      <c r="AL608" s="3" t="n">
        <v>-0.2472511313587093</v>
      </c>
      <c r="AM608" s="6" t="n">
        <v>0</v>
      </c>
      <c r="AN608" s="3" t="n">
        <v>0</v>
      </c>
      <c r="AO608" s="3" t="n">
        <v>0</v>
      </c>
      <c r="AP608" s="3" t="n">
        <v>0</v>
      </c>
      <c r="AQ608" s="3">
        <f>N(X608)*N(BJ608)</f>
        <v/>
      </c>
      <c r="AR608" s="3" t="n">
        <v>0</v>
      </c>
      <c r="AS608" s="3" t="n">
        <v>-0</v>
      </c>
      <c r="AT608" s="3" t="n">
        <v>-0.2472511313587093</v>
      </c>
      <c r="AU608" s="3">
        <f>SUM(AO608:AT608)</f>
        <v/>
      </c>
      <c r="AV608" s="7">
        <f>IF(OR(N(W608)&lt;=0,N(BH608)=0),0,N(W608)*IF(N(R608)/N(W608)&gt;=60,N(BH608),1))</f>
        <v/>
      </c>
      <c r="AW608" s="7">
        <f>N(W608)*N(AF608)*N(BI608)</f>
        <v/>
      </c>
      <c r="AX608" s="3">
        <f>IF(N(BH608)=0,0,N(W608)*N(AH608))</f>
        <v/>
      </c>
      <c r="AY608" s="7">
        <f>N(AM608)*(Assumptions!$B$13*N(BK608)-(1-Assumptions!$B$13)*Assumptions!$B$14)+N(AN608)</f>
        <v/>
      </c>
      <c r="AZ608" s="7">
        <f>N(AU608)*N(R608)/90+N(AV608)+N(AW608)+N(AX608)+N(AY608)</f>
        <v/>
      </c>
      <c r="BA608" s="3">
        <f>IF(N(R608)&lt;=0,0,(N(AZ608)-N(AY608))*90/N(R608))</f>
        <v/>
      </c>
      <c r="BB608" s="7">
        <f>IFERROR(AZ608-VLOOKUP($E608,Assumptions!$A$40:$C$43,3,FALSE),"")</f>
        <v/>
      </c>
      <c r="BC608" s="3">
        <f>IFERROR(BB608/H608,"")</f>
        <v/>
      </c>
      <c r="BD608">
        <f>IF(AND($G608=TRUE,$E608="GKP"),AZ608,"")</f>
        <v/>
      </c>
      <c r="BE608">
        <f>IF(AND($G608=TRUE,$E608="DEF"),AZ608,"")</f>
        <v/>
      </c>
      <c r="BF608">
        <f>IF(AND($G608=TRUE,$E608="MID"),AZ608,"")</f>
        <v/>
      </c>
      <c r="BG608">
        <f>IF(AND($G608=TRUE,$E608="FWD"),AZ608,"")</f>
        <v/>
      </c>
      <c r="BH608" t="n">
        <v>2</v>
      </c>
      <c r="BI608" t="n">
        <v>2</v>
      </c>
      <c r="BJ608" t="n">
        <v>1</v>
      </c>
      <c r="BK608" t="n">
        <v>5</v>
      </c>
    </row>
    <row r="609">
      <c r="A609" t="inlineStr">
        <is>
          <t>Jean-Clair Todibo</t>
        </is>
      </c>
      <c r="C609" t="inlineStr">
        <is>
          <t>WHU</t>
        </is>
      </c>
      <c r="D609" t="b">
        <v>0</v>
      </c>
      <c r="F609" t="inlineStr">
        <is>
          <t>DEF</t>
        </is>
      </c>
      <c r="G609" t="b">
        <v>0</v>
      </c>
      <c r="H609" s="2" t="n"/>
      <c r="K609" s="2" t="n">
        <v>1817</v>
      </c>
      <c r="M609" s="3" t="n"/>
      <c r="N609" s="8" t="n">
        <v>1817</v>
      </c>
      <c r="O609" s="8" t="n">
        <v>0</v>
      </c>
      <c r="R609" s="6" t="n">
        <v>1817</v>
      </c>
      <c r="S609" t="inlineStr">
        <is>
          <t>25/26 actual</t>
        </is>
      </c>
      <c r="U609" s="6" t="n">
        <v>83.3</v>
      </c>
      <c r="V609" s="2" t="n">
        <v>21</v>
      </c>
      <c r="W609" s="7">
        <f>IF(N(U609)&lt;=0,0,MIN(Assumptions!$B$15,N(R609)/N(U609)))</f>
        <v/>
      </c>
      <c r="X609" s="6" t="n"/>
      <c r="Y609" s="3" t="n">
        <v>0.0115</v>
      </c>
      <c r="Z609" t="inlineStr">
        <is>
          <t>adjusted xGOT</t>
        </is>
      </c>
      <c r="AA609" s="3" t="n">
        <v>1</v>
      </c>
      <c r="AB609" s="3" t="n">
        <v>0.929</v>
      </c>
      <c r="AC609" s="3" t="n">
        <v>0.6</v>
      </c>
      <c r="AD609" s="3" t="n">
        <v>0.0188</v>
      </c>
      <c r="AE609" s="3" t="n">
        <v>8.034000000000001</v>
      </c>
      <c r="AF609" s="3" t="n">
        <v>0</v>
      </c>
      <c r="AG609" s="3" t="n">
        <v>8.164999999999999</v>
      </c>
      <c r="AH609" s="3" t="n">
        <v>0</v>
      </c>
      <c r="AI609" s="3" t="n">
        <v>42</v>
      </c>
      <c r="AJ609" s="3" t="n"/>
      <c r="AK609" s="3" t="n"/>
      <c r="AL609" s="3" t="n"/>
      <c r="AM609" s="6" t="n">
        <v>0</v>
      </c>
      <c r="AN609" s="3" t="n">
        <v>0</v>
      </c>
      <c r="AO609" s="3" t="n">
        <v>0</v>
      </c>
      <c r="AP609" s="3" t="n">
        <v>0</v>
      </c>
      <c r="AQ609" s="3">
        <f>N(X609)*N(BJ609)</f>
        <v/>
      </c>
      <c r="AR609" s="3" t="n">
        <v>0</v>
      </c>
      <c r="AS609" s="3" t="n">
        <v>0</v>
      </c>
      <c r="AT609" s="3" t="n">
        <v>0</v>
      </c>
      <c r="AU609" s="3">
        <f>SUM(AO609:AT609)</f>
        <v/>
      </c>
      <c r="AV609" s="7">
        <f>IF(OR(N(W609)&lt;=0,N(BH609)=0),0,N(W609)*IF(N(R609)/N(W609)&gt;=60,N(BH609),1))</f>
        <v/>
      </c>
      <c r="AW609" s="7">
        <f>N(W609)*N(AF609)*N(BI609)</f>
        <v/>
      </c>
      <c r="AX609" s="3">
        <f>IF(N(BH609)=0,0,N(W609)*N(AH609))</f>
        <v/>
      </c>
      <c r="AY609" s="7">
        <f>N(AM609)*(Assumptions!$B$13*N(BK609)-(1-Assumptions!$B$13)*Assumptions!$B$14)+N(AN609)</f>
        <v/>
      </c>
      <c r="AZ609" s="7">
        <f>N(AU609)*N(R609)/90+N(AV609)+N(AW609)+N(AX609)+N(AY609)</f>
        <v/>
      </c>
      <c r="BA609" s="3">
        <f>IF(N(R609)&lt;=0,0,(N(AZ609)-N(AY609))*90/N(R609))</f>
        <v/>
      </c>
      <c r="BB609" s="7">
        <f>IFERROR(AZ609-VLOOKUP($E609,Assumptions!$A$40:$C$43,3,FALSE),"")</f>
        <v/>
      </c>
      <c r="BC609" s="3">
        <f>IFERROR(BB609/H609,"")</f>
        <v/>
      </c>
      <c r="BD609">
        <f>IF(AND($G609=TRUE,$E609="GKP"),AZ609,"")</f>
        <v/>
      </c>
      <c r="BE609">
        <f>IF(AND($G609=TRUE,$E609="DEF"),AZ609,"")</f>
        <v/>
      </c>
      <c r="BF609">
        <f>IF(AND($G609=TRUE,$E609="MID"),AZ609,"")</f>
        <v/>
      </c>
      <c r="BG609">
        <f>IF(AND($G609=TRUE,$E609="FWD"),AZ609,"")</f>
        <v/>
      </c>
      <c r="BH609" t="n">
        <v>0</v>
      </c>
      <c r="BI609" t="n">
        <v>0</v>
      </c>
      <c r="BJ609" t="n">
        <v>0</v>
      </c>
      <c r="BK609" t="n">
        <v>0</v>
      </c>
    </row>
    <row r="610">
      <c r="A610" t="inlineStr">
        <is>
          <t>Ali Al-Hamadi</t>
        </is>
      </c>
      <c r="B610" t="inlineStr">
        <is>
          <t>IPS</t>
        </is>
      </c>
      <c r="D610" t="b">
        <v>0</v>
      </c>
      <c r="E610" t="inlineStr">
        <is>
          <t>FWD</t>
        </is>
      </c>
      <c r="G610" t="b">
        <v>1</v>
      </c>
      <c r="H610" s="2" t="n">
        <v>5</v>
      </c>
      <c r="I610" t="inlineStr">
        <is>
          <t>a</t>
        </is>
      </c>
      <c r="K610" s="2" t="n"/>
      <c r="M610" s="3" t="n">
        <v>38</v>
      </c>
      <c r="N610" s="8" t="n">
        <v>38</v>
      </c>
      <c r="O610" s="8" t="n">
        <v>0</v>
      </c>
      <c r="Q610" t="inlineStr">
        <is>
          <t>flat</t>
        </is>
      </c>
      <c r="R610" s="6" t="n">
        <v>38</v>
      </c>
      <c r="S610" t="inlineStr">
        <is>
          <t>Solio</t>
        </is>
      </c>
      <c r="U610" s="6" t="n">
        <v>85</v>
      </c>
      <c r="V610" s="2" t="n"/>
      <c r="W610" s="7">
        <f>IF(N(U610)&lt;=0,0,MIN(Assumptions!$B$15,N(R610)/N(U610)))</f>
        <v/>
      </c>
      <c r="X610" s="6" t="n">
        <v>0.17</v>
      </c>
      <c r="Y610" s="3" t="n"/>
      <c r="Z610" t="inlineStr"/>
      <c r="AA610" s="3" t="n">
        <v>1</v>
      </c>
      <c r="AB610" s="3" t="n"/>
      <c r="AC610" s="3" t="n"/>
      <c r="AD610" s="3" t="n"/>
      <c r="AE610" s="3" t="n"/>
      <c r="AF610" s="3" t="n">
        <v>0</v>
      </c>
      <c r="AG610" s="3" t="n"/>
      <c r="AH610" s="3" t="n">
        <v>0</v>
      </c>
      <c r="AI610" s="3" t="n"/>
      <c r="AJ610" s="3" t="n">
        <v>3.5741</v>
      </c>
      <c r="AK610" s="3" t="n">
        <v>1.8319</v>
      </c>
      <c r="AL610" s="3" t="n">
        <v>-0.2735494569383802</v>
      </c>
      <c r="AM610" s="6" t="n">
        <v>0</v>
      </c>
      <c r="AN610" s="3" t="n">
        <v>0</v>
      </c>
      <c r="AO610" s="3" t="n">
        <v>0</v>
      </c>
      <c r="AP610" s="3" t="n">
        <v>0</v>
      </c>
      <c r="AQ610" s="3">
        <f>N(X610)*N(BJ610)</f>
        <v/>
      </c>
      <c r="AR610" s="3" t="n">
        <v>0</v>
      </c>
      <c r="AS610" s="3" t="n">
        <v>-0</v>
      </c>
      <c r="AT610" s="3" t="n">
        <v>-0.2735494569383802</v>
      </c>
      <c r="AU610" s="3">
        <f>SUM(AO610:AT610)</f>
        <v/>
      </c>
      <c r="AV610" s="7">
        <f>IF(OR(N(W610)&lt;=0,N(BH610)=0),0,N(W610)*IF(N(R610)/N(W610)&gt;=60,N(BH610),1))</f>
        <v/>
      </c>
      <c r="AW610" s="7">
        <f>N(W610)*N(AF610)*N(BI610)</f>
        <v/>
      </c>
      <c r="AX610" s="3">
        <f>IF(N(BH610)=0,0,N(W610)*N(AH610))</f>
        <v/>
      </c>
      <c r="AY610" s="7">
        <f>N(AM610)*(Assumptions!$B$13*N(BK610)-(1-Assumptions!$B$13)*Assumptions!$B$14)+N(AN610)</f>
        <v/>
      </c>
      <c r="AZ610" s="7">
        <f>N(AU610)*N(R610)/90+N(AV610)+N(AW610)+N(AX610)+N(AY610)</f>
        <v/>
      </c>
      <c r="BA610" s="3">
        <f>IF(N(R610)&lt;=0,0,(N(AZ610)-N(AY610))*90/N(R610))</f>
        <v/>
      </c>
      <c r="BB610" s="7">
        <f>IFERROR(AZ610-VLOOKUP($E610,Assumptions!$A$40:$C$43,3,FALSE),"")</f>
        <v/>
      </c>
      <c r="BC610" s="3">
        <f>IFERROR(BB610/H610,"")</f>
        <v/>
      </c>
      <c r="BD610">
        <f>IF(AND($G610=TRUE,$E610="GKP"),AZ610,"")</f>
        <v/>
      </c>
      <c r="BE610">
        <f>IF(AND($G610=TRUE,$E610="DEF"),AZ610,"")</f>
        <v/>
      </c>
      <c r="BF610">
        <f>IF(AND($G610=TRUE,$E610="MID"),AZ610,"")</f>
        <v/>
      </c>
      <c r="BG610">
        <f>IF(AND($G610=TRUE,$E610="FWD"),AZ610,"")</f>
        <v/>
      </c>
      <c r="BH610" t="n">
        <v>2</v>
      </c>
      <c r="BI610" t="n">
        <v>2</v>
      </c>
      <c r="BJ610" t="n">
        <v>0</v>
      </c>
      <c r="BK610" t="n">
        <v>4</v>
      </c>
    </row>
    <row r="611">
      <c r="A611" t="inlineStr">
        <is>
          <t>Shea Charles</t>
        </is>
      </c>
      <c r="B611" t="inlineStr">
        <is>
          <t>FUL</t>
        </is>
      </c>
      <c r="D611" t="b">
        <v>0</v>
      </c>
      <c r="E611" t="inlineStr">
        <is>
          <t>MID</t>
        </is>
      </c>
      <c r="G611" t="b">
        <v>1</v>
      </c>
      <c r="H611" s="2" t="n">
        <v>5</v>
      </c>
      <c r="I611" t="inlineStr">
        <is>
          <t>a</t>
        </is>
      </c>
      <c r="K611" s="2" t="n"/>
      <c r="M611" s="3" t="n">
        <v>1305</v>
      </c>
      <c r="N611" s="4" t="n">
        <v>2100</v>
      </c>
      <c r="O611" s="4" t="n">
        <v>795</v>
      </c>
      <c r="P611" s="5" t="inlineStr">
        <is>
          <t>high</t>
        </is>
      </c>
      <c r="Q611" t="inlineStr">
        <is>
          <t>flat</t>
        </is>
      </c>
      <c r="R611" s="6" t="n">
        <v>2100</v>
      </c>
      <c r="S611" t="inlineStr">
        <is>
          <t>research</t>
        </is>
      </c>
      <c r="T611" s="5" t="inlineStr">
        <is>
          <t>Signed 11 Aug 2026 from Southampton for £27m + £6m add-ons on a five-year deal, explicitly as the replacement for Sasa Lukic (sold to Ipswich 8 Aug). Solio's snapshot pre-dates the transfer and carries him as a no-PL-record squad filler. Held below a full starter's share because he only joined four days before the final friendly and came on at 78' rather than starting.</t>
        </is>
      </c>
      <c r="U611" s="6" t="n">
        <v>85</v>
      </c>
      <c r="V611" s="2" t="n"/>
      <c r="W611" s="7">
        <f>IF(N(U611)&lt;=0,0,MIN(Assumptions!$B$15,N(R611)/N(U611)))</f>
        <v/>
      </c>
      <c r="X611" s="6" t="n">
        <v>0.214</v>
      </c>
      <c r="Y611" s="3" t="n"/>
      <c r="Z611" t="inlineStr"/>
      <c r="AA611" s="3" t="n">
        <v>1</v>
      </c>
      <c r="AB611" s="3" t="n"/>
      <c r="AC611" s="3" t="n"/>
      <c r="AD611" s="3" t="n"/>
      <c r="AE611" s="3" t="n"/>
      <c r="AF611" s="3" t="n">
        <v>0</v>
      </c>
      <c r="AG611" s="3" t="n"/>
      <c r="AH611" s="3" t="n">
        <v>0</v>
      </c>
      <c r="AI611" s="3" t="n"/>
      <c r="AJ611" s="3" t="n">
        <v>3.22</v>
      </c>
      <c r="AK611" s="3" t="n">
        <v>1.6019</v>
      </c>
      <c r="AL611" s="3" t="n">
        <v>-0.2160434166173144</v>
      </c>
      <c r="AM611" s="6" t="n">
        <v>0</v>
      </c>
      <c r="AN611" s="3" t="n">
        <v>0</v>
      </c>
      <c r="AO611" s="3" t="n">
        <v>0</v>
      </c>
      <c r="AP611" s="3" t="n">
        <v>0</v>
      </c>
      <c r="AQ611" s="3">
        <f>N(X611)*N(BJ611)</f>
        <v/>
      </c>
      <c r="AR611" s="3" t="n">
        <v>0</v>
      </c>
      <c r="AS611" s="3" t="n">
        <v>-0</v>
      </c>
      <c r="AT611" s="3" t="n">
        <v>-0.2160434166173144</v>
      </c>
      <c r="AU611" s="3">
        <f>SUM(AO611:AT611)</f>
        <v/>
      </c>
      <c r="AV611" s="7">
        <f>IF(OR(N(W611)&lt;=0,N(BH611)=0),0,N(W611)*IF(N(R611)/N(W611)&gt;=60,N(BH611),1))</f>
        <v/>
      </c>
      <c r="AW611" s="7">
        <f>N(W611)*N(AF611)*N(BI611)</f>
        <v/>
      </c>
      <c r="AX611" s="3">
        <f>IF(N(BH611)=0,0,N(W611)*N(AH611))</f>
        <v/>
      </c>
      <c r="AY611" s="7">
        <f>N(AM611)*(Assumptions!$B$13*N(BK611)-(1-Assumptions!$B$13)*Assumptions!$B$14)+N(AN611)</f>
        <v/>
      </c>
      <c r="AZ611" s="7">
        <f>N(AU611)*N(R611)/90+N(AV611)+N(AW611)+N(AX611)+N(AY611)</f>
        <v/>
      </c>
      <c r="BA611" s="3">
        <f>IF(N(R611)&lt;=0,0,(N(AZ611)-N(AY611))*90/N(R611))</f>
        <v/>
      </c>
      <c r="BB611" s="7">
        <f>IFERROR(AZ611-VLOOKUP($E611,Assumptions!$A$40:$C$43,3,FALSE),"")</f>
        <v/>
      </c>
      <c r="BC611" s="3">
        <f>IFERROR(BB611/H611,"")</f>
        <v/>
      </c>
      <c r="BD611">
        <f>IF(AND($G611=TRUE,$E611="GKP"),AZ611,"")</f>
        <v/>
      </c>
      <c r="BE611">
        <f>IF(AND($G611=TRUE,$E611="DEF"),AZ611,"")</f>
        <v/>
      </c>
      <c r="BF611">
        <f>IF(AND($G611=TRUE,$E611="MID"),AZ611,"")</f>
        <v/>
      </c>
      <c r="BG611">
        <f>IF(AND($G611=TRUE,$E611="FWD"),AZ611,"")</f>
        <v/>
      </c>
      <c r="BH611" t="n">
        <v>2</v>
      </c>
      <c r="BI611" t="n">
        <v>2</v>
      </c>
      <c r="BJ611" t="n">
        <v>1</v>
      </c>
      <c r="BK611" t="n">
        <v>5</v>
      </c>
    </row>
    <row r="612">
      <c r="A612" t="inlineStr">
        <is>
          <t>Harvey Davies</t>
        </is>
      </c>
      <c r="B612" t="inlineStr">
        <is>
          <t>LIV</t>
        </is>
      </c>
      <c r="D612" t="b">
        <v>0</v>
      </c>
      <c r="E612" t="inlineStr">
        <is>
          <t>GKP</t>
        </is>
      </c>
      <c r="G612" t="b">
        <v>1</v>
      </c>
      <c r="H612" s="2" t="n">
        <v>4</v>
      </c>
      <c r="I612" t="inlineStr">
        <is>
          <t>a</t>
        </is>
      </c>
      <c r="K612" s="2" t="n"/>
      <c r="M612" s="3" t="n">
        <v>0</v>
      </c>
      <c r="N612" s="8" t="n">
        <v>0</v>
      </c>
      <c r="O612" s="8" t="n">
        <v>0</v>
      </c>
      <c r="Q612" t="inlineStr">
        <is>
          <t>flat</t>
        </is>
      </c>
      <c r="R612" s="6" t="n">
        <v>0</v>
      </c>
      <c r="S612" t="inlineStr">
        <is>
          <t>Solio</t>
        </is>
      </c>
      <c r="U612" s="6" t="n">
        <v>85</v>
      </c>
      <c r="V612" s="2" t="n"/>
      <c r="W612" s="7">
        <f>IF(N(U612)&lt;=0,0,MIN(Assumptions!$B$15,N(R612)/N(U612)))</f>
        <v/>
      </c>
      <c r="X612" s="6" t="n">
        <v>0.342</v>
      </c>
      <c r="Y612" s="3" t="n"/>
      <c r="Z612" t="inlineStr"/>
      <c r="AA612" s="3" t="n">
        <v>1</v>
      </c>
      <c r="AB612" s="3" t="n"/>
      <c r="AC612" s="3" t="n"/>
      <c r="AD612" s="3" t="n"/>
      <c r="AE612" s="3" t="n">
        <v>0</v>
      </c>
      <c r="AF612" s="3" t="n">
        <v>0</v>
      </c>
      <c r="AG612" s="3" t="n"/>
      <c r="AH612" s="3" t="n">
        <v>0</v>
      </c>
      <c r="AI612" s="3" t="n"/>
      <c r="AJ612" s="3" t="n">
        <v>2.409</v>
      </c>
      <c r="AK612" s="3" t="n">
        <v>1.1228</v>
      </c>
      <c r="AL612" s="3" t="n">
        <v>-0.0763216474948735</v>
      </c>
      <c r="AM612" s="6" t="n">
        <v>0</v>
      </c>
      <c r="AN612" s="3" t="n">
        <v>0</v>
      </c>
      <c r="AO612" s="3" t="n">
        <v>0</v>
      </c>
      <c r="AP612" s="3" t="n">
        <v>0</v>
      </c>
      <c r="AQ612" s="3">
        <f>N(X612)*N(BJ612)</f>
        <v/>
      </c>
      <c r="AR612" s="3" t="n">
        <v>0.4697511244203511</v>
      </c>
      <c r="AS612" s="3" t="n">
        <v>-0.3378660007281162</v>
      </c>
      <c r="AT612" s="3" t="n">
        <v>-0.0763216474948735</v>
      </c>
      <c r="AU612" s="3">
        <f>SUM(AO612:AT612)</f>
        <v/>
      </c>
      <c r="AV612" s="7">
        <f>IF(OR(N(W612)&lt;=0,N(BH612)=0),0,N(W612)*IF(N(R612)/N(W612)&gt;=60,N(BH612),1))</f>
        <v/>
      </c>
      <c r="AW612" s="7">
        <f>N(W612)*N(AF612)*N(BI612)</f>
        <v/>
      </c>
      <c r="AX612" s="3">
        <f>IF(N(BH612)=0,0,N(W612)*N(AH612))</f>
        <v/>
      </c>
      <c r="AY612" s="7">
        <f>N(AM612)*(Assumptions!$B$13*N(BK612)-(1-Assumptions!$B$13)*Assumptions!$B$14)+N(AN612)</f>
        <v/>
      </c>
      <c r="AZ612" s="7">
        <f>N(AU612)*N(R612)/90+N(AV612)+N(AW612)+N(AX612)+N(AY612)</f>
        <v/>
      </c>
      <c r="BA612" s="3">
        <f>IF(N(R612)&lt;=0,0,(N(AZ612)-N(AY612))*90/N(R612))</f>
        <v/>
      </c>
      <c r="BB612" s="7">
        <f>IFERROR(AZ612-VLOOKUP($E612,Assumptions!$A$40:$C$43,3,FALSE),"")</f>
        <v/>
      </c>
      <c r="BC612" s="3">
        <f>IFERROR(BB612/H612,"")</f>
        <v/>
      </c>
      <c r="BD612">
        <f>IF(AND($G612=TRUE,$E612="GKP"),AZ612,"")</f>
        <v/>
      </c>
      <c r="BE612">
        <f>IF(AND($G612=TRUE,$E612="DEF"),AZ612,"")</f>
        <v/>
      </c>
      <c r="BF612">
        <f>IF(AND($G612=TRUE,$E612="MID"),AZ612,"")</f>
        <v/>
      </c>
      <c r="BG612">
        <f>IF(AND($G612=TRUE,$E612="FWD"),AZ612,"")</f>
        <v/>
      </c>
      <c r="BH612" t="n">
        <v>2</v>
      </c>
      <c r="BI612" t="n">
        <v>0</v>
      </c>
      <c r="BJ612" t="n">
        <v>4</v>
      </c>
      <c r="BK612" t="n">
        <v>10</v>
      </c>
    </row>
    <row r="613">
      <c r="A613" t="inlineStr">
        <is>
          <t>Kaine Kesler-Hayden</t>
        </is>
      </c>
      <c r="B613" t="inlineStr">
        <is>
          <t>COV</t>
        </is>
      </c>
      <c r="D613" t="b">
        <v>0</v>
      </c>
      <c r="E613" t="inlineStr">
        <is>
          <t>DEF</t>
        </is>
      </c>
      <c r="G613" t="b">
        <v>1</v>
      </c>
      <c r="H613" s="2" t="n">
        <v>4</v>
      </c>
      <c r="I613" t="inlineStr">
        <is>
          <t>a</t>
        </is>
      </c>
      <c r="K613" s="2" t="n"/>
      <c r="M613" s="3" t="n">
        <v>253</v>
      </c>
      <c r="N613" s="8" t="n">
        <v>253</v>
      </c>
      <c r="O613" s="8" t="n">
        <v>0</v>
      </c>
      <c r="Q613" t="inlineStr">
        <is>
          <t>flat</t>
        </is>
      </c>
      <c r="R613" s="6" t="n">
        <v>253</v>
      </c>
      <c r="S613" t="inlineStr">
        <is>
          <t>Solio</t>
        </is>
      </c>
      <c r="U613" s="6" t="n">
        <v>85</v>
      </c>
      <c r="V613" s="2" t="n"/>
      <c r="W613" s="7">
        <f>IF(N(U613)&lt;=0,0,MIN(Assumptions!$B$15,N(R613)/N(U613)))</f>
        <v/>
      </c>
      <c r="X613" s="6" t="n">
        <v>0.17</v>
      </c>
      <c r="Y613" s="3" t="n"/>
      <c r="Z613" t="inlineStr"/>
      <c r="AA613" s="3" t="n">
        <v>1</v>
      </c>
      <c r="AB613" s="3" t="n"/>
      <c r="AC613" s="3" t="n"/>
      <c r="AD613" s="3" t="n"/>
      <c r="AE613" s="3" t="n"/>
      <c r="AF613" s="3" t="n">
        <v>0</v>
      </c>
      <c r="AG613" s="3" t="n"/>
      <c r="AH613" s="3" t="n">
        <v>0</v>
      </c>
      <c r="AI613" s="3" t="n"/>
      <c r="AJ613" s="3" t="n">
        <v>3.6194</v>
      </c>
      <c r="AK613" s="3" t="n">
        <v>1.8271</v>
      </c>
      <c r="AL613" s="3" t="n">
        <v>-0.2042683792492344</v>
      </c>
      <c r="AM613" s="6" t="n">
        <v>0</v>
      </c>
      <c r="AN613" s="3" t="n">
        <v>0</v>
      </c>
      <c r="AO613" s="3" t="n">
        <v>0</v>
      </c>
      <c r="AP613" s="3" t="n">
        <v>0</v>
      </c>
      <c r="AQ613" s="3">
        <f>N(X613)*N(BJ613)</f>
        <v/>
      </c>
      <c r="AR613" s="3" t="n">
        <v>0</v>
      </c>
      <c r="AS613" s="3" t="n">
        <v>-0.670020548738316</v>
      </c>
      <c r="AT613" s="3" t="n">
        <v>-0.2042683792492344</v>
      </c>
      <c r="AU613" s="3">
        <f>SUM(AO613:AT613)</f>
        <v/>
      </c>
      <c r="AV613" s="7">
        <f>IF(OR(N(W613)&lt;=0,N(BH613)=0),0,N(W613)*IF(N(R613)/N(W613)&gt;=60,N(BH613),1))</f>
        <v/>
      </c>
      <c r="AW613" s="7">
        <f>N(W613)*N(AF613)*N(BI613)</f>
        <v/>
      </c>
      <c r="AX613" s="3">
        <f>IF(N(BH613)=0,0,N(W613)*N(AH613))</f>
        <v/>
      </c>
      <c r="AY613" s="7">
        <f>N(AM613)*(Assumptions!$B$13*N(BK613)-(1-Assumptions!$B$13)*Assumptions!$B$14)+N(AN613)</f>
        <v/>
      </c>
      <c r="AZ613" s="7">
        <f>N(AU613)*N(R613)/90+N(AV613)+N(AW613)+N(AX613)+N(AY613)</f>
        <v/>
      </c>
      <c r="BA613" s="3">
        <f>IF(N(R613)&lt;=0,0,(N(AZ613)-N(AY613))*90/N(R613))</f>
        <v/>
      </c>
      <c r="BB613" s="7">
        <f>IFERROR(AZ613-VLOOKUP($E613,Assumptions!$A$40:$C$43,3,FALSE),"")</f>
        <v/>
      </c>
      <c r="BC613" s="3">
        <f>IFERROR(BB613/H613,"")</f>
        <v/>
      </c>
      <c r="BD613">
        <f>IF(AND($G613=TRUE,$E613="GKP"),AZ613,"")</f>
        <v/>
      </c>
      <c r="BE613">
        <f>IF(AND($G613=TRUE,$E613="DEF"),AZ613,"")</f>
        <v/>
      </c>
      <c r="BF613">
        <f>IF(AND($G613=TRUE,$E613="MID"),AZ613,"")</f>
        <v/>
      </c>
      <c r="BG613">
        <f>IF(AND($G613=TRUE,$E613="FWD"),AZ613,"")</f>
        <v/>
      </c>
      <c r="BH613" t="n">
        <v>2</v>
      </c>
      <c r="BI613" t="n">
        <v>2</v>
      </c>
      <c r="BJ613" t="n">
        <v>4</v>
      </c>
      <c r="BK613" t="n">
        <v>6</v>
      </c>
    </row>
    <row r="614">
      <c r="A614" t="inlineStr">
        <is>
          <t>Eliot Matazo</t>
        </is>
      </c>
      <c r="B614" t="inlineStr">
        <is>
          <t>HUL</t>
        </is>
      </c>
      <c r="D614" t="b">
        <v>0</v>
      </c>
      <c r="E614" t="inlineStr">
        <is>
          <t>MID</t>
        </is>
      </c>
      <c r="G614" t="b">
        <v>1</v>
      </c>
      <c r="H614" s="2" t="n">
        <v>4.5</v>
      </c>
      <c r="I614" t="inlineStr">
        <is>
          <t>i</t>
        </is>
      </c>
      <c r="J614" t="inlineStr">
        <is>
          <t>Knee injury - Unknown return date</t>
        </is>
      </c>
      <c r="K614" s="2" t="n"/>
      <c r="M614" s="3" t="n">
        <v>0</v>
      </c>
      <c r="N614" s="8" t="n">
        <v>0</v>
      </c>
      <c r="O614" s="8" t="n">
        <v>0</v>
      </c>
      <c r="Q614" t="inlineStr">
        <is>
          <t>flat</t>
        </is>
      </c>
      <c r="R614" s="6" t="n">
        <v>0</v>
      </c>
      <c r="S614" t="inlineStr">
        <is>
          <t>Solio</t>
        </is>
      </c>
      <c r="U614" s="6" t="n">
        <v>85</v>
      </c>
      <c r="V614" s="2" t="n"/>
      <c r="W614" s="7">
        <f>IF(N(U614)&lt;=0,0,MIN(Assumptions!$B$15,N(R614)/N(U614)))</f>
        <v/>
      </c>
      <c r="X614" s="6" t="n">
        <v>0.143</v>
      </c>
      <c r="Y614" s="3" t="n"/>
      <c r="Z614" t="inlineStr"/>
      <c r="AA614" s="3" t="n">
        <v>1</v>
      </c>
      <c r="AB614" s="3" t="n"/>
      <c r="AC614" s="3" t="n"/>
      <c r="AD614" s="3" t="n"/>
      <c r="AE614" s="3" t="n"/>
      <c r="AF614" s="3" t="n">
        <v>0</v>
      </c>
      <c r="AG614" s="3" t="n"/>
      <c r="AH614" s="3" t="n">
        <v>0</v>
      </c>
      <c r="AI614" s="3" t="n"/>
      <c r="AJ614" s="3" t="n">
        <v>3.9421</v>
      </c>
      <c r="AK614" s="3" t="n">
        <v>1.99</v>
      </c>
      <c r="AL614" s="3" t="n">
        <v>-0.2160434166173144</v>
      </c>
      <c r="AM614" s="6" t="n">
        <v>0</v>
      </c>
      <c r="AN614" s="3" t="n">
        <v>0</v>
      </c>
      <c r="AO614" s="3" t="n">
        <v>0</v>
      </c>
      <c r="AP614" s="3" t="n">
        <v>0</v>
      </c>
      <c r="AQ614" s="3">
        <f>N(X614)*N(BJ614)</f>
        <v/>
      </c>
      <c r="AR614" s="3" t="n">
        <v>0</v>
      </c>
      <c r="AS614" s="3" t="n">
        <v>-0</v>
      </c>
      <c r="AT614" s="3" t="n">
        <v>-0.2160434166173144</v>
      </c>
      <c r="AU614" s="3">
        <f>SUM(AO614:AT614)</f>
        <v/>
      </c>
      <c r="AV614" s="7">
        <f>IF(OR(N(W614)&lt;=0,N(BH614)=0),0,N(W614)*IF(N(R614)/N(W614)&gt;=60,N(BH614),1))</f>
        <v/>
      </c>
      <c r="AW614" s="7">
        <f>N(W614)*N(AF614)*N(BI614)</f>
        <v/>
      </c>
      <c r="AX614" s="3">
        <f>IF(N(BH614)=0,0,N(W614)*N(AH614))</f>
        <v/>
      </c>
      <c r="AY614" s="7">
        <f>N(AM614)*(Assumptions!$B$13*N(BK614)-(1-Assumptions!$B$13)*Assumptions!$B$14)+N(AN614)</f>
        <v/>
      </c>
      <c r="AZ614" s="7">
        <f>N(AU614)*N(R614)/90+N(AV614)+N(AW614)+N(AX614)+N(AY614)</f>
        <v/>
      </c>
      <c r="BA614" s="3">
        <f>IF(N(R614)&lt;=0,0,(N(AZ614)-N(AY614))*90/N(R614))</f>
        <v/>
      </c>
      <c r="BB614" s="7">
        <f>IFERROR(AZ614-VLOOKUP($E614,Assumptions!$A$40:$C$43,3,FALSE),"")</f>
        <v/>
      </c>
      <c r="BC614" s="3">
        <f>IFERROR(BB614/H614,"")</f>
        <v/>
      </c>
      <c r="BD614">
        <f>IF(AND($G614=TRUE,$E614="GKP"),AZ614,"")</f>
        <v/>
      </c>
      <c r="BE614">
        <f>IF(AND($G614=TRUE,$E614="DEF"),AZ614,"")</f>
        <v/>
      </c>
      <c r="BF614">
        <f>IF(AND($G614=TRUE,$E614="MID"),AZ614,"")</f>
        <v/>
      </c>
      <c r="BG614">
        <f>IF(AND($G614=TRUE,$E614="FWD"),AZ614,"")</f>
        <v/>
      </c>
      <c r="BH614" t="n">
        <v>2</v>
      </c>
      <c r="BI614" t="n">
        <v>2</v>
      </c>
      <c r="BJ614" t="n">
        <v>1</v>
      </c>
      <c r="BK614" t="n">
        <v>5</v>
      </c>
    </row>
    <row r="615">
      <c r="A615" t="inlineStr">
        <is>
          <t>Hannibal Mejbri</t>
        </is>
      </c>
      <c r="C615" t="inlineStr">
        <is>
          <t>BUR</t>
        </is>
      </c>
      <c r="D615" t="b">
        <v>0</v>
      </c>
      <c r="F615" t="inlineStr">
        <is>
          <t>MID</t>
        </is>
      </c>
      <c r="G615" t="b">
        <v>0</v>
      </c>
      <c r="H615" s="2" t="n"/>
      <c r="K615" s="2" t="n">
        <v>1231</v>
      </c>
      <c r="M615" s="3" t="n"/>
      <c r="N615" s="8" t="n">
        <v>1231</v>
      </c>
      <c r="O615" s="8" t="n">
        <v>0</v>
      </c>
      <c r="R615" s="6" t="n">
        <v>1231</v>
      </c>
      <c r="S615" t="inlineStr">
        <is>
          <t>25/26 actual</t>
        </is>
      </c>
      <c r="U615" s="6" t="n">
        <v>74</v>
      </c>
      <c r="V615" s="2" t="n">
        <v>15</v>
      </c>
      <c r="W615" s="7">
        <f>IF(N(U615)&lt;=0,0,MIN(Assumptions!$B$15,N(R615)/N(U615)))</f>
        <v/>
      </c>
      <c r="X615" s="6" t="n"/>
      <c r="Y615" s="3" t="n">
        <v>0.06619999999999999</v>
      </c>
      <c r="Z615" t="inlineStr">
        <is>
          <t>adjusted xGOT</t>
        </is>
      </c>
      <c r="AA615" s="3" t="n">
        <v>1</v>
      </c>
      <c r="AB615" s="3" t="n">
        <v>0.996</v>
      </c>
      <c r="AC615" s="3" t="n">
        <v>0.9</v>
      </c>
      <c r="AD615" s="3" t="n">
        <v>0.2075</v>
      </c>
      <c r="AE615" s="3" t="n">
        <v>8.337</v>
      </c>
      <c r="AF615" s="3" t="n">
        <v>0</v>
      </c>
      <c r="AG615" s="3" t="n">
        <v>7.606</v>
      </c>
      <c r="AH615" s="3" t="n">
        <v>0</v>
      </c>
      <c r="AI615" s="3" t="n">
        <v>39</v>
      </c>
      <c r="AJ615" s="3" t="n"/>
      <c r="AK615" s="3" t="n"/>
      <c r="AL615" s="3" t="n"/>
      <c r="AM615" s="6" t="n">
        <v>0</v>
      </c>
      <c r="AN615" s="3" t="n">
        <v>0</v>
      </c>
      <c r="AO615" s="3" t="n">
        <v>0</v>
      </c>
      <c r="AP615" s="3" t="n">
        <v>0</v>
      </c>
      <c r="AQ615" s="3">
        <f>N(X615)*N(BJ615)</f>
        <v/>
      </c>
      <c r="AR615" s="3" t="n">
        <v>0</v>
      </c>
      <c r="AS615" s="3" t="n">
        <v>0</v>
      </c>
      <c r="AT615" s="3" t="n">
        <v>0</v>
      </c>
      <c r="AU615" s="3">
        <f>SUM(AO615:AT615)</f>
        <v/>
      </c>
      <c r="AV615" s="7">
        <f>IF(OR(N(W615)&lt;=0,N(BH615)=0),0,N(W615)*IF(N(R615)/N(W615)&gt;=60,N(BH615),1))</f>
        <v/>
      </c>
      <c r="AW615" s="7">
        <f>N(W615)*N(AF615)*N(BI615)</f>
        <v/>
      </c>
      <c r="AX615" s="3">
        <f>IF(N(BH615)=0,0,N(W615)*N(AH615))</f>
        <v/>
      </c>
      <c r="AY615" s="7">
        <f>N(AM615)*(Assumptions!$B$13*N(BK615)-(1-Assumptions!$B$13)*Assumptions!$B$14)+N(AN615)</f>
        <v/>
      </c>
      <c r="AZ615" s="7">
        <f>N(AU615)*N(R615)/90+N(AV615)+N(AW615)+N(AX615)+N(AY615)</f>
        <v/>
      </c>
      <c r="BA615" s="3">
        <f>IF(N(R615)&lt;=0,0,(N(AZ615)-N(AY615))*90/N(R615))</f>
        <v/>
      </c>
      <c r="BB615" s="7">
        <f>IFERROR(AZ615-VLOOKUP($E615,Assumptions!$A$40:$C$43,3,FALSE),"")</f>
        <v/>
      </c>
      <c r="BC615" s="3">
        <f>IFERROR(BB615/H615,"")</f>
        <v/>
      </c>
      <c r="BD615">
        <f>IF(AND($G615=TRUE,$E615="GKP"),AZ615,"")</f>
        <v/>
      </c>
      <c r="BE615">
        <f>IF(AND($G615=TRUE,$E615="DEF"),AZ615,"")</f>
        <v/>
      </c>
      <c r="BF615">
        <f>IF(AND($G615=TRUE,$E615="MID"),AZ615,"")</f>
        <v/>
      </c>
      <c r="BG615">
        <f>IF(AND($G615=TRUE,$E615="FWD"),AZ615,"")</f>
        <v/>
      </c>
      <c r="BH615" t="n">
        <v>0</v>
      </c>
      <c r="BI615" t="n">
        <v>0</v>
      </c>
      <c r="BJ615" t="n">
        <v>0</v>
      </c>
      <c r="BK615" t="n">
        <v>0</v>
      </c>
    </row>
    <row r="616">
      <c r="A616" t="inlineStr">
        <is>
          <t>Mads Hermansen</t>
        </is>
      </c>
      <c r="C616" t="inlineStr">
        <is>
          <t>WHU</t>
        </is>
      </c>
      <c r="D616" t="b">
        <v>0</v>
      </c>
      <c r="F616" t="inlineStr">
        <is>
          <t>GKP</t>
        </is>
      </c>
      <c r="G616" t="b">
        <v>0</v>
      </c>
      <c r="H616" s="2" t="n"/>
      <c r="K616" s="2" t="n">
        <v>1620</v>
      </c>
      <c r="M616" s="3" t="n"/>
      <c r="N616" s="8" t="n">
        <v>1620</v>
      </c>
      <c r="O616" s="8" t="n">
        <v>0</v>
      </c>
      <c r="R616" s="6" t="n">
        <v>1620</v>
      </c>
      <c r="S616" t="inlineStr">
        <is>
          <t>25/26 actual</t>
        </is>
      </c>
      <c r="U616" s="6" t="n">
        <v>89.90000000000001</v>
      </c>
      <c r="V616" s="2" t="n">
        <v>18</v>
      </c>
      <c r="W616" s="7">
        <f>IF(N(U616)&lt;=0,0,MIN(Assumptions!$B$15,N(R616)/N(U616)))</f>
        <v/>
      </c>
      <c r="X616" s="6" t="n"/>
      <c r="Y616" s="3" t="n">
        <v>0</v>
      </c>
      <c r="Z616" t="inlineStr">
        <is>
          <t>blended xG</t>
        </is>
      </c>
      <c r="AA616" s="3" t="n">
        <v>1</v>
      </c>
      <c r="AB616" s="3" t="n">
        <v>1</v>
      </c>
      <c r="AC616" s="3" t="n">
        <v>0</v>
      </c>
      <c r="AD616" s="3" t="n">
        <v>0.0021</v>
      </c>
      <c r="AE616" s="3" t="n">
        <v>0</v>
      </c>
      <c r="AF616" s="3" t="n">
        <v>0</v>
      </c>
      <c r="AG616" s="3" t="n">
        <v>5.133</v>
      </c>
      <c r="AH616" s="3" t="n">
        <v>0</v>
      </c>
      <c r="AI616" s="3" t="n">
        <v>36</v>
      </c>
      <c r="AJ616" s="3" t="n"/>
      <c r="AK616" s="3" t="n"/>
      <c r="AL616" s="3" t="n"/>
      <c r="AM616" s="6" t="n">
        <v>0</v>
      </c>
      <c r="AN616" s="3" t="n">
        <v>0</v>
      </c>
      <c r="AO616" s="3" t="n">
        <v>0</v>
      </c>
      <c r="AP616" s="3" t="n">
        <v>0</v>
      </c>
      <c r="AQ616" s="3">
        <f>N(X616)*N(BJ616)</f>
        <v/>
      </c>
      <c r="AR616" s="3" t="n">
        <v>0</v>
      </c>
      <c r="AS616" s="3" t="n">
        <v>0</v>
      </c>
      <c r="AT616" s="3" t="n">
        <v>0</v>
      </c>
      <c r="AU616" s="3">
        <f>SUM(AO616:AT616)</f>
        <v/>
      </c>
      <c r="AV616" s="7">
        <f>IF(OR(N(W616)&lt;=0,N(BH616)=0),0,N(W616)*IF(N(R616)/N(W616)&gt;=60,N(BH616),1))</f>
        <v/>
      </c>
      <c r="AW616" s="7">
        <f>N(W616)*N(AF616)*N(BI616)</f>
        <v/>
      </c>
      <c r="AX616" s="3">
        <f>IF(N(BH616)=0,0,N(W616)*N(AH616))</f>
        <v/>
      </c>
      <c r="AY616" s="7">
        <f>N(AM616)*(Assumptions!$B$13*N(BK616)-(1-Assumptions!$B$13)*Assumptions!$B$14)+N(AN616)</f>
        <v/>
      </c>
      <c r="AZ616" s="7">
        <f>N(AU616)*N(R616)/90+N(AV616)+N(AW616)+N(AX616)+N(AY616)</f>
        <v/>
      </c>
      <c r="BA616" s="3">
        <f>IF(N(R616)&lt;=0,0,(N(AZ616)-N(AY616))*90/N(R616))</f>
        <v/>
      </c>
      <c r="BB616" s="7">
        <f>IFERROR(AZ616-VLOOKUP($E616,Assumptions!$A$40:$C$43,3,FALSE),"")</f>
        <v/>
      </c>
      <c r="BC616" s="3">
        <f>IFERROR(BB616/H616,"")</f>
        <v/>
      </c>
      <c r="BD616">
        <f>IF(AND($G616=TRUE,$E616="GKP"),AZ616,"")</f>
        <v/>
      </c>
      <c r="BE616">
        <f>IF(AND($G616=TRUE,$E616="DEF"),AZ616,"")</f>
        <v/>
      </c>
      <c r="BF616">
        <f>IF(AND($G616=TRUE,$E616="MID"),AZ616,"")</f>
        <v/>
      </c>
      <c r="BG616">
        <f>IF(AND($G616=TRUE,$E616="FWD"),AZ616,"")</f>
        <v/>
      </c>
      <c r="BH616" t="n">
        <v>0</v>
      </c>
      <c r="BI616" t="n">
        <v>0</v>
      </c>
      <c r="BJ616" t="n">
        <v>0</v>
      </c>
      <c r="BK616" t="n">
        <v>0</v>
      </c>
    </row>
    <row r="617">
      <c r="A617" t="inlineStr">
        <is>
          <t>Lorenzo Lucca</t>
        </is>
      </c>
      <c r="C617" t="inlineStr">
        <is>
          <t>NFO</t>
        </is>
      </c>
      <c r="D617" t="b">
        <v>0</v>
      </c>
      <c r="F617" t="inlineStr">
        <is>
          <t>FWD</t>
        </is>
      </c>
      <c r="G617" t="b">
        <v>0</v>
      </c>
      <c r="H617" s="2" t="n"/>
      <c r="K617" s="2" t="n">
        <v>127</v>
      </c>
      <c r="M617" s="3" t="n"/>
      <c r="N617" s="8" t="n">
        <v>127</v>
      </c>
      <c r="O617" s="8" t="n">
        <v>0</v>
      </c>
      <c r="R617" s="6" t="n">
        <v>127</v>
      </c>
      <c r="S617" t="inlineStr">
        <is>
          <t>25/26 actual</t>
        </is>
      </c>
      <c r="U617" s="6" t="n">
        <v>77.7</v>
      </c>
      <c r="V617" s="2" t="n">
        <v>1</v>
      </c>
      <c r="W617" s="7">
        <f>IF(N(U617)&lt;=0,0,MIN(Assumptions!$B$15,N(R617)/N(U617)))</f>
        <v/>
      </c>
      <c r="X617" s="6" t="n"/>
      <c r="Y617" s="3" t="n">
        <v>0.5223</v>
      </c>
      <c r="Z617" t="inlineStr">
        <is>
          <t>adjusted xGOT</t>
        </is>
      </c>
      <c r="AA617" s="3" t="n">
        <v>1</v>
      </c>
      <c r="AB617" s="3" t="n">
        <v>0.9330000000000001</v>
      </c>
      <c r="AC617" s="3" t="n">
        <v>0.8</v>
      </c>
      <c r="AD617" s="3" t="n">
        <v>0.026</v>
      </c>
      <c r="AE617" s="3" t="n">
        <v>4.824</v>
      </c>
      <c r="AF617" s="3" t="n">
        <v>0</v>
      </c>
      <c r="AG617" s="3" t="n">
        <v>0.492</v>
      </c>
      <c r="AH617" s="3" t="n">
        <v>0</v>
      </c>
      <c r="AI617" s="3" t="n">
        <v>5</v>
      </c>
      <c r="AJ617" s="3" t="n"/>
      <c r="AK617" s="3" t="n"/>
      <c r="AL617" s="3" t="n"/>
      <c r="AM617" s="6" t="n">
        <v>0</v>
      </c>
      <c r="AN617" s="3" t="n">
        <v>0</v>
      </c>
      <c r="AO617" s="3" t="n">
        <v>0</v>
      </c>
      <c r="AP617" s="3" t="n">
        <v>0</v>
      </c>
      <c r="AQ617" s="3">
        <f>N(X617)*N(BJ617)</f>
        <v/>
      </c>
      <c r="AR617" s="3" t="n">
        <v>0</v>
      </c>
      <c r="AS617" s="3" t="n">
        <v>0</v>
      </c>
      <c r="AT617" s="3" t="n">
        <v>0</v>
      </c>
      <c r="AU617" s="3">
        <f>SUM(AO617:AT617)</f>
        <v/>
      </c>
      <c r="AV617" s="7">
        <f>IF(OR(N(W617)&lt;=0,N(BH617)=0),0,N(W617)*IF(N(R617)/N(W617)&gt;=60,N(BH617),1))</f>
        <v/>
      </c>
      <c r="AW617" s="7">
        <f>N(W617)*N(AF617)*N(BI617)</f>
        <v/>
      </c>
      <c r="AX617" s="3">
        <f>IF(N(BH617)=0,0,N(W617)*N(AH617))</f>
        <v/>
      </c>
      <c r="AY617" s="7">
        <f>N(AM617)*(Assumptions!$B$13*N(BK617)-(1-Assumptions!$B$13)*Assumptions!$B$14)+N(AN617)</f>
        <v/>
      </c>
      <c r="AZ617" s="7">
        <f>N(AU617)*N(R617)/90+N(AV617)+N(AW617)+N(AX617)+N(AY617)</f>
        <v/>
      </c>
      <c r="BA617" s="3">
        <f>IF(N(R617)&lt;=0,0,(N(AZ617)-N(AY617))*90/N(R617))</f>
        <v/>
      </c>
      <c r="BB617" s="7">
        <f>IFERROR(AZ617-VLOOKUP($E617,Assumptions!$A$40:$C$43,3,FALSE),"")</f>
        <v/>
      </c>
      <c r="BC617" s="3">
        <f>IFERROR(BB617/H617,"")</f>
        <v/>
      </c>
      <c r="BD617">
        <f>IF(AND($G617=TRUE,$E617="GKP"),AZ617,"")</f>
        <v/>
      </c>
      <c r="BE617">
        <f>IF(AND($G617=TRUE,$E617="DEF"),AZ617,"")</f>
        <v/>
      </c>
      <c r="BF617">
        <f>IF(AND($G617=TRUE,$E617="MID"),AZ617,"")</f>
        <v/>
      </c>
      <c r="BG617">
        <f>IF(AND($G617=TRUE,$E617="FWD"),AZ617,"")</f>
        <v/>
      </c>
      <c r="BH617" t="n">
        <v>0</v>
      </c>
      <c r="BI617" t="n">
        <v>0</v>
      </c>
      <c r="BJ617" t="n">
        <v>0</v>
      </c>
      <c r="BK617" t="n">
        <v>0</v>
      </c>
    </row>
    <row r="618">
      <c r="A618" t="inlineStr">
        <is>
          <t>Lukás Hornícek</t>
        </is>
      </c>
      <c r="B618" t="inlineStr">
        <is>
          <t>NEW</t>
        </is>
      </c>
      <c r="D618" t="b">
        <v>0</v>
      </c>
      <c r="E618" t="inlineStr">
        <is>
          <t>GKP</t>
        </is>
      </c>
      <c r="G618" t="b">
        <v>1</v>
      </c>
      <c r="H618" s="2" t="n">
        <v>5</v>
      </c>
      <c r="I618" t="inlineStr">
        <is>
          <t>a</t>
        </is>
      </c>
      <c r="K618" s="2" t="n"/>
      <c r="M618" s="3" t="n">
        <v>3374</v>
      </c>
      <c r="N618" s="8" t="n">
        <v>3374</v>
      </c>
      <c r="O618" s="8" t="n">
        <v>0</v>
      </c>
      <c r="Q618" t="inlineStr">
        <is>
          <t>flat</t>
        </is>
      </c>
      <c r="R618" s="6" t="n">
        <v>3374</v>
      </c>
      <c r="S618" t="inlineStr">
        <is>
          <t>Solio</t>
        </is>
      </c>
      <c r="U618" s="6" t="n">
        <v>85</v>
      </c>
      <c r="V618" s="2" t="n"/>
      <c r="W618" s="7">
        <f>IF(N(U618)&lt;=0,0,MIN(Assumptions!$B$15,N(R618)/N(U618)))</f>
        <v/>
      </c>
      <c r="X618" s="6" t="n">
        <v>0.248</v>
      </c>
      <c r="Y618" s="3" t="n"/>
      <c r="Z618" t="inlineStr"/>
      <c r="AA618" s="3" t="n">
        <v>1</v>
      </c>
      <c r="AB618" s="3" t="n"/>
      <c r="AC618" s="3" t="n"/>
      <c r="AD618" s="3" t="n"/>
      <c r="AE618" s="3" t="n">
        <v>0</v>
      </c>
      <c r="AF618" s="3" t="n">
        <v>0</v>
      </c>
      <c r="AG618" s="3" t="n"/>
      <c r="AH618" s="3" t="n">
        <v>0</v>
      </c>
      <c r="AI618" s="3" t="n"/>
      <c r="AJ618" s="3" t="n">
        <v>3.0912</v>
      </c>
      <c r="AK618" s="3" t="n">
        <v>1.4534</v>
      </c>
      <c r="AL618" s="3" t="n">
        <v>-0.0763216474948735</v>
      </c>
      <c r="AM618" s="6" t="n">
        <v>0</v>
      </c>
      <c r="AN618" s="3" t="n">
        <v>3.061003533120678</v>
      </c>
      <c r="AO618" s="3" t="n">
        <v>0</v>
      </c>
      <c r="AP618" s="3" t="n">
        <v>0</v>
      </c>
      <c r="AQ618" s="3">
        <f>N(X618)*N(BJ618)</f>
        <v/>
      </c>
      <c r="AR618" s="3" t="n">
        <v>0.6950146973483665</v>
      </c>
      <c r="AS618" s="3" t="n">
        <v>-0.4903625828545308</v>
      </c>
      <c r="AT618" s="3" t="n">
        <v>-0.0763216474948735</v>
      </c>
      <c r="AU618" s="3">
        <f>SUM(AO618:AT618)</f>
        <v/>
      </c>
      <c r="AV618" s="7">
        <f>IF(OR(N(W618)&lt;=0,N(BH618)=0),0,N(W618)*IF(N(R618)/N(W618)&gt;=60,N(BH618),1))</f>
        <v/>
      </c>
      <c r="AW618" s="7">
        <f>N(W618)*N(AF618)*N(BI618)</f>
        <v/>
      </c>
      <c r="AX618" s="3">
        <f>IF(N(BH618)=0,0,N(W618)*N(AH618))</f>
        <v/>
      </c>
      <c r="AY618" s="7">
        <f>N(AM618)*(Assumptions!$B$13*N(BK618)-(1-Assumptions!$B$13)*Assumptions!$B$14)+N(AN618)</f>
        <v/>
      </c>
      <c r="AZ618" s="7">
        <f>N(AU618)*N(R618)/90+N(AV618)+N(AW618)+N(AX618)+N(AY618)</f>
        <v/>
      </c>
      <c r="BA618" s="3">
        <f>IF(N(R618)&lt;=0,0,(N(AZ618)-N(AY618))*90/N(R618))</f>
        <v/>
      </c>
      <c r="BB618" s="7">
        <f>IFERROR(AZ618-VLOOKUP($E618,Assumptions!$A$40:$C$43,3,FALSE),"")</f>
        <v/>
      </c>
      <c r="BC618" s="3">
        <f>IFERROR(BB618/H618,"")</f>
        <v/>
      </c>
      <c r="BD618">
        <f>IF(AND($G618=TRUE,$E618="GKP"),AZ618,"")</f>
        <v/>
      </c>
      <c r="BE618">
        <f>IF(AND($G618=TRUE,$E618="DEF"),AZ618,"")</f>
        <v/>
      </c>
      <c r="BF618">
        <f>IF(AND($G618=TRUE,$E618="MID"),AZ618,"")</f>
        <v/>
      </c>
      <c r="BG618">
        <f>IF(AND($G618=TRUE,$E618="FWD"),AZ618,"")</f>
        <v/>
      </c>
      <c r="BH618" t="n">
        <v>2</v>
      </c>
      <c r="BI618" t="n">
        <v>0</v>
      </c>
      <c r="BJ618" t="n">
        <v>4</v>
      </c>
      <c r="BK618" t="n">
        <v>10</v>
      </c>
    </row>
    <row r="619">
      <c r="A619" t="inlineStr">
        <is>
          <t>Konstantinos Tzolakis</t>
        </is>
      </c>
      <c r="B619" t="inlineStr">
        <is>
          <t>HUL</t>
        </is>
      </c>
      <c r="D619" t="b">
        <v>0</v>
      </c>
      <c r="E619" t="inlineStr">
        <is>
          <t>GKP</t>
        </is>
      </c>
      <c r="G619" t="b">
        <v>1</v>
      </c>
      <c r="H619" s="2" t="n">
        <v>4.5</v>
      </c>
      <c r="I619" t="inlineStr">
        <is>
          <t>a</t>
        </is>
      </c>
      <c r="K619" s="2" t="n"/>
      <c r="M619" s="3" t="n">
        <v>3385</v>
      </c>
      <c r="N619" s="8" t="n">
        <v>3385</v>
      </c>
      <c r="O619" s="8" t="n">
        <v>0</v>
      </c>
      <c r="Q619" t="inlineStr">
        <is>
          <t>flat</t>
        </is>
      </c>
      <c r="R619" s="6" t="n">
        <v>3385</v>
      </c>
      <c r="S619" t="inlineStr">
        <is>
          <t>Solio</t>
        </is>
      </c>
      <c r="U619" s="6" t="n">
        <v>85</v>
      </c>
      <c r="V619" s="2" t="n"/>
      <c r="W619" s="7">
        <f>IF(N(U619)&lt;=0,0,MIN(Assumptions!$B$15,N(R619)/N(U619)))</f>
        <v/>
      </c>
      <c r="X619" s="6" t="n">
        <v>0.143</v>
      </c>
      <c r="Y619" s="3" t="n"/>
      <c r="Z619" t="inlineStr"/>
      <c r="AA619" s="3" t="n">
        <v>1</v>
      </c>
      <c r="AB619" s="3" t="n"/>
      <c r="AC619" s="3" t="n"/>
      <c r="AD619" s="3" t="n"/>
      <c r="AE619" s="3" t="n">
        <v>0</v>
      </c>
      <c r="AF619" s="3" t="n">
        <v>0</v>
      </c>
      <c r="AG619" s="3" t="n"/>
      <c r="AH619" s="3" t="n">
        <v>0</v>
      </c>
      <c r="AI619" s="3" t="n"/>
      <c r="AJ619" s="3" t="n">
        <v>3.9421</v>
      </c>
      <c r="AK619" s="3" t="n">
        <v>1.99</v>
      </c>
      <c r="AL619" s="3" t="n">
        <v>-0.0763216474948735</v>
      </c>
      <c r="AM619" s="6" t="n">
        <v>0</v>
      </c>
      <c r="AN619" s="3" t="n">
        <v>4.204835782491481</v>
      </c>
      <c r="AO619" s="3" t="n">
        <v>0</v>
      </c>
      <c r="AP619" s="3" t="n">
        <v>0</v>
      </c>
      <c r="AQ619" s="3">
        <f>N(X619)*N(BJ619)</f>
        <v/>
      </c>
      <c r="AR619" s="3" t="n">
        <v>0.979692031005534</v>
      </c>
      <c r="AS619" s="3" t="n">
        <v>-0.7496714098286652</v>
      </c>
      <c r="AT619" s="3" t="n">
        <v>-0.0763216474948735</v>
      </c>
      <c r="AU619" s="3">
        <f>SUM(AO619:AT619)</f>
        <v/>
      </c>
      <c r="AV619" s="7">
        <f>IF(OR(N(W619)&lt;=0,N(BH619)=0),0,N(W619)*IF(N(R619)/N(W619)&gt;=60,N(BH619),1))</f>
        <v/>
      </c>
      <c r="AW619" s="7">
        <f>N(W619)*N(AF619)*N(BI619)</f>
        <v/>
      </c>
      <c r="AX619" s="3">
        <f>IF(N(BH619)=0,0,N(W619)*N(AH619))</f>
        <v/>
      </c>
      <c r="AY619" s="7">
        <f>N(AM619)*(Assumptions!$B$13*N(BK619)-(1-Assumptions!$B$13)*Assumptions!$B$14)+N(AN619)</f>
        <v/>
      </c>
      <c r="AZ619" s="7">
        <f>N(AU619)*N(R619)/90+N(AV619)+N(AW619)+N(AX619)+N(AY619)</f>
        <v/>
      </c>
      <c r="BA619" s="3">
        <f>IF(N(R619)&lt;=0,0,(N(AZ619)-N(AY619))*90/N(R619))</f>
        <v/>
      </c>
      <c r="BB619" s="7">
        <f>IFERROR(AZ619-VLOOKUP($E619,Assumptions!$A$40:$C$43,3,FALSE),"")</f>
        <v/>
      </c>
      <c r="BC619" s="3">
        <f>IFERROR(BB619/H619,"")</f>
        <v/>
      </c>
      <c r="BD619">
        <f>IF(AND($G619=TRUE,$E619="GKP"),AZ619,"")</f>
        <v/>
      </c>
      <c r="BE619">
        <f>IF(AND($G619=TRUE,$E619="DEF"),AZ619,"")</f>
        <v/>
      </c>
      <c r="BF619">
        <f>IF(AND($G619=TRUE,$E619="MID"),AZ619,"")</f>
        <v/>
      </c>
      <c r="BG619">
        <f>IF(AND($G619=TRUE,$E619="FWD"),AZ619,"")</f>
        <v/>
      </c>
      <c r="BH619" t="n">
        <v>2</v>
      </c>
      <c r="BI619" t="n">
        <v>0</v>
      </c>
      <c r="BJ619" t="n">
        <v>4</v>
      </c>
      <c r="BK619" t="n">
        <v>10</v>
      </c>
    </row>
    <row r="620">
      <c r="A620" t="inlineStr">
        <is>
          <t>Maxime Estève</t>
        </is>
      </c>
      <c r="C620" t="inlineStr">
        <is>
          <t>BUR</t>
        </is>
      </c>
      <c r="D620" t="b">
        <v>0</v>
      </c>
      <c r="F620" t="inlineStr">
        <is>
          <t>DEF</t>
        </is>
      </c>
      <c r="G620" t="b">
        <v>0</v>
      </c>
      <c r="H620" s="2" t="n"/>
      <c r="K620" s="2" t="n">
        <v>2937</v>
      </c>
      <c r="M620" s="3" t="n"/>
      <c r="N620" s="8" t="n">
        <v>2937</v>
      </c>
      <c r="O620" s="8" t="n">
        <v>0</v>
      </c>
      <c r="R620" s="6" t="n">
        <v>2937</v>
      </c>
      <c r="S620" t="inlineStr">
        <is>
          <t>25/26 actual</t>
        </is>
      </c>
      <c r="U620" s="6" t="n">
        <v>86.09999999999999</v>
      </c>
      <c r="V620" s="2" t="n">
        <v>34</v>
      </c>
      <c r="W620" s="7">
        <f>IF(N(U620)&lt;=0,0,MIN(Assumptions!$B$15,N(R620)/N(U620)))</f>
        <v/>
      </c>
      <c r="X620" s="6" t="n"/>
      <c r="Y620" s="3" t="n">
        <v>0.0201</v>
      </c>
      <c r="Z620" t="inlineStr">
        <is>
          <t>adjusted xGOT</t>
        </is>
      </c>
      <c r="AA620" s="3" t="n">
        <v>1</v>
      </c>
      <c r="AB620" s="3" t="n">
        <v>0.9</v>
      </c>
      <c r="AC620" s="3" t="n">
        <v>1</v>
      </c>
      <c r="AD620" s="3" t="n">
        <v>0.0215</v>
      </c>
      <c r="AE620" s="3" t="n">
        <v>9.744</v>
      </c>
      <c r="AF620" s="3" t="n">
        <v>0</v>
      </c>
      <c r="AG620" s="3" t="n">
        <v>8.263</v>
      </c>
      <c r="AH620" s="3" t="n">
        <v>0</v>
      </c>
      <c r="AI620" s="3" t="n">
        <v>67</v>
      </c>
      <c r="AJ620" s="3" t="n"/>
      <c r="AK620" s="3" t="n"/>
      <c r="AL620" s="3" t="n"/>
      <c r="AM620" s="6" t="n">
        <v>0</v>
      </c>
      <c r="AN620" s="3" t="n">
        <v>0</v>
      </c>
      <c r="AO620" s="3" t="n">
        <v>0</v>
      </c>
      <c r="AP620" s="3" t="n">
        <v>0</v>
      </c>
      <c r="AQ620" s="3">
        <f>N(X620)*N(BJ620)</f>
        <v/>
      </c>
      <c r="AR620" s="3" t="n">
        <v>0</v>
      </c>
      <c r="AS620" s="3" t="n">
        <v>0</v>
      </c>
      <c r="AT620" s="3" t="n">
        <v>0</v>
      </c>
      <c r="AU620" s="3">
        <f>SUM(AO620:AT620)</f>
        <v/>
      </c>
      <c r="AV620" s="7">
        <f>IF(OR(N(W620)&lt;=0,N(BH620)=0),0,N(W620)*IF(N(R620)/N(W620)&gt;=60,N(BH620),1))</f>
        <v/>
      </c>
      <c r="AW620" s="7">
        <f>N(W620)*N(AF620)*N(BI620)</f>
        <v/>
      </c>
      <c r="AX620" s="3">
        <f>IF(N(BH620)=0,0,N(W620)*N(AH620))</f>
        <v/>
      </c>
      <c r="AY620" s="7">
        <f>N(AM620)*(Assumptions!$B$13*N(BK620)-(1-Assumptions!$B$13)*Assumptions!$B$14)+N(AN620)</f>
        <v/>
      </c>
      <c r="AZ620" s="7">
        <f>N(AU620)*N(R620)/90+N(AV620)+N(AW620)+N(AX620)+N(AY620)</f>
        <v/>
      </c>
      <c r="BA620" s="3">
        <f>IF(N(R620)&lt;=0,0,(N(AZ620)-N(AY620))*90/N(R620))</f>
        <v/>
      </c>
      <c r="BB620" s="7">
        <f>IFERROR(AZ620-VLOOKUP($E620,Assumptions!$A$40:$C$43,3,FALSE),"")</f>
        <v/>
      </c>
      <c r="BC620" s="3">
        <f>IFERROR(BB620/H620,"")</f>
        <v/>
      </c>
      <c r="BD620">
        <f>IF(AND($G620=TRUE,$E620="GKP"),AZ620,"")</f>
        <v/>
      </c>
      <c r="BE620">
        <f>IF(AND($G620=TRUE,$E620="DEF"),AZ620,"")</f>
        <v/>
      </c>
      <c r="BF620">
        <f>IF(AND($G620=TRUE,$E620="MID"),AZ620,"")</f>
        <v/>
      </c>
      <c r="BG620">
        <f>IF(AND($G620=TRUE,$E620="FWD"),AZ620,"")</f>
        <v/>
      </c>
      <c r="BH620" t="n">
        <v>0</v>
      </c>
      <c r="BI620" t="n">
        <v>0</v>
      </c>
      <c r="BJ620" t="n">
        <v>0</v>
      </c>
      <c r="BK620" t="n">
        <v>0</v>
      </c>
    </row>
    <row r="621">
      <c r="A621" t="inlineStr">
        <is>
          <t>Hjalmar Ekdal</t>
        </is>
      </c>
      <c r="C621" t="inlineStr">
        <is>
          <t>BUR</t>
        </is>
      </c>
      <c r="D621" t="b">
        <v>0</v>
      </c>
      <c r="F621" t="inlineStr">
        <is>
          <t>DEF</t>
        </is>
      </c>
      <c r="G621" t="b">
        <v>0</v>
      </c>
      <c r="H621" s="2" t="n"/>
      <c r="K621" s="2" t="n">
        <v>1539</v>
      </c>
      <c r="M621" s="3" t="n"/>
      <c r="N621" s="8" t="n">
        <v>1539</v>
      </c>
      <c r="O621" s="8" t="n">
        <v>0</v>
      </c>
      <c r="R621" s="6" t="n">
        <v>1539</v>
      </c>
      <c r="S621" t="inlineStr">
        <is>
          <t>25/26 actual</t>
        </is>
      </c>
      <c r="U621" s="6" t="n">
        <v>88</v>
      </c>
      <c r="V621" s="2" t="n">
        <v>17</v>
      </c>
      <c r="W621" s="7">
        <f>IF(N(U621)&lt;=0,0,MIN(Assumptions!$B$15,N(R621)/N(U621)))</f>
        <v/>
      </c>
      <c r="X621" s="6" t="n"/>
      <c r="Y621" s="3" t="n">
        <v>0.0143</v>
      </c>
      <c r="Z621" t="inlineStr">
        <is>
          <t>adjusted xGOT</t>
        </is>
      </c>
      <c r="AA621" s="3" t="n">
        <v>1</v>
      </c>
      <c r="AB621" s="3" t="n">
        <v>0.975</v>
      </c>
      <c r="AC621" s="3" t="n">
        <v>0.3</v>
      </c>
      <c r="AD621" s="3" t="n">
        <v>0.0098</v>
      </c>
      <c r="AE621" s="3" t="n">
        <v>9.382</v>
      </c>
      <c r="AF621" s="3" t="n">
        <v>0</v>
      </c>
      <c r="AG621" s="3" t="n">
        <v>8.026999999999999</v>
      </c>
      <c r="AH621" s="3" t="n">
        <v>0</v>
      </c>
      <c r="AI621" s="3" t="n">
        <v>36</v>
      </c>
      <c r="AJ621" s="3" t="n"/>
      <c r="AK621" s="3" t="n"/>
      <c r="AL621" s="3" t="n"/>
      <c r="AM621" s="6" t="n">
        <v>0</v>
      </c>
      <c r="AN621" s="3" t="n">
        <v>0</v>
      </c>
      <c r="AO621" s="3" t="n">
        <v>0</v>
      </c>
      <c r="AP621" s="3" t="n">
        <v>0</v>
      </c>
      <c r="AQ621" s="3">
        <f>N(X621)*N(BJ621)</f>
        <v/>
      </c>
      <c r="AR621" s="3" t="n">
        <v>0</v>
      </c>
      <c r="AS621" s="3" t="n">
        <v>0</v>
      </c>
      <c r="AT621" s="3" t="n">
        <v>0</v>
      </c>
      <c r="AU621" s="3">
        <f>SUM(AO621:AT621)</f>
        <v/>
      </c>
      <c r="AV621" s="7">
        <f>IF(OR(N(W621)&lt;=0,N(BH621)=0),0,N(W621)*IF(N(R621)/N(W621)&gt;=60,N(BH621),1))</f>
        <v/>
      </c>
      <c r="AW621" s="7">
        <f>N(W621)*N(AF621)*N(BI621)</f>
        <v/>
      </c>
      <c r="AX621" s="3">
        <f>IF(N(BH621)=0,0,N(W621)*N(AH621))</f>
        <v/>
      </c>
      <c r="AY621" s="7">
        <f>N(AM621)*(Assumptions!$B$13*N(BK621)-(1-Assumptions!$B$13)*Assumptions!$B$14)+N(AN621)</f>
        <v/>
      </c>
      <c r="AZ621" s="7">
        <f>N(AU621)*N(R621)/90+N(AV621)+N(AW621)+N(AX621)+N(AY621)</f>
        <v/>
      </c>
      <c r="BA621" s="3">
        <f>IF(N(R621)&lt;=0,0,(N(AZ621)-N(AY621))*90/N(R621))</f>
        <v/>
      </c>
      <c r="BB621" s="7">
        <f>IFERROR(AZ621-VLOOKUP($E621,Assumptions!$A$40:$C$43,3,FALSE),"")</f>
        <v/>
      </c>
      <c r="BC621" s="3">
        <f>IFERROR(BB621/H621,"")</f>
        <v/>
      </c>
      <c r="BD621">
        <f>IF(AND($G621=TRUE,$E621="GKP"),AZ621,"")</f>
        <v/>
      </c>
      <c r="BE621">
        <f>IF(AND($G621=TRUE,$E621="DEF"),AZ621,"")</f>
        <v/>
      </c>
      <c r="BF621">
        <f>IF(AND($G621=TRUE,$E621="MID"),AZ621,"")</f>
        <v/>
      </c>
      <c r="BG621">
        <f>IF(AND($G621=TRUE,$E621="FWD"),AZ621,"")</f>
        <v/>
      </c>
      <c r="BH621" t="n">
        <v>0</v>
      </c>
      <c r="BI621" t="n">
        <v>0</v>
      </c>
      <c r="BJ621" t="n">
        <v>0</v>
      </c>
      <c r="BK621" t="n">
        <v>0</v>
      </c>
    </row>
    <row r="622">
      <c r="A622" t="inlineStr">
        <is>
          <t>Jack Rudoni</t>
        </is>
      </c>
      <c r="B622" t="inlineStr">
        <is>
          <t>COV</t>
        </is>
      </c>
      <c r="D622" t="b">
        <v>0</v>
      </c>
      <c r="E622" t="inlineStr">
        <is>
          <t>MID</t>
        </is>
      </c>
      <c r="G622" t="b">
        <v>1</v>
      </c>
      <c r="H622" s="2" t="n">
        <v>5</v>
      </c>
      <c r="I622" t="inlineStr">
        <is>
          <t>d</t>
        </is>
      </c>
      <c r="J622" t="inlineStr">
        <is>
          <t>Shoulder injury - 75% chance of playing</t>
        </is>
      </c>
      <c r="K622" s="2" t="n"/>
      <c r="M622" s="3" t="n">
        <v>948</v>
      </c>
      <c r="N622" s="8" t="n">
        <v>948</v>
      </c>
      <c r="O622" s="8" t="n">
        <v>0</v>
      </c>
      <c r="Q622" t="inlineStr">
        <is>
          <t>flat</t>
        </is>
      </c>
      <c r="R622" s="6" t="n">
        <v>948</v>
      </c>
      <c r="S622" t="inlineStr">
        <is>
          <t>Solio</t>
        </is>
      </c>
      <c r="U622" s="6" t="n">
        <v>85</v>
      </c>
      <c r="V622" s="2" t="n"/>
      <c r="W622" s="7">
        <f>IF(N(U622)&lt;=0,0,MIN(Assumptions!$B$15,N(R622)/N(U622)))</f>
        <v/>
      </c>
      <c r="X622" s="6" t="n">
        <v>0.17</v>
      </c>
      <c r="Y622" s="3" t="n"/>
      <c r="Z622" t="inlineStr"/>
      <c r="AA622" s="3" t="n">
        <v>1</v>
      </c>
      <c r="AB622" s="3" t="n"/>
      <c r="AC622" s="3" t="n"/>
      <c r="AD622" s="3" t="n"/>
      <c r="AE622" s="3" t="n"/>
      <c r="AF622" s="3" t="n">
        <v>0</v>
      </c>
      <c r="AG622" s="3" t="n"/>
      <c r="AH622" s="3" t="n">
        <v>0</v>
      </c>
      <c r="AI622" s="3" t="n"/>
      <c r="AJ622" s="3" t="n">
        <v>3.6194</v>
      </c>
      <c r="AK622" s="3" t="n">
        <v>1.8271</v>
      </c>
      <c r="AL622" s="3" t="n">
        <v>-0.2160434166173144</v>
      </c>
      <c r="AM622" s="6" t="n">
        <v>0</v>
      </c>
      <c r="AN622" s="3" t="n">
        <v>0</v>
      </c>
      <c r="AO622" s="3" t="n">
        <v>0</v>
      </c>
      <c r="AP622" s="3" t="n">
        <v>0</v>
      </c>
      <c r="AQ622" s="3">
        <f>N(X622)*N(BJ622)</f>
        <v/>
      </c>
      <c r="AR622" s="3" t="n">
        <v>0</v>
      </c>
      <c r="AS622" s="3" t="n">
        <v>-0</v>
      </c>
      <c r="AT622" s="3" t="n">
        <v>-0.2160434166173144</v>
      </c>
      <c r="AU622" s="3">
        <f>SUM(AO622:AT622)</f>
        <v/>
      </c>
      <c r="AV622" s="7">
        <f>IF(OR(N(W622)&lt;=0,N(BH622)=0),0,N(W622)*IF(N(R622)/N(W622)&gt;=60,N(BH622),1))</f>
        <v/>
      </c>
      <c r="AW622" s="7">
        <f>N(W622)*N(AF622)*N(BI622)</f>
        <v/>
      </c>
      <c r="AX622" s="3">
        <f>IF(N(BH622)=0,0,N(W622)*N(AH622))</f>
        <v/>
      </c>
      <c r="AY622" s="7">
        <f>N(AM622)*(Assumptions!$B$13*N(BK622)-(1-Assumptions!$B$13)*Assumptions!$B$14)+N(AN622)</f>
        <v/>
      </c>
      <c r="AZ622" s="7">
        <f>N(AU622)*N(R622)/90+N(AV622)+N(AW622)+N(AX622)+N(AY622)</f>
        <v/>
      </c>
      <c r="BA622" s="3">
        <f>IF(N(R622)&lt;=0,0,(N(AZ622)-N(AY622))*90/N(R622))</f>
        <v/>
      </c>
      <c r="BB622" s="7">
        <f>IFERROR(AZ622-VLOOKUP($E622,Assumptions!$A$40:$C$43,3,FALSE),"")</f>
        <v/>
      </c>
      <c r="BC622" s="3">
        <f>IFERROR(BB622/H622,"")</f>
        <v/>
      </c>
      <c r="BD622">
        <f>IF(AND($G622=TRUE,$E622="GKP"),AZ622,"")</f>
        <v/>
      </c>
      <c r="BE622">
        <f>IF(AND($G622=TRUE,$E622="DEF"),AZ622,"")</f>
        <v/>
      </c>
      <c r="BF622">
        <f>IF(AND($G622=TRUE,$E622="MID"),AZ622,"")</f>
        <v/>
      </c>
      <c r="BG622">
        <f>IF(AND($G622=TRUE,$E622="FWD"),AZ622,"")</f>
        <v/>
      </c>
      <c r="BH622" t="n">
        <v>2</v>
      </c>
      <c r="BI622" t="n">
        <v>2</v>
      </c>
      <c r="BJ622" t="n">
        <v>1</v>
      </c>
      <c r="BK622" t="n">
        <v>5</v>
      </c>
    </row>
    <row r="623">
      <c r="A623" t="inlineStr">
        <is>
          <t>Jaden Philogene</t>
        </is>
      </c>
      <c r="B623" t="inlineStr">
        <is>
          <t>IPS</t>
        </is>
      </c>
      <c r="D623" t="b">
        <v>0</v>
      </c>
      <c r="E623" t="inlineStr">
        <is>
          <t>MID</t>
        </is>
      </c>
      <c r="G623" t="b">
        <v>1</v>
      </c>
      <c r="H623" s="2" t="n">
        <v>5.5</v>
      </c>
      <c r="I623" t="inlineStr">
        <is>
          <t>a</t>
        </is>
      </c>
      <c r="K623" s="2" t="n"/>
      <c r="M623" s="3" t="n">
        <v>958</v>
      </c>
      <c r="N623" s="8" t="n">
        <v>958</v>
      </c>
      <c r="O623" s="8" t="n">
        <v>0</v>
      </c>
      <c r="Q623" t="inlineStr">
        <is>
          <t>flat</t>
        </is>
      </c>
      <c r="R623" s="6" t="n">
        <v>958</v>
      </c>
      <c r="S623" t="inlineStr">
        <is>
          <t>Solio</t>
        </is>
      </c>
      <c r="U623" s="6" t="n">
        <v>85</v>
      </c>
      <c r="V623" s="2" t="n"/>
      <c r="W623" s="7">
        <f>IF(N(U623)&lt;=0,0,MIN(Assumptions!$B$15,N(R623)/N(U623)))</f>
        <v/>
      </c>
      <c r="X623" s="6" t="n">
        <v>0.17</v>
      </c>
      <c r="Y623" s="3" t="n"/>
      <c r="Z623" t="inlineStr"/>
      <c r="AA623" s="3" t="n">
        <v>1</v>
      </c>
      <c r="AB623" s="3" t="n"/>
      <c r="AC623" s="3" t="n"/>
      <c r="AD623" s="3" t="n"/>
      <c r="AE623" s="3" t="n"/>
      <c r="AF623" s="3" t="n">
        <v>0</v>
      </c>
      <c r="AG623" s="3" t="n"/>
      <c r="AH623" s="3" t="n">
        <v>0</v>
      </c>
      <c r="AI623" s="3" t="n"/>
      <c r="AJ623" s="3" t="n">
        <v>3.5741</v>
      </c>
      <c r="AK623" s="3" t="n">
        <v>1.8319</v>
      </c>
      <c r="AL623" s="3" t="n">
        <v>-0.250712540920903</v>
      </c>
      <c r="AM623" s="6" t="n">
        <v>0.1719394686876215</v>
      </c>
      <c r="AN623" s="3" t="n">
        <v>0</v>
      </c>
      <c r="AO623" s="3" t="n">
        <v>0</v>
      </c>
      <c r="AP623" s="3" t="n">
        <v>0</v>
      </c>
      <c r="AQ623" s="3">
        <f>N(X623)*N(BJ623)</f>
        <v/>
      </c>
      <c r="AR623" s="3" t="n">
        <v>0</v>
      </c>
      <c r="AS623" s="3" t="n">
        <v>-0</v>
      </c>
      <c r="AT623" s="3" t="n">
        <v>-0.250712540920903</v>
      </c>
      <c r="AU623" s="3">
        <f>SUM(AO623:AT623)</f>
        <v/>
      </c>
      <c r="AV623" s="7">
        <f>IF(OR(N(W623)&lt;=0,N(BH623)=0),0,N(W623)*IF(N(R623)/N(W623)&gt;=60,N(BH623),1))</f>
        <v/>
      </c>
      <c r="AW623" s="7">
        <f>N(W623)*N(AF623)*N(BI623)</f>
        <v/>
      </c>
      <c r="AX623" s="3">
        <f>IF(N(BH623)=0,0,N(W623)*N(AH623))</f>
        <v/>
      </c>
      <c r="AY623" s="7">
        <f>N(AM623)*(Assumptions!$B$13*N(BK623)-(1-Assumptions!$B$13)*Assumptions!$B$14)+N(AN623)</f>
        <v/>
      </c>
      <c r="AZ623" s="7">
        <f>N(AU623)*N(R623)/90+N(AV623)+N(AW623)+N(AX623)+N(AY623)</f>
        <v/>
      </c>
      <c r="BA623" s="3">
        <f>IF(N(R623)&lt;=0,0,(N(AZ623)-N(AY623))*90/N(R623))</f>
        <v/>
      </c>
      <c r="BB623" s="7">
        <f>IFERROR(AZ623-VLOOKUP($E623,Assumptions!$A$40:$C$43,3,FALSE),"")</f>
        <v/>
      </c>
      <c r="BC623" s="3">
        <f>IFERROR(BB623/H623,"")</f>
        <v/>
      </c>
      <c r="BD623">
        <f>IF(AND($G623=TRUE,$E623="GKP"),AZ623,"")</f>
        <v/>
      </c>
      <c r="BE623">
        <f>IF(AND($G623=TRUE,$E623="DEF"),AZ623,"")</f>
        <v/>
      </c>
      <c r="BF623">
        <f>IF(AND($G623=TRUE,$E623="MID"),AZ623,"")</f>
        <v/>
      </c>
      <c r="BG623">
        <f>IF(AND($G623=TRUE,$E623="FWD"),AZ623,"")</f>
        <v/>
      </c>
      <c r="BH623" t="n">
        <v>2</v>
      </c>
      <c r="BI623" t="n">
        <v>2</v>
      </c>
      <c r="BJ623" t="n">
        <v>1</v>
      </c>
      <c r="BK623" t="n">
        <v>5</v>
      </c>
    </row>
    <row r="624">
      <c r="A624" t="inlineStr">
        <is>
          <t>António João Pereira de Albuquerque Tavares da Silva</t>
        </is>
      </c>
      <c r="B624" t="inlineStr">
        <is>
          <t>BOU</t>
        </is>
      </c>
      <c r="D624" t="b">
        <v>0</v>
      </c>
      <c r="E624" t="inlineStr">
        <is>
          <t>DEF</t>
        </is>
      </c>
      <c r="G624" t="b">
        <v>1</v>
      </c>
      <c r="H624" s="2" t="n">
        <v>5</v>
      </c>
      <c r="I624" t="inlineStr">
        <is>
          <t>a</t>
        </is>
      </c>
      <c r="K624" s="2" t="n"/>
      <c r="M624" s="3" t="n">
        <v>3175</v>
      </c>
      <c r="N624" s="4" t="n">
        <v>2900</v>
      </c>
      <c r="O624" s="4" t="n">
        <v>-275</v>
      </c>
      <c r="P624" s="5" t="inlineStr">
        <is>
          <t>medium</t>
        </is>
      </c>
      <c r="Q624" t="inlineStr">
        <is>
          <t>flat</t>
        </is>
      </c>
      <c r="R624" s="6" t="n">
        <v>2900</v>
      </c>
      <c r="S624" t="inlineStr">
        <is>
          <t>research</t>
        </is>
      </c>
      <c r="T624" s="5" t="inlineStr">
        <is>
          <t>Confirming the brief's open question: the minutes are broadly real. This is Antonio Silva, signed from Benfica on 1 Aug 2026 for c.GBP 25.7m as the direct replacement for Marcos Senesi, and he started the final pre-season friendly at centre-back. Trimmed only modestly, for the same three-into-two centre-back competition and Europa League rotation as Hill, plus the settling-in risk of a defender arriving three weeks before the opener with no Premier League record.</t>
        </is>
      </c>
      <c r="U624" s="6" t="n">
        <v>85</v>
      </c>
      <c r="V624" s="2" t="n"/>
      <c r="W624" s="7">
        <f>IF(N(U624)&lt;=0,0,MIN(Assumptions!$B$15,N(R624)/N(U624)))</f>
        <v/>
      </c>
      <c r="X624" s="6" t="n">
        <v>0.23</v>
      </c>
      <c r="Y624" s="3" t="n"/>
      <c r="Z624" t="inlineStr"/>
      <c r="AA624" s="3" t="n">
        <v>1</v>
      </c>
      <c r="AB624" s="3" t="n"/>
      <c r="AC624" s="3" t="n"/>
      <c r="AD624" s="3" t="n"/>
      <c r="AE624" s="3" t="n"/>
      <c r="AF624" s="3" t="n">
        <v>0</v>
      </c>
      <c r="AG624" s="3" t="n"/>
      <c r="AH624" s="3" t="n">
        <v>0</v>
      </c>
      <c r="AI624" s="3" t="n"/>
      <c r="AJ624" s="3" t="n">
        <v>3.0957</v>
      </c>
      <c r="AK624" s="3" t="n">
        <v>1.53</v>
      </c>
      <c r="AL624" s="3" t="n">
        <v>-0.2045226422080557</v>
      </c>
      <c r="AM624" s="6" t="n">
        <v>0</v>
      </c>
      <c r="AN624" s="3" t="n">
        <v>0</v>
      </c>
      <c r="AO624" s="3" t="n">
        <v>0</v>
      </c>
      <c r="AP624" s="3" t="n">
        <v>0</v>
      </c>
      <c r="AQ624" s="3">
        <f>N(X624)*N(BJ624)</f>
        <v/>
      </c>
      <c r="AR624" s="3" t="n">
        <v>0</v>
      </c>
      <c r="AS624" s="3" t="n">
        <v>-0.5267219238049191</v>
      </c>
      <c r="AT624" s="3" t="n">
        <v>-0.2045226422080557</v>
      </c>
      <c r="AU624" s="3">
        <f>SUM(AO624:AT624)</f>
        <v/>
      </c>
      <c r="AV624" s="7">
        <f>IF(OR(N(W624)&lt;=0,N(BH624)=0),0,N(W624)*IF(N(R624)/N(W624)&gt;=60,N(BH624),1))</f>
        <v/>
      </c>
      <c r="AW624" s="7">
        <f>N(W624)*N(AF624)*N(BI624)</f>
        <v/>
      </c>
      <c r="AX624" s="3">
        <f>IF(N(BH624)=0,0,N(W624)*N(AH624))</f>
        <v/>
      </c>
      <c r="AY624" s="7">
        <f>N(AM624)*(Assumptions!$B$13*N(BK624)-(1-Assumptions!$B$13)*Assumptions!$B$14)+N(AN624)</f>
        <v/>
      </c>
      <c r="AZ624" s="7">
        <f>N(AU624)*N(R624)/90+N(AV624)+N(AW624)+N(AX624)+N(AY624)</f>
        <v/>
      </c>
      <c r="BA624" s="3">
        <f>IF(N(R624)&lt;=0,0,(N(AZ624)-N(AY624))*90/N(R624))</f>
        <v/>
      </c>
      <c r="BB624" s="7">
        <f>IFERROR(AZ624-VLOOKUP($E624,Assumptions!$A$40:$C$43,3,FALSE),"")</f>
        <v/>
      </c>
      <c r="BC624" s="3">
        <f>IFERROR(BB624/H624,"")</f>
        <v/>
      </c>
      <c r="BD624">
        <f>IF(AND($G624=TRUE,$E624="GKP"),AZ624,"")</f>
        <v/>
      </c>
      <c r="BE624">
        <f>IF(AND($G624=TRUE,$E624="DEF"),AZ624,"")</f>
        <v/>
      </c>
      <c r="BF624">
        <f>IF(AND($G624=TRUE,$E624="MID"),AZ624,"")</f>
        <v/>
      </c>
      <c r="BG624">
        <f>IF(AND($G624=TRUE,$E624="FWD"),AZ624,"")</f>
        <v/>
      </c>
      <c r="BH624" t="n">
        <v>2</v>
      </c>
      <c r="BI624" t="n">
        <v>2</v>
      </c>
      <c r="BJ624" t="n">
        <v>4</v>
      </c>
      <c r="BK624" t="n">
        <v>6</v>
      </c>
    </row>
    <row r="625">
      <c r="A625" t="inlineStr">
        <is>
          <t>Rodrigo Gomes</t>
        </is>
      </c>
      <c r="C625" t="inlineStr">
        <is>
          <t>WOL</t>
        </is>
      </c>
      <c r="D625" t="b">
        <v>0</v>
      </c>
      <c r="F625" t="inlineStr">
        <is>
          <t>DEF</t>
        </is>
      </c>
      <c r="G625" t="b">
        <v>0</v>
      </c>
      <c r="H625" s="2" t="n"/>
      <c r="K625" s="2" t="n">
        <v>960</v>
      </c>
      <c r="M625" s="3" t="n"/>
      <c r="N625" s="8" t="n">
        <v>960</v>
      </c>
      <c r="O625" s="8" t="n">
        <v>0</v>
      </c>
      <c r="R625" s="6" t="n">
        <v>960</v>
      </c>
      <c r="S625" t="inlineStr">
        <is>
          <t>25/26 actual</t>
        </is>
      </c>
      <c r="U625" s="6" t="n">
        <v>79.3</v>
      </c>
      <c r="V625" s="2" t="n">
        <v>9</v>
      </c>
      <c r="W625" s="7">
        <f>IF(N(U625)&lt;=0,0,MIN(Assumptions!$B$15,N(R625)/N(U625)))</f>
        <v/>
      </c>
      <c r="X625" s="6" t="n"/>
      <c r="Y625" s="3" t="n">
        <v>0.1877</v>
      </c>
      <c r="Z625" t="inlineStr">
        <is>
          <t>adjusted xGOT</t>
        </is>
      </c>
      <c r="AA625" s="3" t="n">
        <v>1</v>
      </c>
      <c r="AB625" s="3" t="n">
        <v>0.9399999999999999</v>
      </c>
      <c r="AC625" s="3" t="n">
        <v>2.8</v>
      </c>
      <c r="AD625" s="3" t="n">
        <v>0.0142</v>
      </c>
      <c r="AE625" s="3" t="n">
        <v>5.725</v>
      </c>
      <c r="AF625" s="3" t="n">
        <v>0</v>
      </c>
      <c r="AG625" s="3" t="n">
        <v>5.429</v>
      </c>
      <c r="AH625" s="3" t="n">
        <v>0</v>
      </c>
      <c r="AI625" s="3" t="n">
        <v>29</v>
      </c>
      <c r="AJ625" s="3" t="n"/>
      <c r="AK625" s="3" t="n"/>
      <c r="AL625" s="3" t="n"/>
      <c r="AM625" s="6" t="n">
        <v>0</v>
      </c>
      <c r="AN625" s="3" t="n">
        <v>0</v>
      </c>
      <c r="AO625" s="3" t="n">
        <v>0</v>
      </c>
      <c r="AP625" s="3" t="n">
        <v>0</v>
      </c>
      <c r="AQ625" s="3">
        <f>N(X625)*N(BJ625)</f>
        <v/>
      </c>
      <c r="AR625" s="3" t="n">
        <v>0</v>
      </c>
      <c r="AS625" s="3" t="n">
        <v>0</v>
      </c>
      <c r="AT625" s="3" t="n">
        <v>0</v>
      </c>
      <c r="AU625" s="3">
        <f>SUM(AO625:AT625)</f>
        <v/>
      </c>
      <c r="AV625" s="7">
        <f>IF(OR(N(W625)&lt;=0,N(BH625)=0),0,N(W625)*IF(N(R625)/N(W625)&gt;=60,N(BH625),1))</f>
        <v/>
      </c>
      <c r="AW625" s="7">
        <f>N(W625)*N(AF625)*N(BI625)</f>
        <v/>
      </c>
      <c r="AX625" s="3">
        <f>IF(N(BH625)=0,0,N(W625)*N(AH625))</f>
        <v/>
      </c>
      <c r="AY625" s="7">
        <f>N(AM625)*(Assumptions!$B$13*N(BK625)-(1-Assumptions!$B$13)*Assumptions!$B$14)+N(AN625)</f>
        <v/>
      </c>
      <c r="AZ625" s="7">
        <f>N(AU625)*N(R625)/90+N(AV625)+N(AW625)+N(AX625)+N(AY625)</f>
        <v/>
      </c>
      <c r="BA625" s="3">
        <f>IF(N(R625)&lt;=0,0,(N(AZ625)-N(AY625))*90/N(R625))</f>
        <v/>
      </c>
      <c r="BB625" s="7">
        <f>IFERROR(AZ625-VLOOKUP($E625,Assumptions!$A$40:$C$43,3,FALSE),"")</f>
        <v/>
      </c>
      <c r="BC625" s="3">
        <f>IFERROR(BB625/H625,"")</f>
        <v/>
      </c>
      <c r="BD625">
        <f>IF(AND($G625=TRUE,$E625="GKP"),AZ625,"")</f>
        <v/>
      </c>
      <c r="BE625">
        <f>IF(AND($G625=TRUE,$E625="DEF"),AZ625,"")</f>
        <v/>
      </c>
      <c r="BF625">
        <f>IF(AND($G625=TRUE,$E625="MID"),AZ625,"")</f>
        <v/>
      </c>
      <c r="BG625">
        <f>IF(AND($G625=TRUE,$E625="FWD"),AZ625,"")</f>
        <v/>
      </c>
      <c r="BH625" t="n">
        <v>0</v>
      </c>
      <c r="BI625" t="n">
        <v>0</v>
      </c>
      <c r="BJ625" t="n">
        <v>0</v>
      </c>
      <c r="BK625" t="n">
        <v>0</v>
      </c>
    </row>
    <row r="626">
      <c r="A626" t="inlineStr">
        <is>
          <t>Oliver Dovin</t>
        </is>
      </c>
      <c r="B626" t="inlineStr">
        <is>
          <t>COV</t>
        </is>
      </c>
      <c r="D626" t="b">
        <v>0</v>
      </c>
      <c r="E626" t="inlineStr">
        <is>
          <t>GKP</t>
        </is>
      </c>
      <c r="G626" t="b">
        <v>1</v>
      </c>
      <c r="H626" s="2" t="n">
        <v>4</v>
      </c>
      <c r="I626" t="inlineStr">
        <is>
          <t>a</t>
        </is>
      </c>
      <c r="K626" s="2" t="n"/>
      <c r="M626" s="3" t="n">
        <v>0</v>
      </c>
      <c r="N626" s="8" t="n">
        <v>0</v>
      </c>
      <c r="O626" s="8" t="n">
        <v>0</v>
      </c>
      <c r="Q626" t="inlineStr">
        <is>
          <t>flat</t>
        </is>
      </c>
      <c r="R626" s="6" t="n">
        <v>0</v>
      </c>
      <c r="S626" t="inlineStr">
        <is>
          <t>Solio</t>
        </is>
      </c>
      <c r="U626" s="6" t="n">
        <v>85</v>
      </c>
      <c r="V626" s="2" t="n"/>
      <c r="W626" s="7">
        <f>IF(N(U626)&lt;=0,0,MIN(Assumptions!$B$15,N(R626)/N(U626)))</f>
        <v/>
      </c>
      <c r="X626" s="6" t="n">
        <v>0.17</v>
      </c>
      <c r="Y626" s="3" t="n"/>
      <c r="Z626" t="inlineStr"/>
      <c r="AA626" s="3" t="n">
        <v>1</v>
      </c>
      <c r="AB626" s="3" t="n"/>
      <c r="AC626" s="3" t="n"/>
      <c r="AD626" s="3" t="n"/>
      <c r="AE626" s="3" t="n">
        <v>0</v>
      </c>
      <c r="AF626" s="3" t="n">
        <v>0</v>
      </c>
      <c r="AG626" s="3" t="n"/>
      <c r="AH626" s="3" t="n">
        <v>0</v>
      </c>
      <c r="AI626" s="3" t="n"/>
      <c r="AJ626" s="3" t="n">
        <v>3.6194</v>
      </c>
      <c r="AK626" s="3" t="n">
        <v>1.8271</v>
      </c>
      <c r="AL626" s="3" t="n">
        <v>-0.0763216474948735</v>
      </c>
      <c r="AM626" s="6" t="n">
        <v>0</v>
      </c>
      <c r="AN626" s="3" t="n">
        <v>0</v>
      </c>
      <c r="AO626" s="3" t="n">
        <v>0</v>
      </c>
      <c r="AP626" s="3" t="n">
        <v>0</v>
      </c>
      <c r="AQ626" s="3">
        <f>N(X626)*N(BJ626)</f>
        <v/>
      </c>
      <c r="AR626" s="3" t="n">
        <v>0.8716770173844571</v>
      </c>
      <c r="AS626" s="3" t="n">
        <v>-0.670020548738316</v>
      </c>
      <c r="AT626" s="3" t="n">
        <v>-0.0763216474948735</v>
      </c>
      <c r="AU626" s="3">
        <f>SUM(AO626:AT626)</f>
        <v/>
      </c>
      <c r="AV626" s="7">
        <f>IF(OR(N(W626)&lt;=0,N(BH626)=0),0,N(W626)*IF(N(R626)/N(W626)&gt;=60,N(BH626),1))</f>
        <v/>
      </c>
      <c r="AW626" s="7">
        <f>N(W626)*N(AF626)*N(BI626)</f>
        <v/>
      </c>
      <c r="AX626" s="3">
        <f>IF(N(BH626)=0,0,N(W626)*N(AH626))</f>
        <v/>
      </c>
      <c r="AY626" s="7">
        <f>N(AM626)*(Assumptions!$B$13*N(BK626)-(1-Assumptions!$B$13)*Assumptions!$B$14)+N(AN626)</f>
        <v/>
      </c>
      <c r="AZ626" s="7">
        <f>N(AU626)*N(R626)/90+N(AV626)+N(AW626)+N(AX626)+N(AY626)</f>
        <v/>
      </c>
      <c r="BA626" s="3">
        <f>IF(N(R626)&lt;=0,0,(N(AZ626)-N(AY626))*90/N(R626))</f>
        <v/>
      </c>
      <c r="BB626" s="7">
        <f>IFERROR(AZ626-VLOOKUP($E626,Assumptions!$A$40:$C$43,3,FALSE),"")</f>
        <v/>
      </c>
      <c r="BC626" s="3">
        <f>IFERROR(BB626/H626,"")</f>
        <v/>
      </c>
      <c r="BD626">
        <f>IF(AND($G626=TRUE,$E626="GKP"),AZ626,"")</f>
        <v/>
      </c>
      <c r="BE626">
        <f>IF(AND($G626=TRUE,$E626="DEF"),AZ626,"")</f>
        <v/>
      </c>
      <c r="BF626">
        <f>IF(AND($G626=TRUE,$E626="MID"),AZ626,"")</f>
        <v/>
      </c>
      <c r="BG626">
        <f>IF(AND($G626=TRUE,$E626="FWD"),AZ626,"")</f>
        <v/>
      </c>
      <c r="BH626" t="n">
        <v>2</v>
      </c>
      <c r="BI626" t="n">
        <v>0</v>
      </c>
      <c r="BJ626" t="n">
        <v>4</v>
      </c>
      <c r="BK626" t="n">
        <v>10</v>
      </c>
    </row>
    <row r="627">
      <c r="A627" t="inlineStr">
        <is>
          <t>Tolu Arokodare</t>
        </is>
      </c>
      <c r="C627" t="inlineStr">
        <is>
          <t>WOL</t>
        </is>
      </c>
      <c r="D627" t="b">
        <v>0</v>
      </c>
      <c r="F627" t="inlineStr">
        <is>
          <t>FWD</t>
        </is>
      </c>
      <c r="G627" t="b">
        <v>0</v>
      </c>
      <c r="H627" s="2" t="n"/>
      <c r="K627" s="2" t="n">
        <v>1407</v>
      </c>
      <c r="M627" s="3" t="n"/>
      <c r="N627" s="8" t="n">
        <v>1407</v>
      </c>
      <c r="O627" s="8" t="n">
        <v>0</v>
      </c>
      <c r="R627" s="6" t="n">
        <v>1407</v>
      </c>
      <c r="S627" t="inlineStr">
        <is>
          <t>25/26 actual</t>
        </is>
      </c>
      <c r="U627" s="6" t="n">
        <v>80.40000000000001</v>
      </c>
      <c r="V627" s="2" t="n">
        <v>13</v>
      </c>
      <c r="W627" s="7">
        <f>IF(N(U627)&lt;=0,0,MIN(Assumptions!$B$15,N(R627)/N(U627)))</f>
        <v/>
      </c>
      <c r="X627" s="6" t="n"/>
      <c r="Y627" s="3" t="n">
        <v>0.2804</v>
      </c>
      <c r="Z627" t="inlineStr">
        <is>
          <t>adjusted xGOT</t>
        </is>
      </c>
      <c r="AA627" s="3" t="n">
        <v>0.898</v>
      </c>
      <c r="AB627" s="3" t="n">
        <v>0.89</v>
      </c>
      <c r="AC627" s="3" t="n">
        <v>5.5</v>
      </c>
      <c r="AD627" s="3" t="n">
        <v>0.0742</v>
      </c>
      <c r="AE627" s="3" t="n">
        <v>5.147</v>
      </c>
      <c r="AF627" s="3" t="n">
        <v>0</v>
      </c>
      <c r="AG627" s="3" t="n">
        <v>1.009</v>
      </c>
      <c r="AH627" s="3" t="n">
        <v>0</v>
      </c>
      <c r="AI627" s="3" t="n">
        <v>47</v>
      </c>
      <c r="AJ627" s="3" t="n"/>
      <c r="AK627" s="3" t="n"/>
      <c r="AL627" s="3" t="n"/>
      <c r="AM627" s="6" t="n">
        <v>0</v>
      </c>
      <c r="AN627" s="3" t="n">
        <v>0</v>
      </c>
      <c r="AO627" s="3" t="n">
        <v>0</v>
      </c>
      <c r="AP627" s="3" t="n">
        <v>0</v>
      </c>
      <c r="AQ627" s="3">
        <f>N(X627)*N(BJ627)</f>
        <v/>
      </c>
      <c r="AR627" s="3" t="n">
        <v>0</v>
      </c>
      <c r="AS627" s="3" t="n">
        <v>0</v>
      </c>
      <c r="AT627" s="3" t="n">
        <v>0</v>
      </c>
      <c r="AU627" s="3">
        <f>SUM(AO627:AT627)</f>
        <v/>
      </c>
      <c r="AV627" s="7">
        <f>IF(OR(N(W627)&lt;=0,N(BH627)=0),0,N(W627)*IF(N(R627)/N(W627)&gt;=60,N(BH627),1))</f>
        <v/>
      </c>
      <c r="AW627" s="7">
        <f>N(W627)*N(AF627)*N(BI627)</f>
        <v/>
      </c>
      <c r="AX627" s="3">
        <f>IF(N(BH627)=0,0,N(W627)*N(AH627))</f>
        <v/>
      </c>
      <c r="AY627" s="7">
        <f>N(AM627)*(Assumptions!$B$13*N(BK627)-(1-Assumptions!$B$13)*Assumptions!$B$14)+N(AN627)</f>
        <v/>
      </c>
      <c r="AZ627" s="7">
        <f>N(AU627)*N(R627)/90+N(AV627)+N(AW627)+N(AX627)+N(AY627)</f>
        <v/>
      </c>
      <c r="BA627" s="3">
        <f>IF(N(R627)&lt;=0,0,(N(AZ627)-N(AY627))*90/N(R627))</f>
        <v/>
      </c>
      <c r="BB627" s="7">
        <f>IFERROR(AZ627-VLOOKUP($E627,Assumptions!$A$40:$C$43,3,FALSE),"")</f>
        <v/>
      </c>
      <c r="BC627" s="3">
        <f>IFERROR(BB627/H627,"")</f>
        <v/>
      </c>
      <c r="BD627">
        <f>IF(AND($G627=TRUE,$E627="GKP"),AZ627,"")</f>
        <v/>
      </c>
      <c r="BE627">
        <f>IF(AND($G627=TRUE,$E627="DEF"),AZ627,"")</f>
        <v/>
      </c>
      <c r="BF627">
        <f>IF(AND($G627=TRUE,$E627="MID"),AZ627,"")</f>
        <v/>
      </c>
      <c r="BG627">
        <f>IF(AND($G627=TRUE,$E627="FWD"),AZ627,"")</f>
        <v/>
      </c>
      <c r="BH627" t="n">
        <v>0</v>
      </c>
      <c r="BI627" t="n">
        <v>0</v>
      </c>
      <c r="BJ627" t="n">
        <v>0</v>
      </c>
      <c r="BK627" t="n">
        <v>0</v>
      </c>
    </row>
    <row r="628">
      <c r="A628" t="inlineStr">
        <is>
          <t>Freddie Potts</t>
        </is>
      </c>
      <c r="C628" t="inlineStr">
        <is>
          <t>WHU</t>
        </is>
      </c>
      <c r="D628" t="b">
        <v>0</v>
      </c>
      <c r="F628" t="inlineStr">
        <is>
          <t>MID</t>
        </is>
      </c>
      <c r="G628" t="b">
        <v>0</v>
      </c>
      <c r="H628" s="2" t="n"/>
      <c r="K628" s="2" t="n">
        <v>1167</v>
      </c>
      <c r="M628" s="3" t="n"/>
      <c r="N628" s="8" t="n">
        <v>1167</v>
      </c>
      <c r="O628" s="8" t="n">
        <v>0</v>
      </c>
      <c r="R628" s="6" t="n">
        <v>1167</v>
      </c>
      <c r="S628" t="inlineStr">
        <is>
          <t>25/26 actual</t>
        </is>
      </c>
      <c r="U628" s="6" t="n">
        <v>78.40000000000001</v>
      </c>
      <c r="V628" s="2" t="n">
        <v>12</v>
      </c>
      <c r="W628" s="7">
        <f>IF(N(U628)&lt;=0,0,MIN(Assumptions!$B$15,N(R628)/N(U628)))</f>
        <v/>
      </c>
      <c r="X628" s="6" t="n"/>
      <c r="Y628" s="3" t="n">
        <v>0.0167</v>
      </c>
      <c r="Z628" t="inlineStr">
        <is>
          <t>adjusted xGOT</t>
        </is>
      </c>
      <c r="AA628" s="3" t="n">
        <v>1</v>
      </c>
      <c r="AB628" s="3" t="n">
        <v>1.035</v>
      </c>
      <c r="AC628" s="3" t="n">
        <v>0.2</v>
      </c>
      <c r="AD628" s="3" t="n">
        <v>0.0931</v>
      </c>
      <c r="AE628" s="3" t="n">
        <v>8.972</v>
      </c>
      <c r="AF628" s="3" t="n">
        <v>0</v>
      </c>
      <c r="AG628" s="3" t="n">
        <v>8.077999999999999</v>
      </c>
      <c r="AH628" s="3" t="n">
        <v>0</v>
      </c>
      <c r="AI628" s="3" t="n">
        <v>32</v>
      </c>
      <c r="AJ628" s="3" t="n"/>
      <c r="AK628" s="3" t="n"/>
      <c r="AL628" s="3" t="n"/>
      <c r="AM628" s="6" t="n">
        <v>0</v>
      </c>
      <c r="AN628" s="3" t="n">
        <v>0</v>
      </c>
      <c r="AO628" s="3" t="n">
        <v>0</v>
      </c>
      <c r="AP628" s="3" t="n">
        <v>0</v>
      </c>
      <c r="AQ628" s="3">
        <f>N(X628)*N(BJ628)</f>
        <v/>
      </c>
      <c r="AR628" s="3" t="n">
        <v>0</v>
      </c>
      <c r="AS628" s="3" t="n">
        <v>0</v>
      </c>
      <c r="AT628" s="3" t="n">
        <v>0</v>
      </c>
      <c r="AU628" s="3">
        <f>SUM(AO628:AT628)</f>
        <v/>
      </c>
      <c r="AV628" s="7">
        <f>IF(OR(N(W628)&lt;=0,N(BH628)=0),0,N(W628)*IF(N(R628)/N(W628)&gt;=60,N(BH628),1))</f>
        <v/>
      </c>
      <c r="AW628" s="7">
        <f>N(W628)*N(AF628)*N(BI628)</f>
        <v/>
      </c>
      <c r="AX628" s="3">
        <f>IF(N(BH628)=0,0,N(W628)*N(AH628))</f>
        <v/>
      </c>
      <c r="AY628" s="7">
        <f>N(AM628)*(Assumptions!$B$13*N(BK628)-(1-Assumptions!$B$13)*Assumptions!$B$14)+N(AN628)</f>
        <v/>
      </c>
      <c r="AZ628" s="7">
        <f>N(AU628)*N(R628)/90+N(AV628)+N(AW628)+N(AX628)+N(AY628)</f>
        <v/>
      </c>
      <c r="BA628" s="3">
        <f>IF(N(R628)&lt;=0,0,(N(AZ628)-N(AY628))*90/N(R628))</f>
        <v/>
      </c>
      <c r="BB628" s="7">
        <f>IFERROR(AZ628-VLOOKUP($E628,Assumptions!$A$40:$C$43,3,FALSE),"")</f>
        <v/>
      </c>
      <c r="BC628" s="3">
        <f>IFERROR(BB628/H628,"")</f>
        <v/>
      </c>
      <c r="BD628">
        <f>IF(AND($G628=TRUE,$E628="GKP"),AZ628,"")</f>
        <v/>
      </c>
      <c r="BE628">
        <f>IF(AND($G628=TRUE,$E628="DEF"),AZ628,"")</f>
        <v/>
      </c>
      <c r="BF628">
        <f>IF(AND($G628=TRUE,$E628="MID"),AZ628,"")</f>
        <v/>
      </c>
      <c r="BG628">
        <f>IF(AND($G628=TRUE,$E628="FWD"),AZ628,"")</f>
        <v/>
      </c>
      <c r="BH628" t="n">
        <v>0</v>
      </c>
      <c r="BI628" t="n">
        <v>0</v>
      </c>
      <c r="BJ628" t="n">
        <v>0</v>
      </c>
      <c r="BK628" t="n">
        <v>0</v>
      </c>
    </row>
    <row r="629">
      <c r="A629" t="inlineStr">
        <is>
          <t>Abu Kamara</t>
        </is>
      </c>
      <c r="B629" t="inlineStr">
        <is>
          <t>HUL</t>
        </is>
      </c>
      <c r="D629" t="b">
        <v>0</v>
      </c>
      <c r="E629" t="inlineStr">
        <is>
          <t>MID</t>
        </is>
      </c>
      <c r="G629" t="b">
        <v>1</v>
      </c>
      <c r="H629" s="2" t="n">
        <v>5</v>
      </c>
      <c r="I629" t="inlineStr">
        <is>
          <t>u</t>
        </is>
      </c>
      <c r="J629" t="inlineStr">
        <is>
          <t>Has joined Portsmouth permanently</t>
        </is>
      </c>
      <c r="K629" s="2" t="n"/>
      <c r="M629" s="3" t="n"/>
      <c r="N629" s="8" t="n"/>
      <c r="O629" s="8" t="n"/>
      <c r="R629" s="6" t="n"/>
      <c r="S629" t="inlineStr"/>
      <c r="U629" s="6" t="n">
        <v>85</v>
      </c>
      <c r="V629" s="2" t="n"/>
      <c r="W629" s="7">
        <f>IF(N(U629)&lt;=0,0,MIN(Assumptions!$B$15,N(R629)/N(U629)))</f>
        <v/>
      </c>
      <c r="X629" s="6" t="n">
        <v>0.143</v>
      </c>
      <c r="Y629" s="3" t="n"/>
      <c r="Z629" t="inlineStr"/>
      <c r="AA629" s="3" t="n">
        <v>1</v>
      </c>
      <c r="AB629" s="3" t="n"/>
      <c r="AC629" s="3" t="n"/>
      <c r="AD629" s="3" t="n"/>
      <c r="AE629" s="3" t="n"/>
      <c r="AF629" s="3" t="n">
        <v>0</v>
      </c>
      <c r="AG629" s="3" t="n"/>
      <c r="AH629" s="3" t="n">
        <v>0</v>
      </c>
      <c r="AI629" s="3" t="n"/>
      <c r="AJ629" s="3" t="n">
        <v>3.9421</v>
      </c>
      <c r="AK629" s="3" t="n">
        <v>1.99</v>
      </c>
      <c r="AL629" s="3" t="n">
        <v>-0.2160434166173144</v>
      </c>
      <c r="AM629" s="6" t="n">
        <v>0</v>
      </c>
      <c r="AN629" s="3" t="n">
        <v>0</v>
      </c>
      <c r="AO629" s="3" t="n">
        <v>0</v>
      </c>
      <c r="AP629" s="3" t="n">
        <v>0</v>
      </c>
      <c r="AQ629" s="3">
        <f>N(X629)*N(BJ629)</f>
        <v/>
      </c>
      <c r="AR629" s="3" t="n">
        <v>0</v>
      </c>
      <c r="AS629" s="3" t="n">
        <v>-0</v>
      </c>
      <c r="AT629" s="3" t="n">
        <v>-0.2160434166173144</v>
      </c>
      <c r="AU629" s="3">
        <f>SUM(AO629:AT629)</f>
        <v/>
      </c>
      <c r="AV629" s="7">
        <f>IF(OR(N(W629)&lt;=0,N(BH629)=0),0,N(W629)*IF(N(R629)/N(W629)&gt;=60,N(BH629),1))</f>
        <v/>
      </c>
      <c r="AW629" s="7">
        <f>N(W629)*N(AF629)*N(BI629)</f>
        <v/>
      </c>
      <c r="AX629" s="3">
        <f>IF(N(BH629)=0,0,N(W629)*N(AH629))</f>
        <v/>
      </c>
      <c r="AY629" s="7">
        <f>N(AM629)*(Assumptions!$B$13*N(BK629)-(1-Assumptions!$B$13)*Assumptions!$B$14)+N(AN629)</f>
        <v/>
      </c>
      <c r="AZ629" s="7">
        <f>N(AU629)*N(R629)/90+N(AV629)+N(AW629)+N(AX629)+N(AY629)</f>
        <v/>
      </c>
      <c r="BA629" s="3">
        <f>IF(N(R629)&lt;=0,0,(N(AZ629)-N(AY629))*90/N(R629))</f>
        <v/>
      </c>
      <c r="BB629" s="7">
        <f>IFERROR(AZ629-VLOOKUP($E629,Assumptions!$A$40:$C$43,3,FALSE),"")</f>
        <v/>
      </c>
      <c r="BC629" s="3">
        <f>IFERROR(BB629/H629,"")</f>
        <v/>
      </c>
      <c r="BD629">
        <f>IF(AND($G629=TRUE,$E629="GKP"),AZ629,"")</f>
        <v/>
      </c>
      <c r="BE629">
        <f>IF(AND($G629=TRUE,$E629="DEF"),AZ629,"")</f>
        <v/>
      </c>
      <c r="BF629">
        <f>IF(AND($G629=TRUE,$E629="MID"),AZ629,"")</f>
        <v/>
      </c>
      <c r="BG629">
        <f>IF(AND($G629=TRUE,$E629="FWD"),AZ629,"")</f>
        <v/>
      </c>
      <c r="BH629" t="n">
        <v>2</v>
      </c>
      <c r="BI629" t="n">
        <v>2</v>
      </c>
      <c r="BJ629" t="n">
        <v>1</v>
      </c>
      <c r="BK629" t="n">
        <v>5</v>
      </c>
    </row>
    <row r="630">
      <c r="A630" t="inlineStr">
        <is>
          <t>Hugo Bueno</t>
        </is>
      </c>
      <c r="C630" t="inlineStr">
        <is>
          <t>WOL</t>
        </is>
      </c>
      <c r="D630" t="b">
        <v>0</v>
      </c>
      <c r="F630" t="inlineStr">
        <is>
          <t>DEF</t>
        </is>
      </c>
      <c r="G630" t="b">
        <v>0</v>
      </c>
      <c r="H630" s="2" t="n"/>
      <c r="K630" s="2" t="n">
        <v>2364</v>
      </c>
      <c r="M630" s="3" t="n"/>
      <c r="N630" s="8" t="n">
        <v>2364</v>
      </c>
      <c r="O630" s="8" t="n">
        <v>0</v>
      </c>
      <c r="R630" s="6" t="n">
        <v>2364</v>
      </c>
      <c r="S630" t="inlineStr">
        <is>
          <t>25/26 actual</t>
        </is>
      </c>
      <c r="U630" s="6" t="n">
        <v>84.40000000000001</v>
      </c>
      <c r="V630" s="2" t="n">
        <v>26</v>
      </c>
      <c r="W630" s="7">
        <f>IF(N(U630)&lt;=0,0,MIN(Assumptions!$B$15,N(R630)/N(U630)))</f>
        <v/>
      </c>
      <c r="X630" s="6" t="n"/>
      <c r="Y630" s="3" t="n">
        <v>0.0326</v>
      </c>
      <c r="Z630" t="inlineStr">
        <is>
          <t>adjusted xGOT</t>
        </is>
      </c>
      <c r="AA630" s="3" t="n">
        <v>1</v>
      </c>
      <c r="AB630" s="3" t="n">
        <v>0.996</v>
      </c>
      <c r="AC630" s="3" t="n">
        <v>1.3</v>
      </c>
      <c r="AD630" s="3" t="n">
        <v>0.1402</v>
      </c>
      <c r="AE630" s="3" t="n">
        <v>6.825</v>
      </c>
      <c r="AF630" s="3" t="n">
        <v>0</v>
      </c>
      <c r="AG630" s="3" t="n">
        <v>8.286</v>
      </c>
      <c r="AH630" s="3" t="n">
        <v>0</v>
      </c>
      <c r="AI630" s="3" t="n">
        <v>59</v>
      </c>
      <c r="AJ630" s="3" t="n"/>
      <c r="AK630" s="3" t="n"/>
      <c r="AL630" s="3" t="n"/>
      <c r="AM630" s="6" t="n">
        <v>0</v>
      </c>
      <c r="AN630" s="3" t="n">
        <v>0</v>
      </c>
      <c r="AO630" s="3" t="n">
        <v>0</v>
      </c>
      <c r="AP630" s="3" t="n">
        <v>0</v>
      </c>
      <c r="AQ630" s="3">
        <f>N(X630)*N(BJ630)</f>
        <v/>
      </c>
      <c r="AR630" s="3" t="n">
        <v>0</v>
      </c>
      <c r="AS630" s="3" t="n">
        <v>0</v>
      </c>
      <c r="AT630" s="3" t="n">
        <v>0</v>
      </c>
      <c r="AU630" s="3">
        <f>SUM(AO630:AT630)</f>
        <v/>
      </c>
      <c r="AV630" s="7">
        <f>IF(OR(N(W630)&lt;=0,N(BH630)=0),0,N(W630)*IF(N(R630)/N(W630)&gt;=60,N(BH630),1))</f>
        <v/>
      </c>
      <c r="AW630" s="7">
        <f>N(W630)*N(AF630)*N(BI630)</f>
        <v/>
      </c>
      <c r="AX630" s="3">
        <f>IF(N(BH630)=0,0,N(W630)*N(AH630))</f>
        <v/>
      </c>
      <c r="AY630" s="7">
        <f>N(AM630)*(Assumptions!$B$13*N(BK630)-(1-Assumptions!$B$13)*Assumptions!$B$14)+N(AN630)</f>
        <v/>
      </c>
      <c r="AZ630" s="7">
        <f>N(AU630)*N(R630)/90+N(AV630)+N(AW630)+N(AX630)+N(AY630)</f>
        <v/>
      </c>
      <c r="BA630" s="3">
        <f>IF(N(R630)&lt;=0,0,(N(AZ630)-N(AY630))*90/N(R630))</f>
        <v/>
      </c>
      <c r="BB630" s="7">
        <f>IFERROR(AZ630-VLOOKUP($E630,Assumptions!$A$40:$C$43,3,FALSE),"")</f>
        <v/>
      </c>
      <c r="BC630" s="3">
        <f>IFERROR(BB630/H630,"")</f>
        <v/>
      </c>
      <c r="BD630">
        <f>IF(AND($G630=TRUE,$E630="GKP"),AZ630,"")</f>
        <v/>
      </c>
      <c r="BE630">
        <f>IF(AND($G630=TRUE,$E630="DEF"),AZ630,"")</f>
        <v/>
      </c>
      <c r="BF630">
        <f>IF(AND($G630=TRUE,$E630="MID"),AZ630,"")</f>
        <v/>
      </c>
      <c r="BG630">
        <f>IF(AND($G630=TRUE,$E630="FWD"),AZ630,"")</f>
        <v/>
      </c>
      <c r="BH630" t="n">
        <v>0</v>
      </c>
      <c r="BI630" t="n">
        <v>0</v>
      </c>
      <c r="BJ630" t="n">
        <v>0</v>
      </c>
      <c r="BK630" t="n">
        <v>0</v>
      </c>
    </row>
    <row r="631">
      <c r="A631" t="inlineStr">
        <is>
          <t>George Earthy</t>
        </is>
      </c>
      <c r="C631" t="inlineStr">
        <is>
          <t>WHU</t>
        </is>
      </c>
      <c r="D631" t="b">
        <v>0</v>
      </c>
      <c r="F631" t="inlineStr">
        <is>
          <t>MID</t>
        </is>
      </c>
      <c r="G631" t="b">
        <v>0</v>
      </c>
      <c r="H631" s="2" t="n"/>
      <c r="K631" s="2" t="n">
        <v>8</v>
      </c>
      <c r="M631" s="3" t="n"/>
      <c r="N631" s="8" t="n">
        <v>8</v>
      </c>
      <c r="O631" s="8" t="n">
        <v>0</v>
      </c>
      <c r="R631" s="6" t="n">
        <v>8</v>
      </c>
      <c r="S631" t="inlineStr">
        <is>
          <t>25/26 actual</t>
        </is>
      </c>
      <c r="U631" s="6" t="n">
        <v>80.09999999999999</v>
      </c>
      <c r="V631" s="2" t="n">
        <v>0</v>
      </c>
      <c r="W631" s="7">
        <f>IF(N(U631)&lt;=0,0,MIN(Assumptions!$B$15,N(R631)/N(U631)))</f>
        <v/>
      </c>
      <c r="X631" s="6" t="n"/>
      <c r="Y631" s="3" t="n">
        <v>0</v>
      </c>
      <c r="Z631" t="inlineStr">
        <is>
          <t>adjusted xGOT</t>
        </is>
      </c>
      <c r="AA631" s="3" t="n">
        <v>1</v>
      </c>
      <c r="AB631" s="3" t="n">
        <v>1.054</v>
      </c>
      <c r="AC631" s="3" t="n">
        <v>0.4</v>
      </c>
      <c r="AD631" s="3" t="n">
        <v>0</v>
      </c>
      <c r="AE631" s="3" t="n">
        <v>8.483000000000001</v>
      </c>
      <c r="AF631" s="3" t="n">
        <v>0</v>
      </c>
      <c r="AG631" s="3" t="n">
        <v>6.957</v>
      </c>
      <c r="AH631" s="3" t="n">
        <v>0</v>
      </c>
      <c r="AI631" s="3" t="n">
        <v>1</v>
      </c>
      <c r="AJ631" s="3" t="n"/>
      <c r="AK631" s="3" t="n"/>
      <c r="AL631" s="3" t="n"/>
      <c r="AM631" s="6" t="n">
        <v>0</v>
      </c>
      <c r="AN631" s="3" t="n">
        <v>0</v>
      </c>
      <c r="AO631" s="3" t="n">
        <v>0</v>
      </c>
      <c r="AP631" s="3" t="n">
        <v>0</v>
      </c>
      <c r="AQ631" s="3">
        <f>N(X631)*N(BJ631)</f>
        <v/>
      </c>
      <c r="AR631" s="3" t="n">
        <v>0</v>
      </c>
      <c r="AS631" s="3" t="n">
        <v>0</v>
      </c>
      <c r="AT631" s="3" t="n">
        <v>0</v>
      </c>
      <c r="AU631" s="3">
        <f>SUM(AO631:AT631)</f>
        <v/>
      </c>
      <c r="AV631" s="7">
        <f>IF(OR(N(W631)&lt;=0,N(BH631)=0),0,N(W631)*IF(N(R631)/N(W631)&gt;=60,N(BH631),1))</f>
        <v/>
      </c>
      <c r="AW631" s="7">
        <f>N(W631)*N(AF631)*N(BI631)</f>
        <v/>
      </c>
      <c r="AX631" s="3">
        <f>IF(N(BH631)=0,0,N(W631)*N(AH631))</f>
        <v/>
      </c>
      <c r="AY631" s="7">
        <f>N(AM631)*(Assumptions!$B$13*N(BK631)-(1-Assumptions!$B$13)*Assumptions!$B$14)+N(AN631)</f>
        <v/>
      </c>
      <c r="AZ631" s="7">
        <f>N(AU631)*N(R631)/90+N(AV631)+N(AW631)+N(AX631)+N(AY631)</f>
        <v/>
      </c>
      <c r="BA631" s="3">
        <f>IF(N(R631)&lt;=0,0,(N(AZ631)-N(AY631))*90/N(R631))</f>
        <v/>
      </c>
      <c r="BB631" s="7">
        <f>IFERROR(AZ631-VLOOKUP($E631,Assumptions!$A$40:$C$43,3,FALSE),"")</f>
        <v/>
      </c>
      <c r="BC631" s="3">
        <f>IFERROR(BB631/H631,"")</f>
        <v/>
      </c>
      <c r="BD631">
        <f>IF(AND($G631=TRUE,$E631="GKP"),AZ631,"")</f>
        <v/>
      </c>
      <c r="BE631">
        <f>IF(AND($G631=TRUE,$E631="DEF"),AZ631,"")</f>
        <v/>
      </c>
      <c r="BF631">
        <f>IF(AND($G631=TRUE,$E631="MID"),AZ631,"")</f>
        <v/>
      </c>
      <c r="BG631">
        <f>IF(AND($G631=TRUE,$E631="FWD"),AZ631,"")</f>
        <v/>
      </c>
      <c r="BH631" t="n">
        <v>0</v>
      </c>
      <c r="BI631" t="n">
        <v>0</v>
      </c>
      <c r="BJ631" t="n">
        <v>0</v>
      </c>
      <c r="BK631" t="n">
        <v>0</v>
      </c>
    </row>
    <row r="632">
      <c r="A632" t="inlineStr">
        <is>
          <t>Raphael Borges Rodrigues</t>
        </is>
      </c>
      <c r="B632" t="inlineStr">
        <is>
          <t>COV</t>
        </is>
      </c>
      <c r="D632" t="b">
        <v>0</v>
      </c>
      <c r="E632" t="inlineStr">
        <is>
          <t>MID</t>
        </is>
      </c>
      <c r="G632" t="b">
        <v>1</v>
      </c>
      <c r="H632" s="2" t="n">
        <v>4.5</v>
      </c>
      <c r="I632" t="inlineStr">
        <is>
          <t>a</t>
        </is>
      </c>
      <c r="K632" s="2" t="n"/>
      <c r="M632" s="3" t="n">
        <v>0</v>
      </c>
      <c r="N632" s="8" t="n">
        <v>0</v>
      </c>
      <c r="O632" s="8" t="n">
        <v>0</v>
      </c>
      <c r="Q632" t="inlineStr">
        <is>
          <t>flat</t>
        </is>
      </c>
      <c r="R632" s="6" t="n">
        <v>0</v>
      </c>
      <c r="S632" t="inlineStr">
        <is>
          <t>Solio</t>
        </is>
      </c>
      <c r="U632" s="6" t="n">
        <v>85</v>
      </c>
      <c r="V632" s="2" t="n"/>
      <c r="W632" s="7">
        <f>IF(N(U632)&lt;=0,0,MIN(Assumptions!$B$15,N(R632)/N(U632)))</f>
        <v/>
      </c>
      <c r="X632" s="6" t="n">
        <v>0.17</v>
      </c>
      <c r="Y632" s="3" t="n"/>
      <c r="Z632" t="inlineStr"/>
      <c r="AA632" s="3" t="n">
        <v>1</v>
      </c>
      <c r="AB632" s="3" t="n"/>
      <c r="AC632" s="3" t="n"/>
      <c r="AD632" s="3" t="n"/>
      <c r="AE632" s="3" t="n"/>
      <c r="AF632" s="3" t="n">
        <v>0</v>
      </c>
      <c r="AG632" s="3" t="n"/>
      <c r="AH632" s="3" t="n">
        <v>0</v>
      </c>
      <c r="AI632" s="3" t="n"/>
      <c r="AJ632" s="3" t="n">
        <v>3.6194</v>
      </c>
      <c r="AK632" s="3" t="n">
        <v>1.8271</v>
      </c>
      <c r="AL632" s="3" t="n">
        <v>-0.2160434166173144</v>
      </c>
      <c r="AM632" s="6" t="n">
        <v>0</v>
      </c>
      <c r="AN632" s="3" t="n">
        <v>0</v>
      </c>
      <c r="AO632" s="3" t="n">
        <v>0</v>
      </c>
      <c r="AP632" s="3" t="n">
        <v>0</v>
      </c>
      <c r="AQ632" s="3">
        <f>N(X632)*N(BJ632)</f>
        <v/>
      </c>
      <c r="AR632" s="3" t="n">
        <v>0</v>
      </c>
      <c r="AS632" s="3" t="n">
        <v>-0</v>
      </c>
      <c r="AT632" s="3" t="n">
        <v>-0.2160434166173144</v>
      </c>
      <c r="AU632" s="3">
        <f>SUM(AO632:AT632)</f>
        <v/>
      </c>
      <c r="AV632" s="7">
        <f>IF(OR(N(W632)&lt;=0,N(BH632)=0),0,N(W632)*IF(N(R632)/N(W632)&gt;=60,N(BH632),1))</f>
        <v/>
      </c>
      <c r="AW632" s="7">
        <f>N(W632)*N(AF632)*N(BI632)</f>
        <v/>
      </c>
      <c r="AX632" s="3">
        <f>IF(N(BH632)=0,0,N(W632)*N(AH632))</f>
        <v/>
      </c>
      <c r="AY632" s="7">
        <f>N(AM632)*(Assumptions!$B$13*N(BK632)-(1-Assumptions!$B$13)*Assumptions!$B$14)+N(AN632)</f>
        <v/>
      </c>
      <c r="AZ632" s="7">
        <f>N(AU632)*N(R632)/90+N(AV632)+N(AW632)+N(AX632)+N(AY632)</f>
        <v/>
      </c>
      <c r="BA632" s="3">
        <f>IF(N(R632)&lt;=0,0,(N(AZ632)-N(AY632))*90/N(R632))</f>
        <v/>
      </c>
      <c r="BB632" s="7">
        <f>IFERROR(AZ632-VLOOKUP($E632,Assumptions!$A$40:$C$43,3,FALSE),"")</f>
        <v/>
      </c>
      <c r="BC632" s="3">
        <f>IFERROR(BB632/H632,"")</f>
        <v/>
      </c>
      <c r="BD632">
        <f>IF(AND($G632=TRUE,$E632="GKP"),AZ632,"")</f>
        <v/>
      </c>
      <c r="BE632">
        <f>IF(AND($G632=TRUE,$E632="DEF"),AZ632,"")</f>
        <v/>
      </c>
      <c r="BF632">
        <f>IF(AND($G632=TRUE,$E632="MID"),AZ632,"")</f>
        <v/>
      </c>
      <c r="BG632">
        <f>IF(AND($G632=TRUE,$E632="FWD"),AZ632,"")</f>
        <v/>
      </c>
      <c r="BH632" t="n">
        <v>2</v>
      </c>
      <c r="BI632" t="n">
        <v>2</v>
      </c>
      <c r="BJ632" t="n">
        <v>1</v>
      </c>
      <c r="BK632" t="n">
        <v>5</v>
      </c>
    </row>
    <row r="633">
      <c r="A633" t="inlineStr">
        <is>
          <t>Zeki Amdouni</t>
        </is>
      </c>
      <c r="C633" t="inlineStr">
        <is>
          <t>BUR</t>
        </is>
      </c>
      <c r="D633" t="b">
        <v>0</v>
      </c>
      <c r="F633" t="inlineStr">
        <is>
          <t>FWD</t>
        </is>
      </c>
      <c r="G633" t="b">
        <v>0</v>
      </c>
      <c r="H633" s="2" t="n"/>
      <c r="K633" s="2" t="n">
        <v>69</v>
      </c>
      <c r="M633" s="3" t="n"/>
      <c r="N633" s="8" t="n">
        <v>69</v>
      </c>
      <c r="O633" s="8" t="n">
        <v>0</v>
      </c>
      <c r="R633" s="6" t="n">
        <v>69</v>
      </c>
      <c r="S633" t="inlineStr">
        <is>
          <t>25/26 actual</t>
        </is>
      </c>
      <c r="U633" s="6" t="n">
        <v>78.5</v>
      </c>
      <c r="V633" s="2" t="n">
        <v>0</v>
      </c>
      <c r="W633" s="7">
        <f>IF(N(U633)&lt;=0,0,MIN(Assumptions!$B$15,N(R633)/N(U633)))</f>
        <v/>
      </c>
      <c r="X633" s="6" t="n"/>
      <c r="Y633" s="3" t="n">
        <v>0.3196</v>
      </c>
      <c r="Z633" t="inlineStr">
        <is>
          <t>adjusted xGOT</t>
        </is>
      </c>
      <c r="AA633" s="3" t="n">
        <v>1</v>
      </c>
      <c r="AB633" s="3" t="n">
        <v>1.022</v>
      </c>
      <c r="AC633" s="3" t="n">
        <v>5.8</v>
      </c>
      <c r="AD633" s="3" t="n">
        <v>0</v>
      </c>
      <c r="AE633" s="3" t="n">
        <v>4.488</v>
      </c>
      <c r="AF633" s="3" t="n">
        <v>0</v>
      </c>
      <c r="AG633" s="3" t="n">
        <v>1.051</v>
      </c>
      <c r="AH633" s="3" t="n">
        <v>0</v>
      </c>
      <c r="AI633" s="3" t="n">
        <v>4</v>
      </c>
      <c r="AJ633" s="3" t="n"/>
      <c r="AK633" s="3" t="n"/>
      <c r="AL633" s="3" t="n"/>
      <c r="AM633" s="6" t="n">
        <v>0</v>
      </c>
      <c r="AN633" s="3" t="n">
        <v>0</v>
      </c>
      <c r="AO633" s="3" t="n">
        <v>0</v>
      </c>
      <c r="AP633" s="3" t="n">
        <v>0</v>
      </c>
      <c r="AQ633" s="3">
        <f>N(X633)*N(BJ633)</f>
        <v/>
      </c>
      <c r="AR633" s="3" t="n">
        <v>0</v>
      </c>
      <c r="AS633" s="3" t="n">
        <v>0</v>
      </c>
      <c r="AT633" s="3" t="n">
        <v>0</v>
      </c>
      <c r="AU633" s="3">
        <f>SUM(AO633:AT633)</f>
        <v/>
      </c>
      <c r="AV633" s="7">
        <f>IF(OR(N(W633)&lt;=0,N(BH633)=0),0,N(W633)*IF(N(R633)/N(W633)&gt;=60,N(BH633),1))</f>
        <v/>
      </c>
      <c r="AW633" s="7">
        <f>N(W633)*N(AF633)*N(BI633)</f>
        <v/>
      </c>
      <c r="AX633" s="3">
        <f>IF(N(BH633)=0,0,N(W633)*N(AH633))</f>
        <v/>
      </c>
      <c r="AY633" s="7">
        <f>N(AM633)*(Assumptions!$B$13*N(BK633)-(1-Assumptions!$B$13)*Assumptions!$B$14)+N(AN633)</f>
        <v/>
      </c>
      <c r="AZ633" s="7">
        <f>N(AU633)*N(R633)/90+N(AV633)+N(AW633)+N(AX633)+N(AY633)</f>
        <v/>
      </c>
      <c r="BA633" s="3">
        <f>IF(N(R633)&lt;=0,0,(N(AZ633)-N(AY633))*90/N(R633))</f>
        <v/>
      </c>
      <c r="BB633" s="7">
        <f>IFERROR(AZ633-VLOOKUP($E633,Assumptions!$A$40:$C$43,3,FALSE),"")</f>
        <v/>
      </c>
      <c r="BC633" s="3">
        <f>IFERROR(BB633/H633,"")</f>
        <v/>
      </c>
      <c r="BD633">
        <f>IF(AND($G633=TRUE,$E633="GKP"),AZ633,"")</f>
        <v/>
      </c>
      <c r="BE633">
        <f>IF(AND($G633=TRUE,$E633="DEF"),AZ633,"")</f>
        <v/>
      </c>
      <c r="BF633">
        <f>IF(AND($G633=TRUE,$E633="MID"),AZ633,"")</f>
        <v/>
      </c>
      <c r="BG633">
        <f>IF(AND($G633=TRUE,$E633="FWD"),AZ633,"")</f>
        <v/>
      </c>
      <c r="BH633" t="n">
        <v>0</v>
      </c>
      <c r="BI633" t="n">
        <v>0</v>
      </c>
      <c r="BJ633" t="n">
        <v>0</v>
      </c>
      <c r="BK633" t="n">
        <v>0</v>
      </c>
    </row>
    <row r="634">
      <c r="A634" t="inlineStr">
        <is>
          <t>Radu Dragusin</t>
        </is>
      </c>
      <c r="C634" t="inlineStr">
        <is>
          <t>TOT</t>
        </is>
      </c>
      <c r="D634" t="b">
        <v>0</v>
      </c>
      <c r="F634" t="inlineStr">
        <is>
          <t>DEF</t>
        </is>
      </c>
      <c r="G634" t="b">
        <v>0</v>
      </c>
      <c r="H634" s="2" t="n"/>
      <c r="K634" s="2" t="n">
        <v>515</v>
      </c>
      <c r="M634" s="3" t="n"/>
      <c r="N634" s="8" t="n">
        <v>515</v>
      </c>
      <c r="O634" s="8" t="n">
        <v>0</v>
      </c>
      <c r="R634" s="6" t="n">
        <v>515</v>
      </c>
      <c r="S634" t="inlineStr">
        <is>
          <t>25/26 actual</t>
        </is>
      </c>
      <c r="U634" s="6" t="n">
        <v>86.90000000000001</v>
      </c>
      <c r="V634" s="2" t="n">
        <v>5</v>
      </c>
      <c r="W634" s="7">
        <f>IF(N(U634)&lt;=0,0,MIN(Assumptions!$B$15,N(R634)/N(U634)))</f>
        <v/>
      </c>
      <c r="X634" s="6" t="n"/>
      <c r="Y634" s="3" t="n">
        <v>0.0505</v>
      </c>
      <c r="Z634" t="inlineStr">
        <is>
          <t>adjusted xGOT</t>
        </is>
      </c>
      <c r="AA634" s="3" t="n">
        <v>1</v>
      </c>
      <c r="AB634" s="3" t="n">
        <v>0.9320000000000001</v>
      </c>
      <c r="AC634" s="3" t="n">
        <v>0.6</v>
      </c>
      <c r="AD634" s="3" t="n">
        <v>0</v>
      </c>
      <c r="AE634" s="3" t="n">
        <v>9.946</v>
      </c>
      <c r="AF634" s="3" t="n">
        <v>0</v>
      </c>
      <c r="AG634" s="3" t="n">
        <v>7.085</v>
      </c>
      <c r="AH634" s="3" t="n">
        <v>0</v>
      </c>
      <c r="AI634" s="3" t="n">
        <v>15</v>
      </c>
      <c r="AJ634" s="3" t="n"/>
      <c r="AK634" s="3" t="n"/>
      <c r="AL634" s="3" t="n"/>
      <c r="AM634" s="6" t="n">
        <v>0</v>
      </c>
      <c r="AN634" s="3" t="n">
        <v>0</v>
      </c>
      <c r="AO634" s="3" t="n">
        <v>0</v>
      </c>
      <c r="AP634" s="3" t="n">
        <v>0</v>
      </c>
      <c r="AQ634" s="3">
        <f>N(X634)*N(BJ634)</f>
        <v/>
      </c>
      <c r="AR634" s="3" t="n">
        <v>0</v>
      </c>
      <c r="AS634" s="3" t="n">
        <v>0</v>
      </c>
      <c r="AT634" s="3" t="n">
        <v>0</v>
      </c>
      <c r="AU634" s="3">
        <f>SUM(AO634:AT634)</f>
        <v/>
      </c>
      <c r="AV634" s="7">
        <f>IF(OR(N(W634)&lt;=0,N(BH634)=0),0,N(W634)*IF(N(R634)/N(W634)&gt;=60,N(BH634),1))</f>
        <v/>
      </c>
      <c r="AW634" s="7">
        <f>N(W634)*N(AF634)*N(BI634)</f>
        <v/>
      </c>
      <c r="AX634" s="3">
        <f>IF(N(BH634)=0,0,N(W634)*N(AH634))</f>
        <v/>
      </c>
      <c r="AY634" s="7">
        <f>N(AM634)*(Assumptions!$B$13*N(BK634)-(1-Assumptions!$B$13)*Assumptions!$B$14)+N(AN634)</f>
        <v/>
      </c>
      <c r="AZ634" s="7">
        <f>N(AU634)*N(R634)/90+N(AV634)+N(AW634)+N(AX634)+N(AY634)</f>
        <v/>
      </c>
      <c r="BA634" s="3">
        <f>IF(N(R634)&lt;=0,0,(N(AZ634)-N(AY634))*90/N(R634))</f>
        <v/>
      </c>
      <c r="BB634" s="7">
        <f>IFERROR(AZ634-VLOOKUP($E634,Assumptions!$A$40:$C$43,3,FALSE),"")</f>
        <v/>
      </c>
      <c r="BC634" s="3">
        <f>IFERROR(BB634/H634,"")</f>
        <v/>
      </c>
      <c r="BD634">
        <f>IF(AND($G634=TRUE,$E634="GKP"),AZ634,"")</f>
        <v/>
      </c>
      <c r="BE634">
        <f>IF(AND($G634=TRUE,$E634="DEF"),AZ634,"")</f>
        <v/>
      </c>
      <c r="BF634">
        <f>IF(AND($G634=TRUE,$E634="MID"),AZ634,"")</f>
        <v/>
      </c>
      <c r="BG634">
        <f>IF(AND($G634=TRUE,$E634="FWD"),AZ634,"")</f>
        <v/>
      </c>
      <c r="BH634" t="n">
        <v>0</v>
      </c>
      <c r="BI634" t="n">
        <v>0</v>
      </c>
      <c r="BJ634" t="n">
        <v>0</v>
      </c>
      <c r="BK634" t="n">
        <v>0</v>
      </c>
    </row>
    <row r="635">
      <c r="A635" t="inlineStr">
        <is>
          <t>Juanlu Sánchez</t>
        </is>
      </c>
      <c r="B635" t="inlineStr">
        <is>
          <t>BOU</t>
        </is>
      </c>
      <c r="D635" t="b">
        <v>0</v>
      </c>
      <c r="E635" t="inlineStr">
        <is>
          <t>DEF</t>
        </is>
      </c>
      <c r="G635" t="b">
        <v>1</v>
      </c>
      <c r="H635" s="2" t="n">
        <v>4.5</v>
      </c>
      <c r="I635" t="inlineStr">
        <is>
          <t>a</t>
        </is>
      </c>
      <c r="K635" s="2" t="n"/>
      <c r="M635" s="3" t="n">
        <v>3098</v>
      </c>
      <c r="N635" s="4" t="n">
        <v>2400</v>
      </c>
      <c r="O635" s="4" t="n">
        <v>-698</v>
      </c>
      <c r="P635" s="5" t="inlineStr">
        <is>
          <t>medium</t>
        </is>
      </c>
      <c r="Q635" t="inlineStr">
        <is>
          <t>flat</t>
        </is>
      </c>
      <c r="R635" s="6" t="n">
        <v>2400</v>
      </c>
      <c r="S635" t="inlineStr">
        <is>
          <t>research</t>
        </is>
      </c>
      <c r="T635" s="5" t="inlineStr">
        <is>
          <t>He is genuinely the intended first-choice right-back after Alex Jimenez's loan to Fiorentina, so the direction of Solio's call is right - but 3098 minutes (90% of the position) is too aggressive for a player who signed on 6 Aug, has not featured in either friendly since (8 Aug, 15 Aug) while 35-year-old Adam Smith started both, and who is adapting to a new league in a season with European midweeks.</t>
        </is>
      </c>
      <c r="U635" s="6" t="n">
        <v>85</v>
      </c>
      <c r="V635" s="2" t="n"/>
      <c r="W635" s="7">
        <f>IF(N(U635)&lt;=0,0,MIN(Assumptions!$B$15,N(R635)/N(U635)))</f>
        <v/>
      </c>
      <c r="X635" s="6" t="n">
        <v>0.23</v>
      </c>
      <c r="Y635" s="3" t="n"/>
      <c r="Z635" t="inlineStr"/>
      <c r="AA635" s="3" t="n">
        <v>1</v>
      </c>
      <c r="AB635" s="3" t="n"/>
      <c r="AC635" s="3" t="n"/>
      <c r="AD635" s="3" t="n"/>
      <c r="AE635" s="3" t="n"/>
      <c r="AF635" s="3" t="n">
        <v>0</v>
      </c>
      <c r="AG635" s="3" t="n"/>
      <c r="AH635" s="3" t="n">
        <v>0</v>
      </c>
      <c r="AI635" s="3" t="n"/>
      <c r="AJ635" s="3" t="n">
        <v>3.0957</v>
      </c>
      <c r="AK635" s="3" t="n">
        <v>1.53</v>
      </c>
      <c r="AL635" s="3" t="n">
        <v>-0.2045226422080557</v>
      </c>
      <c r="AM635" s="6" t="n">
        <v>0</v>
      </c>
      <c r="AN635" s="3" t="n">
        <v>0</v>
      </c>
      <c r="AO635" s="3" t="n">
        <v>0</v>
      </c>
      <c r="AP635" s="3" t="n">
        <v>0</v>
      </c>
      <c r="AQ635" s="3">
        <f>N(X635)*N(BJ635)</f>
        <v/>
      </c>
      <c r="AR635" s="3" t="n">
        <v>0</v>
      </c>
      <c r="AS635" s="3" t="n">
        <v>-0.5267219238049191</v>
      </c>
      <c r="AT635" s="3" t="n">
        <v>-0.2045226422080557</v>
      </c>
      <c r="AU635" s="3">
        <f>SUM(AO635:AT635)</f>
        <v/>
      </c>
      <c r="AV635" s="7">
        <f>IF(OR(N(W635)&lt;=0,N(BH635)=0),0,N(W635)*IF(N(R635)/N(W635)&gt;=60,N(BH635),1))</f>
        <v/>
      </c>
      <c r="AW635" s="7">
        <f>N(W635)*N(AF635)*N(BI635)</f>
        <v/>
      </c>
      <c r="AX635" s="3">
        <f>IF(N(BH635)=0,0,N(W635)*N(AH635))</f>
        <v/>
      </c>
      <c r="AY635" s="7">
        <f>N(AM635)*(Assumptions!$B$13*N(BK635)-(1-Assumptions!$B$13)*Assumptions!$B$14)+N(AN635)</f>
        <v/>
      </c>
      <c r="AZ635" s="7">
        <f>N(AU635)*N(R635)/90+N(AV635)+N(AW635)+N(AX635)+N(AY635)</f>
        <v/>
      </c>
      <c r="BA635" s="3">
        <f>IF(N(R635)&lt;=0,0,(N(AZ635)-N(AY635))*90/N(R635))</f>
        <v/>
      </c>
      <c r="BB635" s="7">
        <f>IFERROR(AZ635-VLOOKUP($E635,Assumptions!$A$40:$C$43,3,FALSE),"")</f>
        <v/>
      </c>
      <c r="BC635" s="3">
        <f>IFERROR(BB635/H635,"")</f>
        <v/>
      </c>
      <c r="BD635">
        <f>IF(AND($G635=TRUE,$E635="GKP"),AZ635,"")</f>
        <v/>
      </c>
      <c r="BE635">
        <f>IF(AND($G635=TRUE,$E635="DEF"),AZ635,"")</f>
        <v/>
      </c>
      <c r="BF635">
        <f>IF(AND($G635=TRUE,$E635="MID"),AZ635,"")</f>
        <v/>
      </c>
      <c r="BG635">
        <f>IF(AND($G635=TRUE,$E635="FWD"),AZ635,"")</f>
        <v/>
      </c>
      <c r="BH635" t="n">
        <v>2</v>
      </c>
      <c r="BI635" t="n">
        <v>2</v>
      </c>
      <c r="BJ635" t="n">
        <v>4</v>
      </c>
      <c r="BK635" t="n">
        <v>6</v>
      </c>
    </row>
    <row r="636">
      <c r="A636" t="inlineStr">
        <is>
          <t>Harvey Cartwright</t>
        </is>
      </c>
      <c r="B636" t="inlineStr">
        <is>
          <t>HUL</t>
        </is>
      </c>
      <c r="D636" t="b">
        <v>0</v>
      </c>
      <c r="E636" t="inlineStr">
        <is>
          <t>GKP</t>
        </is>
      </c>
      <c r="G636" t="b">
        <v>1</v>
      </c>
      <c r="H636" s="2" t="n">
        <v>4</v>
      </c>
      <c r="I636" t="inlineStr">
        <is>
          <t>u</t>
        </is>
      </c>
      <c r="J636" t="inlineStr">
        <is>
          <t>Has joined Grimsby Town on loan for the rest of the season</t>
        </is>
      </c>
      <c r="K636" s="2" t="n"/>
      <c r="M636" s="3" t="n"/>
      <c r="N636" s="8" t="n"/>
      <c r="O636" s="8" t="n"/>
      <c r="R636" s="6" t="n"/>
      <c r="S636" t="inlineStr"/>
      <c r="U636" s="6" t="n">
        <v>85</v>
      </c>
      <c r="V636" s="2" t="n"/>
      <c r="W636" s="7">
        <f>IF(N(U636)&lt;=0,0,MIN(Assumptions!$B$15,N(R636)/N(U636)))</f>
        <v/>
      </c>
      <c r="X636" s="6" t="n">
        <v>0.143</v>
      </c>
      <c r="Y636" s="3" t="n"/>
      <c r="Z636" t="inlineStr"/>
      <c r="AA636" s="3" t="n">
        <v>1</v>
      </c>
      <c r="AB636" s="3" t="n"/>
      <c r="AC636" s="3" t="n"/>
      <c r="AD636" s="3" t="n"/>
      <c r="AE636" s="3" t="n">
        <v>0</v>
      </c>
      <c r="AF636" s="3" t="n">
        <v>0</v>
      </c>
      <c r="AG636" s="3" t="n"/>
      <c r="AH636" s="3" t="n">
        <v>0</v>
      </c>
      <c r="AI636" s="3" t="n"/>
      <c r="AJ636" s="3" t="n">
        <v>3.9421</v>
      </c>
      <c r="AK636" s="3" t="n">
        <v>1.99</v>
      </c>
      <c r="AL636" s="3" t="n">
        <v>-0.0763216474948735</v>
      </c>
      <c r="AM636" s="6" t="n">
        <v>0</v>
      </c>
      <c r="AN636" s="3" t="n">
        <v>0</v>
      </c>
      <c r="AO636" s="3" t="n">
        <v>0</v>
      </c>
      <c r="AP636" s="3" t="n">
        <v>0</v>
      </c>
      <c r="AQ636" s="3">
        <f>N(X636)*N(BJ636)</f>
        <v/>
      </c>
      <c r="AR636" s="3" t="n">
        <v>0.979692031005534</v>
      </c>
      <c r="AS636" s="3" t="n">
        <v>-0.7496714098286652</v>
      </c>
      <c r="AT636" s="3" t="n">
        <v>-0.0763216474948735</v>
      </c>
      <c r="AU636" s="3">
        <f>SUM(AO636:AT636)</f>
        <v/>
      </c>
      <c r="AV636" s="7">
        <f>IF(OR(N(W636)&lt;=0,N(BH636)=0),0,N(W636)*IF(N(R636)/N(W636)&gt;=60,N(BH636),1))</f>
        <v/>
      </c>
      <c r="AW636" s="7">
        <f>N(W636)*N(AF636)*N(BI636)</f>
        <v/>
      </c>
      <c r="AX636" s="3">
        <f>IF(N(BH636)=0,0,N(W636)*N(AH636))</f>
        <v/>
      </c>
      <c r="AY636" s="7">
        <f>N(AM636)*(Assumptions!$B$13*N(BK636)-(1-Assumptions!$B$13)*Assumptions!$B$14)+N(AN636)</f>
        <v/>
      </c>
      <c r="AZ636" s="7">
        <f>N(AU636)*N(R636)/90+N(AV636)+N(AW636)+N(AX636)+N(AY636)</f>
        <v/>
      </c>
      <c r="BA636" s="3">
        <f>IF(N(R636)&lt;=0,0,(N(AZ636)-N(AY636))*90/N(R636))</f>
        <v/>
      </c>
      <c r="BB636" s="7">
        <f>IFERROR(AZ636-VLOOKUP($E636,Assumptions!$A$40:$C$43,3,FALSE),"")</f>
        <v/>
      </c>
      <c r="BC636" s="3">
        <f>IFERROR(BB636/H636,"")</f>
        <v/>
      </c>
      <c r="BD636">
        <f>IF(AND($G636=TRUE,$E636="GKP"),AZ636,"")</f>
        <v/>
      </c>
      <c r="BE636">
        <f>IF(AND($G636=TRUE,$E636="DEF"),AZ636,"")</f>
        <v/>
      </c>
      <c r="BF636">
        <f>IF(AND($G636=TRUE,$E636="MID"),AZ636,"")</f>
        <v/>
      </c>
      <c r="BG636">
        <f>IF(AND($G636=TRUE,$E636="FWD"),AZ636,"")</f>
        <v/>
      </c>
      <c r="BH636" t="n">
        <v>2</v>
      </c>
      <c r="BI636" t="n">
        <v>0</v>
      </c>
      <c r="BJ636" t="n">
        <v>4</v>
      </c>
      <c r="BK636" t="n">
        <v>10</v>
      </c>
    </row>
    <row r="637">
      <c r="A637" t="inlineStr">
        <is>
          <t>Quilindschy Hartman</t>
        </is>
      </c>
      <c r="C637" t="inlineStr">
        <is>
          <t>BUR</t>
        </is>
      </c>
      <c r="D637" t="b">
        <v>0</v>
      </c>
      <c r="F637" t="inlineStr">
        <is>
          <t>DEF</t>
        </is>
      </c>
      <c r="G637" t="b">
        <v>0</v>
      </c>
      <c r="H637" s="2" t="n"/>
      <c r="K637" s="2" t="n">
        <v>1830</v>
      </c>
      <c r="M637" s="3" t="n"/>
      <c r="N637" s="8" t="n">
        <v>1830</v>
      </c>
      <c r="O637" s="8" t="n">
        <v>0</v>
      </c>
      <c r="R637" s="6" t="n">
        <v>1830</v>
      </c>
      <c r="S637" t="inlineStr">
        <is>
          <t>25/26 actual</t>
        </is>
      </c>
      <c r="U637" s="6" t="n">
        <v>86.5</v>
      </c>
      <c r="V637" s="2" t="n">
        <v>21</v>
      </c>
      <c r="W637" s="7">
        <f>IF(N(U637)&lt;=0,0,MIN(Assumptions!$B$15,N(R637)/N(U637)))</f>
        <v/>
      </c>
      <c r="X637" s="6" t="n"/>
      <c r="Y637" s="3" t="n">
        <v>0.0155</v>
      </c>
      <c r="Z637" t="inlineStr">
        <is>
          <t>adjusted xGOT</t>
        </is>
      </c>
      <c r="AA637" s="3" t="n">
        <v>1</v>
      </c>
      <c r="AB637" s="3" t="n">
        <v>0.986</v>
      </c>
      <c r="AC637" s="3" t="n">
        <v>0.3</v>
      </c>
      <c r="AD637" s="3" t="n">
        <v>0.1372</v>
      </c>
      <c r="AE637" s="3" t="n">
        <v>7.585</v>
      </c>
      <c r="AF637" s="3" t="n">
        <v>0</v>
      </c>
      <c r="AG637" s="3" t="n">
        <v>7.302</v>
      </c>
      <c r="AH637" s="3" t="n">
        <v>0</v>
      </c>
      <c r="AI637" s="3" t="n">
        <v>42</v>
      </c>
      <c r="AJ637" s="3" t="n"/>
      <c r="AK637" s="3" t="n"/>
      <c r="AL637" s="3" t="n"/>
      <c r="AM637" s="6" t="n">
        <v>0</v>
      </c>
      <c r="AN637" s="3" t="n">
        <v>0</v>
      </c>
      <c r="AO637" s="3" t="n">
        <v>0</v>
      </c>
      <c r="AP637" s="3" t="n">
        <v>0</v>
      </c>
      <c r="AQ637" s="3">
        <f>N(X637)*N(BJ637)</f>
        <v/>
      </c>
      <c r="AR637" s="3" t="n">
        <v>0</v>
      </c>
      <c r="AS637" s="3" t="n">
        <v>0</v>
      </c>
      <c r="AT637" s="3" t="n">
        <v>0</v>
      </c>
      <c r="AU637" s="3">
        <f>SUM(AO637:AT637)</f>
        <v/>
      </c>
      <c r="AV637" s="7">
        <f>IF(OR(N(W637)&lt;=0,N(BH637)=0),0,N(W637)*IF(N(R637)/N(W637)&gt;=60,N(BH637),1))</f>
        <v/>
      </c>
      <c r="AW637" s="7">
        <f>N(W637)*N(AF637)*N(BI637)</f>
        <v/>
      </c>
      <c r="AX637" s="3">
        <f>IF(N(BH637)=0,0,N(W637)*N(AH637))</f>
        <v/>
      </c>
      <c r="AY637" s="7">
        <f>N(AM637)*(Assumptions!$B$13*N(BK637)-(1-Assumptions!$B$13)*Assumptions!$B$14)+N(AN637)</f>
        <v/>
      </c>
      <c r="AZ637" s="7">
        <f>N(AU637)*N(R637)/90+N(AV637)+N(AW637)+N(AX637)+N(AY637)</f>
        <v/>
      </c>
      <c r="BA637" s="3">
        <f>IF(N(R637)&lt;=0,0,(N(AZ637)-N(AY637))*90/N(R637))</f>
        <v/>
      </c>
      <c r="BB637" s="7">
        <f>IFERROR(AZ637-VLOOKUP($E637,Assumptions!$A$40:$C$43,3,FALSE),"")</f>
        <v/>
      </c>
      <c r="BC637" s="3">
        <f>IFERROR(BB637/H637,"")</f>
        <v/>
      </c>
      <c r="BD637">
        <f>IF(AND($G637=TRUE,$E637="GKP"),AZ637,"")</f>
        <v/>
      </c>
      <c r="BE637">
        <f>IF(AND($G637=TRUE,$E637="DEF"),AZ637,"")</f>
        <v/>
      </c>
      <c r="BF637">
        <f>IF(AND($G637=TRUE,$E637="MID"),AZ637,"")</f>
        <v/>
      </c>
      <c r="BG637">
        <f>IF(AND($G637=TRUE,$E637="FWD"),AZ637,"")</f>
        <v/>
      </c>
      <c r="BH637" t="n">
        <v>0</v>
      </c>
      <c r="BI637" t="n">
        <v>0</v>
      </c>
      <c r="BJ637" t="n">
        <v>0</v>
      </c>
      <c r="BK637" t="n">
        <v>0</v>
      </c>
    </row>
    <row r="638">
      <c r="A638" t="inlineStr">
        <is>
          <t>Tawanda Chirewa</t>
        </is>
      </c>
      <c r="C638" t="inlineStr">
        <is>
          <t>WOL</t>
        </is>
      </c>
      <c r="D638" t="b">
        <v>0</v>
      </c>
      <c r="F638" t="inlineStr">
        <is>
          <t>MID</t>
        </is>
      </c>
      <c r="G638" t="b">
        <v>0</v>
      </c>
      <c r="H638" s="2" t="n"/>
      <c r="K638" s="2" t="n">
        <v>25</v>
      </c>
      <c r="M638" s="3" t="n"/>
      <c r="N638" s="8" t="n">
        <v>25</v>
      </c>
      <c r="O638" s="8" t="n">
        <v>0</v>
      </c>
      <c r="R638" s="6" t="n">
        <v>25</v>
      </c>
      <c r="S638" t="inlineStr">
        <is>
          <t>25/26 actual</t>
        </is>
      </c>
      <c r="U638" s="6" t="n">
        <v>80.09999999999999</v>
      </c>
      <c r="V638" s="2" t="n">
        <v>0</v>
      </c>
      <c r="W638" s="7">
        <f>IF(N(U638)&lt;=0,0,MIN(Assumptions!$B$15,N(R638)/N(U638)))</f>
        <v/>
      </c>
      <c r="X638" s="6" t="n"/>
      <c r="Y638" s="3" t="n">
        <v>0</v>
      </c>
      <c r="Z638" t="inlineStr">
        <is>
          <t>adjusted xGOT</t>
        </is>
      </c>
      <c r="AA638" s="3" t="n">
        <v>1</v>
      </c>
      <c r="AB638" s="3" t="n">
        <v>0.993</v>
      </c>
      <c r="AC638" s="3" t="n">
        <v>0.2</v>
      </c>
      <c r="AD638" s="3" t="n">
        <v>0</v>
      </c>
      <c r="AE638" s="3" t="n">
        <v>8.772</v>
      </c>
      <c r="AF638" s="3" t="n">
        <v>0</v>
      </c>
      <c r="AG638" s="3" t="n">
        <v>6.694</v>
      </c>
      <c r="AH638" s="3" t="n">
        <v>0</v>
      </c>
      <c r="AI638" s="3" t="n">
        <v>2</v>
      </c>
      <c r="AJ638" s="3" t="n"/>
      <c r="AK638" s="3" t="n"/>
      <c r="AL638" s="3" t="n"/>
      <c r="AM638" s="6" t="n">
        <v>0</v>
      </c>
      <c r="AN638" s="3" t="n">
        <v>0</v>
      </c>
      <c r="AO638" s="3" t="n">
        <v>0</v>
      </c>
      <c r="AP638" s="3" t="n">
        <v>0</v>
      </c>
      <c r="AQ638" s="3">
        <f>N(X638)*N(BJ638)</f>
        <v/>
      </c>
      <c r="AR638" s="3" t="n">
        <v>0</v>
      </c>
      <c r="AS638" s="3" t="n">
        <v>0</v>
      </c>
      <c r="AT638" s="3" t="n">
        <v>0</v>
      </c>
      <c r="AU638" s="3">
        <f>SUM(AO638:AT638)</f>
        <v/>
      </c>
      <c r="AV638" s="7">
        <f>IF(OR(N(W638)&lt;=0,N(BH638)=0),0,N(W638)*IF(N(R638)/N(W638)&gt;=60,N(BH638),1))</f>
        <v/>
      </c>
      <c r="AW638" s="7">
        <f>N(W638)*N(AF638)*N(BI638)</f>
        <v/>
      </c>
      <c r="AX638" s="3">
        <f>IF(N(BH638)=0,0,N(W638)*N(AH638))</f>
        <v/>
      </c>
      <c r="AY638" s="7">
        <f>N(AM638)*(Assumptions!$B$13*N(BK638)-(1-Assumptions!$B$13)*Assumptions!$B$14)+N(AN638)</f>
        <v/>
      </c>
      <c r="AZ638" s="7">
        <f>N(AU638)*N(R638)/90+N(AV638)+N(AW638)+N(AX638)+N(AY638)</f>
        <v/>
      </c>
      <c r="BA638" s="3">
        <f>IF(N(R638)&lt;=0,0,(N(AZ638)-N(AY638))*90/N(R638))</f>
        <v/>
      </c>
      <c r="BB638" s="7">
        <f>IFERROR(AZ638-VLOOKUP($E638,Assumptions!$A$40:$C$43,3,FALSE),"")</f>
        <v/>
      </c>
      <c r="BC638" s="3">
        <f>IFERROR(BB638/H638,"")</f>
        <v/>
      </c>
      <c r="BD638">
        <f>IF(AND($G638=TRUE,$E638="GKP"),AZ638,"")</f>
        <v/>
      </c>
      <c r="BE638">
        <f>IF(AND($G638=TRUE,$E638="DEF"),AZ638,"")</f>
        <v/>
      </c>
      <c r="BF638">
        <f>IF(AND($G638=TRUE,$E638="MID"),AZ638,"")</f>
        <v/>
      </c>
      <c r="BG638">
        <f>IF(AND($G638=TRUE,$E638="FWD"),AZ638,"")</f>
        <v/>
      </c>
      <c r="BH638" t="n">
        <v>0</v>
      </c>
      <c r="BI638" t="n">
        <v>0</v>
      </c>
      <c r="BJ638" t="n">
        <v>0</v>
      </c>
      <c r="BK638" t="n">
        <v>0</v>
      </c>
    </row>
    <row r="639">
      <c r="A639" t="inlineStr">
        <is>
          <t>David Møller Wolfe</t>
        </is>
      </c>
      <c r="C639" t="inlineStr">
        <is>
          <t>WOL</t>
        </is>
      </c>
      <c r="D639" t="b">
        <v>0</v>
      </c>
      <c r="F639" t="inlineStr">
        <is>
          <t>DEF</t>
        </is>
      </c>
      <c r="G639" t="b">
        <v>0</v>
      </c>
      <c r="H639" s="2" t="n"/>
      <c r="K639" s="2" t="n">
        <v>1049</v>
      </c>
      <c r="M639" s="3" t="n"/>
      <c r="N639" s="8" t="n">
        <v>1049</v>
      </c>
      <c r="O639" s="8" t="n">
        <v>0</v>
      </c>
      <c r="R639" s="6" t="n">
        <v>1049</v>
      </c>
      <c r="S639" t="inlineStr">
        <is>
          <t>25/26 actual</t>
        </is>
      </c>
      <c r="U639" s="6" t="n">
        <v>82.3</v>
      </c>
      <c r="V639" s="2" t="n">
        <v>11</v>
      </c>
      <c r="W639" s="7">
        <f>IF(N(U639)&lt;=0,0,MIN(Assumptions!$B$15,N(R639)/N(U639)))</f>
        <v/>
      </c>
      <c r="X639" s="6" t="n"/>
      <c r="Y639" s="3" t="n">
        <v>0.011</v>
      </c>
      <c r="Z639" t="inlineStr">
        <is>
          <t>adjusted xGOT</t>
        </is>
      </c>
      <c r="AA639" s="3" t="n">
        <v>1</v>
      </c>
      <c r="AB639" s="3" t="n">
        <v>0.984</v>
      </c>
      <c r="AC639" s="3" t="n">
        <v>0.1</v>
      </c>
      <c r="AD639" s="3" t="n">
        <v>0.1119</v>
      </c>
      <c r="AE639" s="3" t="n">
        <v>5.694</v>
      </c>
      <c r="AF639" s="3" t="n">
        <v>0</v>
      </c>
      <c r="AG639" s="3" t="n">
        <v>5.753</v>
      </c>
      <c r="AH639" s="3" t="n">
        <v>0</v>
      </c>
      <c r="AI639" s="3" t="n">
        <v>32</v>
      </c>
      <c r="AJ639" s="3" t="n"/>
      <c r="AK639" s="3" t="n"/>
      <c r="AL639" s="3" t="n"/>
      <c r="AM639" s="6" t="n">
        <v>0</v>
      </c>
      <c r="AN639" s="3" t="n">
        <v>0</v>
      </c>
      <c r="AO639" s="3" t="n">
        <v>0</v>
      </c>
      <c r="AP639" s="3" t="n">
        <v>0</v>
      </c>
      <c r="AQ639" s="3">
        <f>N(X639)*N(BJ639)</f>
        <v/>
      </c>
      <c r="AR639" s="3" t="n">
        <v>0</v>
      </c>
      <c r="AS639" s="3" t="n">
        <v>0</v>
      </c>
      <c r="AT639" s="3" t="n">
        <v>0</v>
      </c>
      <c r="AU639" s="3">
        <f>SUM(AO639:AT639)</f>
        <v/>
      </c>
      <c r="AV639" s="7">
        <f>IF(OR(N(W639)&lt;=0,N(BH639)=0),0,N(W639)*IF(N(R639)/N(W639)&gt;=60,N(BH639),1))</f>
        <v/>
      </c>
      <c r="AW639" s="7">
        <f>N(W639)*N(AF639)*N(BI639)</f>
        <v/>
      </c>
      <c r="AX639" s="3">
        <f>IF(N(BH639)=0,0,N(W639)*N(AH639))</f>
        <v/>
      </c>
      <c r="AY639" s="7">
        <f>N(AM639)*(Assumptions!$B$13*N(BK639)-(1-Assumptions!$B$13)*Assumptions!$B$14)+N(AN639)</f>
        <v/>
      </c>
      <c r="AZ639" s="7">
        <f>N(AU639)*N(R639)/90+N(AV639)+N(AW639)+N(AX639)+N(AY639)</f>
        <v/>
      </c>
      <c r="BA639" s="3">
        <f>IF(N(R639)&lt;=0,0,(N(AZ639)-N(AY639))*90/N(R639))</f>
        <v/>
      </c>
      <c r="BB639" s="7">
        <f>IFERROR(AZ639-VLOOKUP($E639,Assumptions!$A$40:$C$43,3,FALSE),"")</f>
        <v/>
      </c>
      <c r="BC639" s="3">
        <f>IFERROR(BB639/H639,"")</f>
        <v/>
      </c>
      <c r="BD639">
        <f>IF(AND($G639=TRUE,$E639="GKP"),AZ639,"")</f>
        <v/>
      </c>
      <c r="BE639">
        <f>IF(AND($G639=TRUE,$E639="DEF"),AZ639,"")</f>
        <v/>
      </c>
      <c r="BF639">
        <f>IF(AND($G639=TRUE,$E639="MID"),AZ639,"")</f>
        <v/>
      </c>
      <c r="BG639">
        <f>IF(AND($G639=TRUE,$E639="FWD"),AZ639,"")</f>
        <v/>
      </c>
      <c r="BH639" t="n">
        <v>0</v>
      </c>
      <c r="BI639" t="n">
        <v>0</v>
      </c>
      <c r="BJ639" t="n">
        <v>0</v>
      </c>
      <c r="BK639" t="n">
        <v>0</v>
      </c>
    </row>
    <row r="640">
      <c r="A640" t="inlineStr">
        <is>
          <t>Pep Chavarría</t>
        </is>
      </c>
      <c r="B640" t="inlineStr">
        <is>
          <t>CHE</t>
        </is>
      </c>
      <c r="D640" t="b">
        <v>0</v>
      </c>
      <c r="E640" t="inlineStr">
        <is>
          <t>DEF</t>
        </is>
      </c>
      <c r="G640" t="b">
        <v>1</v>
      </c>
      <c r="H640" s="2" t="n">
        <v>5</v>
      </c>
      <c r="I640" t="inlineStr">
        <is>
          <t>a</t>
        </is>
      </c>
      <c r="K640" s="2" t="n"/>
      <c r="M640" s="3" t="n">
        <v>534</v>
      </c>
      <c r="N640" s="8" t="n">
        <v>534</v>
      </c>
      <c r="O640" s="8" t="n">
        <v>0</v>
      </c>
      <c r="Q640" t="inlineStr">
        <is>
          <t>flat</t>
        </is>
      </c>
      <c r="R640" s="6" t="n">
        <v>534</v>
      </c>
      <c r="S640" t="inlineStr">
        <is>
          <t>Solio</t>
        </is>
      </c>
      <c r="U640" s="6" t="n">
        <v>85</v>
      </c>
      <c r="V640" s="2" t="n"/>
      <c r="W640" s="7">
        <f>IF(N(U640)&lt;=0,0,MIN(Assumptions!$B$15,N(R640)/N(U640)))</f>
        <v/>
      </c>
      <c r="X640" s="6" t="n">
        <v>0.322</v>
      </c>
      <c r="Y640" s="3" t="n"/>
      <c r="Z640" t="inlineStr"/>
      <c r="AA640" s="3" t="n">
        <v>1</v>
      </c>
      <c r="AB640" s="3" t="n"/>
      <c r="AC640" s="3" t="n"/>
      <c r="AD640" s="3" t="n"/>
      <c r="AE640" s="3" t="n"/>
      <c r="AF640" s="3" t="n">
        <v>0</v>
      </c>
      <c r="AG640" s="3" t="n"/>
      <c r="AH640" s="3" t="n">
        <v>0</v>
      </c>
      <c r="AI640" s="3" t="n"/>
      <c r="AJ640" s="3" t="n">
        <v>2.4232</v>
      </c>
      <c r="AK640" s="3" t="n">
        <v>1.1851</v>
      </c>
      <c r="AL640" s="3" t="n">
        <v>-0.2045226422080557</v>
      </c>
      <c r="AM640" s="6" t="n">
        <v>0</v>
      </c>
      <c r="AN640" s="3" t="n">
        <v>0</v>
      </c>
      <c r="AO640" s="3" t="n">
        <v>0</v>
      </c>
      <c r="AP640" s="3" t="n">
        <v>0</v>
      </c>
      <c r="AQ640" s="3">
        <f>N(X640)*N(BJ640)</f>
        <v/>
      </c>
      <c r="AR640" s="3" t="n">
        <v>0</v>
      </c>
      <c r="AS640" s="3" t="n">
        <v>-0.365915508000572</v>
      </c>
      <c r="AT640" s="3" t="n">
        <v>-0.2045226422080557</v>
      </c>
      <c r="AU640" s="3">
        <f>SUM(AO640:AT640)</f>
        <v/>
      </c>
      <c r="AV640" s="7">
        <f>IF(OR(N(W640)&lt;=0,N(BH640)=0),0,N(W640)*IF(N(R640)/N(W640)&gt;=60,N(BH640),1))</f>
        <v/>
      </c>
      <c r="AW640" s="7">
        <f>N(W640)*N(AF640)*N(BI640)</f>
        <v/>
      </c>
      <c r="AX640" s="3">
        <f>IF(N(BH640)=0,0,N(W640)*N(AH640))</f>
        <v/>
      </c>
      <c r="AY640" s="7">
        <f>N(AM640)*(Assumptions!$B$13*N(BK640)-(1-Assumptions!$B$13)*Assumptions!$B$14)+N(AN640)</f>
        <v/>
      </c>
      <c r="AZ640" s="7">
        <f>N(AU640)*N(R640)/90+N(AV640)+N(AW640)+N(AX640)+N(AY640)</f>
        <v/>
      </c>
      <c r="BA640" s="3">
        <f>IF(N(R640)&lt;=0,0,(N(AZ640)-N(AY640))*90/N(R640))</f>
        <v/>
      </c>
      <c r="BB640" s="7">
        <f>IFERROR(AZ640-VLOOKUP($E640,Assumptions!$A$40:$C$43,3,FALSE),"")</f>
        <v/>
      </c>
      <c r="BC640" s="3">
        <f>IFERROR(BB640/H640,"")</f>
        <v/>
      </c>
      <c r="BD640">
        <f>IF(AND($G640=TRUE,$E640="GKP"),AZ640,"")</f>
        <v/>
      </c>
      <c r="BE640">
        <f>IF(AND($G640=TRUE,$E640="DEF"),AZ640,"")</f>
        <v/>
      </c>
      <c r="BF640">
        <f>IF(AND($G640=TRUE,$E640="MID"),AZ640,"")</f>
        <v/>
      </c>
      <c r="BG640">
        <f>IF(AND($G640=TRUE,$E640="FWD"),AZ640,"")</f>
        <v/>
      </c>
      <c r="BH640" t="n">
        <v>2</v>
      </c>
      <c r="BI640" t="n">
        <v>2</v>
      </c>
      <c r="BJ640" t="n">
        <v>4</v>
      </c>
      <c r="BK640" t="n">
        <v>6</v>
      </c>
    </row>
    <row r="641">
      <c r="A641" t="inlineStr">
        <is>
          <t>Enis Destan</t>
        </is>
      </c>
      <c r="B641" t="inlineStr">
        <is>
          <t>HUL</t>
        </is>
      </c>
      <c r="D641" t="b">
        <v>0</v>
      </c>
      <c r="E641" t="inlineStr">
        <is>
          <t>FWD</t>
        </is>
      </c>
      <c r="G641" t="b">
        <v>1</v>
      </c>
      <c r="H641" s="2" t="n">
        <v>4.5</v>
      </c>
      <c r="I641" t="inlineStr">
        <is>
          <t>a</t>
        </is>
      </c>
      <c r="K641" s="2" t="n"/>
      <c r="M641" s="3" t="n">
        <v>93</v>
      </c>
      <c r="N641" s="8" t="n">
        <v>93</v>
      </c>
      <c r="O641" s="8" t="n">
        <v>0</v>
      </c>
      <c r="Q641" t="inlineStr">
        <is>
          <t>flat</t>
        </is>
      </c>
      <c r="R641" s="6" t="n">
        <v>93</v>
      </c>
      <c r="S641" t="inlineStr">
        <is>
          <t>Solio</t>
        </is>
      </c>
      <c r="U641" s="6" t="n">
        <v>85</v>
      </c>
      <c r="V641" s="2" t="n"/>
      <c r="W641" s="7">
        <f>IF(N(U641)&lt;=0,0,MIN(Assumptions!$B$15,N(R641)/N(U641)))</f>
        <v/>
      </c>
      <c r="X641" s="6" t="n">
        <v>0.143</v>
      </c>
      <c r="Y641" s="3" t="n"/>
      <c r="Z641" t="inlineStr"/>
      <c r="AA641" s="3" t="n">
        <v>1</v>
      </c>
      <c r="AB641" s="3" t="n"/>
      <c r="AC641" s="3" t="n"/>
      <c r="AD641" s="3" t="n"/>
      <c r="AE641" s="3" t="n"/>
      <c r="AF641" s="3" t="n">
        <v>0</v>
      </c>
      <c r="AG641" s="3" t="n"/>
      <c r="AH641" s="3" t="n">
        <v>0</v>
      </c>
      <c r="AI641" s="3" t="n"/>
      <c r="AJ641" s="3" t="n">
        <v>3.9421</v>
      </c>
      <c r="AK641" s="3" t="n">
        <v>1.99</v>
      </c>
      <c r="AL641" s="3" t="n">
        <v>-0.174691292596322</v>
      </c>
      <c r="AM641" s="6" t="n">
        <v>0</v>
      </c>
      <c r="AN641" s="3" t="n">
        <v>0</v>
      </c>
      <c r="AO641" s="3" t="n">
        <v>0</v>
      </c>
      <c r="AP641" s="3" t="n">
        <v>0</v>
      </c>
      <c r="AQ641" s="3">
        <f>N(X641)*N(BJ641)</f>
        <v/>
      </c>
      <c r="AR641" s="3" t="n">
        <v>0</v>
      </c>
      <c r="AS641" s="3" t="n">
        <v>-0</v>
      </c>
      <c r="AT641" s="3" t="n">
        <v>-0.174691292596322</v>
      </c>
      <c r="AU641" s="3">
        <f>SUM(AO641:AT641)</f>
        <v/>
      </c>
      <c r="AV641" s="7">
        <f>IF(OR(N(W641)&lt;=0,N(BH641)=0),0,N(W641)*IF(N(R641)/N(W641)&gt;=60,N(BH641),1))</f>
        <v/>
      </c>
      <c r="AW641" s="7">
        <f>N(W641)*N(AF641)*N(BI641)</f>
        <v/>
      </c>
      <c r="AX641" s="3">
        <f>IF(N(BH641)=0,0,N(W641)*N(AH641))</f>
        <v/>
      </c>
      <c r="AY641" s="7">
        <f>N(AM641)*(Assumptions!$B$13*N(BK641)-(1-Assumptions!$B$13)*Assumptions!$B$14)+N(AN641)</f>
        <v/>
      </c>
      <c r="AZ641" s="7">
        <f>N(AU641)*N(R641)/90+N(AV641)+N(AW641)+N(AX641)+N(AY641)</f>
        <v/>
      </c>
      <c r="BA641" s="3">
        <f>IF(N(R641)&lt;=0,0,(N(AZ641)-N(AY641))*90/N(R641))</f>
        <v/>
      </c>
      <c r="BB641" s="7">
        <f>IFERROR(AZ641-VLOOKUP($E641,Assumptions!$A$40:$C$43,3,FALSE),"")</f>
        <v/>
      </c>
      <c r="BC641" s="3">
        <f>IFERROR(BB641/H641,"")</f>
        <v/>
      </c>
      <c r="BD641">
        <f>IF(AND($G641=TRUE,$E641="GKP"),AZ641,"")</f>
        <v/>
      </c>
      <c r="BE641">
        <f>IF(AND($G641=TRUE,$E641="DEF"),AZ641,"")</f>
        <v/>
      </c>
      <c r="BF641">
        <f>IF(AND($G641=TRUE,$E641="MID"),AZ641,"")</f>
        <v/>
      </c>
      <c r="BG641">
        <f>IF(AND($G641=TRUE,$E641="FWD"),AZ641,"")</f>
        <v/>
      </c>
      <c r="BH641" t="n">
        <v>2</v>
      </c>
      <c r="BI641" t="n">
        <v>2</v>
      </c>
      <c r="BJ641" t="n">
        <v>0</v>
      </c>
      <c r="BK641" t="n">
        <v>4</v>
      </c>
    </row>
    <row r="642">
      <c r="A642" t="inlineStr">
        <is>
          <t>Marcelino Núñez</t>
        </is>
      </c>
      <c r="B642" t="inlineStr">
        <is>
          <t>IPS</t>
        </is>
      </c>
      <c r="D642" t="b">
        <v>0</v>
      </c>
      <c r="E642" t="inlineStr">
        <is>
          <t>MID</t>
        </is>
      </c>
      <c r="G642" t="b">
        <v>1</v>
      </c>
      <c r="H642" s="2" t="n">
        <v>5</v>
      </c>
      <c r="I642" t="inlineStr">
        <is>
          <t>a</t>
        </is>
      </c>
      <c r="K642" s="2" t="n"/>
      <c r="M642" s="3" t="n">
        <v>2736</v>
      </c>
      <c r="N642" s="8" t="n">
        <v>2736</v>
      </c>
      <c r="O642" s="8" t="n">
        <v>0</v>
      </c>
      <c r="Q642" t="inlineStr">
        <is>
          <t>flat</t>
        </is>
      </c>
      <c r="R642" s="6" t="n">
        <v>2736</v>
      </c>
      <c r="S642" t="inlineStr">
        <is>
          <t>Solio</t>
        </is>
      </c>
      <c r="U642" s="6" t="n">
        <v>85</v>
      </c>
      <c r="V642" s="2" t="n"/>
      <c r="W642" s="7">
        <f>IF(N(U642)&lt;=0,0,MIN(Assumptions!$B$15,N(R642)/N(U642)))</f>
        <v/>
      </c>
      <c r="X642" s="6" t="n">
        <v>0.17</v>
      </c>
      <c r="Y642" s="3" t="n"/>
      <c r="Z642" t="inlineStr"/>
      <c r="AA642" s="3" t="n">
        <v>1</v>
      </c>
      <c r="AB642" s="3" t="n"/>
      <c r="AC642" s="3" t="n"/>
      <c r="AD642" s="3" t="n"/>
      <c r="AE642" s="3" t="n"/>
      <c r="AF642" s="3" t="n">
        <v>0</v>
      </c>
      <c r="AG642" s="3" t="n"/>
      <c r="AH642" s="3" t="n">
        <v>0</v>
      </c>
      <c r="AI642" s="3" t="n"/>
      <c r="AJ642" s="3" t="n">
        <v>3.5741</v>
      </c>
      <c r="AK642" s="3" t="n">
        <v>1.8319</v>
      </c>
      <c r="AL642" s="3" t="n">
        <v>-0.2160434166173144</v>
      </c>
      <c r="AM642" s="6" t="n">
        <v>0</v>
      </c>
      <c r="AN642" s="3" t="n">
        <v>0</v>
      </c>
      <c r="AO642" s="3" t="n">
        <v>0</v>
      </c>
      <c r="AP642" s="3" t="n">
        <v>0</v>
      </c>
      <c r="AQ642" s="3">
        <f>N(X642)*N(BJ642)</f>
        <v/>
      </c>
      <c r="AR642" s="3" t="n">
        <v>0</v>
      </c>
      <c r="AS642" s="3" t="n">
        <v>-0</v>
      </c>
      <c r="AT642" s="3" t="n">
        <v>-0.2160434166173144</v>
      </c>
      <c r="AU642" s="3">
        <f>SUM(AO642:AT642)</f>
        <v/>
      </c>
      <c r="AV642" s="7">
        <f>IF(OR(N(W642)&lt;=0,N(BH642)=0),0,N(W642)*IF(N(R642)/N(W642)&gt;=60,N(BH642),1))</f>
        <v/>
      </c>
      <c r="AW642" s="7">
        <f>N(W642)*N(AF642)*N(BI642)</f>
        <v/>
      </c>
      <c r="AX642" s="3">
        <f>IF(N(BH642)=0,0,N(W642)*N(AH642))</f>
        <v/>
      </c>
      <c r="AY642" s="7">
        <f>N(AM642)*(Assumptions!$B$13*N(BK642)-(1-Assumptions!$B$13)*Assumptions!$B$14)+N(AN642)</f>
        <v/>
      </c>
      <c r="AZ642" s="7">
        <f>N(AU642)*N(R642)/90+N(AV642)+N(AW642)+N(AX642)+N(AY642)</f>
        <v/>
      </c>
      <c r="BA642" s="3">
        <f>IF(N(R642)&lt;=0,0,(N(AZ642)-N(AY642))*90/N(R642))</f>
        <v/>
      </c>
      <c r="BB642" s="7">
        <f>IFERROR(AZ642-VLOOKUP($E642,Assumptions!$A$40:$C$43,3,FALSE),"")</f>
        <v/>
      </c>
      <c r="BC642" s="3">
        <f>IFERROR(BB642/H642,"")</f>
        <v/>
      </c>
      <c r="BD642">
        <f>IF(AND($G642=TRUE,$E642="GKP"),AZ642,"")</f>
        <v/>
      </c>
      <c r="BE642">
        <f>IF(AND($G642=TRUE,$E642="DEF"),AZ642,"")</f>
        <v/>
      </c>
      <c r="BF642">
        <f>IF(AND($G642=TRUE,$E642="MID"),AZ642,"")</f>
        <v/>
      </c>
      <c r="BG642">
        <f>IF(AND($G642=TRUE,$E642="FWD"),AZ642,"")</f>
        <v/>
      </c>
      <c r="BH642" t="n">
        <v>2</v>
      </c>
      <c r="BI642" t="n">
        <v>2</v>
      </c>
      <c r="BJ642" t="n">
        <v>1</v>
      </c>
      <c r="BK642" t="n">
        <v>5</v>
      </c>
    </row>
    <row r="643">
      <c r="A643" t="inlineStr">
        <is>
          <t>Tatsuhiro Sakamoto</t>
        </is>
      </c>
      <c r="B643" t="inlineStr">
        <is>
          <t>COV</t>
        </is>
      </c>
      <c r="D643" t="b">
        <v>0</v>
      </c>
      <c r="E643" t="inlineStr">
        <is>
          <t>MID</t>
        </is>
      </c>
      <c r="G643" t="b">
        <v>1</v>
      </c>
      <c r="H643" s="2" t="n">
        <v>5</v>
      </c>
      <c r="I643" t="inlineStr">
        <is>
          <t>a</t>
        </is>
      </c>
      <c r="K643" s="2" t="n"/>
      <c r="M643" s="3" t="n">
        <v>1927</v>
      </c>
      <c r="N643" s="8" t="n">
        <v>1927</v>
      </c>
      <c r="O643" s="8" t="n">
        <v>0</v>
      </c>
      <c r="Q643" t="inlineStr">
        <is>
          <t>flat</t>
        </is>
      </c>
      <c r="R643" s="6" t="n">
        <v>1927</v>
      </c>
      <c r="S643" t="inlineStr">
        <is>
          <t>Solio</t>
        </is>
      </c>
      <c r="U643" s="6" t="n">
        <v>85</v>
      </c>
      <c r="V643" s="2" t="n"/>
      <c r="W643" s="7">
        <f>IF(N(U643)&lt;=0,0,MIN(Assumptions!$B$15,N(R643)/N(U643)))</f>
        <v/>
      </c>
      <c r="X643" s="6" t="n">
        <v>0.17</v>
      </c>
      <c r="Y643" s="3" t="n"/>
      <c r="Z643" t="inlineStr"/>
      <c r="AA643" s="3" t="n">
        <v>1</v>
      </c>
      <c r="AB643" s="3" t="n"/>
      <c r="AC643" s="3" t="n"/>
      <c r="AD643" s="3" t="n"/>
      <c r="AE643" s="3" t="n"/>
      <c r="AF643" s="3" t="n">
        <v>0</v>
      </c>
      <c r="AG643" s="3" t="n"/>
      <c r="AH643" s="3" t="n">
        <v>0</v>
      </c>
      <c r="AI643" s="3" t="n"/>
      <c r="AJ643" s="3" t="n">
        <v>3.6194</v>
      </c>
      <c r="AK643" s="3" t="n">
        <v>1.8271</v>
      </c>
      <c r="AL643" s="3" t="n">
        <v>-0.2160434166173144</v>
      </c>
      <c r="AM643" s="6" t="n">
        <v>0</v>
      </c>
      <c r="AN643" s="3" t="n">
        <v>0</v>
      </c>
      <c r="AO643" s="3" t="n">
        <v>0</v>
      </c>
      <c r="AP643" s="3" t="n">
        <v>0</v>
      </c>
      <c r="AQ643" s="3">
        <f>N(X643)*N(BJ643)</f>
        <v/>
      </c>
      <c r="AR643" s="3" t="n">
        <v>0</v>
      </c>
      <c r="AS643" s="3" t="n">
        <v>-0</v>
      </c>
      <c r="AT643" s="3" t="n">
        <v>-0.2160434166173144</v>
      </c>
      <c r="AU643" s="3">
        <f>SUM(AO643:AT643)</f>
        <v/>
      </c>
      <c r="AV643" s="7">
        <f>IF(OR(N(W643)&lt;=0,N(BH643)=0),0,N(W643)*IF(N(R643)/N(W643)&gt;=60,N(BH643),1))</f>
        <v/>
      </c>
      <c r="AW643" s="7">
        <f>N(W643)*N(AF643)*N(BI643)</f>
        <v/>
      </c>
      <c r="AX643" s="3">
        <f>IF(N(BH643)=0,0,N(W643)*N(AH643))</f>
        <v/>
      </c>
      <c r="AY643" s="7">
        <f>N(AM643)*(Assumptions!$B$13*N(BK643)-(1-Assumptions!$B$13)*Assumptions!$B$14)+N(AN643)</f>
        <v/>
      </c>
      <c r="AZ643" s="7">
        <f>N(AU643)*N(R643)/90+N(AV643)+N(AW643)+N(AX643)+N(AY643)</f>
        <v/>
      </c>
      <c r="BA643" s="3">
        <f>IF(N(R643)&lt;=0,0,(N(AZ643)-N(AY643))*90/N(R643))</f>
        <v/>
      </c>
      <c r="BB643" s="7">
        <f>IFERROR(AZ643-VLOOKUP($E643,Assumptions!$A$40:$C$43,3,FALSE),"")</f>
        <v/>
      </c>
      <c r="BC643" s="3">
        <f>IFERROR(BB643/H643,"")</f>
        <v/>
      </c>
      <c r="BD643">
        <f>IF(AND($G643=TRUE,$E643="GKP"),AZ643,"")</f>
        <v/>
      </c>
      <c r="BE643">
        <f>IF(AND($G643=TRUE,$E643="DEF"),AZ643,"")</f>
        <v/>
      </c>
      <c r="BF643">
        <f>IF(AND($G643=TRUE,$E643="MID"),AZ643,"")</f>
        <v/>
      </c>
      <c r="BG643">
        <f>IF(AND($G643=TRUE,$E643="FWD"),AZ643,"")</f>
        <v/>
      </c>
      <c r="BH643" t="n">
        <v>2</v>
      </c>
      <c r="BI643" t="n">
        <v>2</v>
      </c>
      <c r="BJ643" t="n">
        <v>1</v>
      </c>
      <c r="BK643" t="n">
        <v>5</v>
      </c>
    </row>
    <row r="644">
      <c r="A644" t="inlineStr">
        <is>
          <t>Yerson Mosquera</t>
        </is>
      </c>
      <c r="C644" t="inlineStr">
        <is>
          <t>WOL</t>
        </is>
      </c>
      <c r="D644" t="b">
        <v>0</v>
      </c>
      <c r="F644" t="inlineStr">
        <is>
          <t>DEF</t>
        </is>
      </c>
      <c r="G644" t="b">
        <v>0</v>
      </c>
      <c r="H644" s="2" t="n"/>
      <c r="K644" s="2" t="n">
        <v>2142</v>
      </c>
      <c r="M644" s="3" t="n"/>
      <c r="N644" s="8" t="n">
        <v>2142</v>
      </c>
      <c r="O644" s="8" t="n">
        <v>0</v>
      </c>
      <c r="R644" s="6" t="n">
        <v>2142</v>
      </c>
      <c r="S644" t="inlineStr">
        <is>
          <t>25/26 actual</t>
        </is>
      </c>
      <c r="U644" s="6" t="n">
        <v>85.7</v>
      </c>
      <c r="V644" s="2" t="n">
        <v>24</v>
      </c>
      <c r="W644" s="7">
        <f>IF(N(U644)&lt;=0,0,MIN(Assumptions!$B$15,N(R644)/N(U644)))</f>
        <v/>
      </c>
      <c r="X644" s="6" t="n"/>
      <c r="Y644" s="3" t="n">
        <v>0.0837</v>
      </c>
      <c r="Z644" t="inlineStr">
        <is>
          <t>adjusted xGOT</t>
        </is>
      </c>
      <c r="AA644" s="3" t="n">
        <v>1</v>
      </c>
      <c r="AB644" s="3" t="n">
        <v>0.793</v>
      </c>
      <c r="AC644" s="3" t="n">
        <v>2.8</v>
      </c>
      <c r="AD644" s="3" t="n">
        <v>0.0505</v>
      </c>
      <c r="AE644" s="3" t="n">
        <v>8.836</v>
      </c>
      <c r="AF644" s="3" t="n">
        <v>0</v>
      </c>
      <c r="AG644" s="3" t="n">
        <v>8.132999999999999</v>
      </c>
      <c r="AH644" s="3" t="n">
        <v>0</v>
      </c>
      <c r="AI644" s="3" t="n">
        <v>51</v>
      </c>
      <c r="AJ644" s="3" t="n"/>
      <c r="AK644" s="3" t="n"/>
      <c r="AL644" s="3" t="n"/>
      <c r="AM644" s="6" t="n">
        <v>0</v>
      </c>
      <c r="AN644" s="3" t="n">
        <v>0</v>
      </c>
      <c r="AO644" s="3" t="n">
        <v>0</v>
      </c>
      <c r="AP644" s="3" t="n">
        <v>0</v>
      </c>
      <c r="AQ644" s="3">
        <f>N(X644)*N(BJ644)</f>
        <v/>
      </c>
      <c r="AR644" s="3" t="n">
        <v>0</v>
      </c>
      <c r="AS644" s="3" t="n">
        <v>0</v>
      </c>
      <c r="AT644" s="3" t="n">
        <v>0</v>
      </c>
      <c r="AU644" s="3">
        <f>SUM(AO644:AT644)</f>
        <v/>
      </c>
      <c r="AV644" s="7">
        <f>IF(OR(N(W644)&lt;=0,N(BH644)=0),0,N(W644)*IF(N(R644)/N(W644)&gt;=60,N(BH644),1))</f>
        <v/>
      </c>
      <c r="AW644" s="7">
        <f>N(W644)*N(AF644)*N(BI644)</f>
        <v/>
      </c>
      <c r="AX644" s="3">
        <f>IF(N(BH644)=0,0,N(W644)*N(AH644))</f>
        <v/>
      </c>
      <c r="AY644" s="7">
        <f>N(AM644)*(Assumptions!$B$13*N(BK644)-(1-Assumptions!$B$13)*Assumptions!$B$14)+N(AN644)</f>
        <v/>
      </c>
      <c r="AZ644" s="7">
        <f>N(AU644)*N(R644)/90+N(AV644)+N(AW644)+N(AX644)+N(AY644)</f>
        <v/>
      </c>
      <c r="BA644" s="3">
        <f>IF(N(R644)&lt;=0,0,(N(AZ644)-N(AY644))*90/N(R644))</f>
        <v/>
      </c>
      <c r="BB644" s="7">
        <f>IFERROR(AZ644-VLOOKUP($E644,Assumptions!$A$40:$C$43,3,FALSE),"")</f>
        <v/>
      </c>
      <c r="BC644" s="3">
        <f>IFERROR(BB644/H644,"")</f>
        <v/>
      </c>
      <c r="BD644">
        <f>IF(AND($G644=TRUE,$E644="GKP"),AZ644,"")</f>
        <v/>
      </c>
      <c r="BE644">
        <f>IF(AND($G644=TRUE,$E644="DEF"),AZ644,"")</f>
        <v/>
      </c>
      <c r="BF644">
        <f>IF(AND($G644=TRUE,$E644="MID"),AZ644,"")</f>
        <v/>
      </c>
      <c r="BG644">
        <f>IF(AND($G644=TRUE,$E644="FWD"),AZ644,"")</f>
        <v/>
      </c>
      <c r="BH644" t="n">
        <v>0</v>
      </c>
      <c r="BI644" t="n">
        <v>0</v>
      </c>
      <c r="BJ644" t="n">
        <v>0</v>
      </c>
      <c r="BK644" t="n">
        <v>0</v>
      </c>
    </row>
    <row r="645">
      <c r="A645" t="inlineStr">
        <is>
          <t>Charlie Hughes</t>
        </is>
      </c>
      <c r="B645" t="inlineStr">
        <is>
          <t>HUL</t>
        </is>
      </c>
      <c r="D645" t="b">
        <v>0</v>
      </c>
      <c r="E645" t="inlineStr">
        <is>
          <t>DEF</t>
        </is>
      </c>
      <c r="G645" t="b">
        <v>1</v>
      </c>
      <c r="H645" s="2" t="n">
        <v>4</v>
      </c>
      <c r="I645" t="inlineStr">
        <is>
          <t>i</t>
        </is>
      </c>
      <c r="J645" t="inlineStr">
        <is>
          <t>Groin injury - Unknown return date</t>
        </is>
      </c>
      <c r="K645" s="2" t="n"/>
      <c r="M645" s="3" t="n">
        <v>2673</v>
      </c>
      <c r="N645" s="8" t="n">
        <v>2673</v>
      </c>
      <c r="O645" s="8" t="n">
        <v>0</v>
      </c>
      <c r="Q645" t="inlineStr">
        <is>
          <t>ramp-up (injury / late WC return)</t>
        </is>
      </c>
      <c r="R645" s="6" t="n">
        <v>2673</v>
      </c>
      <c r="S645" t="inlineStr">
        <is>
          <t>Solio</t>
        </is>
      </c>
      <c r="U645" s="6" t="n">
        <v>85</v>
      </c>
      <c r="V645" s="2" t="n"/>
      <c r="W645" s="7">
        <f>IF(N(U645)&lt;=0,0,MIN(Assumptions!$B$15,N(R645)/N(U645)))</f>
        <v/>
      </c>
      <c r="X645" s="6" t="n">
        <v>0.143</v>
      </c>
      <c r="Y645" s="3" t="n"/>
      <c r="Z645" t="inlineStr"/>
      <c r="AA645" s="3" t="n">
        <v>1</v>
      </c>
      <c r="AB645" s="3" t="n"/>
      <c r="AC645" s="3" t="n"/>
      <c r="AD645" s="3" t="n"/>
      <c r="AE645" s="3" t="n"/>
      <c r="AF645" s="3" t="n">
        <v>0</v>
      </c>
      <c r="AG645" s="3" t="n"/>
      <c r="AH645" s="3" t="n">
        <v>0</v>
      </c>
      <c r="AI645" s="3" t="n"/>
      <c r="AJ645" s="3" t="n">
        <v>3.9421</v>
      </c>
      <c r="AK645" s="3" t="n">
        <v>1.99</v>
      </c>
      <c r="AL645" s="3" t="n">
        <v>-0.2045226422080557</v>
      </c>
      <c r="AM645" s="6" t="n">
        <v>0</v>
      </c>
      <c r="AN645" s="3" t="n">
        <v>0</v>
      </c>
      <c r="AO645" s="3" t="n">
        <v>0</v>
      </c>
      <c r="AP645" s="3" t="n">
        <v>0</v>
      </c>
      <c r="AQ645" s="3">
        <f>N(X645)*N(BJ645)</f>
        <v/>
      </c>
      <c r="AR645" s="3" t="n">
        <v>0</v>
      </c>
      <c r="AS645" s="3" t="n">
        <v>-0.7496714098286652</v>
      </c>
      <c r="AT645" s="3" t="n">
        <v>-0.2045226422080557</v>
      </c>
      <c r="AU645" s="3">
        <f>SUM(AO645:AT645)</f>
        <v/>
      </c>
      <c r="AV645" s="7">
        <f>IF(OR(N(W645)&lt;=0,N(BH645)=0),0,N(W645)*IF(N(R645)/N(W645)&gt;=60,N(BH645),1))</f>
        <v/>
      </c>
      <c r="AW645" s="7">
        <f>N(W645)*N(AF645)*N(BI645)</f>
        <v/>
      </c>
      <c r="AX645" s="3">
        <f>IF(N(BH645)=0,0,N(W645)*N(AH645))</f>
        <v/>
      </c>
      <c r="AY645" s="7">
        <f>N(AM645)*(Assumptions!$B$13*N(BK645)-(1-Assumptions!$B$13)*Assumptions!$B$14)+N(AN645)</f>
        <v/>
      </c>
      <c r="AZ645" s="7">
        <f>N(AU645)*N(R645)/90+N(AV645)+N(AW645)+N(AX645)+N(AY645)</f>
        <v/>
      </c>
      <c r="BA645" s="3">
        <f>IF(N(R645)&lt;=0,0,(N(AZ645)-N(AY645))*90/N(R645))</f>
        <v/>
      </c>
      <c r="BB645" s="7">
        <f>IFERROR(AZ645-VLOOKUP($E645,Assumptions!$A$40:$C$43,3,FALSE),"")</f>
        <v/>
      </c>
      <c r="BC645" s="3">
        <f>IFERROR(BB645/H645,"")</f>
        <v/>
      </c>
      <c r="BD645">
        <f>IF(AND($G645=TRUE,$E645="GKP"),AZ645,"")</f>
        <v/>
      </c>
      <c r="BE645">
        <f>IF(AND($G645=TRUE,$E645="DEF"),AZ645,"")</f>
        <v/>
      </c>
      <c r="BF645">
        <f>IF(AND($G645=TRUE,$E645="MID"),AZ645,"")</f>
        <v/>
      </c>
      <c r="BG645">
        <f>IF(AND($G645=TRUE,$E645="FWD"),AZ645,"")</f>
        <v/>
      </c>
      <c r="BH645" t="n">
        <v>2</v>
      </c>
      <c r="BI645" t="n">
        <v>2</v>
      </c>
      <c r="BJ645" t="n">
        <v>4</v>
      </c>
      <c r="BK645" t="n">
        <v>6</v>
      </c>
    </row>
    <row r="646">
      <c r="A646" t="inlineStr">
        <is>
          <t>Emmanuel Emegha</t>
        </is>
      </c>
      <c r="B646" t="inlineStr">
        <is>
          <t>CHE</t>
        </is>
      </c>
      <c r="D646" t="b">
        <v>0</v>
      </c>
      <c r="E646" t="inlineStr">
        <is>
          <t>FWD</t>
        </is>
      </c>
      <c r="G646" t="b">
        <v>1</v>
      </c>
      <c r="H646" s="2" t="n">
        <v>5</v>
      </c>
      <c r="I646" t="inlineStr">
        <is>
          <t>d</t>
        </is>
      </c>
      <c r="J646" t="inlineStr">
        <is>
          <t>Hamstring injury - 75% chance of playing</t>
        </is>
      </c>
      <c r="K646" s="2" t="n"/>
      <c r="M646" s="3" t="n">
        <v>0</v>
      </c>
      <c r="N646" s="8" t="n">
        <v>0</v>
      </c>
      <c r="O646" s="8" t="n">
        <v>0</v>
      </c>
      <c r="Q646" t="inlineStr">
        <is>
          <t>flat</t>
        </is>
      </c>
      <c r="R646" s="6" t="n">
        <v>0</v>
      </c>
      <c r="S646" t="inlineStr">
        <is>
          <t>Solio</t>
        </is>
      </c>
      <c r="U646" s="6" t="n">
        <v>85</v>
      </c>
      <c r="V646" s="2" t="n"/>
      <c r="W646" s="7">
        <f>IF(N(U646)&lt;=0,0,MIN(Assumptions!$B$15,N(R646)/N(U646)))</f>
        <v/>
      </c>
      <c r="X646" s="6" t="n">
        <v>0.322</v>
      </c>
      <c r="Y646" s="3" t="n"/>
      <c r="Z646" t="inlineStr"/>
      <c r="AA646" s="3" t="n">
        <v>1</v>
      </c>
      <c r="AB646" s="3" t="n"/>
      <c r="AC646" s="3" t="n"/>
      <c r="AD646" s="3" t="n"/>
      <c r="AE646" s="3" t="n"/>
      <c r="AF646" s="3" t="n">
        <v>0</v>
      </c>
      <c r="AG646" s="3" t="n"/>
      <c r="AH646" s="3" t="n">
        <v>0</v>
      </c>
      <c r="AI646" s="3" t="n"/>
      <c r="AJ646" s="3" t="n">
        <v>2.4232</v>
      </c>
      <c r="AK646" s="3" t="n">
        <v>1.1851</v>
      </c>
      <c r="AL646" s="3" t="n">
        <v>-0.174691292596322</v>
      </c>
      <c r="AM646" s="6" t="n">
        <v>0</v>
      </c>
      <c r="AN646" s="3" t="n">
        <v>0</v>
      </c>
      <c r="AO646" s="3" t="n">
        <v>0</v>
      </c>
      <c r="AP646" s="3" t="n">
        <v>0</v>
      </c>
      <c r="AQ646" s="3">
        <f>N(X646)*N(BJ646)</f>
        <v/>
      </c>
      <c r="AR646" s="3" t="n">
        <v>0</v>
      </c>
      <c r="AS646" s="3" t="n">
        <v>-0</v>
      </c>
      <c r="AT646" s="3" t="n">
        <v>-0.174691292596322</v>
      </c>
      <c r="AU646" s="3">
        <f>SUM(AO646:AT646)</f>
        <v/>
      </c>
      <c r="AV646" s="7">
        <f>IF(OR(N(W646)&lt;=0,N(BH646)=0),0,N(W646)*IF(N(R646)/N(W646)&gt;=60,N(BH646),1))</f>
        <v/>
      </c>
      <c r="AW646" s="7">
        <f>N(W646)*N(AF646)*N(BI646)</f>
        <v/>
      </c>
      <c r="AX646" s="3">
        <f>IF(N(BH646)=0,0,N(W646)*N(AH646))</f>
        <v/>
      </c>
      <c r="AY646" s="7">
        <f>N(AM646)*(Assumptions!$B$13*N(BK646)-(1-Assumptions!$B$13)*Assumptions!$B$14)+N(AN646)</f>
        <v/>
      </c>
      <c r="AZ646" s="7">
        <f>N(AU646)*N(R646)/90+N(AV646)+N(AW646)+N(AX646)+N(AY646)</f>
        <v/>
      </c>
      <c r="BA646" s="3">
        <f>IF(N(R646)&lt;=0,0,(N(AZ646)-N(AY646))*90/N(R646))</f>
        <v/>
      </c>
      <c r="BB646" s="7">
        <f>IFERROR(AZ646-VLOOKUP($E646,Assumptions!$A$40:$C$43,3,FALSE),"")</f>
        <v/>
      </c>
      <c r="BC646" s="3">
        <f>IFERROR(BB646/H646,"")</f>
        <v/>
      </c>
      <c r="BD646">
        <f>IF(AND($G646=TRUE,$E646="GKP"),AZ646,"")</f>
        <v/>
      </c>
      <c r="BE646">
        <f>IF(AND($G646=TRUE,$E646="DEF"),AZ646,"")</f>
        <v/>
      </c>
      <c r="BF646">
        <f>IF(AND($G646=TRUE,$E646="MID"),AZ646,"")</f>
        <v/>
      </c>
      <c r="BG646">
        <f>IF(AND($G646=TRUE,$E646="FWD"),AZ646,"")</f>
        <v/>
      </c>
      <c r="BH646" t="n">
        <v>2</v>
      </c>
      <c r="BI646" t="n">
        <v>2</v>
      </c>
      <c r="BJ646" t="n">
        <v>0</v>
      </c>
      <c r="BK646" t="n">
        <v>4</v>
      </c>
    </row>
    <row r="647">
      <c r="A647" t="inlineStr">
        <is>
          <t>Lesley Ugochukwu</t>
        </is>
      </c>
      <c r="C647" t="inlineStr">
        <is>
          <t>BUR</t>
        </is>
      </c>
      <c r="D647" t="b">
        <v>0</v>
      </c>
      <c r="F647" t="inlineStr">
        <is>
          <t>MID</t>
        </is>
      </c>
      <c r="G647" t="b">
        <v>0</v>
      </c>
      <c r="H647" s="2" t="n"/>
      <c r="K647" s="2" t="n">
        <v>2350</v>
      </c>
      <c r="M647" s="3" t="n"/>
      <c r="N647" s="8" t="n">
        <v>2350</v>
      </c>
      <c r="O647" s="8" t="n">
        <v>0</v>
      </c>
      <c r="R647" s="6" t="n">
        <v>2350</v>
      </c>
      <c r="S647" t="inlineStr">
        <is>
          <t>25/26 actual</t>
        </is>
      </c>
      <c r="U647" s="6" t="n">
        <v>78.40000000000001</v>
      </c>
      <c r="V647" s="2" t="n">
        <v>26</v>
      </c>
      <c r="W647" s="7">
        <f>IF(N(U647)&lt;=0,0,MIN(Assumptions!$B$15,N(R647)/N(U647)))</f>
        <v/>
      </c>
      <c r="X647" s="6" t="n"/>
      <c r="Y647" s="3" t="n">
        <v>0.0936</v>
      </c>
      <c r="Z647" t="inlineStr">
        <is>
          <t>adjusted xGOT</t>
        </is>
      </c>
      <c r="AA647" s="3" t="n">
        <v>1</v>
      </c>
      <c r="AB647" s="3" t="n">
        <v>0.978</v>
      </c>
      <c r="AC647" s="3" t="n">
        <v>3.4</v>
      </c>
      <c r="AD647" s="3" t="n">
        <v>0.0172</v>
      </c>
      <c r="AE647" s="3" t="n">
        <v>8.339</v>
      </c>
      <c r="AF647" s="3" t="n">
        <v>0</v>
      </c>
      <c r="AG647" s="3" t="n">
        <v>5.14</v>
      </c>
      <c r="AH647" s="3" t="n">
        <v>0</v>
      </c>
      <c r="AI647" s="3" t="n">
        <v>61</v>
      </c>
      <c r="AJ647" s="3" t="n"/>
      <c r="AK647" s="3" t="n"/>
      <c r="AL647" s="3" t="n"/>
      <c r="AM647" s="6" t="n">
        <v>0</v>
      </c>
      <c r="AN647" s="3" t="n">
        <v>0</v>
      </c>
      <c r="AO647" s="3" t="n">
        <v>0</v>
      </c>
      <c r="AP647" s="3" t="n">
        <v>0</v>
      </c>
      <c r="AQ647" s="3">
        <f>N(X647)*N(BJ647)</f>
        <v/>
      </c>
      <c r="AR647" s="3" t="n">
        <v>0</v>
      </c>
      <c r="AS647" s="3" t="n">
        <v>0</v>
      </c>
      <c r="AT647" s="3" t="n">
        <v>0</v>
      </c>
      <c r="AU647" s="3">
        <f>SUM(AO647:AT647)</f>
        <v/>
      </c>
      <c r="AV647" s="7">
        <f>IF(OR(N(W647)&lt;=0,N(BH647)=0),0,N(W647)*IF(N(R647)/N(W647)&gt;=60,N(BH647),1))</f>
        <v/>
      </c>
      <c r="AW647" s="7">
        <f>N(W647)*N(AF647)*N(BI647)</f>
        <v/>
      </c>
      <c r="AX647" s="3">
        <f>IF(N(BH647)=0,0,N(W647)*N(AH647))</f>
        <v/>
      </c>
      <c r="AY647" s="7">
        <f>N(AM647)*(Assumptions!$B$13*N(BK647)-(1-Assumptions!$B$13)*Assumptions!$B$14)+N(AN647)</f>
        <v/>
      </c>
      <c r="AZ647" s="7">
        <f>N(AU647)*N(R647)/90+N(AV647)+N(AW647)+N(AX647)+N(AY647)</f>
        <v/>
      </c>
      <c r="BA647" s="3">
        <f>IF(N(R647)&lt;=0,0,(N(AZ647)-N(AY647))*90/N(R647))</f>
        <v/>
      </c>
      <c r="BB647" s="7">
        <f>IFERROR(AZ647-VLOOKUP($E647,Assumptions!$A$40:$C$43,3,FALSE),"")</f>
        <v/>
      </c>
      <c r="BC647" s="3">
        <f>IFERROR(BB647/H647,"")</f>
        <v/>
      </c>
      <c r="BD647">
        <f>IF(AND($G647=TRUE,$E647="GKP"),AZ647,"")</f>
        <v/>
      </c>
      <c r="BE647">
        <f>IF(AND($G647=TRUE,$E647="DEF"),AZ647,"")</f>
        <v/>
      </c>
      <c r="BF647">
        <f>IF(AND($G647=TRUE,$E647="MID"),AZ647,"")</f>
        <v/>
      </c>
      <c r="BG647">
        <f>IF(AND($G647=TRUE,$E647="FWD"),AZ647,"")</f>
        <v/>
      </c>
      <c r="BH647" t="n">
        <v>0</v>
      </c>
      <c r="BI647" t="n">
        <v>0</v>
      </c>
      <c r="BJ647" t="n">
        <v>0</v>
      </c>
      <c r="BK647" t="n">
        <v>0</v>
      </c>
    </row>
    <row r="648">
      <c r="A648" t="inlineStr">
        <is>
          <t>André</t>
        </is>
      </c>
      <c r="C648" t="inlineStr">
        <is>
          <t>WOL</t>
        </is>
      </c>
      <c r="D648" t="b">
        <v>0</v>
      </c>
      <c r="F648" t="inlineStr">
        <is>
          <t>MID</t>
        </is>
      </c>
      <c r="G648" t="b">
        <v>0</v>
      </c>
      <c r="H648" s="2" t="n"/>
      <c r="K648" s="2" t="n">
        <v>2766</v>
      </c>
      <c r="M648" s="3" t="n"/>
      <c r="N648" s="8" t="n">
        <v>2766</v>
      </c>
      <c r="O648" s="8" t="n">
        <v>0</v>
      </c>
      <c r="R648" s="6" t="n">
        <v>2766</v>
      </c>
      <c r="S648" t="inlineStr">
        <is>
          <t>25/26 actual</t>
        </is>
      </c>
      <c r="U648" s="6" t="n">
        <v>84.8</v>
      </c>
      <c r="V648" s="2" t="n">
        <v>30</v>
      </c>
      <c r="W648" s="7">
        <f>IF(N(U648)&lt;=0,0,MIN(Assumptions!$B$15,N(R648)/N(U648)))</f>
        <v/>
      </c>
      <c r="X648" s="6" t="n"/>
      <c r="Y648" s="3" t="n">
        <v>0.0154</v>
      </c>
      <c r="Z648" t="inlineStr">
        <is>
          <t>adjusted xGOT</t>
        </is>
      </c>
      <c r="AA648" s="3" t="n">
        <v>1</v>
      </c>
      <c r="AB648" s="3" t="n">
        <v>0.907</v>
      </c>
      <c r="AC648" s="3" t="n">
        <v>0.9</v>
      </c>
      <c r="AD648" s="3" t="n">
        <v>0.0406</v>
      </c>
      <c r="AE648" s="3" t="n">
        <v>11.68</v>
      </c>
      <c r="AF648" s="3" t="n">
        <v>0</v>
      </c>
      <c r="AG648" s="3" t="n">
        <v>9.122999999999999</v>
      </c>
      <c r="AH648" s="3" t="n">
        <v>0</v>
      </c>
      <c r="AI648" s="3" t="n">
        <v>65</v>
      </c>
      <c r="AJ648" s="3" t="n"/>
      <c r="AK648" s="3" t="n"/>
      <c r="AL648" s="3" t="n"/>
      <c r="AM648" s="6" t="n">
        <v>0</v>
      </c>
      <c r="AN648" s="3" t="n">
        <v>0</v>
      </c>
      <c r="AO648" s="3" t="n">
        <v>0</v>
      </c>
      <c r="AP648" s="3" t="n">
        <v>0</v>
      </c>
      <c r="AQ648" s="3">
        <f>N(X648)*N(BJ648)</f>
        <v/>
      </c>
      <c r="AR648" s="3" t="n">
        <v>0</v>
      </c>
      <c r="AS648" s="3" t="n">
        <v>0</v>
      </c>
      <c r="AT648" s="3" t="n">
        <v>0</v>
      </c>
      <c r="AU648" s="3">
        <f>SUM(AO648:AT648)</f>
        <v/>
      </c>
      <c r="AV648" s="7">
        <f>IF(OR(N(W648)&lt;=0,N(BH648)=0),0,N(W648)*IF(N(R648)/N(W648)&gt;=60,N(BH648),1))</f>
        <v/>
      </c>
      <c r="AW648" s="7">
        <f>N(W648)*N(AF648)*N(BI648)</f>
        <v/>
      </c>
      <c r="AX648" s="3">
        <f>IF(N(BH648)=0,0,N(W648)*N(AH648))</f>
        <v/>
      </c>
      <c r="AY648" s="7">
        <f>N(AM648)*(Assumptions!$B$13*N(BK648)-(1-Assumptions!$B$13)*Assumptions!$B$14)+N(AN648)</f>
        <v/>
      </c>
      <c r="AZ648" s="7">
        <f>N(AU648)*N(R648)/90+N(AV648)+N(AW648)+N(AX648)+N(AY648)</f>
        <v/>
      </c>
      <c r="BA648" s="3">
        <f>IF(N(R648)&lt;=0,0,(N(AZ648)-N(AY648))*90/N(R648))</f>
        <v/>
      </c>
      <c r="BB648" s="7">
        <f>IFERROR(AZ648-VLOOKUP($E648,Assumptions!$A$40:$C$43,3,FALSE),"")</f>
        <v/>
      </c>
      <c r="BC648" s="3">
        <f>IFERROR(BB648/H648,"")</f>
        <v/>
      </c>
      <c r="BD648">
        <f>IF(AND($G648=TRUE,$E648="GKP"),AZ648,"")</f>
        <v/>
      </c>
      <c r="BE648">
        <f>IF(AND($G648=TRUE,$E648="DEF"),AZ648,"")</f>
        <v/>
      </c>
      <c r="BF648">
        <f>IF(AND($G648=TRUE,$E648="MID"),AZ648,"")</f>
        <v/>
      </c>
      <c r="BG648">
        <f>IF(AND($G648=TRUE,$E648="FWD"),AZ648,"")</f>
        <v/>
      </c>
      <c r="BH648" t="n">
        <v>0</v>
      </c>
      <c r="BI648" t="n">
        <v>0</v>
      </c>
      <c r="BJ648" t="n">
        <v>0</v>
      </c>
      <c r="BK648" t="n">
        <v>0</v>
      </c>
    </row>
    <row r="649">
      <c r="A649" t="inlineStr">
        <is>
          <t>Toti Gomes</t>
        </is>
      </c>
      <c r="C649" t="inlineStr">
        <is>
          <t>WOL</t>
        </is>
      </c>
      <c r="D649" t="b">
        <v>0</v>
      </c>
      <c r="F649" t="inlineStr">
        <is>
          <t>DEF</t>
        </is>
      </c>
      <c r="G649" t="b">
        <v>0</v>
      </c>
      <c r="H649" s="2" t="n"/>
      <c r="K649" s="2" t="n">
        <v>1427</v>
      </c>
      <c r="M649" s="3" t="n"/>
      <c r="N649" s="8" t="n">
        <v>1427</v>
      </c>
      <c r="O649" s="8" t="n">
        <v>0</v>
      </c>
      <c r="R649" s="6" t="n">
        <v>1427</v>
      </c>
      <c r="S649" t="inlineStr">
        <is>
          <t>25/26 actual</t>
        </is>
      </c>
      <c r="U649" s="6" t="n">
        <v>84.8</v>
      </c>
      <c r="V649" s="2" t="n">
        <v>16</v>
      </c>
      <c r="W649" s="7">
        <f>IF(N(U649)&lt;=0,0,MIN(Assumptions!$B$15,N(R649)/N(U649)))</f>
        <v/>
      </c>
      <c r="X649" s="6" t="n"/>
      <c r="Y649" s="3" t="n">
        <v>0.0307</v>
      </c>
      <c r="Z649" t="inlineStr">
        <is>
          <t>adjusted xGOT</t>
        </is>
      </c>
      <c r="AA649" s="3" t="n">
        <v>1</v>
      </c>
      <c r="AB649" s="3" t="n">
        <v>0.917</v>
      </c>
      <c r="AC649" s="3" t="n">
        <v>3.2</v>
      </c>
      <c r="AD649" s="3" t="n">
        <v>0.01</v>
      </c>
      <c r="AE649" s="3" t="n">
        <v>8.587999999999999</v>
      </c>
      <c r="AF649" s="3" t="n">
        <v>0</v>
      </c>
      <c r="AG649" s="3" t="n">
        <v>9.048999999999999</v>
      </c>
      <c r="AH649" s="3" t="n">
        <v>0</v>
      </c>
      <c r="AI649" s="3" t="n">
        <v>34</v>
      </c>
      <c r="AJ649" s="3" t="n"/>
      <c r="AK649" s="3" t="n"/>
      <c r="AL649" s="3" t="n"/>
      <c r="AM649" s="6" t="n">
        <v>0</v>
      </c>
      <c r="AN649" s="3" t="n">
        <v>0</v>
      </c>
      <c r="AO649" s="3" t="n">
        <v>0</v>
      </c>
      <c r="AP649" s="3" t="n">
        <v>0</v>
      </c>
      <c r="AQ649" s="3">
        <f>N(X649)*N(BJ649)</f>
        <v/>
      </c>
      <c r="AR649" s="3" t="n">
        <v>0</v>
      </c>
      <c r="AS649" s="3" t="n">
        <v>0</v>
      </c>
      <c r="AT649" s="3" t="n">
        <v>0</v>
      </c>
      <c r="AU649" s="3">
        <f>SUM(AO649:AT649)</f>
        <v/>
      </c>
      <c r="AV649" s="7">
        <f>IF(OR(N(W649)&lt;=0,N(BH649)=0),0,N(W649)*IF(N(R649)/N(W649)&gt;=60,N(BH649),1))</f>
        <v/>
      </c>
      <c r="AW649" s="7">
        <f>N(W649)*N(AF649)*N(BI649)</f>
        <v/>
      </c>
      <c r="AX649" s="3">
        <f>IF(N(BH649)=0,0,N(W649)*N(AH649))</f>
        <v/>
      </c>
      <c r="AY649" s="7">
        <f>N(AM649)*(Assumptions!$B$13*N(BK649)-(1-Assumptions!$B$13)*Assumptions!$B$14)+N(AN649)</f>
        <v/>
      </c>
      <c r="AZ649" s="7">
        <f>N(AU649)*N(R649)/90+N(AV649)+N(AW649)+N(AX649)+N(AY649)</f>
        <v/>
      </c>
      <c r="BA649" s="3">
        <f>IF(N(R649)&lt;=0,0,(N(AZ649)-N(AY649))*90/N(R649))</f>
        <v/>
      </c>
      <c r="BB649" s="7">
        <f>IFERROR(AZ649-VLOOKUP($E649,Assumptions!$A$40:$C$43,3,FALSE),"")</f>
        <v/>
      </c>
      <c r="BC649" s="3">
        <f>IFERROR(BB649/H649,"")</f>
        <v/>
      </c>
      <c r="BD649">
        <f>IF(AND($G649=TRUE,$E649="GKP"),AZ649,"")</f>
        <v/>
      </c>
      <c r="BE649">
        <f>IF(AND($G649=TRUE,$E649="DEF"),AZ649,"")</f>
        <v/>
      </c>
      <c r="BF649">
        <f>IF(AND($G649=TRUE,$E649="MID"),AZ649,"")</f>
        <v/>
      </c>
      <c r="BG649">
        <f>IF(AND($G649=TRUE,$E649="FWD"),AZ649,"")</f>
        <v/>
      </c>
      <c r="BH649" t="n">
        <v>0</v>
      </c>
      <c r="BI649" t="n">
        <v>0</v>
      </c>
      <c r="BJ649" t="n">
        <v>0</v>
      </c>
      <c r="BK649" t="n">
        <v>0</v>
      </c>
    </row>
    <row r="650">
      <c r="A650" t="inlineStr">
        <is>
          <t>Jota Silva</t>
        </is>
      </c>
      <c r="C650" t="inlineStr">
        <is>
          <t>NFO</t>
        </is>
      </c>
      <c r="D650" t="b">
        <v>0</v>
      </c>
      <c r="F650" t="inlineStr">
        <is>
          <t>MID</t>
        </is>
      </c>
      <c r="G650" t="b">
        <v>0</v>
      </c>
      <c r="H650" s="2" t="n"/>
      <c r="K650" s="2" t="n">
        <v>11</v>
      </c>
      <c r="M650" s="3" t="n"/>
      <c r="N650" s="8" t="n">
        <v>11</v>
      </c>
      <c r="O650" s="8" t="n">
        <v>0</v>
      </c>
      <c r="R650" s="6" t="n">
        <v>11</v>
      </c>
      <c r="S650" t="inlineStr">
        <is>
          <t>25/26 actual</t>
        </is>
      </c>
      <c r="U650" s="6" t="n">
        <v>80.09999999999999</v>
      </c>
      <c r="V650" s="2" t="n">
        <v>0</v>
      </c>
      <c r="W650" s="7">
        <f>IF(N(U650)&lt;=0,0,MIN(Assumptions!$B$15,N(R650)/N(U650)))</f>
        <v/>
      </c>
      <c r="X650" s="6" t="n"/>
      <c r="Y650" s="3" t="n">
        <v>0</v>
      </c>
      <c r="Z650" t="inlineStr">
        <is>
          <t>adjusted xGOT</t>
        </is>
      </c>
      <c r="AA650" s="3" t="n">
        <v>1</v>
      </c>
      <c r="AB650" s="3" t="n">
        <v>0.987</v>
      </c>
      <c r="AC650" s="3" t="n">
        <v>2.1</v>
      </c>
      <c r="AD650" s="3" t="n">
        <v>0</v>
      </c>
      <c r="AE650" s="3" t="n">
        <v>8.817</v>
      </c>
      <c r="AF650" s="3" t="n">
        <v>0</v>
      </c>
      <c r="AG650" s="3" t="n">
        <v>7.23</v>
      </c>
      <c r="AH650" s="3" t="n">
        <v>0</v>
      </c>
      <c r="AI650" s="3" t="n">
        <v>1</v>
      </c>
      <c r="AJ650" s="3" t="n"/>
      <c r="AK650" s="3" t="n"/>
      <c r="AL650" s="3" t="n"/>
      <c r="AM650" s="6" t="n">
        <v>0</v>
      </c>
      <c r="AN650" s="3" t="n">
        <v>0</v>
      </c>
      <c r="AO650" s="3" t="n">
        <v>0</v>
      </c>
      <c r="AP650" s="3" t="n">
        <v>0</v>
      </c>
      <c r="AQ650" s="3">
        <f>N(X650)*N(BJ650)</f>
        <v/>
      </c>
      <c r="AR650" s="3" t="n">
        <v>0</v>
      </c>
      <c r="AS650" s="3" t="n">
        <v>0</v>
      </c>
      <c r="AT650" s="3" t="n">
        <v>0</v>
      </c>
      <c r="AU650" s="3">
        <f>SUM(AO650:AT650)</f>
        <v/>
      </c>
      <c r="AV650" s="7">
        <f>IF(OR(N(W650)&lt;=0,N(BH650)=0),0,N(W650)*IF(N(R650)/N(W650)&gt;=60,N(BH650),1))</f>
        <v/>
      </c>
      <c r="AW650" s="7">
        <f>N(W650)*N(AF650)*N(BI650)</f>
        <v/>
      </c>
      <c r="AX650" s="3">
        <f>IF(N(BH650)=0,0,N(W650)*N(AH650))</f>
        <v/>
      </c>
      <c r="AY650" s="7">
        <f>N(AM650)*(Assumptions!$B$13*N(BK650)-(1-Assumptions!$B$13)*Assumptions!$B$14)+N(AN650)</f>
        <v/>
      </c>
      <c r="AZ650" s="7">
        <f>N(AU650)*N(R650)/90+N(AV650)+N(AW650)+N(AX650)+N(AY650)</f>
        <v/>
      </c>
      <c r="BA650" s="3">
        <f>IF(N(R650)&lt;=0,0,(N(AZ650)-N(AY650))*90/N(R650))</f>
        <v/>
      </c>
      <c r="BB650" s="7">
        <f>IFERROR(AZ650-VLOOKUP($E650,Assumptions!$A$40:$C$43,3,FALSE),"")</f>
        <v/>
      </c>
      <c r="BC650" s="3">
        <f>IFERROR(BB650/H650,"")</f>
        <v/>
      </c>
      <c r="BD650">
        <f>IF(AND($G650=TRUE,$E650="GKP"),AZ650,"")</f>
        <v/>
      </c>
      <c r="BE650">
        <f>IF(AND($G650=TRUE,$E650="DEF"),AZ650,"")</f>
        <v/>
      </c>
      <c r="BF650">
        <f>IF(AND($G650=TRUE,$E650="MID"),AZ650,"")</f>
        <v/>
      </c>
      <c r="BG650">
        <f>IF(AND($G650=TRUE,$E650="FWD"),AZ650,"")</f>
        <v/>
      </c>
      <c r="BH650" t="n">
        <v>0</v>
      </c>
      <c r="BI650" t="n">
        <v>0</v>
      </c>
      <c r="BJ650" t="n">
        <v>0</v>
      </c>
      <c r="BK650" t="n">
        <v>0</v>
      </c>
    </row>
    <row r="651">
      <c r="A651" t="inlineStr">
        <is>
          <t>Jannik Schuster</t>
        </is>
      </c>
      <c r="B651" t="inlineStr">
        <is>
          <t>BRE</t>
        </is>
      </c>
      <c r="D651" t="b">
        <v>0</v>
      </c>
      <c r="E651" t="inlineStr">
        <is>
          <t>DEF</t>
        </is>
      </c>
      <c r="G651" t="b">
        <v>1</v>
      </c>
      <c r="H651" s="2" t="n">
        <v>4.5</v>
      </c>
      <c r="I651" t="inlineStr">
        <is>
          <t>a</t>
        </is>
      </c>
      <c r="K651" s="2" t="n"/>
      <c r="M651" s="3" t="n">
        <v>80</v>
      </c>
      <c r="N651" s="4" t="n">
        <v>600</v>
      </c>
      <c r="O651" s="4" t="n">
        <v>520</v>
      </c>
      <c r="P651" s="5" t="inlineStr">
        <is>
          <t>medium</t>
        </is>
      </c>
      <c r="Q651" t="inlineStr">
        <is>
          <t>flat</t>
        </is>
      </c>
      <c r="R651" s="6" t="n">
        <v>600</v>
      </c>
      <c r="S651" t="inlineStr">
        <is>
          <t>research</t>
        </is>
      </c>
      <c r="T651" s="5" t="inlineStr">
        <is>
          <t>Solio gives 80 minutes to a centre-back signed on 1 July for a reported 12m plus 4m in add-ons. He played the full 90 minutes against Rennes and was on the Frankfurt bench, and Transfermarkt's hip-flexor note from 16 May 2026 has evidently cleared - FPL lists him status 'a'. With van den Berg unavailable until roughly mid-October he is the third centre-back behind Collins and Ajer. Still only 20 and adapting from the Austrian league, so this is deputy minutes plus cup-style rotation, not a starting share.</t>
        </is>
      </c>
      <c r="U651" s="6" t="n">
        <v>85</v>
      </c>
      <c r="V651" s="2" t="n"/>
      <c r="W651" s="7">
        <f>IF(N(U651)&lt;=0,0,MIN(Assumptions!$B$15,N(R651)/N(U651)))</f>
        <v/>
      </c>
      <c r="X651" s="6" t="n">
        <v>0.228</v>
      </c>
      <c r="Y651" s="3" t="n"/>
      <c r="Z651" t="inlineStr"/>
      <c r="AA651" s="3" t="n">
        <v>1</v>
      </c>
      <c r="AB651" s="3" t="n"/>
      <c r="AC651" s="3" t="n"/>
      <c r="AD651" s="3" t="n"/>
      <c r="AE651" s="3" t="n"/>
      <c r="AF651" s="3" t="n">
        <v>0</v>
      </c>
      <c r="AG651" s="3" t="n"/>
      <c r="AH651" s="3" t="n">
        <v>0</v>
      </c>
      <c r="AI651" s="3" t="n"/>
      <c r="AJ651" s="3" t="n">
        <v>3.2371</v>
      </c>
      <c r="AK651" s="3" t="n">
        <v>1.5396</v>
      </c>
      <c r="AL651" s="3" t="n">
        <v>-0.2045226422080557</v>
      </c>
      <c r="AM651" s="6" t="n">
        <v>0</v>
      </c>
      <c r="AN651" s="3" t="n">
        <v>0</v>
      </c>
      <c r="AO651" s="3" t="n">
        <v>0</v>
      </c>
      <c r="AP651" s="3" t="n">
        <v>0</v>
      </c>
      <c r="AQ651" s="3">
        <f>N(X651)*N(BJ651)</f>
        <v/>
      </c>
      <c r="AR651" s="3" t="n">
        <v>0</v>
      </c>
      <c r="AS651" s="3" t="n">
        <v>-0.5312990096912251</v>
      </c>
      <c r="AT651" s="3" t="n">
        <v>-0.2045226422080557</v>
      </c>
      <c r="AU651" s="3">
        <f>SUM(AO651:AT651)</f>
        <v/>
      </c>
      <c r="AV651" s="7">
        <f>IF(OR(N(W651)&lt;=0,N(BH651)=0),0,N(W651)*IF(N(R651)/N(W651)&gt;=60,N(BH651),1))</f>
        <v/>
      </c>
      <c r="AW651" s="7">
        <f>N(W651)*N(AF651)*N(BI651)</f>
        <v/>
      </c>
      <c r="AX651" s="3">
        <f>IF(N(BH651)=0,0,N(W651)*N(AH651))</f>
        <v/>
      </c>
      <c r="AY651" s="7">
        <f>N(AM651)*(Assumptions!$B$13*N(BK651)-(1-Assumptions!$B$13)*Assumptions!$B$14)+N(AN651)</f>
        <v/>
      </c>
      <c r="AZ651" s="7">
        <f>N(AU651)*N(R651)/90+N(AV651)+N(AW651)+N(AX651)+N(AY651)</f>
        <v/>
      </c>
      <c r="BA651" s="3">
        <f>IF(N(R651)&lt;=0,0,(N(AZ651)-N(AY651))*90/N(R651))</f>
        <v/>
      </c>
      <c r="BB651" s="7">
        <f>IFERROR(AZ651-VLOOKUP($E651,Assumptions!$A$40:$C$43,3,FALSE),"")</f>
        <v/>
      </c>
      <c r="BC651" s="3">
        <f>IFERROR(BB651/H651,"")</f>
        <v/>
      </c>
      <c r="BD651">
        <f>IF(AND($G651=TRUE,$E651="GKP"),AZ651,"")</f>
        <v/>
      </c>
      <c r="BE651">
        <f>IF(AND($G651=TRUE,$E651="DEF"),AZ651,"")</f>
        <v/>
      </c>
      <c r="BF651">
        <f>IF(AND($G651=TRUE,$E651="MID"),AZ651,"")</f>
        <v/>
      </c>
      <c r="BG651">
        <f>IF(AND($G651=TRUE,$E651="FWD"),AZ651,"")</f>
        <v/>
      </c>
      <c r="BH651" t="n">
        <v>2</v>
      </c>
      <c r="BI651" t="n">
        <v>2</v>
      </c>
      <c r="BJ651" t="n">
        <v>4</v>
      </c>
      <c r="BK651" t="n">
        <v>6</v>
      </c>
    </row>
    <row r="652">
      <c r="A652" t="inlineStr">
        <is>
          <t>Brajan Gruda</t>
        </is>
      </c>
      <c r="C652" t="inlineStr">
        <is>
          <t>BHA</t>
        </is>
      </c>
      <c r="D652" t="b">
        <v>0</v>
      </c>
      <c r="F652" t="inlineStr">
        <is>
          <t>MID</t>
        </is>
      </c>
      <c r="G652" t="b">
        <v>0</v>
      </c>
      <c r="H652" s="2" t="n"/>
      <c r="K652" s="2" t="n">
        <v>715</v>
      </c>
      <c r="M652" s="3" t="n"/>
      <c r="N652" s="8" t="n">
        <v>715</v>
      </c>
      <c r="O652" s="8" t="n">
        <v>0</v>
      </c>
      <c r="R652" s="6" t="n">
        <v>715</v>
      </c>
      <c r="S652" t="inlineStr">
        <is>
          <t>25/26 actual</t>
        </is>
      </c>
      <c r="U652" s="6" t="n">
        <v>75.09999999999999</v>
      </c>
      <c r="V652" s="2" t="n">
        <v>8</v>
      </c>
      <c r="W652" s="7">
        <f>IF(N(U652)&lt;=0,0,MIN(Assumptions!$B$15,N(R652)/N(U652)))</f>
        <v/>
      </c>
      <c r="X652" s="6" t="n"/>
      <c r="Y652" s="3" t="n">
        <v>0.2424</v>
      </c>
      <c r="Z652" t="inlineStr">
        <is>
          <t>adjusted xGOT</t>
        </is>
      </c>
      <c r="AA652" s="3" t="n">
        <v>1</v>
      </c>
      <c r="AB652" s="3" t="n">
        <v>1.035</v>
      </c>
      <c r="AC652" s="3" t="n">
        <v>3</v>
      </c>
      <c r="AD652" s="3" t="n">
        <v>0.153</v>
      </c>
      <c r="AE652" s="3" t="n">
        <v>7.98</v>
      </c>
      <c r="AF652" s="3" t="n">
        <v>0</v>
      </c>
      <c r="AG652" s="3" t="n">
        <v>5.218</v>
      </c>
      <c r="AH652" s="3" t="n">
        <v>0</v>
      </c>
      <c r="AI652" s="3" t="n">
        <v>25</v>
      </c>
      <c r="AJ652" s="3" t="n"/>
      <c r="AK652" s="3" t="n"/>
      <c r="AL652" s="3" t="n"/>
      <c r="AM652" s="6" t="n">
        <v>0</v>
      </c>
      <c r="AN652" s="3" t="n">
        <v>0</v>
      </c>
      <c r="AO652" s="3" t="n">
        <v>0</v>
      </c>
      <c r="AP652" s="3" t="n">
        <v>0</v>
      </c>
      <c r="AQ652" s="3">
        <f>N(X652)*N(BJ652)</f>
        <v/>
      </c>
      <c r="AR652" s="3" t="n">
        <v>0</v>
      </c>
      <c r="AS652" s="3" t="n">
        <v>0</v>
      </c>
      <c r="AT652" s="3" t="n">
        <v>0</v>
      </c>
      <c r="AU652" s="3">
        <f>SUM(AO652:AT652)</f>
        <v/>
      </c>
      <c r="AV652" s="7">
        <f>IF(OR(N(W652)&lt;=0,N(BH652)=0),0,N(W652)*IF(N(R652)/N(W652)&gt;=60,N(BH652),1))</f>
        <v/>
      </c>
      <c r="AW652" s="7">
        <f>N(W652)*N(AF652)*N(BI652)</f>
        <v/>
      </c>
      <c r="AX652" s="3">
        <f>IF(N(BH652)=0,0,N(W652)*N(AH652))</f>
        <v/>
      </c>
      <c r="AY652" s="7">
        <f>N(AM652)*(Assumptions!$B$13*N(BK652)-(1-Assumptions!$B$13)*Assumptions!$B$14)+N(AN652)</f>
        <v/>
      </c>
      <c r="AZ652" s="7">
        <f>N(AU652)*N(R652)/90+N(AV652)+N(AW652)+N(AX652)+N(AY652)</f>
        <v/>
      </c>
      <c r="BA652" s="3">
        <f>IF(N(R652)&lt;=0,0,(N(AZ652)-N(AY652))*90/N(R652))</f>
        <v/>
      </c>
      <c r="BB652" s="7">
        <f>IFERROR(AZ652-VLOOKUP($E652,Assumptions!$A$40:$C$43,3,FALSE),"")</f>
        <v/>
      </c>
      <c r="BC652" s="3">
        <f>IFERROR(BB652/H652,"")</f>
        <v/>
      </c>
      <c r="BD652">
        <f>IF(AND($G652=TRUE,$E652="GKP"),AZ652,"")</f>
        <v/>
      </c>
      <c r="BE652">
        <f>IF(AND($G652=TRUE,$E652="DEF"),AZ652,"")</f>
        <v/>
      </c>
      <c r="BF652">
        <f>IF(AND($G652=TRUE,$E652="MID"),AZ652,"")</f>
        <v/>
      </c>
      <c r="BG652">
        <f>IF(AND($G652=TRUE,$E652="FWD"),AZ652,"")</f>
        <v/>
      </c>
      <c r="BH652" t="n">
        <v>0</v>
      </c>
      <c r="BI652" t="n">
        <v>0</v>
      </c>
      <c r="BJ652" t="n">
        <v>0</v>
      </c>
      <c r="BK652" t="n">
        <v>0</v>
      </c>
    </row>
    <row r="653">
      <c r="A653" t="inlineStr">
        <is>
          <t>Mamadou Sangaré</t>
        </is>
      </c>
      <c r="B653" t="inlineStr">
        <is>
          <t>BRE</t>
        </is>
      </c>
      <c r="D653" t="b">
        <v>0</v>
      </c>
      <c r="E653" t="inlineStr">
        <is>
          <t>MID</t>
        </is>
      </c>
      <c r="G653" t="b">
        <v>1</v>
      </c>
      <c r="H653" s="2" t="n">
        <v>5.5</v>
      </c>
      <c r="I653" t="inlineStr">
        <is>
          <t>a</t>
        </is>
      </c>
      <c r="K653" s="2" t="n"/>
      <c r="M653" s="3" t="n">
        <v>3050</v>
      </c>
      <c r="N653" s="8" t="n">
        <v>3050</v>
      </c>
      <c r="O653" s="8" t="n">
        <v>0</v>
      </c>
      <c r="Q653" t="inlineStr">
        <is>
          <t>flat</t>
        </is>
      </c>
      <c r="R653" s="6" t="n">
        <v>3050</v>
      </c>
      <c r="S653" t="inlineStr">
        <is>
          <t>Solio</t>
        </is>
      </c>
      <c r="U653" s="6" t="n">
        <v>85</v>
      </c>
      <c r="V653" s="2" t="n"/>
      <c r="W653" s="7">
        <f>IF(N(U653)&lt;=0,0,MIN(Assumptions!$B$15,N(R653)/N(U653)))</f>
        <v/>
      </c>
      <c r="X653" s="6" t="n">
        <v>0.228</v>
      </c>
      <c r="Y653" s="3" t="n"/>
      <c r="Z653" t="inlineStr"/>
      <c r="AA653" s="3" t="n">
        <v>1</v>
      </c>
      <c r="AB653" s="3" t="n"/>
      <c r="AC653" s="3" t="n"/>
      <c r="AD653" s="3" t="n"/>
      <c r="AE653" s="3" t="n"/>
      <c r="AF653" s="3" t="n">
        <v>0</v>
      </c>
      <c r="AG653" s="3" t="n"/>
      <c r="AH653" s="3" t="n">
        <v>0</v>
      </c>
      <c r="AI653" s="3" t="n"/>
      <c r="AJ653" s="3" t="n">
        <v>3.2371</v>
      </c>
      <c r="AK653" s="3" t="n">
        <v>1.5396</v>
      </c>
      <c r="AL653" s="3" t="n">
        <v>-0.2160434166173144</v>
      </c>
      <c r="AM653" s="6" t="n">
        <v>0</v>
      </c>
      <c r="AN653" s="3" t="n">
        <v>0</v>
      </c>
      <c r="AO653" s="3" t="n">
        <v>0</v>
      </c>
      <c r="AP653" s="3" t="n">
        <v>0</v>
      </c>
      <c r="AQ653" s="3">
        <f>N(X653)*N(BJ653)</f>
        <v/>
      </c>
      <c r="AR653" s="3" t="n">
        <v>0</v>
      </c>
      <c r="AS653" s="3" t="n">
        <v>-0</v>
      </c>
      <c r="AT653" s="3" t="n">
        <v>-0.2160434166173144</v>
      </c>
      <c r="AU653" s="3">
        <f>SUM(AO653:AT653)</f>
        <v/>
      </c>
      <c r="AV653" s="7">
        <f>IF(OR(N(W653)&lt;=0,N(BH653)=0),0,N(W653)*IF(N(R653)/N(W653)&gt;=60,N(BH653),1))</f>
        <v/>
      </c>
      <c r="AW653" s="7">
        <f>N(W653)*N(AF653)*N(BI653)</f>
        <v/>
      </c>
      <c r="AX653" s="3">
        <f>IF(N(BH653)=0,0,N(W653)*N(AH653))</f>
        <v/>
      </c>
      <c r="AY653" s="7">
        <f>N(AM653)*(Assumptions!$B$13*N(BK653)-(1-Assumptions!$B$13)*Assumptions!$B$14)+N(AN653)</f>
        <v/>
      </c>
      <c r="AZ653" s="7">
        <f>N(AU653)*N(R653)/90+N(AV653)+N(AW653)+N(AX653)+N(AY653)</f>
        <v/>
      </c>
      <c r="BA653" s="3">
        <f>IF(N(R653)&lt;=0,0,(N(AZ653)-N(AY653))*90/N(R653))</f>
        <v/>
      </c>
      <c r="BB653" s="7">
        <f>IFERROR(AZ653-VLOOKUP($E653,Assumptions!$A$40:$C$43,3,FALSE),"")</f>
        <v/>
      </c>
      <c r="BC653" s="3">
        <f>IFERROR(BB653/H653,"")</f>
        <v/>
      </c>
      <c r="BD653">
        <f>IF(AND($G653=TRUE,$E653="GKP"),AZ653,"")</f>
        <v/>
      </c>
      <c r="BE653">
        <f>IF(AND($G653=TRUE,$E653="DEF"),AZ653,"")</f>
        <v/>
      </c>
      <c r="BF653">
        <f>IF(AND($G653=TRUE,$E653="MID"),AZ653,"")</f>
        <v/>
      </c>
      <c r="BG653">
        <f>IF(AND($G653=TRUE,$E653="FWD"),AZ653,"")</f>
        <v/>
      </c>
      <c r="BH653" t="n">
        <v>2</v>
      </c>
      <c r="BI653" t="n">
        <v>2</v>
      </c>
      <c r="BJ653" t="n">
        <v>1</v>
      </c>
      <c r="BK653" t="n">
        <v>5</v>
      </c>
    </row>
    <row r="654">
      <c r="A654" t="inlineStr">
        <is>
          <t>Lewis Koumas</t>
        </is>
      </c>
      <c r="B654" t="inlineStr">
        <is>
          <t>LIV</t>
        </is>
      </c>
      <c r="D654" t="b">
        <v>0</v>
      </c>
      <c r="E654" t="inlineStr">
        <is>
          <t>MID</t>
        </is>
      </c>
      <c r="G654" t="b">
        <v>1</v>
      </c>
      <c r="H654" s="2" t="n">
        <v>5</v>
      </c>
      <c r="I654" t="inlineStr">
        <is>
          <t>a</t>
        </is>
      </c>
      <c r="K654" s="2" t="n"/>
      <c r="M654" s="3" t="n">
        <v>0</v>
      </c>
      <c r="N654" s="8" t="n">
        <v>0</v>
      </c>
      <c r="O654" s="8" t="n">
        <v>0</v>
      </c>
      <c r="Q654" t="inlineStr">
        <is>
          <t>flat</t>
        </is>
      </c>
      <c r="R654" s="6" t="n">
        <v>0</v>
      </c>
      <c r="S654" t="inlineStr">
        <is>
          <t>Solio</t>
        </is>
      </c>
      <c r="U654" s="6" t="n">
        <v>85</v>
      </c>
      <c r="V654" s="2" t="n"/>
      <c r="W654" s="7">
        <f>IF(N(U654)&lt;=0,0,MIN(Assumptions!$B$15,N(R654)/N(U654)))</f>
        <v/>
      </c>
      <c r="X654" s="6" t="n">
        <v>0.342</v>
      </c>
      <c r="Y654" s="3" t="n"/>
      <c r="Z654" t="inlineStr"/>
      <c r="AA654" s="3" t="n">
        <v>1</v>
      </c>
      <c r="AB654" s="3" t="n"/>
      <c r="AC654" s="3" t="n"/>
      <c r="AD654" s="3" t="n"/>
      <c r="AE654" s="3" t="n"/>
      <c r="AF654" s="3" t="n">
        <v>0</v>
      </c>
      <c r="AG654" s="3" t="n"/>
      <c r="AH654" s="3" t="n">
        <v>0</v>
      </c>
      <c r="AI654" s="3" t="n"/>
      <c r="AJ654" s="3" t="n">
        <v>2.409</v>
      </c>
      <c r="AK654" s="3" t="n">
        <v>1.1228</v>
      </c>
      <c r="AL654" s="3" t="n">
        <v>-0.2160434166173144</v>
      </c>
      <c r="AM654" s="6" t="n">
        <v>0</v>
      </c>
      <c r="AN654" s="3" t="n">
        <v>0</v>
      </c>
      <c r="AO654" s="3" t="n">
        <v>0</v>
      </c>
      <c r="AP654" s="3" t="n">
        <v>0</v>
      </c>
      <c r="AQ654" s="3">
        <f>N(X654)*N(BJ654)</f>
        <v/>
      </c>
      <c r="AR654" s="3" t="n">
        <v>0</v>
      </c>
      <c r="AS654" s="3" t="n">
        <v>-0</v>
      </c>
      <c r="AT654" s="3" t="n">
        <v>-0.2160434166173144</v>
      </c>
      <c r="AU654" s="3">
        <f>SUM(AO654:AT654)</f>
        <v/>
      </c>
      <c r="AV654" s="7">
        <f>IF(OR(N(W654)&lt;=0,N(BH654)=0),0,N(W654)*IF(N(R654)/N(W654)&gt;=60,N(BH654),1))</f>
        <v/>
      </c>
      <c r="AW654" s="7">
        <f>N(W654)*N(AF654)*N(BI654)</f>
        <v/>
      </c>
      <c r="AX654" s="3">
        <f>IF(N(BH654)=0,0,N(W654)*N(AH654))</f>
        <v/>
      </c>
      <c r="AY654" s="7">
        <f>N(AM654)*(Assumptions!$B$13*N(BK654)-(1-Assumptions!$B$13)*Assumptions!$B$14)+N(AN654)</f>
        <v/>
      </c>
      <c r="AZ654" s="7">
        <f>N(AU654)*N(R654)/90+N(AV654)+N(AW654)+N(AX654)+N(AY654)</f>
        <v/>
      </c>
      <c r="BA654" s="3">
        <f>IF(N(R654)&lt;=0,0,(N(AZ654)-N(AY654))*90/N(R654))</f>
        <v/>
      </c>
      <c r="BB654" s="7">
        <f>IFERROR(AZ654-VLOOKUP($E654,Assumptions!$A$40:$C$43,3,FALSE),"")</f>
        <v/>
      </c>
      <c r="BC654" s="3">
        <f>IFERROR(BB654/H654,"")</f>
        <v/>
      </c>
      <c r="BD654">
        <f>IF(AND($G654=TRUE,$E654="GKP"),AZ654,"")</f>
        <v/>
      </c>
      <c r="BE654">
        <f>IF(AND($G654=TRUE,$E654="DEF"),AZ654,"")</f>
        <v/>
      </c>
      <c r="BF654">
        <f>IF(AND($G654=TRUE,$E654="MID"),AZ654,"")</f>
        <v/>
      </c>
      <c r="BG654">
        <f>IF(AND($G654=TRUE,$E654="FWD"),AZ654,"")</f>
        <v/>
      </c>
      <c r="BH654" t="n">
        <v>2</v>
      </c>
      <c r="BI654" t="n">
        <v>2</v>
      </c>
      <c r="BJ654" t="n">
        <v>1</v>
      </c>
      <c r="BK654" t="n">
        <v>5</v>
      </c>
    </row>
    <row r="655">
      <c r="A655" t="inlineStr">
        <is>
          <t>Emmanuel Agbadou</t>
        </is>
      </c>
      <c r="C655" t="inlineStr">
        <is>
          <t>WOL</t>
        </is>
      </c>
      <c r="D655" t="b">
        <v>0</v>
      </c>
      <c r="F655" t="inlineStr">
        <is>
          <t>DEF</t>
        </is>
      </c>
      <c r="G655" t="b">
        <v>0</v>
      </c>
      <c r="H655" s="2" t="n"/>
      <c r="K655" s="2" t="n">
        <v>1101</v>
      </c>
      <c r="M655" s="3" t="n"/>
      <c r="N655" s="8" t="n">
        <v>1101</v>
      </c>
      <c r="O655" s="8" t="n">
        <v>0</v>
      </c>
      <c r="R655" s="6" t="n">
        <v>1101</v>
      </c>
      <c r="S655" t="inlineStr">
        <is>
          <t>25/26 actual</t>
        </is>
      </c>
      <c r="U655" s="6" t="n">
        <v>87.90000000000001</v>
      </c>
      <c r="V655" s="2" t="n">
        <v>11</v>
      </c>
      <c r="W655" s="7">
        <f>IF(N(U655)&lt;=0,0,MIN(Assumptions!$B$15,N(R655)/N(U655)))</f>
        <v/>
      </c>
      <c r="X655" s="6" t="n"/>
      <c r="Y655" s="3" t="n">
        <v>0.0468</v>
      </c>
      <c r="Z655" t="inlineStr">
        <is>
          <t>adjusted xGOT</t>
        </is>
      </c>
      <c r="AA655" s="3" t="n">
        <v>1</v>
      </c>
      <c r="AB655" s="3" t="n">
        <v>1.003</v>
      </c>
      <c r="AC655" s="3" t="n">
        <v>1.5</v>
      </c>
      <c r="AD655" s="3" t="n">
        <v>0.014</v>
      </c>
      <c r="AE655" s="3" t="n">
        <v>9.222</v>
      </c>
      <c r="AF655" s="3" t="n">
        <v>0</v>
      </c>
      <c r="AG655" s="3" t="n">
        <v>9.305</v>
      </c>
      <c r="AH655" s="3" t="n">
        <v>0</v>
      </c>
      <c r="AI655" s="3" t="n">
        <v>25</v>
      </c>
      <c r="AJ655" s="3" t="n"/>
      <c r="AK655" s="3" t="n"/>
      <c r="AL655" s="3" t="n"/>
      <c r="AM655" s="6" t="n">
        <v>0</v>
      </c>
      <c r="AN655" s="3" t="n">
        <v>0</v>
      </c>
      <c r="AO655" s="3" t="n">
        <v>0</v>
      </c>
      <c r="AP655" s="3" t="n">
        <v>0</v>
      </c>
      <c r="AQ655" s="3">
        <f>N(X655)*N(BJ655)</f>
        <v/>
      </c>
      <c r="AR655" s="3" t="n">
        <v>0</v>
      </c>
      <c r="AS655" s="3" t="n">
        <v>0</v>
      </c>
      <c r="AT655" s="3" t="n">
        <v>0</v>
      </c>
      <c r="AU655" s="3">
        <f>SUM(AO655:AT655)</f>
        <v/>
      </c>
      <c r="AV655" s="7">
        <f>IF(OR(N(W655)&lt;=0,N(BH655)=0),0,N(W655)*IF(N(R655)/N(W655)&gt;=60,N(BH655),1))</f>
        <v/>
      </c>
      <c r="AW655" s="7">
        <f>N(W655)*N(AF655)*N(BI655)</f>
        <v/>
      </c>
      <c r="AX655" s="3">
        <f>IF(N(BH655)=0,0,N(W655)*N(AH655))</f>
        <v/>
      </c>
      <c r="AY655" s="7">
        <f>N(AM655)*(Assumptions!$B$13*N(BK655)-(1-Assumptions!$B$13)*Assumptions!$B$14)+N(AN655)</f>
        <v/>
      </c>
      <c r="AZ655" s="7">
        <f>N(AU655)*N(R655)/90+N(AV655)+N(AW655)+N(AX655)+N(AY655)</f>
        <v/>
      </c>
      <c r="BA655" s="3">
        <f>IF(N(R655)&lt;=0,0,(N(AZ655)-N(AY655))*90/N(R655))</f>
        <v/>
      </c>
      <c r="BB655" s="7">
        <f>IFERROR(AZ655-VLOOKUP($E655,Assumptions!$A$40:$C$43,3,FALSE),"")</f>
        <v/>
      </c>
      <c r="BC655" s="3">
        <f>IFERROR(BB655/H655,"")</f>
        <v/>
      </c>
      <c r="BD655">
        <f>IF(AND($G655=TRUE,$E655="GKP"),AZ655,"")</f>
        <v/>
      </c>
      <c r="BE655">
        <f>IF(AND($G655=TRUE,$E655="DEF"),AZ655,"")</f>
        <v/>
      </c>
      <c r="BF655">
        <f>IF(AND($G655=TRUE,$E655="MID"),AZ655,"")</f>
        <v/>
      </c>
      <c r="BG655">
        <f>IF(AND($G655=TRUE,$E655="FWD"),AZ655,"")</f>
        <v/>
      </c>
      <c r="BH655" t="n">
        <v>0</v>
      </c>
      <c r="BI655" t="n">
        <v>0</v>
      </c>
      <c r="BJ655" t="n">
        <v>0</v>
      </c>
      <c r="BK655" t="n">
        <v>0</v>
      </c>
    </row>
    <row r="656">
      <c r="A656" t="inlineStr">
        <is>
          <t>Max Weiss</t>
        </is>
      </c>
      <c r="C656" t="inlineStr">
        <is>
          <t>BUR</t>
        </is>
      </c>
      <c r="D656" t="b">
        <v>0</v>
      </c>
      <c r="F656" t="inlineStr">
        <is>
          <t>GKP</t>
        </is>
      </c>
      <c r="G656" t="b">
        <v>0</v>
      </c>
      <c r="H656" s="2" t="n"/>
      <c r="K656" s="2" t="n">
        <v>270</v>
      </c>
      <c r="M656" s="3" t="n"/>
      <c r="N656" s="8" t="n">
        <v>270</v>
      </c>
      <c r="O656" s="8" t="n">
        <v>0</v>
      </c>
      <c r="R656" s="6" t="n">
        <v>270</v>
      </c>
      <c r="S656" t="inlineStr">
        <is>
          <t>25/26 actual</t>
        </is>
      </c>
      <c r="U656" s="6" t="n">
        <v>89.8</v>
      </c>
      <c r="V656" s="2" t="n">
        <v>3</v>
      </c>
      <c r="W656" s="7">
        <f>IF(N(U656)&lt;=0,0,MIN(Assumptions!$B$15,N(R656)/N(U656)))</f>
        <v/>
      </c>
      <c r="X656" s="6" t="n"/>
      <c r="Y656" s="3" t="n">
        <v>0</v>
      </c>
      <c r="Z656" t="inlineStr">
        <is>
          <t>blended xG</t>
        </is>
      </c>
      <c r="AA656" s="3" t="n">
        <v>1</v>
      </c>
      <c r="AB656" s="3" t="n">
        <v>1</v>
      </c>
      <c r="AC656" s="3" t="n">
        <v>0</v>
      </c>
      <c r="AD656" s="3" t="n">
        <v>0.0536</v>
      </c>
      <c r="AE656" s="3" t="n">
        <v>0</v>
      </c>
      <c r="AF656" s="3" t="n">
        <v>0</v>
      </c>
      <c r="AG656" s="3" t="n">
        <v>5.65</v>
      </c>
      <c r="AH656" s="3" t="n">
        <v>0</v>
      </c>
      <c r="AI656" s="3" t="n">
        <v>6</v>
      </c>
      <c r="AJ656" s="3" t="n"/>
      <c r="AK656" s="3" t="n"/>
      <c r="AL656" s="3" t="n"/>
      <c r="AM656" s="6" t="n">
        <v>0</v>
      </c>
      <c r="AN656" s="3" t="n">
        <v>0</v>
      </c>
      <c r="AO656" s="3" t="n">
        <v>0</v>
      </c>
      <c r="AP656" s="3" t="n">
        <v>0</v>
      </c>
      <c r="AQ656" s="3">
        <f>N(X656)*N(BJ656)</f>
        <v/>
      </c>
      <c r="AR656" s="3" t="n">
        <v>0</v>
      </c>
      <c r="AS656" s="3" t="n">
        <v>0</v>
      </c>
      <c r="AT656" s="3" t="n">
        <v>0</v>
      </c>
      <c r="AU656" s="3">
        <f>SUM(AO656:AT656)</f>
        <v/>
      </c>
      <c r="AV656" s="7">
        <f>IF(OR(N(W656)&lt;=0,N(BH656)=0),0,N(W656)*IF(N(R656)/N(W656)&gt;=60,N(BH656),1))</f>
        <v/>
      </c>
      <c r="AW656" s="7">
        <f>N(W656)*N(AF656)*N(BI656)</f>
        <v/>
      </c>
      <c r="AX656" s="3">
        <f>IF(N(BH656)=0,0,N(W656)*N(AH656))</f>
        <v/>
      </c>
      <c r="AY656" s="7">
        <f>N(AM656)*(Assumptions!$B$13*N(BK656)-(1-Assumptions!$B$13)*Assumptions!$B$14)+N(AN656)</f>
        <v/>
      </c>
      <c r="AZ656" s="7">
        <f>N(AU656)*N(R656)/90+N(AV656)+N(AW656)+N(AX656)+N(AY656)</f>
        <v/>
      </c>
      <c r="BA656" s="3">
        <f>IF(N(R656)&lt;=0,0,(N(AZ656)-N(AY656))*90/N(R656))</f>
        <v/>
      </c>
      <c r="BB656" s="7">
        <f>IFERROR(AZ656-VLOOKUP($E656,Assumptions!$A$40:$C$43,3,FALSE),"")</f>
        <v/>
      </c>
      <c r="BC656" s="3">
        <f>IFERROR(BB656/H656,"")</f>
        <v/>
      </c>
      <c r="BD656">
        <f>IF(AND($G656=TRUE,$E656="GKP"),AZ656,"")</f>
        <v/>
      </c>
      <c r="BE656">
        <f>IF(AND($G656=TRUE,$E656="DEF"),AZ656,"")</f>
        <v/>
      </c>
      <c r="BF656">
        <f>IF(AND($G656=TRUE,$E656="MID"),AZ656,"")</f>
        <v/>
      </c>
      <c r="BG656">
        <f>IF(AND($G656=TRUE,$E656="FWD"),AZ656,"")</f>
        <v/>
      </c>
      <c r="BH656" t="n">
        <v>0</v>
      </c>
      <c r="BI656" t="n">
        <v>0</v>
      </c>
      <c r="BJ656" t="n">
        <v>0</v>
      </c>
      <c r="BK656" t="n">
        <v>0</v>
      </c>
    </row>
    <row r="657">
      <c r="A657" t="inlineStr">
        <is>
          <t>Oliver Sonne</t>
        </is>
      </c>
      <c r="C657" t="inlineStr">
        <is>
          <t>BUR</t>
        </is>
      </c>
      <c r="D657" t="b">
        <v>0</v>
      </c>
      <c r="F657" t="inlineStr">
        <is>
          <t>DEF</t>
        </is>
      </c>
      <c r="G657" t="b">
        <v>0</v>
      </c>
      <c r="H657" s="2" t="n"/>
      <c r="K657" s="2" t="n">
        <v>165</v>
      </c>
      <c r="M657" s="3" t="n"/>
      <c r="N657" s="8" t="n">
        <v>165</v>
      </c>
      <c r="O657" s="8" t="n">
        <v>0</v>
      </c>
      <c r="R657" s="6" t="n">
        <v>165</v>
      </c>
      <c r="S657" t="inlineStr">
        <is>
          <t>25/26 actual</t>
        </is>
      </c>
      <c r="U657" s="6" t="n">
        <v>84.40000000000001</v>
      </c>
      <c r="V657" s="2" t="n">
        <v>1</v>
      </c>
      <c r="W657" s="7">
        <f>IF(N(U657)&lt;=0,0,MIN(Assumptions!$B$15,N(R657)/N(U657)))</f>
        <v/>
      </c>
      <c r="X657" s="6" t="n"/>
      <c r="Y657" s="3" t="n">
        <v>0.3125</v>
      </c>
      <c r="Z657" t="inlineStr">
        <is>
          <t>adjusted xGOT</t>
        </is>
      </c>
      <c r="AA657" s="3" t="n">
        <v>1</v>
      </c>
      <c r="AB657" s="3" t="n">
        <v>1.041</v>
      </c>
      <c r="AC657" s="3" t="n">
        <v>0.6</v>
      </c>
      <c r="AD657" s="3" t="n">
        <v>0.0147</v>
      </c>
      <c r="AE657" s="3" t="n">
        <v>6.972</v>
      </c>
      <c r="AF657" s="3" t="n">
        <v>0</v>
      </c>
      <c r="AG657" s="3" t="n">
        <v>6.69</v>
      </c>
      <c r="AH657" s="3" t="n">
        <v>0</v>
      </c>
      <c r="AI657" s="3" t="n">
        <v>8</v>
      </c>
      <c r="AJ657" s="3" t="n"/>
      <c r="AK657" s="3" t="n"/>
      <c r="AL657" s="3" t="n"/>
      <c r="AM657" s="6" t="n">
        <v>0</v>
      </c>
      <c r="AN657" s="3" t="n">
        <v>0</v>
      </c>
      <c r="AO657" s="3" t="n">
        <v>0</v>
      </c>
      <c r="AP657" s="3" t="n">
        <v>0</v>
      </c>
      <c r="AQ657" s="3">
        <f>N(X657)*N(BJ657)</f>
        <v/>
      </c>
      <c r="AR657" s="3" t="n">
        <v>0</v>
      </c>
      <c r="AS657" s="3" t="n">
        <v>0</v>
      </c>
      <c r="AT657" s="3" t="n">
        <v>0</v>
      </c>
      <c r="AU657" s="3">
        <f>SUM(AO657:AT657)</f>
        <v/>
      </c>
      <c r="AV657" s="7">
        <f>IF(OR(N(W657)&lt;=0,N(BH657)=0),0,N(W657)*IF(N(R657)/N(W657)&gt;=60,N(BH657),1))</f>
        <v/>
      </c>
      <c r="AW657" s="7">
        <f>N(W657)*N(AF657)*N(BI657)</f>
        <v/>
      </c>
      <c r="AX657" s="3">
        <f>IF(N(BH657)=0,0,N(W657)*N(AH657))</f>
        <v/>
      </c>
      <c r="AY657" s="7">
        <f>N(AM657)*(Assumptions!$B$13*N(BK657)-(1-Assumptions!$B$13)*Assumptions!$B$14)+N(AN657)</f>
        <v/>
      </c>
      <c r="AZ657" s="7">
        <f>N(AU657)*N(R657)/90+N(AV657)+N(AW657)+N(AX657)+N(AY657)</f>
        <v/>
      </c>
      <c r="BA657" s="3">
        <f>IF(N(R657)&lt;=0,0,(N(AZ657)-N(AY657))*90/N(R657))</f>
        <v/>
      </c>
      <c r="BB657" s="7">
        <f>IFERROR(AZ657-VLOOKUP($E657,Assumptions!$A$40:$C$43,3,FALSE),"")</f>
        <v/>
      </c>
      <c r="BC657" s="3">
        <f>IFERROR(BB657/H657,"")</f>
        <v/>
      </c>
      <c r="BD657">
        <f>IF(AND($G657=TRUE,$E657="GKP"),AZ657,"")</f>
        <v/>
      </c>
      <c r="BE657">
        <f>IF(AND($G657=TRUE,$E657="DEF"),AZ657,"")</f>
        <v/>
      </c>
      <c r="BF657">
        <f>IF(AND($G657=TRUE,$E657="MID"),AZ657,"")</f>
        <v/>
      </c>
      <c r="BG657">
        <f>IF(AND($G657=TRUE,$E657="FWD"),AZ657,"")</f>
        <v/>
      </c>
      <c r="BH657" t="n">
        <v>0</v>
      </c>
      <c r="BI657" t="n">
        <v>0</v>
      </c>
      <c r="BJ657" t="n">
        <v>0</v>
      </c>
      <c r="BK657" t="n">
        <v>0</v>
      </c>
    </row>
    <row r="658">
      <c r="A658" t="inlineStr">
        <is>
          <t>Tarik Muharemović</t>
        </is>
      </c>
      <c r="B658" t="inlineStr">
        <is>
          <t>LEE</t>
        </is>
      </c>
      <c r="D658" t="b">
        <v>0</v>
      </c>
      <c r="E658" t="inlineStr">
        <is>
          <t>DEF</t>
        </is>
      </c>
      <c r="G658" t="b">
        <v>1</v>
      </c>
      <c r="H658" s="2" t="n">
        <v>5</v>
      </c>
      <c r="I658" t="inlineStr">
        <is>
          <t>a</t>
        </is>
      </c>
      <c r="K658" s="2" t="n"/>
      <c r="M658" s="3" t="n">
        <v>3209</v>
      </c>
      <c r="N658" s="8" t="n">
        <v>3209</v>
      </c>
      <c r="O658" s="8" t="n">
        <v>0</v>
      </c>
      <c r="Q658" t="inlineStr">
        <is>
          <t>flat</t>
        </is>
      </c>
      <c r="R658" s="6" t="n">
        <v>3209</v>
      </c>
      <c r="S658" t="inlineStr">
        <is>
          <t>Solio</t>
        </is>
      </c>
      <c r="U658" s="6" t="n">
        <v>85</v>
      </c>
      <c r="V658" s="2" t="n"/>
      <c r="W658" s="7">
        <f>IF(N(U658)&lt;=0,0,MIN(Assumptions!$B$15,N(R658)/N(U658)))</f>
        <v/>
      </c>
      <c r="X658" s="6" t="n">
        <v>0.218</v>
      </c>
      <c r="Y658" s="3" t="n"/>
      <c r="Z658" t="inlineStr"/>
      <c r="AA658" s="3" t="n">
        <v>1</v>
      </c>
      <c r="AB658" s="3" t="n"/>
      <c r="AC658" s="3" t="n"/>
      <c r="AD658" s="3" t="n"/>
      <c r="AE658" s="3" t="n"/>
      <c r="AF658" s="3" t="n">
        <v>0</v>
      </c>
      <c r="AG658" s="3" t="n"/>
      <c r="AH658" s="3" t="n">
        <v>0</v>
      </c>
      <c r="AI658" s="3" t="n"/>
      <c r="AJ658" s="3" t="n">
        <v>3.0611</v>
      </c>
      <c r="AK658" s="3" t="n">
        <v>1.5875</v>
      </c>
      <c r="AL658" s="3" t="n">
        <v>-0.2045226422080557</v>
      </c>
      <c r="AM658" s="6" t="n">
        <v>0</v>
      </c>
      <c r="AN658" s="3" t="n">
        <v>0</v>
      </c>
      <c r="AO658" s="3" t="n">
        <v>0</v>
      </c>
      <c r="AP658" s="3" t="n">
        <v>0</v>
      </c>
      <c r="AQ658" s="3">
        <f>N(X658)*N(BJ658)</f>
        <v/>
      </c>
      <c r="AR658" s="3" t="n">
        <v>0</v>
      </c>
      <c r="AS658" s="3" t="n">
        <v>-0.5541985260210861</v>
      </c>
      <c r="AT658" s="3" t="n">
        <v>-0.2045226422080557</v>
      </c>
      <c r="AU658" s="3">
        <f>SUM(AO658:AT658)</f>
        <v/>
      </c>
      <c r="AV658" s="7">
        <f>IF(OR(N(W658)&lt;=0,N(BH658)=0),0,N(W658)*IF(N(R658)/N(W658)&gt;=60,N(BH658),1))</f>
        <v/>
      </c>
      <c r="AW658" s="7">
        <f>N(W658)*N(AF658)*N(BI658)</f>
        <v/>
      </c>
      <c r="AX658" s="3">
        <f>IF(N(BH658)=0,0,N(W658)*N(AH658))</f>
        <v/>
      </c>
      <c r="AY658" s="7">
        <f>N(AM658)*(Assumptions!$B$13*N(BK658)-(1-Assumptions!$B$13)*Assumptions!$B$14)+N(AN658)</f>
        <v/>
      </c>
      <c r="AZ658" s="7">
        <f>N(AU658)*N(R658)/90+N(AV658)+N(AW658)+N(AX658)+N(AY658)</f>
        <v/>
      </c>
      <c r="BA658" s="3">
        <f>IF(N(R658)&lt;=0,0,(N(AZ658)-N(AY658))*90/N(R658))</f>
        <v/>
      </c>
      <c r="BB658" s="7">
        <f>IFERROR(AZ658-VLOOKUP($E658,Assumptions!$A$40:$C$43,3,FALSE),"")</f>
        <v/>
      </c>
      <c r="BC658" s="3">
        <f>IFERROR(BB658/H658,"")</f>
        <v/>
      </c>
      <c r="BD658">
        <f>IF(AND($G658=TRUE,$E658="GKP"),AZ658,"")</f>
        <v/>
      </c>
      <c r="BE658">
        <f>IF(AND($G658=TRUE,$E658="DEF"),AZ658,"")</f>
        <v/>
      </c>
      <c r="BF658">
        <f>IF(AND($G658=TRUE,$E658="MID"),AZ658,"")</f>
        <v/>
      </c>
      <c r="BG658">
        <f>IF(AND($G658=TRUE,$E658="FWD"),AZ658,"")</f>
        <v/>
      </c>
      <c r="BH658" t="n">
        <v>2</v>
      </c>
      <c r="BI658" t="n">
        <v>2</v>
      </c>
      <c r="BJ658" t="n">
        <v>4</v>
      </c>
      <c r="BK658" t="n">
        <v>6</v>
      </c>
    </row>
    <row r="659">
      <c r="A659" t="inlineStr">
        <is>
          <t>Jackson Tchatchoua</t>
        </is>
      </c>
      <c r="C659" t="inlineStr">
        <is>
          <t>WOL</t>
        </is>
      </c>
      <c r="D659" t="b">
        <v>0</v>
      </c>
      <c r="F659" t="inlineStr">
        <is>
          <t>DEF</t>
        </is>
      </c>
      <c r="G659" t="b">
        <v>0</v>
      </c>
      <c r="H659" s="2" t="n"/>
      <c r="K659" s="2" t="n">
        <v>1837</v>
      </c>
      <c r="M659" s="3" t="n"/>
      <c r="N659" s="8" t="n">
        <v>1837</v>
      </c>
      <c r="O659" s="8" t="n">
        <v>0</v>
      </c>
      <c r="R659" s="6" t="n">
        <v>1837</v>
      </c>
      <c r="S659" t="inlineStr">
        <is>
          <t>25/26 actual</t>
        </is>
      </c>
      <c r="U659" s="6" t="n">
        <v>83.3</v>
      </c>
      <c r="V659" s="2" t="n">
        <v>19</v>
      </c>
      <c r="W659" s="7">
        <f>IF(N(U659)&lt;=0,0,MIN(Assumptions!$B$15,N(R659)/N(U659)))</f>
        <v/>
      </c>
      <c r="X659" s="6" t="n"/>
      <c r="Y659" s="3" t="n">
        <v>0.0159</v>
      </c>
      <c r="Z659" t="inlineStr">
        <is>
          <t>adjusted xGOT</t>
        </is>
      </c>
      <c r="AA659" s="3" t="n">
        <v>1</v>
      </c>
      <c r="AB659" s="3" t="n">
        <v>0.984</v>
      </c>
      <c r="AC659" s="3" t="n">
        <v>0.3</v>
      </c>
      <c r="AD659" s="3" t="n">
        <v>0.1099</v>
      </c>
      <c r="AE659" s="3" t="n">
        <v>5.972</v>
      </c>
      <c r="AF659" s="3" t="n">
        <v>0</v>
      </c>
      <c r="AG659" s="3" t="n">
        <v>6.419</v>
      </c>
      <c r="AH659" s="3" t="n">
        <v>0</v>
      </c>
      <c r="AI659" s="3" t="n">
        <v>48</v>
      </c>
      <c r="AJ659" s="3" t="n"/>
      <c r="AK659" s="3" t="n"/>
      <c r="AL659" s="3" t="n"/>
      <c r="AM659" s="6" t="n">
        <v>0</v>
      </c>
      <c r="AN659" s="3" t="n">
        <v>0</v>
      </c>
      <c r="AO659" s="3" t="n">
        <v>0</v>
      </c>
      <c r="AP659" s="3" t="n">
        <v>0</v>
      </c>
      <c r="AQ659" s="3">
        <f>N(X659)*N(BJ659)</f>
        <v/>
      </c>
      <c r="AR659" s="3" t="n">
        <v>0</v>
      </c>
      <c r="AS659" s="3" t="n">
        <v>0</v>
      </c>
      <c r="AT659" s="3" t="n">
        <v>0</v>
      </c>
      <c r="AU659" s="3">
        <f>SUM(AO659:AT659)</f>
        <v/>
      </c>
      <c r="AV659" s="7">
        <f>IF(OR(N(W659)&lt;=0,N(BH659)=0),0,N(W659)*IF(N(R659)/N(W659)&gt;=60,N(BH659),1))</f>
        <v/>
      </c>
      <c r="AW659" s="7">
        <f>N(W659)*N(AF659)*N(BI659)</f>
        <v/>
      </c>
      <c r="AX659" s="3">
        <f>IF(N(BH659)=0,0,N(W659)*N(AH659))</f>
        <v/>
      </c>
      <c r="AY659" s="7">
        <f>N(AM659)*(Assumptions!$B$13*N(BK659)-(1-Assumptions!$B$13)*Assumptions!$B$14)+N(AN659)</f>
        <v/>
      </c>
      <c r="AZ659" s="7">
        <f>N(AU659)*N(R659)/90+N(AV659)+N(AW659)+N(AX659)+N(AY659)</f>
        <v/>
      </c>
      <c r="BA659" s="3">
        <f>IF(N(R659)&lt;=0,0,(N(AZ659)-N(AY659))*90/N(R659))</f>
        <v/>
      </c>
      <c r="BB659" s="7">
        <f>IFERROR(AZ659-VLOOKUP($E659,Assumptions!$A$40:$C$43,3,FALSE),"")</f>
        <v/>
      </c>
      <c r="BC659" s="3">
        <f>IFERROR(BB659/H659,"")</f>
        <v/>
      </c>
      <c r="BD659">
        <f>IF(AND($G659=TRUE,$E659="GKP"),AZ659,"")</f>
        <v/>
      </c>
      <c r="BE659">
        <f>IF(AND($G659=TRUE,$E659="DEF"),AZ659,"")</f>
        <v/>
      </c>
      <c r="BF659">
        <f>IF(AND($G659=TRUE,$E659="MID"),AZ659,"")</f>
        <v/>
      </c>
      <c r="BG659">
        <f>IF(AND($G659=TRUE,$E659="FWD"),AZ659,"")</f>
        <v/>
      </c>
      <c r="BH659" t="n">
        <v>0</v>
      </c>
      <c r="BI659" t="n">
        <v>0</v>
      </c>
      <c r="BJ659" t="n">
        <v>0</v>
      </c>
      <c r="BK659" t="n">
        <v>0</v>
      </c>
    </row>
    <row r="660">
      <c r="A660" t="inlineStr">
        <is>
          <t>Kaden Rodney</t>
        </is>
      </c>
      <c r="C660" t="inlineStr">
        <is>
          <t>CRY</t>
        </is>
      </c>
      <c r="D660" t="b">
        <v>0</v>
      </c>
      <c r="F660" t="inlineStr">
        <is>
          <t>MID</t>
        </is>
      </c>
      <c r="G660" t="b">
        <v>0</v>
      </c>
      <c r="H660" s="2" t="n"/>
      <c r="K660" s="2" t="n">
        <v>3</v>
      </c>
      <c r="M660" s="3" t="n"/>
      <c r="N660" s="8" t="n">
        <v>3</v>
      </c>
      <c r="O660" s="8" t="n">
        <v>0</v>
      </c>
      <c r="R660" s="6" t="n">
        <v>3</v>
      </c>
      <c r="S660" t="inlineStr">
        <is>
          <t>25/26 actual</t>
        </is>
      </c>
      <c r="U660" s="6" t="n">
        <v>80.09999999999999</v>
      </c>
      <c r="V660" s="2" t="n">
        <v>0</v>
      </c>
      <c r="W660" s="7">
        <f>IF(N(U660)&lt;=0,0,MIN(Assumptions!$B$15,N(R660)/N(U660)))</f>
        <v/>
      </c>
      <c r="X660" s="6" t="n"/>
      <c r="Y660" s="3" t="n"/>
      <c r="Z660" t="inlineStr"/>
      <c r="AA660" s="3" t="n">
        <v>1</v>
      </c>
      <c r="AB660" s="3" t="n">
        <v>1</v>
      </c>
      <c r="AC660" s="3" t="n">
        <v>0</v>
      </c>
      <c r="AD660" s="3" t="n"/>
      <c r="AE660" s="3" t="n">
        <v>8.541</v>
      </c>
      <c r="AF660" s="3" t="n">
        <v>0</v>
      </c>
      <c r="AG660" s="3" t="n">
        <v>6.895</v>
      </c>
      <c r="AH660" s="3" t="n">
        <v>0</v>
      </c>
      <c r="AI660" s="3" t="n">
        <v>1</v>
      </c>
      <c r="AJ660" s="3" t="n"/>
      <c r="AK660" s="3" t="n"/>
      <c r="AL660" s="3" t="n"/>
      <c r="AM660" s="6" t="n">
        <v>0</v>
      </c>
      <c r="AN660" s="3" t="n">
        <v>0</v>
      </c>
      <c r="AO660" s="3" t="n">
        <v>0</v>
      </c>
      <c r="AP660" s="3" t="n">
        <v>0</v>
      </c>
      <c r="AQ660" s="3">
        <f>N(X660)*N(BJ660)</f>
        <v/>
      </c>
      <c r="AR660" s="3" t="n">
        <v>0</v>
      </c>
      <c r="AS660" s="3" t="n">
        <v>0</v>
      </c>
      <c r="AT660" s="3" t="n">
        <v>0</v>
      </c>
      <c r="AU660" s="3">
        <f>SUM(AO660:AT660)</f>
        <v/>
      </c>
      <c r="AV660" s="7">
        <f>IF(OR(N(W660)&lt;=0,N(BH660)=0),0,N(W660)*IF(N(R660)/N(W660)&gt;=60,N(BH660),1))</f>
        <v/>
      </c>
      <c r="AW660" s="7">
        <f>N(W660)*N(AF660)*N(BI660)</f>
        <v/>
      </c>
      <c r="AX660" s="3">
        <f>IF(N(BH660)=0,0,N(W660)*N(AH660))</f>
        <v/>
      </c>
      <c r="AY660" s="7">
        <f>N(AM660)*(Assumptions!$B$13*N(BK660)-(1-Assumptions!$B$13)*Assumptions!$B$14)+N(AN660)</f>
        <v/>
      </c>
      <c r="AZ660" s="7">
        <f>N(AU660)*N(R660)/90+N(AV660)+N(AW660)+N(AX660)+N(AY660)</f>
        <v/>
      </c>
      <c r="BA660" s="3">
        <f>IF(N(R660)&lt;=0,0,(N(AZ660)-N(AY660))*90/N(R660))</f>
        <v/>
      </c>
      <c r="BB660" s="7">
        <f>IFERROR(AZ660-VLOOKUP($E660,Assumptions!$A$40:$C$43,3,FALSE),"")</f>
        <v/>
      </c>
      <c r="BC660" s="3">
        <f>IFERROR(BB660/H660,"")</f>
        <v/>
      </c>
      <c r="BD660">
        <f>IF(AND($G660=TRUE,$E660="GKP"),AZ660,"")</f>
        <v/>
      </c>
      <c r="BE660">
        <f>IF(AND($G660=TRUE,$E660="DEF"),AZ660,"")</f>
        <v/>
      </c>
      <c r="BF660">
        <f>IF(AND($G660=TRUE,$E660="MID"),AZ660,"")</f>
        <v/>
      </c>
      <c r="BG660">
        <f>IF(AND($G660=TRUE,$E660="FWD"),AZ660,"")</f>
        <v/>
      </c>
      <c r="BH660" t="n">
        <v>0</v>
      </c>
      <c r="BI660" t="n">
        <v>0</v>
      </c>
      <c r="BJ660" t="n">
        <v>0</v>
      </c>
      <c r="BK660" t="n">
        <v>0</v>
      </c>
    </row>
    <row r="661">
      <c r="A661" t="inlineStr">
        <is>
          <t>Pablo</t>
        </is>
      </c>
      <c r="C661" t="inlineStr">
        <is>
          <t>WHU</t>
        </is>
      </c>
      <c r="D661" t="b">
        <v>0</v>
      </c>
      <c r="F661" t="inlineStr">
        <is>
          <t>FWD</t>
        </is>
      </c>
      <c r="G661" t="b">
        <v>0</v>
      </c>
      <c r="H661" s="2" t="n"/>
      <c r="K661" s="2" t="n">
        <v>826</v>
      </c>
      <c r="M661" s="3" t="n"/>
      <c r="N661" s="8" t="n">
        <v>826</v>
      </c>
      <c r="O661" s="8" t="n">
        <v>0</v>
      </c>
      <c r="R661" s="6" t="n">
        <v>826</v>
      </c>
      <c r="S661" t="inlineStr">
        <is>
          <t>25/26 actual</t>
        </is>
      </c>
      <c r="U661" s="6" t="n">
        <v>75.8</v>
      </c>
      <c r="V661" s="2" t="n">
        <v>10</v>
      </c>
      <c r="W661" s="7">
        <f>IF(N(U661)&lt;=0,0,MIN(Assumptions!$B$15,N(R661)/N(U661)))</f>
        <v/>
      </c>
      <c r="X661" s="6" t="n"/>
      <c r="Y661" s="3" t="n">
        <v>0.1074</v>
      </c>
      <c r="Z661" t="inlineStr">
        <is>
          <t>adjusted xGOT</t>
        </is>
      </c>
      <c r="AA661" s="3" t="n">
        <v>1</v>
      </c>
      <c r="AB661" s="3" t="n">
        <v>0.9389999999999999</v>
      </c>
      <c r="AC661" s="3" t="n">
        <v>1</v>
      </c>
      <c r="AD661" s="3" t="n">
        <v>0.1409</v>
      </c>
      <c r="AE661" s="3" t="n">
        <v>6.453</v>
      </c>
      <c r="AF661" s="3" t="n">
        <v>0</v>
      </c>
      <c r="AG661" s="3" t="n">
        <v>2.064</v>
      </c>
      <c r="AH661" s="3" t="n">
        <v>0</v>
      </c>
      <c r="AI661" s="3" t="n">
        <v>23</v>
      </c>
      <c r="AJ661" s="3" t="n"/>
      <c r="AK661" s="3" t="n"/>
      <c r="AL661" s="3" t="n"/>
      <c r="AM661" s="6" t="n">
        <v>0</v>
      </c>
      <c r="AN661" s="3" t="n">
        <v>0</v>
      </c>
      <c r="AO661" s="3" t="n">
        <v>0</v>
      </c>
      <c r="AP661" s="3" t="n">
        <v>0</v>
      </c>
      <c r="AQ661" s="3">
        <f>N(X661)*N(BJ661)</f>
        <v/>
      </c>
      <c r="AR661" s="3" t="n">
        <v>0</v>
      </c>
      <c r="AS661" s="3" t="n">
        <v>0</v>
      </c>
      <c r="AT661" s="3" t="n">
        <v>0</v>
      </c>
      <c r="AU661" s="3">
        <f>SUM(AO661:AT661)</f>
        <v/>
      </c>
      <c r="AV661" s="7">
        <f>IF(OR(N(W661)&lt;=0,N(BH661)=0),0,N(W661)*IF(N(R661)/N(W661)&gt;=60,N(BH661),1))</f>
        <v/>
      </c>
      <c r="AW661" s="7">
        <f>N(W661)*N(AF661)*N(BI661)</f>
        <v/>
      </c>
      <c r="AX661" s="3">
        <f>IF(N(BH661)=0,0,N(W661)*N(AH661))</f>
        <v/>
      </c>
      <c r="AY661" s="7">
        <f>N(AM661)*(Assumptions!$B$13*N(BK661)-(1-Assumptions!$B$13)*Assumptions!$B$14)+N(AN661)</f>
        <v/>
      </c>
      <c r="AZ661" s="7">
        <f>N(AU661)*N(R661)/90+N(AV661)+N(AW661)+N(AX661)+N(AY661)</f>
        <v/>
      </c>
      <c r="BA661" s="3">
        <f>IF(N(R661)&lt;=0,0,(N(AZ661)-N(AY661))*90/N(R661))</f>
        <v/>
      </c>
      <c r="BB661" s="7">
        <f>IFERROR(AZ661-VLOOKUP($E661,Assumptions!$A$40:$C$43,3,FALSE),"")</f>
        <v/>
      </c>
      <c r="BC661" s="3">
        <f>IFERROR(BB661/H661,"")</f>
        <v/>
      </c>
      <c r="BD661">
        <f>IF(AND($G661=TRUE,$E661="GKP"),AZ661,"")</f>
        <v/>
      </c>
      <c r="BE661">
        <f>IF(AND($G661=TRUE,$E661="DEF"),AZ661,"")</f>
        <v/>
      </c>
      <c r="BF661">
        <f>IF(AND($G661=TRUE,$E661="MID"),AZ661,"")</f>
        <v/>
      </c>
      <c r="BG661">
        <f>IF(AND($G661=TRUE,$E661="FWD"),AZ661,"")</f>
        <v/>
      </c>
      <c r="BH661" t="n">
        <v>0</v>
      </c>
      <c r="BI661" t="n">
        <v>0</v>
      </c>
      <c r="BJ661" t="n">
        <v>0</v>
      </c>
      <c r="BK661" t="n">
        <v>0</v>
      </c>
    </row>
    <row r="662">
      <c r="A662" t="inlineStr">
        <is>
          <t>Abdul Fatawu</t>
        </is>
      </c>
      <c r="B662" t="inlineStr">
        <is>
          <t>IPS</t>
        </is>
      </c>
      <c r="D662" t="b">
        <v>0</v>
      </c>
      <c r="E662" t="inlineStr">
        <is>
          <t>MID</t>
        </is>
      </c>
      <c r="G662" t="b">
        <v>1</v>
      </c>
      <c r="H662" s="2" t="n">
        <v>5.5</v>
      </c>
      <c r="I662" t="inlineStr">
        <is>
          <t>a</t>
        </is>
      </c>
      <c r="K662" s="2" t="n"/>
      <c r="M662" s="3" t="n">
        <v>2189</v>
      </c>
      <c r="N662" s="8" t="n">
        <v>2189</v>
      </c>
      <c r="O662" s="8" t="n">
        <v>0</v>
      </c>
      <c r="Q662" t="inlineStr">
        <is>
          <t>flat</t>
        </is>
      </c>
      <c r="R662" s="6" t="n">
        <v>2189</v>
      </c>
      <c r="S662" t="inlineStr">
        <is>
          <t>Solio</t>
        </is>
      </c>
      <c r="U662" s="6" t="n">
        <v>85</v>
      </c>
      <c r="V662" s="2" t="n"/>
      <c r="W662" s="7">
        <f>IF(N(U662)&lt;=0,0,MIN(Assumptions!$B$15,N(R662)/N(U662)))</f>
        <v/>
      </c>
      <c r="X662" s="6" t="n">
        <v>0.17</v>
      </c>
      <c r="Y662" s="3" t="n"/>
      <c r="Z662" t="inlineStr"/>
      <c r="AA662" s="3" t="n">
        <v>1</v>
      </c>
      <c r="AB662" s="3" t="n"/>
      <c r="AC662" s="3" t="n"/>
      <c r="AD662" s="3" t="n"/>
      <c r="AE662" s="3" t="n"/>
      <c r="AF662" s="3" t="n">
        <v>0</v>
      </c>
      <c r="AG662" s="3" t="n"/>
      <c r="AH662" s="3" t="n">
        <v>0</v>
      </c>
      <c r="AI662" s="3" t="n"/>
      <c r="AJ662" s="3" t="n">
        <v>3.5741</v>
      </c>
      <c r="AK662" s="3" t="n">
        <v>1.8319</v>
      </c>
      <c r="AL662" s="3" t="n">
        <v>-0.1774481848741362</v>
      </c>
      <c r="AM662" s="6" t="n">
        <v>0</v>
      </c>
      <c r="AN662" s="3" t="n">
        <v>0</v>
      </c>
      <c r="AO662" s="3" t="n">
        <v>0</v>
      </c>
      <c r="AP662" s="3" t="n">
        <v>0</v>
      </c>
      <c r="AQ662" s="3">
        <f>N(X662)*N(BJ662)</f>
        <v/>
      </c>
      <c r="AR662" s="3" t="n">
        <v>0</v>
      </c>
      <c r="AS662" s="3" t="n">
        <v>-0</v>
      </c>
      <c r="AT662" s="3" t="n">
        <v>-0.1774481848741362</v>
      </c>
      <c r="AU662" s="3">
        <f>SUM(AO662:AT662)</f>
        <v/>
      </c>
      <c r="AV662" s="7">
        <f>IF(OR(N(W662)&lt;=0,N(BH662)=0),0,N(W662)*IF(N(R662)/N(W662)&gt;=60,N(BH662),1))</f>
        <v/>
      </c>
      <c r="AW662" s="7">
        <f>N(W662)*N(AF662)*N(BI662)</f>
        <v/>
      </c>
      <c r="AX662" s="3">
        <f>IF(N(BH662)=0,0,N(W662)*N(AH662))</f>
        <v/>
      </c>
      <c r="AY662" s="7">
        <f>N(AM662)*(Assumptions!$B$13*N(BK662)-(1-Assumptions!$B$13)*Assumptions!$B$14)+N(AN662)</f>
        <v/>
      </c>
      <c r="AZ662" s="7">
        <f>N(AU662)*N(R662)/90+N(AV662)+N(AW662)+N(AX662)+N(AY662)</f>
        <v/>
      </c>
      <c r="BA662" s="3">
        <f>IF(N(R662)&lt;=0,0,(N(AZ662)-N(AY662))*90/N(R662))</f>
        <v/>
      </c>
      <c r="BB662" s="7">
        <f>IFERROR(AZ662-VLOOKUP($E662,Assumptions!$A$40:$C$43,3,FALSE),"")</f>
        <v/>
      </c>
      <c r="BC662" s="3">
        <f>IFERROR(BB662/H662,"")</f>
        <v/>
      </c>
      <c r="BD662">
        <f>IF(AND($G662=TRUE,$E662="GKP"),AZ662,"")</f>
        <v/>
      </c>
      <c r="BE662">
        <f>IF(AND($G662=TRUE,$E662="DEF"),AZ662,"")</f>
        <v/>
      </c>
      <c r="BF662">
        <f>IF(AND($G662=TRUE,$E662="MID"),AZ662,"")</f>
        <v/>
      </c>
      <c r="BG662">
        <f>IF(AND($G662=TRUE,$E662="FWD"),AZ662,"")</f>
        <v/>
      </c>
      <c r="BH662" t="n">
        <v>2</v>
      </c>
      <c r="BI662" t="n">
        <v>2</v>
      </c>
      <c r="BJ662" t="n">
        <v>1</v>
      </c>
      <c r="BK662" t="n">
        <v>5</v>
      </c>
    </row>
    <row r="663">
      <c r="A663" t="inlineStr">
        <is>
          <t>Mason Burstow</t>
        </is>
      </c>
      <c r="B663" t="inlineStr">
        <is>
          <t>HUL</t>
        </is>
      </c>
      <c r="D663" t="b">
        <v>0</v>
      </c>
      <c r="E663" t="inlineStr">
        <is>
          <t>FWD</t>
        </is>
      </c>
      <c r="G663" t="b">
        <v>1</v>
      </c>
      <c r="H663" s="2" t="n">
        <v>4.5</v>
      </c>
      <c r="I663" t="inlineStr">
        <is>
          <t>u</t>
        </is>
      </c>
      <c r="J663" t="inlineStr">
        <is>
          <t>Has joined Sheffield Wednesday on loan for the rest of the season</t>
        </is>
      </c>
      <c r="K663" s="2" t="n"/>
      <c r="M663" s="3" t="n"/>
      <c r="N663" s="8" t="n"/>
      <c r="O663" s="8" t="n"/>
      <c r="R663" s="6" t="n"/>
      <c r="S663" t="inlineStr"/>
      <c r="U663" s="6" t="n">
        <v>85</v>
      </c>
      <c r="V663" s="2" t="n"/>
      <c r="W663" s="7">
        <f>IF(N(U663)&lt;=0,0,MIN(Assumptions!$B$15,N(R663)/N(U663)))</f>
        <v/>
      </c>
      <c r="X663" s="6" t="n">
        <v>0.143</v>
      </c>
      <c r="Y663" s="3" t="n"/>
      <c r="Z663" t="inlineStr"/>
      <c r="AA663" s="3" t="n">
        <v>1</v>
      </c>
      <c r="AB663" s="3" t="n"/>
      <c r="AC663" s="3" t="n"/>
      <c r="AD663" s="3" t="n"/>
      <c r="AE663" s="3" t="n"/>
      <c r="AF663" s="3" t="n">
        <v>0</v>
      </c>
      <c r="AG663" s="3" t="n"/>
      <c r="AH663" s="3" t="n">
        <v>0</v>
      </c>
      <c r="AI663" s="3" t="n"/>
      <c r="AJ663" s="3" t="n">
        <v>3.9421</v>
      </c>
      <c r="AK663" s="3" t="n">
        <v>1.99</v>
      </c>
      <c r="AL663" s="3" t="n">
        <v>-0.1743297292253898</v>
      </c>
      <c r="AM663" s="6" t="n">
        <v>0</v>
      </c>
      <c r="AN663" s="3" t="n">
        <v>0</v>
      </c>
      <c r="AO663" s="3" t="n">
        <v>0</v>
      </c>
      <c r="AP663" s="3" t="n">
        <v>0</v>
      </c>
      <c r="AQ663" s="3">
        <f>N(X663)*N(BJ663)</f>
        <v/>
      </c>
      <c r="AR663" s="3" t="n">
        <v>0</v>
      </c>
      <c r="AS663" s="3" t="n">
        <v>-0</v>
      </c>
      <c r="AT663" s="3" t="n">
        <v>-0.1743297292253898</v>
      </c>
      <c r="AU663" s="3">
        <f>SUM(AO663:AT663)</f>
        <v/>
      </c>
      <c r="AV663" s="7">
        <f>IF(OR(N(W663)&lt;=0,N(BH663)=0),0,N(W663)*IF(N(R663)/N(W663)&gt;=60,N(BH663),1))</f>
        <v/>
      </c>
      <c r="AW663" s="7">
        <f>N(W663)*N(AF663)*N(BI663)</f>
        <v/>
      </c>
      <c r="AX663" s="3">
        <f>IF(N(BH663)=0,0,N(W663)*N(AH663))</f>
        <v/>
      </c>
      <c r="AY663" s="7">
        <f>N(AM663)*(Assumptions!$B$13*N(BK663)-(1-Assumptions!$B$13)*Assumptions!$B$14)+N(AN663)</f>
        <v/>
      </c>
      <c r="AZ663" s="7">
        <f>N(AU663)*N(R663)/90+N(AV663)+N(AW663)+N(AX663)+N(AY663)</f>
        <v/>
      </c>
      <c r="BA663" s="3">
        <f>IF(N(R663)&lt;=0,0,(N(AZ663)-N(AY663))*90/N(R663))</f>
        <v/>
      </c>
      <c r="BB663" s="7">
        <f>IFERROR(AZ663-VLOOKUP($E663,Assumptions!$A$40:$C$43,3,FALSE),"")</f>
        <v/>
      </c>
      <c r="BC663" s="3">
        <f>IFERROR(BB663/H663,"")</f>
        <v/>
      </c>
      <c r="BD663">
        <f>IF(AND($G663=TRUE,$E663="GKP"),AZ663,"")</f>
        <v/>
      </c>
      <c r="BE663">
        <f>IF(AND($G663=TRUE,$E663="DEF"),AZ663,"")</f>
        <v/>
      </c>
      <c r="BF663">
        <f>IF(AND($G663=TRUE,$E663="MID"),AZ663,"")</f>
        <v/>
      </c>
      <c r="BG663">
        <f>IF(AND($G663=TRUE,$E663="FWD"),AZ663,"")</f>
        <v/>
      </c>
      <c r="BH663" t="n">
        <v>2</v>
      </c>
      <c r="BI663" t="n">
        <v>2</v>
      </c>
      <c r="BJ663" t="n">
        <v>0</v>
      </c>
      <c r="BK663" t="n">
        <v>4</v>
      </c>
    </row>
    <row r="664">
      <c r="A664" t="inlineStr">
        <is>
          <t>Ollie Scarles</t>
        </is>
      </c>
      <c r="C664" t="inlineStr">
        <is>
          <t>WHU</t>
        </is>
      </c>
      <c r="D664" t="b">
        <v>0</v>
      </c>
      <c r="F664" t="inlineStr">
        <is>
          <t>DEF</t>
        </is>
      </c>
      <c r="G664" t="b">
        <v>0</v>
      </c>
      <c r="H664" s="2" t="n"/>
      <c r="K664" s="2" t="n">
        <v>659</v>
      </c>
      <c r="M664" s="3" t="n"/>
      <c r="N664" s="8" t="n">
        <v>659</v>
      </c>
      <c r="O664" s="8" t="n">
        <v>0</v>
      </c>
      <c r="R664" s="6" t="n">
        <v>659</v>
      </c>
      <c r="S664" t="inlineStr">
        <is>
          <t>25/26 actual</t>
        </is>
      </c>
      <c r="U664" s="6" t="n">
        <v>77.8</v>
      </c>
      <c r="V664" s="2" t="n">
        <v>9</v>
      </c>
      <c r="W664" s="7">
        <f>IF(N(U664)&lt;=0,0,MIN(Assumptions!$B$15,N(R664)/N(U664)))</f>
        <v/>
      </c>
      <c r="X664" s="6" t="n"/>
      <c r="Y664" s="3" t="n">
        <v>0.0238</v>
      </c>
      <c r="Z664" t="inlineStr">
        <is>
          <t>adjusted xGOT</t>
        </is>
      </c>
      <c r="AA664" s="3" t="n">
        <v>1</v>
      </c>
      <c r="AB664" s="3" t="n">
        <v>0.965</v>
      </c>
      <c r="AC664" s="3" t="n">
        <v>0.3</v>
      </c>
      <c r="AD664" s="3" t="n">
        <v>0.1333</v>
      </c>
      <c r="AE664" s="3" t="n">
        <v>8.861000000000001</v>
      </c>
      <c r="AF664" s="3" t="n">
        <v>0</v>
      </c>
      <c r="AG664" s="3" t="n">
        <v>9.364000000000001</v>
      </c>
      <c r="AH664" s="3" t="n">
        <v>0</v>
      </c>
      <c r="AI664" s="3" t="n">
        <v>20</v>
      </c>
      <c r="AJ664" s="3" t="n"/>
      <c r="AK664" s="3" t="n"/>
      <c r="AL664" s="3" t="n"/>
      <c r="AM664" s="6" t="n">
        <v>0</v>
      </c>
      <c r="AN664" s="3" t="n">
        <v>0</v>
      </c>
      <c r="AO664" s="3" t="n">
        <v>0</v>
      </c>
      <c r="AP664" s="3" t="n">
        <v>0</v>
      </c>
      <c r="AQ664" s="3">
        <f>N(X664)*N(BJ664)</f>
        <v/>
      </c>
      <c r="AR664" s="3" t="n">
        <v>0</v>
      </c>
      <c r="AS664" s="3" t="n">
        <v>0</v>
      </c>
      <c r="AT664" s="3" t="n">
        <v>0</v>
      </c>
      <c r="AU664" s="3">
        <f>SUM(AO664:AT664)</f>
        <v/>
      </c>
      <c r="AV664" s="7">
        <f>IF(OR(N(W664)&lt;=0,N(BH664)=0),0,N(W664)*IF(N(R664)/N(W664)&gt;=60,N(BH664),1))</f>
        <v/>
      </c>
      <c r="AW664" s="7">
        <f>N(W664)*N(AF664)*N(BI664)</f>
        <v/>
      </c>
      <c r="AX664" s="3">
        <f>IF(N(BH664)=0,0,N(W664)*N(AH664))</f>
        <v/>
      </c>
      <c r="AY664" s="7">
        <f>N(AM664)*(Assumptions!$B$13*N(BK664)-(1-Assumptions!$B$13)*Assumptions!$B$14)+N(AN664)</f>
        <v/>
      </c>
      <c r="AZ664" s="7">
        <f>N(AU664)*N(R664)/90+N(AV664)+N(AW664)+N(AX664)+N(AY664)</f>
        <v/>
      </c>
      <c r="BA664" s="3">
        <f>IF(N(R664)&lt;=0,0,(N(AZ664)-N(AY664))*90/N(R664))</f>
        <v/>
      </c>
      <c r="BB664" s="7">
        <f>IFERROR(AZ664-VLOOKUP($E664,Assumptions!$A$40:$C$43,3,FALSE),"")</f>
        <v/>
      </c>
      <c r="BC664" s="3">
        <f>IFERROR(BB664/H664,"")</f>
        <v/>
      </c>
      <c r="BD664">
        <f>IF(AND($G664=TRUE,$E664="GKP"),AZ664,"")</f>
        <v/>
      </c>
      <c r="BE664">
        <f>IF(AND($G664=TRUE,$E664="DEF"),AZ664,"")</f>
        <v/>
      </c>
      <c r="BF664">
        <f>IF(AND($G664=TRUE,$E664="MID"),AZ664,"")</f>
        <v/>
      </c>
      <c r="BG664">
        <f>IF(AND($G664=TRUE,$E664="FWD"),AZ664,"")</f>
        <v/>
      </c>
      <c r="BH664" t="n">
        <v>0</v>
      </c>
      <c r="BI664" t="n">
        <v>0</v>
      </c>
      <c r="BJ664" t="n">
        <v>0</v>
      </c>
      <c r="BK664" t="n">
        <v>0</v>
      </c>
    </row>
    <row r="665">
      <c r="A665" t="inlineStr">
        <is>
          <t>Tyler Bindon</t>
        </is>
      </c>
      <c r="B665" t="inlineStr">
        <is>
          <t>NFO</t>
        </is>
      </c>
      <c r="D665" t="b">
        <v>0</v>
      </c>
      <c r="E665" t="inlineStr">
        <is>
          <t>DEF</t>
        </is>
      </c>
      <c r="G665" t="b">
        <v>1</v>
      </c>
      <c r="H665" s="2" t="n">
        <v>4</v>
      </c>
      <c r="I665" t="inlineStr">
        <is>
          <t>a</t>
        </is>
      </c>
      <c r="K665" s="2" t="n"/>
      <c r="M665" s="3" t="n">
        <v>0</v>
      </c>
      <c r="N665" s="8" t="n">
        <v>0</v>
      </c>
      <c r="O665" s="8" t="n">
        <v>0</v>
      </c>
      <c r="Q665" t="inlineStr">
        <is>
          <t>flat</t>
        </is>
      </c>
      <c r="R665" s="6" t="n">
        <v>0</v>
      </c>
      <c r="S665" t="inlineStr">
        <is>
          <t>Solio</t>
        </is>
      </c>
      <c r="U665" s="6" t="n">
        <v>85</v>
      </c>
      <c r="V665" s="2" t="n"/>
      <c r="W665" s="7">
        <f>IF(N(U665)&lt;=0,0,MIN(Assumptions!$B$15,N(R665)/N(U665)))</f>
        <v/>
      </c>
      <c r="X665" s="6" t="n">
        <v>0.224</v>
      </c>
      <c r="Y665" s="3" t="n"/>
      <c r="Z665" t="inlineStr"/>
      <c r="AA665" s="3" t="n">
        <v>1</v>
      </c>
      <c r="AB665" s="3" t="n"/>
      <c r="AC665" s="3" t="n"/>
      <c r="AD665" s="3" t="n"/>
      <c r="AE665" s="3" t="n"/>
      <c r="AF665" s="3" t="n">
        <v>0</v>
      </c>
      <c r="AG665" s="3" t="n"/>
      <c r="AH665" s="3" t="n">
        <v>0</v>
      </c>
      <c r="AI665" s="3" t="n"/>
      <c r="AJ665" s="3" t="n">
        <v>3.1134</v>
      </c>
      <c r="AK665" s="3" t="n">
        <v>1.5588</v>
      </c>
      <c r="AL665" s="3" t="n">
        <v>-0.2045226422080557</v>
      </c>
      <c r="AM665" s="6" t="n">
        <v>0</v>
      </c>
      <c r="AN665" s="3" t="n">
        <v>0</v>
      </c>
      <c r="AO665" s="3" t="n">
        <v>0</v>
      </c>
      <c r="AP665" s="3" t="n">
        <v>0</v>
      </c>
      <c r="AQ665" s="3">
        <f>N(X665)*N(BJ665)</f>
        <v/>
      </c>
      <c r="AR665" s="3" t="n">
        <v>0</v>
      </c>
      <c r="AS665" s="3" t="n">
        <v>-0.5404658182244797</v>
      </c>
      <c r="AT665" s="3" t="n">
        <v>-0.2045226422080557</v>
      </c>
      <c r="AU665" s="3">
        <f>SUM(AO665:AT665)</f>
        <v/>
      </c>
      <c r="AV665" s="7">
        <f>IF(OR(N(W665)&lt;=0,N(BH665)=0),0,N(W665)*IF(N(R665)/N(W665)&gt;=60,N(BH665),1))</f>
        <v/>
      </c>
      <c r="AW665" s="7">
        <f>N(W665)*N(AF665)*N(BI665)</f>
        <v/>
      </c>
      <c r="AX665" s="3">
        <f>IF(N(BH665)=0,0,N(W665)*N(AH665))</f>
        <v/>
      </c>
      <c r="AY665" s="7">
        <f>N(AM665)*(Assumptions!$B$13*N(BK665)-(1-Assumptions!$B$13)*Assumptions!$B$14)+N(AN665)</f>
        <v/>
      </c>
      <c r="AZ665" s="7">
        <f>N(AU665)*N(R665)/90+N(AV665)+N(AW665)+N(AX665)+N(AY665)</f>
        <v/>
      </c>
      <c r="BA665" s="3">
        <f>IF(N(R665)&lt;=0,0,(N(AZ665)-N(AY665))*90/N(R665))</f>
        <v/>
      </c>
      <c r="BB665" s="7">
        <f>IFERROR(AZ665-VLOOKUP($E665,Assumptions!$A$40:$C$43,3,FALSE),"")</f>
        <v/>
      </c>
      <c r="BC665" s="3">
        <f>IFERROR(BB665/H665,"")</f>
        <v/>
      </c>
      <c r="BD665">
        <f>IF(AND($G665=TRUE,$E665="GKP"),AZ665,"")</f>
        <v/>
      </c>
      <c r="BE665">
        <f>IF(AND($G665=TRUE,$E665="DEF"),AZ665,"")</f>
        <v/>
      </c>
      <c r="BF665">
        <f>IF(AND($G665=TRUE,$E665="MID"),AZ665,"")</f>
        <v/>
      </c>
      <c r="BG665">
        <f>IF(AND($G665=TRUE,$E665="FWD"),AZ665,"")</f>
        <v/>
      </c>
      <c r="BH665" t="n">
        <v>2</v>
      </c>
      <c r="BI665" t="n">
        <v>2</v>
      </c>
      <c r="BJ665" t="n">
        <v>4</v>
      </c>
      <c r="BK665" t="n">
        <v>6</v>
      </c>
    </row>
    <row r="666">
      <c r="A666" t="inlineStr">
        <is>
          <t>Aurèle Amenda</t>
        </is>
      </c>
      <c r="B666" t="inlineStr">
        <is>
          <t>COV</t>
        </is>
      </c>
      <c r="D666" t="b">
        <v>0</v>
      </c>
      <c r="E666" t="inlineStr">
        <is>
          <t>DEF</t>
        </is>
      </c>
      <c r="G666" t="b">
        <v>1</v>
      </c>
      <c r="H666" s="2" t="n">
        <v>4</v>
      </c>
      <c r="I666" t="inlineStr">
        <is>
          <t>a</t>
        </is>
      </c>
      <c r="K666" s="2" t="n"/>
      <c r="M666" s="3" t="n">
        <v>2725</v>
      </c>
      <c r="N666" s="8" t="n">
        <v>2725</v>
      </c>
      <c r="O666" s="8" t="n">
        <v>0</v>
      </c>
      <c r="Q666" t="inlineStr">
        <is>
          <t>flat</t>
        </is>
      </c>
      <c r="R666" s="6" t="n">
        <v>2725</v>
      </c>
      <c r="S666" t="inlineStr">
        <is>
          <t>Solio</t>
        </is>
      </c>
      <c r="U666" s="6" t="n">
        <v>85</v>
      </c>
      <c r="V666" s="2" t="n"/>
      <c r="W666" s="7">
        <f>IF(N(U666)&lt;=0,0,MIN(Assumptions!$B$15,N(R666)/N(U666)))</f>
        <v/>
      </c>
      <c r="X666" s="6" t="n">
        <v>0.17</v>
      </c>
      <c r="Y666" s="3" t="n"/>
      <c r="Z666" t="inlineStr"/>
      <c r="AA666" s="3" t="n">
        <v>1</v>
      </c>
      <c r="AB666" s="3" t="n"/>
      <c r="AC666" s="3" t="n"/>
      <c r="AD666" s="3" t="n"/>
      <c r="AE666" s="3" t="n"/>
      <c r="AF666" s="3" t="n">
        <v>0</v>
      </c>
      <c r="AG666" s="3" t="n"/>
      <c r="AH666" s="3" t="n">
        <v>0</v>
      </c>
      <c r="AI666" s="3" t="n"/>
      <c r="AJ666" s="3" t="n">
        <v>3.6194</v>
      </c>
      <c r="AK666" s="3" t="n">
        <v>1.8271</v>
      </c>
      <c r="AL666" s="3" t="n">
        <v>-0.2045226422080557</v>
      </c>
      <c r="AM666" s="6" t="n">
        <v>0</v>
      </c>
      <c r="AN666" s="3" t="n">
        <v>0</v>
      </c>
      <c r="AO666" s="3" t="n">
        <v>0</v>
      </c>
      <c r="AP666" s="3" t="n">
        <v>0</v>
      </c>
      <c r="AQ666" s="3">
        <f>N(X666)*N(BJ666)</f>
        <v/>
      </c>
      <c r="AR666" s="3" t="n">
        <v>0</v>
      </c>
      <c r="AS666" s="3" t="n">
        <v>-0.670020548738316</v>
      </c>
      <c r="AT666" s="3" t="n">
        <v>-0.2045226422080557</v>
      </c>
      <c r="AU666" s="3">
        <f>SUM(AO666:AT666)</f>
        <v/>
      </c>
      <c r="AV666" s="7">
        <f>IF(OR(N(W666)&lt;=0,N(BH666)=0),0,N(W666)*IF(N(R666)/N(W666)&gt;=60,N(BH666),1))</f>
        <v/>
      </c>
      <c r="AW666" s="7">
        <f>N(W666)*N(AF666)*N(BI666)</f>
        <v/>
      </c>
      <c r="AX666" s="3">
        <f>IF(N(BH666)=0,0,N(W666)*N(AH666))</f>
        <v/>
      </c>
      <c r="AY666" s="7">
        <f>N(AM666)*(Assumptions!$B$13*N(BK666)-(1-Assumptions!$B$13)*Assumptions!$B$14)+N(AN666)</f>
        <v/>
      </c>
      <c r="AZ666" s="7">
        <f>N(AU666)*N(R666)/90+N(AV666)+N(AW666)+N(AX666)+N(AY666)</f>
        <v/>
      </c>
      <c r="BA666" s="3">
        <f>IF(N(R666)&lt;=0,0,(N(AZ666)-N(AY666))*90/N(R666))</f>
        <v/>
      </c>
      <c r="BB666" s="7">
        <f>IFERROR(AZ666-VLOOKUP($E666,Assumptions!$A$40:$C$43,3,FALSE),"")</f>
        <v/>
      </c>
      <c r="BC666" s="3">
        <f>IFERROR(BB666/H666,"")</f>
        <v/>
      </c>
      <c r="BD666">
        <f>IF(AND($G666=TRUE,$E666="GKP"),AZ666,"")</f>
        <v/>
      </c>
      <c r="BE666">
        <f>IF(AND($G666=TRUE,$E666="DEF"),AZ666,"")</f>
        <v/>
      </c>
      <c r="BF666">
        <f>IF(AND($G666=TRUE,$E666="MID"),AZ666,"")</f>
        <v/>
      </c>
      <c r="BG666">
        <f>IF(AND($G666=TRUE,$E666="FWD"),AZ666,"")</f>
        <v/>
      </c>
      <c r="BH666" t="n">
        <v>2</v>
      </c>
      <c r="BI666" t="n">
        <v>2</v>
      </c>
      <c r="BJ666" t="n">
        <v>4</v>
      </c>
      <c r="BK666" t="n">
        <v>6</v>
      </c>
    </row>
    <row r="667">
      <c r="A667" t="inlineStr">
        <is>
          <t>Mohamed Belloumi</t>
        </is>
      </c>
      <c r="B667" t="inlineStr">
        <is>
          <t>HUL</t>
        </is>
      </c>
      <c r="D667" t="b">
        <v>0</v>
      </c>
      <c r="E667" t="inlineStr">
        <is>
          <t>MID</t>
        </is>
      </c>
      <c r="G667" t="b">
        <v>1</v>
      </c>
      <c r="H667" s="2" t="n">
        <v>5</v>
      </c>
      <c r="I667" t="inlineStr">
        <is>
          <t>a</t>
        </is>
      </c>
      <c r="K667" s="2" t="n"/>
      <c r="M667" s="3" t="n">
        <v>2257</v>
      </c>
      <c r="N667" s="8" t="n">
        <v>2257</v>
      </c>
      <c r="O667" s="8" t="n">
        <v>0</v>
      </c>
      <c r="Q667" t="inlineStr">
        <is>
          <t>flat</t>
        </is>
      </c>
      <c r="R667" s="6" t="n">
        <v>2257</v>
      </c>
      <c r="S667" t="inlineStr">
        <is>
          <t>Solio</t>
        </is>
      </c>
      <c r="U667" s="6" t="n">
        <v>85</v>
      </c>
      <c r="V667" s="2" t="n"/>
      <c r="W667" s="7">
        <f>IF(N(U667)&lt;=0,0,MIN(Assumptions!$B$15,N(R667)/N(U667)))</f>
        <v/>
      </c>
      <c r="X667" s="6" t="n">
        <v>0.143</v>
      </c>
      <c r="Y667" s="3" t="n"/>
      <c r="Z667" t="inlineStr"/>
      <c r="AA667" s="3" t="n">
        <v>1</v>
      </c>
      <c r="AB667" s="3" t="n"/>
      <c r="AC667" s="3" t="n"/>
      <c r="AD667" s="3" t="n"/>
      <c r="AE667" s="3" t="n"/>
      <c r="AF667" s="3" t="n">
        <v>0</v>
      </c>
      <c r="AG667" s="3" t="n"/>
      <c r="AH667" s="3" t="n">
        <v>0</v>
      </c>
      <c r="AI667" s="3" t="n"/>
      <c r="AJ667" s="3" t="n">
        <v>3.9421</v>
      </c>
      <c r="AK667" s="3" t="n">
        <v>1.99</v>
      </c>
      <c r="AL667" s="3" t="n">
        <v>-0.2160434166173144</v>
      </c>
      <c r="AM667" s="6" t="n">
        <v>0</v>
      </c>
      <c r="AN667" s="3" t="n">
        <v>0</v>
      </c>
      <c r="AO667" s="3" t="n">
        <v>0</v>
      </c>
      <c r="AP667" s="3" t="n">
        <v>0</v>
      </c>
      <c r="AQ667" s="3">
        <f>N(X667)*N(BJ667)</f>
        <v/>
      </c>
      <c r="AR667" s="3" t="n">
        <v>0</v>
      </c>
      <c r="AS667" s="3" t="n">
        <v>-0</v>
      </c>
      <c r="AT667" s="3" t="n">
        <v>-0.2160434166173144</v>
      </c>
      <c r="AU667" s="3">
        <f>SUM(AO667:AT667)</f>
        <v/>
      </c>
      <c r="AV667" s="7">
        <f>IF(OR(N(W667)&lt;=0,N(BH667)=0),0,N(W667)*IF(N(R667)/N(W667)&gt;=60,N(BH667),1))</f>
        <v/>
      </c>
      <c r="AW667" s="7">
        <f>N(W667)*N(AF667)*N(BI667)</f>
        <v/>
      </c>
      <c r="AX667" s="3">
        <f>IF(N(BH667)=0,0,N(W667)*N(AH667))</f>
        <v/>
      </c>
      <c r="AY667" s="7">
        <f>N(AM667)*(Assumptions!$B$13*N(BK667)-(1-Assumptions!$B$13)*Assumptions!$B$14)+N(AN667)</f>
        <v/>
      </c>
      <c r="AZ667" s="7">
        <f>N(AU667)*N(R667)/90+N(AV667)+N(AW667)+N(AX667)+N(AY667)</f>
        <v/>
      </c>
      <c r="BA667" s="3">
        <f>IF(N(R667)&lt;=0,0,(N(AZ667)-N(AY667))*90/N(R667))</f>
        <v/>
      </c>
      <c r="BB667" s="7">
        <f>IFERROR(AZ667-VLOOKUP($E667,Assumptions!$A$40:$C$43,3,FALSE),"")</f>
        <v/>
      </c>
      <c r="BC667" s="3">
        <f>IFERROR(BB667/H667,"")</f>
        <v/>
      </c>
      <c r="BD667">
        <f>IF(AND($G667=TRUE,$E667="GKP"),AZ667,"")</f>
        <v/>
      </c>
      <c r="BE667">
        <f>IF(AND($G667=TRUE,$E667="DEF"),AZ667,"")</f>
        <v/>
      </c>
      <c r="BF667">
        <f>IF(AND($G667=TRUE,$E667="MID"),AZ667,"")</f>
        <v/>
      </c>
      <c r="BG667">
        <f>IF(AND($G667=TRUE,$E667="FWD"),AZ667,"")</f>
        <v/>
      </c>
      <c r="BH667" t="n">
        <v>2</v>
      </c>
      <c r="BI667" t="n">
        <v>2</v>
      </c>
      <c r="BJ667" t="n">
        <v>1</v>
      </c>
      <c r="BK667" t="n">
        <v>5</v>
      </c>
    </row>
    <row r="668">
      <c r="A668" t="inlineStr">
        <is>
          <t>Valentín Barco</t>
        </is>
      </c>
      <c r="B668" t="inlineStr">
        <is>
          <t>CHE</t>
        </is>
      </c>
      <c r="D668" t="b">
        <v>0</v>
      </c>
      <c r="E668" t="inlineStr">
        <is>
          <t>MID</t>
        </is>
      </c>
      <c r="G668" t="b">
        <v>1</v>
      </c>
      <c r="H668" s="2" t="n">
        <v>5.5</v>
      </c>
      <c r="I668" t="inlineStr">
        <is>
          <t>a</t>
        </is>
      </c>
      <c r="K668" s="2" t="n"/>
      <c r="M668" s="3" t="n">
        <v>315</v>
      </c>
      <c r="N668" s="8" t="n">
        <v>315</v>
      </c>
      <c r="O668" s="8" t="n">
        <v>0</v>
      </c>
      <c r="Q668" t="inlineStr">
        <is>
          <t>flat</t>
        </is>
      </c>
      <c r="R668" s="6" t="n">
        <v>315</v>
      </c>
      <c r="S668" t="inlineStr">
        <is>
          <t>Solio</t>
        </is>
      </c>
      <c r="U668" s="6" t="n">
        <v>85</v>
      </c>
      <c r="V668" s="2" t="n"/>
      <c r="W668" s="7">
        <f>IF(N(U668)&lt;=0,0,MIN(Assumptions!$B$15,N(R668)/N(U668)))</f>
        <v/>
      </c>
      <c r="X668" s="6" t="n">
        <v>0.322</v>
      </c>
      <c r="Y668" s="3" t="n"/>
      <c r="Z668" t="inlineStr"/>
      <c r="AA668" s="3" t="n">
        <v>1</v>
      </c>
      <c r="AB668" s="3" t="n"/>
      <c r="AC668" s="3" t="n"/>
      <c r="AD668" s="3" t="n"/>
      <c r="AE668" s="3" t="n"/>
      <c r="AF668" s="3" t="n">
        <v>0</v>
      </c>
      <c r="AG668" s="3" t="n"/>
      <c r="AH668" s="3" t="n">
        <v>0</v>
      </c>
      <c r="AI668" s="3" t="n"/>
      <c r="AJ668" s="3" t="n">
        <v>2.4232</v>
      </c>
      <c r="AK668" s="3" t="n">
        <v>1.1851</v>
      </c>
      <c r="AL668" s="3" t="n">
        <v>-0.2234100738777944</v>
      </c>
      <c r="AM668" s="6" t="n">
        <v>0</v>
      </c>
      <c r="AN668" s="3" t="n">
        <v>0</v>
      </c>
      <c r="AO668" s="3" t="n">
        <v>0</v>
      </c>
      <c r="AP668" s="3" t="n">
        <v>0</v>
      </c>
      <c r="AQ668" s="3">
        <f>N(X668)*N(BJ668)</f>
        <v/>
      </c>
      <c r="AR668" s="3" t="n">
        <v>0</v>
      </c>
      <c r="AS668" s="3" t="n">
        <v>-0</v>
      </c>
      <c r="AT668" s="3" t="n">
        <v>-0.2234100738777944</v>
      </c>
      <c r="AU668" s="3">
        <f>SUM(AO668:AT668)</f>
        <v/>
      </c>
      <c r="AV668" s="7">
        <f>IF(OR(N(W668)&lt;=0,N(BH668)=0),0,N(W668)*IF(N(R668)/N(W668)&gt;=60,N(BH668),1))</f>
        <v/>
      </c>
      <c r="AW668" s="7">
        <f>N(W668)*N(AF668)*N(BI668)</f>
        <v/>
      </c>
      <c r="AX668" s="3">
        <f>IF(N(BH668)=0,0,N(W668)*N(AH668))</f>
        <v/>
      </c>
      <c r="AY668" s="7">
        <f>N(AM668)*(Assumptions!$B$13*N(BK668)-(1-Assumptions!$B$13)*Assumptions!$B$14)+N(AN668)</f>
        <v/>
      </c>
      <c r="AZ668" s="7">
        <f>N(AU668)*N(R668)/90+N(AV668)+N(AW668)+N(AX668)+N(AY668)</f>
        <v/>
      </c>
      <c r="BA668" s="3">
        <f>IF(N(R668)&lt;=0,0,(N(AZ668)-N(AY668))*90/N(R668))</f>
        <v/>
      </c>
      <c r="BB668" s="7">
        <f>IFERROR(AZ668-VLOOKUP($E668,Assumptions!$A$40:$C$43,3,FALSE),"")</f>
        <v/>
      </c>
      <c r="BC668" s="3">
        <f>IFERROR(BB668/H668,"")</f>
        <v/>
      </c>
      <c r="BD668">
        <f>IF(AND($G668=TRUE,$E668="GKP"),AZ668,"")</f>
        <v/>
      </c>
      <c r="BE668">
        <f>IF(AND($G668=TRUE,$E668="DEF"),AZ668,"")</f>
        <v/>
      </c>
      <c r="BF668">
        <f>IF(AND($G668=TRUE,$E668="MID"),AZ668,"")</f>
        <v/>
      </c>
      <c r="BG668">
        <f>IF(AND($G668=TRUE,$E668="FWD"),AZ668,"")</f>
        <v/>
      </c>
      <c r="BH668" t="n">
        <v>2</v>
      </c>
      <c r="BI668" t="n">
        <v>2</v>
      </c>
      <c r="BJ668" t="n">
        <v>1</v>
      </c>
      <c r="BK668" t="n">
        <v>5</v>
      </c>
    </row>
    <row r="669">
      <c r="A669" t="inlineStr">
        <is>
          <t>Emersonn Correia da Silva</t>
        </is>
      </c>
      <c r="B669" t="inlineStr">
        <is>
          <t>IPS</t>
        </is>
      </c>
      <c r="D669" t="b">
        <v>0</v>
      </c>
      <c r="E669" t="inlineStr">
        <is>
          <t>FWD</t>
        </is>
      </c>
      <c r="G669" t="b">
        <v>1</v>
      </c>
      <c r="H669" s="2" t="n">
        <v>5.5</v>
      </c>
      <c r="I669" t="inlineStr">
        <is>
          <t>a</t>
        </is>
      </c>
      <c r="K669" s="2" t="n"/>
      <c r="M669" s="3" t="n">
        <v>2366</v>
      </c>
      <c r="N669" s="8" t="n">
        <v>2366</v>
      </c>
      <c r="O669" s="8" t="n">
        <v>0</v>
      </c>
      <c r="Q669" t="inlineStr">
        <is>
          <t>flat</t>
        </is>
      </c>
      <c r="R669" s="6" t="n">
        <v>2366</v>
      </c>
      <c r="S669" t="inlineStr">
        <is>
          <t>Solio</t>
        </is>
      </c>
      <c r="U669" s="6" t="n">
        <v>85</v>
      </c>
      <c r="V669" s="2" t="n"/>
      <c r="W669" s="7">
        <f>IF(N(U669)&lt;=0,0,MIN(Assumptions!$B$15,N(R669)/N(U669)))</f>
        <v/>
      </c>
      <c r="X669" s="6" t="n">
        <v>0.17</v>
      </c>
      <c r="Y669" s="3" t="n"/>
      <c r="Z669" t="inlineStr"/>
      <c r="AA669" s="3" t="n">
        <v>1</v>
      </c>
      <c r="AB669" s="3" t="n"/>
      <c r="AC669" s="3" t="n"/>
      <c r="AD669" s="3" t="n"/>
      <c r="AE669" s="3" t="n"/>
      <c r="AF669" s="3" t="n">
        <v>0</v>
      </c>
      <c r="AG669" s="3" t="n"/>
      <c r="AH669" s="3" t="n">
        <v>0</v>
      </c>
      <c r="AI669" s="3" t="n"/>
      <c r="AJ669" s="3" t="n">
        <v>3.5741</v>
      </c>
      <c r="AK669" s="3" t="n">
        <v>1.8319</v>
      </c>
      <c r="AL669" s="3" t="n">
        <v>-0.174691292596322</v>
      </c>
      <c r="AM669" s="6" t="n">
        <v>1.585577986957572</v>
      </c>
      <c r="AN669" s="3" t="n">
        <v>0</v>
      </c>
      <c r="AO669" s="3" t="n">
        <v>0</v>
      </c>
      <c r="AP669" s="3" t="n">
        <v>0</v>
      </c>
      <c r="AQ669" s="3">
        <f>N(X669)*N(BJ669)</f>
        <v/>
      </c>
      <c r="AR669" s="3" t="n">
        <v>0</v>
      </c>
      <c r="AS669" s="3" t="n">
        <v>-0</v>
      </c>
      <c r="AT669" s="3" t="n">
        <v>-0.174691292596322</v>
      </c>
      <c r="AU669" s="3">
        <f>SUM(AO669:AT669)</f>
        <v/>
      </c>
      <c r="AV669" s="7">
        <f>IF(OR(N(W669)&lt;=0,N(BH669)=0),0,N(W669)*IF(N(R669)/N(W669)&gt;=60,N(BH669),1))</f>
        <v/>
      </c>
      <c r="AW669" s="7">
        <f>N(W669)*N(AF669)*N(BI669)</f>
        <v/>
      </c>
      <c r="AX669" s="3">
        <f>IF(N(BH669)=0,0,N(W669)*N(AH669))</f>
        <v/>
      </c>
      <c r="AY669" s="7">
        <f>N(AM669)*(Assumptions!$B$13*N(BK669)-(1-Assumptions!$B$13)*Assumptions!$B$14)+N(AN669)</f>
        <v/>
      </c>
      <c r="AZ669" s="7">
        <f>N(AU669)*N(R669)/90+N(AV669)+N(AW669)+N(AX669)+N(AY669)</f>
        <v/>
      </c>
      <c r="BA669" s="3">
        <f>IF(N(R669)&lt;=0,0,(N(AZ669)-N(AY669))*90/N(R669))</f>
        <v/>
      </c>
      <c r="BB669" s="7">
        <f>IFERROR(AZ669-VLOOKUP($E669,Assumptions!$A$40:$C$43,3,FALSE),"")</f>
        <v/>
      </c>
      <c r="BC669" s="3">
        <f>IFERROR(BB669/H669,"")</f>
        <v/>
      </c>
      <c r="BD669">
        <f>IF(AND($G669=TRUE,$E669="GKP"),AZ669,"")</f>
        <v/>
      </c>
      <c r="BE669">
        <f>IF(AND($G669=TRUE,$E669="DEF"),AZ669,"")</f>
        <v/>
      </c>
      <c r="BF669">
        <f>IF(AND($G669=TRUE,$E669="MID"),AZ669,"")</f>
        <v/>
      </c>
      <c r="BG669">
        <f>IF(AND($G669=TRUE,$E669="FWD"),AZ669,"")</f>
        <v/>
      </c>
      <c r="BH669" t="n">
        <v>2</v>
      </c>
      <c r="BI669" t="n">
        <v>2</v>
      </c>
      <c r="BJ669" t="n">
        <v>0</v>
      </c>
      <c r="BK669" t="n">
        <v>4</v>
      </c>
    </row>
    <row r="670">
      <c r="A670" t="inlineStr">
        <is>
          <t>Kayne van Oevelen</t>
        </is>
      </c>
      <c r="B670" t="inlineStr">
        <is>
          <t>IPS</t>
        </is>
      </c>
      <c r="D670" t="b">
        <v>0</v>
      </c>
      <c r="E670" t="inlineStr">
        <is>
          <t>GKP</t>
        </is>
      </c>
      <c r="G670" t="b">
        <v>1</v>
      </c>
      <c r="H670" s="2" t="n">
        <v>4.5</v>
      </c>
      <c r="I670" t="inlineStr">
        <is>
          <t>a</t>
        </is>
      </c>
      <c r="K670" s="2" t="n"/>
      <c r="M670" s="3" t="n">
        <v>35</v>
      </c>
      <c r="N670" s="8" t="n">
        <v>35</v>
      </c>
      <c r="O670" s="8" t="n">
        <v>0</v>
      </c>
      <c r="Q670" t="inlineStr">
        <is>
          <t>flat</t>
        </is>
      </c>
      <c r="R670" s="6" t="n">
        <v>35</v>
      </c>
      <c r="S670" t="inlineStr">
        <is>
          <t>Solio</t>
        </is>
      </c>
      <c r="U670" s="6" t="n">
        <v>85</v>
      </c>
      <c r="V670" s="2" t="n"/>
      <c r="W670" s="7">
        <f>IF(N(U670)&lt;=0,0,MIN(Assumptions!$B$15,N(R670)/N(U670)))</f>
        <v/>
      </c>
      <c r="X670" s="6" t="n">
        <v>0.17</v>
      </c>
      <c r="Y670" s="3" t="n"/>
      <c r="Z670" t="inlineStr"/>
      <c r="AA670" s="3" t="n">
        <v>1</v>
      </c>
      <c r="AB670" s="3" t="n"/>
      <c r="AC670" s="3" t="n"/>
      <c r="AD670" s="3" t="n"/>
      <c r="AE670" s="3" t="n">
        <v>0</v>
      </c>
      <c r="AF670" s="3" t="n">
        <v>0</v>
      </c>
      <c r="AG670" s="3" t="n"/>
      <c r="AH670" s="3" t="n">
        <v>0</v>
      </c>
      <c r="AI670" s="3" t="n"/>
      <c r="AJ670" s="3" t="n">
        <v>3.5741</v>
      </c>
      <c r="AK670" s="3" t="n">
        <v>1.8319</v>
      </c>
      <c r="AL670" s="3" t="n">
        <v>-0.0763216474948735</v>
      </c>
      <c r="AM670" s="6" t="n">
        <v>0</v>
      </c>
      <c r="AN670" s="3" t="n">
        <v>0.0400226050740512</v>
      </c>
      <c r="AO670" s="3" t="n">
        <v>0</v>
      </c>
      <c r="AP670" s="3" t="n">
        <v>0</v>
      </c>
      <c r="AQ670" s="3">
        <f>N(X670)*N(BJ670)</f>
        <v/>
      </c>
      <c r="AR670" s="3" t="n">
        <v>0.8565116974562608</v>
      </c>
      <c r="AS670" s="3" t="n">
        <v>-0.6723587286814016</v>
      </c>
      <c r="AT670" s="3" t="n">
        <v>-0.0763216474948735</v>
      </c>
      <c r="AU670" s="3">
        <f>SUM(AO670:AT670)</f>
        <v/>
      </c>
      <c r="AV670" s="7">
        <f>IF(OR(N(W670)&lt;=0,N(BH670)=0),0,N(W670)*IF(N(R670)/N(W670)&gt;=60,N(BH670),1))</f>
        <v/>
      </c>
      <c r="AW670" s="7">
        <f>N(W670)*N(AF670)*N(BI670)</f>
        <v/>
      </c>
      <c r="AX670" s="3">
        <f>IF(N(BH670)=0,0,N(W670)*N(AH670))</f>
        <v/>
      </c>
      <c r="AY670" s="7">
        <f>N(AM670)*(Assumptions!$B$13*N(BK670)-(1-Assumptions!$B$13)*Assumptions!$B$14)+N(AN670)</f>
        <v/>
      </c>
      <c r="AZ670" s="7">
        <f>N(AU670)*N(R670)/90+N(AV670)+N(AW670)+N(AX670)+N(AY670)</f>
        <v/>
      </c>
      <c r="BA670" s="3">
        <f>IF(N(R670)&lt;=0,0,(N(AZ670)-N(AY670))*90/N(R670))</f>
        <v/>
      </c>
      <c r="BB670" s="7">
        <f>IFERROR(AZ670-VLOOKUP($E670,Assumptions!$A$40:$C$43,3,FALSE),"")</f>
        <v/>
      </c>
      <c r="BC670" s="3">
        <f>IFERROR(BB670/H670,"")</f>
        <v/>
      </c>
      <c r="BD670">
        <f>IF(AND($G670=TRUE,$E670="GKP"),AZ670,"")</f>
        <v/>
      </c>
      <c r="BE670">
        <f>IF(AND($G670=TRUE,$E670="DEF"),AZ670,"")</f>
        <v/>
      </c>
      <c r="BF670">
        <f>IF(AND($G670=TRUE,$E670="MID"),AZ670,"")</f>
        <v/>
      </c>
      <c r="BG670">
        <f>IF(AND($G670=TRUE,$E670="FWD"),AZ670,"")</f>
        <v/>
      </c>
      <c r="BH670" t="n">
        <v>2</v>
      </c>
      <c r="BI670" t="n">
        <v>0</v>
      </c>
      <c r="BJ670" t="n">
        <v>4</v>
      </c>
      <c r="BK670" t="n">
        <v>10</v>
      </c>
    </row>
    <row r="671">
      <c r="A671" t="inlineStr">
        <is>
          <t>Lucas Pires</t>
        </is>
      </c>
      <c r="C671" t="inlineStr">
        <is>
          <t>BUR</t>
        </is>
      </c>
      <c r="D671" t="b">
        <v>0</v>
      </c>
      <c r="F671" t="inlineStr">
        <is>
          <t>DEF</t>
        </is>
      </c>
      <c r="G671" t="b">
        <v>0</v>
      </c>
      <c r="H671" s="2" t="n"/>
      <c r="K671" s="2" t="n">
        <v>1406</v>
      </c>
      <c r="M671" s="3" t="n"/>
      <c r="N671" s="8" t="n">
        <v>1406</v>
      </c>
      <c r="O671" s="8" t="n">
        <v>0</v>
      </c>
      <c r="R671" s="6" t="n">
        <v>1406</v>
      </c>
      <c r="S671" t="inlineStr">
        <is>
          <t>25/26 actual</t>
        </is>
      </c>
      <c r="U671" s="6" t="n">
        <v>88.09999999999999</v>
      </c>
      <c r="V671" s="2" t="n">
        <v>14</v>
      </c>
      <c r="W671" s="7">
        <f>IF(N(U671)&lt;=0,0,MIN(Assumptions!$B$15,N(R671)/N(U671)))</f>
        <v/>
      </c>
      <c r="X671" s="6" t="n"/>
      <c r="Y671" s="3" t="n">
        <v>0.0371</v>
      </c>
      <c r="Z671" t="inlineStr">
        <is>
          <t>adjusted xGOT</t>
        </is>
      </c>
      <c r="AA671" s="3" t="n">
        <v>1</v>
      </c>
      <c r="AB671" s="3" t="n">
        <v>0.965</v>
      </c>
      <c r="AC671" s="3" t="n">
        <v>0.6</v>
      </c>
      <c r="AD671" s="3" t="n">
        <v>0.0973</v>
      </c>
      <c r="AE671" s="3" t="n">
        <v>6.543</v>
      </c>
      <c r="AF671" s="3" t="n">
        <v>0</v>
      </c>
      <c r="AG671" s="3" t="n">
        <v>8.513999999999999</v>
      </c>
      <c r="AH671" s="3" t="n">
        <v>0</v>
      </c>
      <c r="AI671" s="3" t="n">
        <v>34</v>
      </c>
      <c r="AJ671" s="3" t="n"/>
      <c r="AK671" s="3" t="n"/>
      <c r="AL671" s="3" t="n"/>
      <c r="AM671" s="6" t="n">
        <v>0</v>
      </c>
      <c r="AN671" s="3" t="n">
        <v>0</v>
      </c>
      <c r="AO671" s="3" t="n">
        <v>0</v>
      </c>
      <c r="AP671" s="3" t="n">
        <v>0</v>
      </c>
      <c r="AQ671" s="3">
        <f>N(X671)*N(BJ671)</f>
        <v/>
      </c>
      <c r="AR671" s="3" t="n">
        <v>0</v>
      </c>
      <c r="AS671" s="3" t="n">
        <v>0</v>
      </c>
      <c r="AT671" s="3" t="n">
        <v>0</v>
      </c>
      <c r="AU671" s="3">
        <f>SUM(AO671:AT671)</f>
        <v/>
      </c>
      <c r="AV671" s="7">
        <f>IF(OR(N(W671)&lt;=0,N(BH671)=0),0,N(W671)*IF(N(R671)/N(W671)&gt;=60,N(BH671),1))</f>
        <v/>
      </c>
      <c r="AW671" s="7">
        <f>N(W671)*N(AF671)*N(BI671)</f>
        <v/>
      </c>
      <c r="AX671" s="3">
        <f>IF(N(BH671)=0,0,N(W671)*N(AH671))</f>
        <v/>
      </c>
      <c r="AY671" s="7">
        <f>N(AM671)*(Assumptions!$B$13*N(BK671)-(1-Assumptions!$B$13)*Assumptions!$B$14)+N(AN671)</f>
        <v/>
      </c>
      <c r="AZ671" s="7">
        <f>N(AU671)*N(R671)/90+N(AV671)+N(AW671)+N(AX671)+N(AY671)</f>
        <v/>
      </c>
      <c r="BA671" s="3">
        <f>IF(N(R671)&lt;=0,0,(N(AZ671)-N(AY671))*90/N(R671))</f>
        <v/>
      </c>
      <c r="BB671" s="7">
        <f>IFERROR(AZ671-VLOOKUP($E671,Assumptions!$A$40:$C$43,3,FALSE),"")</f>
        <v/>
      </c>
      <c r="BC671" s="3">
        <f>IFERROR(BB671/H671,"")</f>
        <v/>
      </c>
      <c r="BD671">
        <f>IF(AND($G671=TRUE,$E671="GKP"),AZ671,"")</f>
        <v/>
      </c>
      <c r="BE671">
        <f>IF(AND($G671=TRUE,$E671="DEF"),AZ671,"")</f>
        <v/>
      </c>
      <c r="BF671">
        <f>IF(AND($G671=TRUE,$E671="MID"),AZ671,"")</f>
        <v/>
      </c>
      <c r="BG671">
        <f>IF(AND($G671=TRUE,$E671="FWD"),AZ671,"")</f>
        <v/>
      </c>
      <c r="BH671" t="n">
        <v>0</v>
      </c>
      <c r="BI671" t="n">
        <v>0</v>
      </c>
      <c r="BJ671" t="n">
        <v>0</v>
      </c>
      <c r="BK671" t="n">
        <v>0</v>
      </c>
    </row>
    <row r="672">
      <c r="A672" t="inlineStr">
        <is>
          <t>Norman Bassette</t>
        </is>
      </c>
      <c r="B672" t="inlineStr">
        <is>
          <t>COV</t>
        </is>
      </c>
      <c r="D672" t="b">
        <v>0</v>
      </c>
      <c r="E672" t="inlineStr">
        <is>
          <t>FWD</t>
        </is>
      </c>
      <c r="G672" t="b">
        <v>1</v>
      </c>
      <c r="H672" s="2" t="n">
        <v>4.5</v>
      </c>
      <c r="I672" t="inlineStr">
        <is>
          <t>u</t>
        </is>
      </c>
      <c r="J672" t="inlineStr">
        <is>
          <t>Has joined KVC Westerlo on loan for the rest of the season</t>
        </is>
      </c>
      <c r="K672" s="2" t="n"/>
      <c r="M672" s="3" t="n"/>
      <c r="N672" s="8" t="n"/>
      <c r="O672" s="8" t="n"/>
      <c r="R672" s="6" t="n"/>
      <c r="S672" t="inlineStr"/>
      <c r="U672" s="6" t="n">
        <v>85</v>
      </c>
      <c r="V672" s="2" t="n"/>
      <c r="W672" s="7">
        <f>IF(N(U672)&lt;=0,0,MIN(Assumptions!$B$15,N(R672)/N(U672)))</f>
        <v/>
      </c>
      <c r="X672" s="6" t="n">
        <v>0.17</v>
      </c>
      <c r="Y672" s="3" t="n"/>
      <c r="Z672" t="inlineStr"/>
      <c r="AA672" s="3" t="n">
        <v>1</v>
      </c>
      <c r="AB672" s="3" t="n"/>
      <c r="AC672" s="3" t="n"/>
      <c r="AD672" s="3" t="n"/>
      <c r="AE672" s="3" t="n"/>
      <c r="AF672" s="3" t="n">
        <v>0</v>
      </c>
      <c r="AG672" s="3" t="n"/>
      <c r="AH672" s="3" t="n">
        <v>0</v>
      </c>
      <c r="AI672" s="3" t="n"/>
      <c r="AJ672" s="3" t="n">
        <v>3.6194</v>
      </c>
      <c r="AK672" s="3" t="n">
        <v>1.8271</v>
      </c>
      <c r="AL672" s="3" t="n">
        <v>-0.174691292596322</v>
      </c>
      <c r="AM672" s="6" t="n">
        <v>0</v>
      </c>
      <c r="AN672" s="3" t="n">
        <v>0</v>
      </c>
      <c r="AO672" s="3" t="n">
        <v>0</v>
      </c>
      <c r="AP672" s="3" t="n">
        <v>0</v>
      </c>
      <c r="AQ672" s="3">
        <f>N(X672)*N(BJ672)</f>
        <v/>
      </c>
      <c r="AR672" s="3" t="n">
        <v>0</v>
      </c>
      <c r="AS672" s="3" t="n">
        <v>-0</v>
      </c>
      <c r="AT672" s="3" t="n">
        <v>-0.174691292596322</v>
      </c>
      <c r="AU672" s="3">
        <f>SUM(AO672:AT672)</f>
        <v/>
      </c>
      <c r="AV672" s="7">
        <f>IF(OR(N(W672)&lt;=0,N(BH672)=0),0,N(W672)*IF(N(R672)/N(W672)&gt;=60,N(BH672),1))</f>
        <v/>
      </c>
      <c r="AW672" s="7">
        <f>N(W672)*N(AF672)*N(BI672)</f>
        <v/>
      </c>
      <c r="AX672" s="3">
        <f>IF(N(BH672)=0,0,N(W672)*N(AH672))</f>
        <v/>
      </c>
      <c r="AY672" s="7">
        <f>N(AM672)*(Assumptions!$B$13*N(BK672)-(1-Assumptions!$B$13)*Assumptions!$B$14)+N(AN672)</f>
        <v/>
      </c>
      <c r="AZ672" s="7">
        <f>N(AU672)*N(R672)/90+N(AV672)+N(AW672)+N(AX672)+N(AY672)</f>
        <v/>
      </c>
      <c r="BA672" s="3">
        <f>IF(N(R672)&lt;=0,0,(N(AZ672)-N(AY672))*90/N(R672))</f>
        <v/>
      </c>
      <c r="BB672" s="7">
        <f>IFERROR(AZ672-VLOOKUP($E672,Assumptions!$A$40:$C$43,3,FALSE),"")</f>
        <v/>
      </c>
      <c r="BC672" s="3">
        <f>IFERROR(BB672/H672,"")</f>
        <v/>
      </c>
      <c r="BD672">
        <f>IF(AND($G672=TRUE,$E672="GKP"),AZ672,"")</f>
        <v/>
      </c>
      <c r="BE672">
        <f>IF(AND($G672=TRUE,$E672="DEF"),AZ672,"")</f>
        <v/>
      </c>
      <c r="BF672">
        <f>IF(AND($G672=TRUE,$E672="MID"),AZ672,"")</f>
        <v/>
      </c>
      <c r="BG672">
        <f>IF(AND($G672=TRUE,$E672="FWD"),AZ672,"")</f>
        <v/>
      </c>
      <c r="BH672" t="n">
        <v>2</v>
      </c>
      <c r="BI672" t="n">
        <v>2</v>
      </c>
      <c r="BJ672" t="n">
        <v>0</v>
      </c>
      <c r="BK672" t="n">
        <v>4</v>
      </c>
    </row>
    <row r="673">
      <c r="A673" t="inlineStr">
        <is>
          <t>Jaydon Banel</t>
        </is>
      </c>
      <c r="C673" t="inlineStr">
        <is>
          <t>BUR</t>
        </is>
      </c>
      <c r="D673" t="b">
        <v>0</v>
      </c>
      <c r="F673" t="inlineStr">
        <is>
          <t>MID</t>
        </is>
      </c>
      <c r="G673" t="b">
        <v>0</v>
      </c>
      <c r="H673" s="2" t="n"/>
      <c r="K673" s="2" t="n">
        <v>9</v>
      </c>
      <c r="M673" s="3" t="n"/>
      <c r="N673" s="8" t="n">
        <v>9</v>
      </c>
      <c r="O673" s="8" t="n">
        <v>0</v>
      </c>
      <c r="R673" s="6" t="n">
        <v>9</v>
      </c>
      <c r="S673" t="inlineStr">
        <is>
          <t>25/26 actual</t>
        </is>
      </c>
      <c r="U673" s="6" t="n">
        <v>80.09999999999999</v>
      </c>
      <c r="V673" s="2" t="n">
        <v>0</v>
      </c>
      <c r="W673" s="7">
        <f>IF(N(U673)&lt;=0,0,MIN(Assumptions!$B$15,N(R673)/N(U673)))</f>
        <v/>
      </c>
      <c r="X673" s="6" t="n"/>
      <c r="Y673" s="3" t="n">
        <v>0</v>
      </c>
      <c r="Z673" t="inlineStr">
        <is>
          <t>blended xG</t>
        </is>
      </c>
      <c r="AA673" s="3" t="n">
        <v>1</v>
      </c>
      <c r="AB673" s="3" t="n">
        <v>1</v>
      </c>
      <c r="AC673" s="3" t="n">
        <v>0</v>
      </c>
      <c r="AD673" s="3" t="n">
        <v>0</v>
      </c>
      <c r="AE673" s="3" t="n">
        <v>8.471</v>
      </c>
      <c r="AF673" s="3" t="n">
        <v>0</v>
      </c>
      <c r="AG673" s="3" t="n">
        <v>6.85</v>
      </c>
      <c r="AH673" s="3" t="n">
        <v>0</v>
      </c>
      <c r="AI673" s="3" t="n">
        <v>1</v>
      </c>
      <c r="AJ673" s="3" t="n"/>
      <c r="AK673" s="3" t="n"/>
      <c r="AL673" s="3" t="n"/>
      <c r="AM673" s="6" t="n">
        <v>0</v>
      </c>
      <c r="AN673" s="3" t="n">
        <v>0</v>
      </c>
      <c r="AO673" s="3" t="n">
        <v>0</v>
      </c>
      <c r="AP673" s="3" t="n">
        <v>0</v>
      </c>
      <c r="AQ673" s="3">
        <f>N(X673)*N(BJ673)</f>
        <v/>
      </c>
      <c r="AR673" s="3" t="n">
        <v>0</v>
      </c>
      <c r="AS673" s="3" t="n">
        <v>0</v>
      </c>
      <c r="AT673" s="3" t="n">
        <v>0</v>
      </c>
      <c r="AU673" s="3">
        <f>SUM(AO673:AT673)</f>
        <v/>
      </c>
      <c r="AV673" s="7">
        <f>IF(OR(N(W673)&lt;=0,N(BH673)=0),0,N(W673)*IF(N(R673)/N(W673)&gt;=60,N(BH673),1))</f>
        <v/>
      </c>
      <c r="AW673" s="7">
        <f>N(W673)*N(AF673)*N(BI673)</f>
        <v/>
      </c>
      <c r="AX673" s="3">
        <f>IF(N(BH673)=0,0,N(W673)*N(AH673))</f>
        <v/>
      </c>
      <c r="AY673" s="7">
        <f>N(AM673)*(Assumptions!$B$13*N(BK673)-(1-Assumptions!$B$13)*Assumptions!$B$14)+N(AN673)</f>
        <v/>
      </c>
      <c r="AZ673" s="7">
        <f>N(AU673)*N(R673)/90+N(AV673)+N(AW673)+N(AX673)+N(AY673)</f>
        <v/>
      </c>
      <c r="BA673" s="3">
        <f>IF(N(R673)&lt;=0,0,(N(AZ673)-N(AY673))*90/N(R673))</f>
        <v/>
      </c>
      <c r="BB673" s="7">
        <f>IFERROR(AZ673-VLOOKUP($E673,Assumptions!$A$40:$C$43,3,FALSE),"")</f>
        <v/>
      </c>
      <c r="BC673" s="3">
        <f>IFERROR(BB673/H673,"")</f>
        <v/>
      </c>
      <c r="BD673">
        <f>IF(AND($G673=TRUE,$E673="GKP"),AZ673,"")</f>
        <v/>
      </c>
      <c r="BE673">
        <f>IF(AND($G673=TRUE,$E673="DEF"),AZ673,"")</f>
        <v/>
      </c>
      <c r="BF673">
        <f>IF(AND($G673=TRUE,$E673="MID"),AZ673,"")</f>
        <v/>
      </c>
      <c r="BG673">
        <f>IF(AND($G673=TRUE,$E673="FWD"),AZ673,"")</f>
        <v/>
      </c>
      <c r="BH673" t="n">
        <v>0</v>
      </c>
      <c r="BI673" t="n">
        <v>0</v>
      </c>
      <c r="BJ673" t="n">
        <v>0</v>
      </c>
      <c r="BK673" t="n">
        <v>0</v>
      </c>
    </row>
    <row r="674">
      <c r="A674" t="inlineStr">
        <is>
          <t>Jahnoah Markelo</t>
        </is>
      </c>
      <c r="B674" t="inlineStr">
        <is>
          <t>COV</t>
        </is>
      </c>
      <c r="D674" t="b">
        <v>0</v>
      </c>
      <c r="E674" t="inlineStr">
        <is>
          <t>FWD</t>
        </is>
      </c>
      <c r="G674" t="b">
        <v>1</v>
      </c>
      <c r="H674" s="2" t="n">
        <v>5</v>
      </c>
      <c r="I674" t="inlineStr">
        <is>
          <t>a</t>
        </is>
      </c>
      <c r="K674" s="2" t="n"/>
      <c r="M674" s="3" t="n">
        <v>0</v>
      </c>
      <c r="N674" s="8" t="n">
        <v>0</v>
      </c>
      <c r="O674" s="8" t="n">
        <v>0</v>
      </c>
      <c r="Q674" t="inlineStr">
        <is>
          <t>flat</t>
        </is>
      </c>
      <c r="R674" s="6" t="n">
        <v>0</v>
      </c>
      <c r="S674" t="inlineStr">
        <is>
          <t>Solio</t>
        </is>
      </c>
      <c r="U674" s="6" t="n">
        <v>85</v>
      </c>
      <c r="V674" s="2" t="n"/>
      <c r="W674" s="7">
        <f>IF(N(U674)&lt;=0,0,MIN(Assumptions!$B$15,N(R674)/N(U674)))</f>
        <v/>
      </c>
      <c r="X674" s="6" t="n">
        <v>0.17</v>
      </c>
      <c r="Y674" s="3" t="n"/>
      <c r="Z674" t="inlineStr"/>
      <c r="AA674" s="3" t="n">
        <v>1</v>
      </c>
      <c r="AB674" s="3" t="n"/>
      <c r="AC674" s="3" t="n"/>
      <c r="AD674" s="3" t="n"/>
      <c r="AE674" s="3" t="n"/>
      <c r="AF674" s="3" t="n">
        <v>0</v>
      </c>
      <c r="AG674" s="3" t="n"/>
      <c r="AH674" s="3" t="n">
        <v>0</v>
      </c>
      <c r="AI674" s="3" t="n"/>
      <c r="AJ674" s="3" t="n">
        <v>3.6194</v>
      </c>
      <c r="AK674" s="3" t="n">
        <v>1.8271</v>
      </c>
      <c r="AL674" s="3" t="n">
        <v>-0.174691292596322</v>
      </c>
      <c r="AM674" s="6" t="n">
        <v>0</v>
      </c>
      <c r="AN674" s="3" t="n">
        <v>0</v>
      </c>
      <c r="AO674" s="3" t="n">
        <v>0</v>
      </c>
      <c r="AP674" s="3" t="n">
        <v>0</v>
      </c>
      <c r="AQ674" s="3">
        <f>N(X674)*N(BJ674)</f>
        <v/>
      </c>
      <c r="AR674" s="3" t="n">
        <v>0</v>
      </c>
      <c r="AS674" s="3" t="n">
        <v>-0</v>
      </c>
      <c r="AT674" s="3" t="n">
        <v>-0.174691292596322</v>
      </c>
      <c r="AU674" s="3">
        <f>SUM(AO674:AT674)</f>
        <v/>
      </c>
      <c r="AV674" s="7">
        <f>IF(OR(N(W674)&lt;=0,N(BH674)=0),0,N(W674)*IF(N(R674)/N(W674)&gt;=60,N(BH674),1))</f>
        <v/>
      </c>
      <c r="AW674" s="7">
        <f>N(W674)*N(AF674)*N(BI674)</f>
        <v/>
      </c>
      <c r="AX674" s="3">
        <f>IF(N(BH674)=0,0,N(W674)*N(AH674))</f>
        <v/>
      </c>
      <c r="AY674" s="7">
        <f>N(AM674)*(Assumptions!$B$13*N(BK674)-(1-Assumptions!$B$13)*Assumptions!$B$14)+N(AN674)</f>
        <v/>
      </c>
      <c r="AZ674" s="7">
        <f>N(AU674)*N(R674)/90+N(AV674)+N(AW674)+N(AX674)+N(AY674)</f>
        <v/>
      </c>
      <c r="BA674" s="3">
        <f>IF(N(R674)&lt;=0,0,(N(AZ674)-N(AY674))*90/N(R674))</f>
        <v/>
      </c>
      <c r="BB674" s="7">
        <f>IFERROR(AZ674-VLOOKUP($E674,Assumptions!$A$40:$C$43,3,FALSE),"")</f>
        <v/>
      </c>
      <c r="BC674" s="3">
        <f>IFERROR(BB674/H674,"")</f>
        <v/>
      </c>
      <c r="BD674">
        <f>IF(AND($G674=TRUE,$E674="GKP"),AZ674,"")</f>
        <v/>
      </c>
      <c r="BE674">
        <f>IF(AND($G674=TRUE,$E674="DEF"),AZ674,"")</f>
        <v/>
      </c>
      <c r="BF674">
        <f>IF(AND($G674=TRUE,$E674="MID"),AZ674,"")</f>
        <v/>
      </c>
      <c r="BG674">
        <f>IF(AND($G674=TRUE,$E674="FWD"),AZ674,"")</f>
        <v/>
      </c>
      <c r="BH674" t="n">
        <v>2</v>
      </c>
      <c r="BI674" t="n">
        <v>2</v>
      </c>
      <c r="BJ674" t="n">
        <v>0</v>
      </c>
      <c r="BK674" t="n">
        <v>4</v>
      </c>
    </row>
    <row r="675">
      <c r="A675" t="inlineStr">
        <is>
          <t>Gonzalo García</t>
        </is>
      </c>
      <c r="B675" t="inlineStr">
        <is>
          <t>FUL</t>
        </is>
      </c>
      <c r="D675" t="b">
        <v>0</v>
      </c>
      <c r="E675" t="inlineStr">
        <is>
          <t>FWD</t>
        </is>
      </c>
      <c r="G675" t="b">
        <v>1</v>
      </c>
      <c r="H675" s="2" t="n">
        <v>6</v>
      </c>
      <c r="I675" t="inlineStr">
        <is>
          <t>a</t>
        </is>
      </c>
      <c r="K675" s="2" t="n"/>
      <c r="M675" s="3" t="n">
        <v>2696</v>
      </c>
      <c r="N675" s="8" t="n">
        <v>2696</v>
      </c>
      <c r="O675" s="8" t="n">
        <v>0</v>
      </c>
      <c r="Q675" t="inlineStr">
        <is>
          <t>flat</t>
        </is>
      </c>
      <c r="R675" s="6" t="n">
        <v>2696</v>
      </c>
      <c r="S675" t="inlineStr">
        <is>
          <t>Solio</t>
        </is>
      </c>
      <c r="U675" s="6" t="n">
        <v>85</v>
      </c>
      <c r="V675" s="2" t="n"/>
      <c r="W675" s="7">
        <f>IF(N(U675)&lt;=0,0,MIN(Assumptions!$B$15,N(R675)/N(U675)))</f>
        <v/>
      </c>
      <c r="X675" s="6" t="n">
        <v>0.214</v>
      </c>
      <c r="Y675" s="3" t="n"/>
      <c r="Z675" t="inlineStr"/>
      <c r="AA675" s="3" t="n">
        <v>1</v>
      </c>
      <c r="AB675" s="3" t="n"/>
      <c r="AC675" s="3" t="n"/>
      <c r="AD675" s="3" t="n"/>
      <c r="AE675" s="3" t="n"/>
      <c r="AF675" s="3" t="n">
        <v>0</v>
      </c>
      <c r="AG675" s="3" t="n"/>
      <c r="AH675" s="3" t="n">
        <v>0</v>
      </c>
      <c r="AI675" s="3" t="n"/>
      <c r="AJ675" s="3" t="n">
        <v>3.22</v>
      </c>
      <c r="AK675" s="3" t="n">
        <v>1.6019</v>
      </c>
      <c r="AL675" s="3" t="n">
        <v>-0.174691292596322</v>
      </c>
      <c r="AM675" s="6" t="n">
        <v>3.327363353167932</v>
      </c>
      <c r="AN675" s="3" t="n">
        <v>0</v>
      </c>
      <c r="AO675" s="3" t="n">
        <v>0</v>
      </c>
      <c r="AP675" s="3" t="n">
        <v>0</v>
      </c>
      <c r="AQ675" s="3">
        <f>N(X675)*N(BJ675)</f>
        <v/>
      </c>
      <c r="AR675" s="3" t="n">
        <v>0</v>
      </c>
      <c r="AS675" s="3" t="n">
        <v>-0</v>
      </c>
      <c r="AT675" s="3" t="n">
        <v>-0.174691292596322</v>
      </c>
      <c r="AU675" s="3">
        <f>SUM(AO675:AT675)</f>
        <v/>
      </c>
      <c r="AV675" s="7">
        <f>IF(OR(N(W675)&lt;=0,N(BH675)=0),0,N(W675)*IF(N(R675)/N(W675)&gt;=60,N(BH675),1))</f>
        <v/>
      </c>
      <c r="AW675" s="7">
        <f>N(W675)*N(AF675)*N(BI675)</f>
        <v/>
      </c>
      <c r="AX675" s="3">
        <f>IF(N(BH675)=0,0,N(W675)*N(AH675))</f>
        <v/>
      </c>
      <c r="AY675" s="7">
        <f>N(AM675)*(Assumptions!$B$13*N(BK675)-(1-Assumptions!$B$13)*Assumptions!$B$14)+N(AN675)</f>
        <v/>
      </c>
      <c r="AZ675" s="7">
        <f>N(AU675)*N(R675)/90+N(AV675)+N(AW675)+N(AX675)+N(AY675)</f>
        <v/>
      </c>
      <c r="BA675" s="3">
        <f>IF(N(R675)&lt;=0,0,(N(AZ675)-N(AY675))*90/N(R675))</f>
        <v/>
      </c>
      <c r="BB675" s="7">
        <f>IFERROR(AZ675-VLOOKUP($E675,Assumptions!$A$40:$C$43,3,FALSE),"")</f>
        <v/>
      </c>
      <c r="BC675" s="3">
        <f>IFERROR(BB675/H675,"")</f>
        <v/>
      </c>
      <c r="BD675">
        <f>IF(AND($G675=TRUE,$E675="GKP"),AZ675,"")</f>
        <v/>
      </c>
      <c r="BE675">
        <f>IF(AND($G675=TRUE,$E675="DEF"),AZ675,"")</f>
        <v/>
      </c>
      <c r="BF675">
        <f>IF(AND($G675=TRUE,$E675="MID"),AZ675,"")</f>
        <v/>
      </c>
      <c r="BG675">
        <f>IF(AND($G675=TRUE,$E675="FWD"),AZ675,"")</f>
        <v/>
      </c>
      <c r="BH675" t="n">
        <v>2</v>
      </c>
      <c r="BI675" t="n">
        <v>2</v>
      </c>
      <c r="BJ675" t="n">
        <v>0</v>
      </c>
      <c r="BK675" t="n">
        <v>4</v>
      </c>
    </row>
    <row r="676">
      <c r="A676" t="inlineStr">
        <is>
          <t>Álex Jiménez</t>
        </is>
      </c>
      <c r="C676" t="inlineStr">
        <is>
          <t>BOU</t>
        </is>
      </c>
      <c r="D676" t="b">
        <v>0</v>
      </c>
      <c r="F676" t="inlineStr">
        <is>
          <t>DEF</t>
        </is>
      </c>
      <c r="G676" t="b">
        <v>0</v>
      </c>
      <c r="H676" s="2" t="n"/>
      <c r="K676" s="2" t="n">
        <v>2323</v>
      </c>
      <c r="M676" s="3" t="n"/>
      <c r="N676" s="8" t="n">
        <v>2323</v>
      </c>
      <c r="O676" s="8" t="n">
        <v>0</v>
      </c>
      <c r="R676" s="6" t="n">
        <v>2323</v>
      </c>
      <c r="S676" t="inlineStr">
        <is>
          <t>25/26 actual</t>
        </is>
      </c>
      <c r="U676" s="6" t="n">
        <v>84.09999999999999</v>
      </c>
      <c r="V676" s="2" t="n">
        <v>26</v>
      </c>
      <c r="W676" s="7">
        <f>IF(N(U676)&lt;=0,0,MIN(Assumptions!$B$15,N(R676)/N(U676)))</f>
        <v/>
      </c>
      <c r="X676" s="6" t="n"/>
      <c r="Y676" s="3" t="n">
        <v>0.0423</v>
      </c>
      <c r="Z676" t="inlineStr">
        <is>
          <t>adjusted xGOT</t>
        </is>
      </c>
      <c r="AA676" s="3" t="n">
        <v>1</v>
      </c>
      <c r="AB676" s="3" t="n">
        <v>1.001</v>
      </c>
      <c r="AC676" s="3" t="n">
        <v>1.1</v>
      </c>
      <c r="AD676" s="3" t="n">
        <v>0.066</v>
      </c>
      <c r="AE676" s="3" t="n">
        <v>6.212</v>
      </c>
      <c r="AF676" s="3" t="n">
        <v>0</v>
      </c>
      <c r="AG676" s="3" t="n">
        <v>7.847</v>
      </c>
      <c r="AH676" s="3" t="n">
        <v>0</v>
      </c>
      <c r="AI676" s="3" t="n">
        <v>56</v>
      </c>
      <c r="AJ676" s="3" t="n"/>
      <c r="AK676" s="3" t="n"/>
      <c r="AL676" s="3" t="n"/>
      <c r="AM676" s="6" t="n">
        <v>0</v>
      </c>
      <c r="AN676" s="3" t="n">
        <v>0</v>
      </c>
      <c r="AO676" s="3" t="n">
        <v>0</v>
      </c>
      <c r="AP676" s="3" t="n">
        <v>0</v>
      </c>
      <c r="AQ676" s="3">
        <f>N(X676)*N(BJ676)</f>
        <v/>
      </c>
      <c r="AR676" s="3" t="n">
        <v>0</v>
      </c>
      <c r="AS676" s="3" t="n">
        <v>0</v>
      </c>
      <c r="AT676" s="3" t="n">
        <v>0</v>
      </c>
      <c r="AU676" s="3">
        <f>SUM(AO676:AT676)</f>
        <v/>
      </c>
      <c r="AV676" s="7">
        <f>IF(OR(N(W676)&lt;=0,N(BH676)=0),0,N(W676)*IF(N(R676)/N(W676)&gt;=60,N(BH676),1))</f>
        <v/>
      </c>
      <c r="AW676" s="7">
        <f>N(W676)*N(AF676)*N(BI676)</f>
        <v/>
      </c>
      <c r="AX676" s="3">
        <f>IF(N(BH676)=0,0,N(W676)*N(AH676))</f>
        <v/>
      </c>
      <c r="AY676" s="7">
        <f>N(AM676)*(Assumptions!$B$13*N(BK676)-(1-Assumptions!$B$13)*Assumptions!$B$14)+N(AN676)</f>
        <v/>
      </c>
      <c r="AZ676" s="7">
        <f>N(AU676)*N(R676)/90+N(AV676)+N(AW676)+N(AX676)+N(AY676)</f>
        <v/>
      </c>
      <c r="BA676" s="3">
        <f>IF(N(R676)&lt;=0,0,(N(AZ676)-N(AY676))*90/N(R676))</f>
        <v/>
      </c>
      <c r="BB676" s="7">
        <f>IFERROR(AZ676-VLOOKUP($E676,Assumptions!$A$40:$C$43,3,FALSE),"")</f>
        <v/>
      </c>
      <c r="BC676" s="3">
        <f>IFERROR(BB676/H676,"")</f>
        <v/>
      </c>
      <c r="BD676">
        <f>IF(AND($G676=TRUE,$E676="GKP"),AZ676,"")</f>
        <v/>
      </c>
      <c r="BE676">
        <f>IF(AND($G676=TRUE,$E676="DEF"),AZ676,"")</f>
        <v/>
      </c>
      <c r="BF676">
        <f>IF(AND($G676=TRUE,$E676="MID"),AZ676,"")</f>
        <v/>
      </c>
      <c r="BG676">
        <f>IF(AND($G676=TRUE,$E676="FWD"),AZ676,"")</f>
        <v/>
      </c>
      <c r="BH676" t="n">
        <v>0</v>
      </c>
      <c r="BI676" t="n">
        <v>0</v>
      </c>
      <c r="BJ676" t="n">
        <v>0</v>
      </c>
      <c r="BK676" t="n">
        <v>0</v>
      </c>
    </row>
    <row r="677">
      <c r="A677" t="inlineStr">
        <is>
          <t>Victor Munoz</t>
        </is>
      </c>
      <c r="B677" t="inlineStr">
        <is>
          <t>LIV</t>
        </is>
      </c>
      <c r="D677" t="b">
        <v>0</v>
      </c>
      <c r="E677" t="inlineStr">
        <is>
          <t>MID</t>
        </is>
      </c>
      <c r="G677" t="b">
        <v>1</v>
      </c>
      <c r="H677" s="2" t="n">
        <v>6.5</v>
      </c>
      <c r="I677" t="inlineStr">
        <is>
          <t>a</t>
        </is>
      </c>
      <c r="K677" s="2" t="n"/>
      <c r="M677" s="3" t="n">
        <v>796</v>
      </c>
      <c r="N677" s="4" t="n">
        <v>1600</v>
      </c>
      <c r="O677" s="4" t="n">
        <v>804</v>
      </c>
      <c r="P677" s="5" t="inlineStr">
        <is>
          <t>medium</t>
        </is>
      </c>
      <c r="Q677" t="inlineStr">
        <is>
          <t>flat</t>
        </is>
      </c>
      <c r="R677" s="6" t="n">
        <v>1600</v>
      </c>
      <c r="S677" t="inlineStr">
        <is>
          <t>research</t>
        </is>
      </c>
      <c r="T677" s="5" t="inlineStr">
        <is>
          <t>Solio gives Liverpool's £34.7m first signing of the Iraola regime only 796 minutes. He is named at left wing in This Is Anfield's Anfield 'dress rehearsal for Newcastle' XI (Alisson; Frimpong, Araujo, Van Dijk, Kerkez; Gravenberch, Szoboszlai; Ngumoha, Wirtz, Munoz; Isak), and the Premier League's own preview has him occupying left wing in Iraola's 4-2-3-1. Held below a full starter's allocation because he returned late from winning the World Cup with Spain and because Liverpool are still chasing Bradley Barcola as a first-choice left winger.</t>
        </is>
      </c>
      <c r="U677" s="6" t="n">
        <v>85</v>
      </c>
      <c r="V677" s="2" t="n"/>
      <c r="W677" s="7">
        <f>IF(N(U677)&lt;=0,0,MIN(Assumptions!$B$15,N(R677)/N(U677)))</f>
        <v/>
      </c>
      <c r="X677" s="6" t="n">
        <v>0.342</v>
      </c>
      <c r="Y677" s="3" t="n"/>
      <c r="Z677" t="inlineStr"/>
      <c r="AA677" s="3" t="n">
        <v>1</v>
      </c>
      <c r="AB677" s="3" t="n"/>
      <c r="AC677" s="3" t="n"/>
      <c r="AD677" s="3" t="n"/>
      <c r="AE677" s="3" t="n"/>
      <c r="AF677" s="3" t="n">
        <v>0</v>
      </c>
      <c r="AG677" s="3" t="n"/>
      <c r="AH677" s="3" t="n">
        <v>0</v>
      </c>
      <c r="AI677" s="3" t="n"/>
      <c r="AJ677" s="3" t="n">
        <v>2.409</v>
      </c>
      <c r="AK677" s="3" t="n">
        <v>1.1228</v>
      </c>
      <c r="AL677" s="3" t="n">
        <v>-0.2160434166173144</v>
      </c>
      <c r="AM677" s="6" t="n">
        <v>0</v>
      </c>
      <c r="AN677" s="3" t="n">
        <v>0</v>
      </c>
      <c r="AO677" s="3" t="n">
        <v>0</v>
      </c>
      <c r="AP677" s="3" t="n">
        <v>0</v>
      </c>
      <c r="AQ677" s="3">
        <f>N(X677)*N(BJ677)</f>
        <v/>
      </c>
      <c r="AR677" s="3" t="n">
        <v>0</v>
      </c>
      <c r="AS677" s="3" t="n">
        <v>-0</v>
      </c>
      <c r="AT677" s="3" t="n">
        <v>-0.2160434166173144</v>
      </c>
      <c r="AU677" s="3">
        <f>SUM(AO677:AT677)</f>
        <v/>
      </c>
      <c r="AV677" s="7">
        <f>IF(OR(N(W677)&lt;=0,N(BH677)=0),0,N(W677)*IF(N(R677)/N(W677)&gt;=60,N(BH677),1))</f>
        <v/>
      </c>
      <c r="AW677" s="7">
        <f>N(W677)*N(AF677)*N(BI677)</f>
        <v/>
      </c>
      <c r="AX677" s="3">
        <f>IF(N(BH677)=0,0,N(W677)*N(AH677))</f>
        <v/>
      </c>
      <c r="AY677" s="7">
        <f>N(AM677)*(Assumptions!$B$13*N(BK677)-(1-Assumptions!$B$13)*Assumptions!$B$14)+N(AN677)</f>
        <v/>
      </c>
      <c r="AZ677" s="7">
        <f>N(AU677)*N(R677)/90+N(AV677)+N(AW677)+N(AX677)+N(AY677)</f>
        <v/>
      </c>
      <c r="BA677" s="3">
        <f>IF(N(R677)&lt;=0,0,(N(AZ677)-N(AY677))*90/N(R677))</f>
        <v/>
      </c>
      <c r="BB677" s="7">
        <f>IFERROR(AZ677-VLOOKUP($E677,Assumptions!$A$40:$C$43,3,FALSE),"")</f>
        <v/>
      </c>
      <c r="BC677" s="3">
        <f>IFERROR(BB677/H677,"")</f>
        <v/>
      </c>
      <c r="BD677">
        <f>IF(AND($G677=TRUE,$E677="GKP"),AZ677,"")</f>
        <v/>
      </c>
      <c r="BE677">
        <f>IF(AND($G677=TRUE,$E677="DEF"),AZ677,"")</f>
        <v/>
      </c>
      <c r="BF677">
        <f>IF(AND($G677=TRUE,$E677="MID"),AZ677,"")</f>
        <v/>
      </c>
      <c r="BG677">
        <f>IF(AND($G677=TRUE,$E677="FWD"),AZ677,"")</f>
        <v/>
      </c>
      <c r="BH677" t="n">
        <v>2</v>
      </c>
      <c r="BI677" t="n">
        <v>2</v>
      </c>
      <c r="BJ677" t="n">
        <v>1</v>
      </c>
      <c r="BK677" t="n">
        <v>5</v>
      </c>
    </row>
    <row r="678">
      <c r="A678" t="inlineStr">
        <is>
          <t>Jens Hjertø-Dahl</t>
        </is>
      </c>
      <c r="B678" t="inlineStr">
        <is>
          <t>HUL</t>
        </is>
      </c>
      <c r="D678" t="b">
        <v>0</v>
      </c>
      <c r="E678" t="inlineStr">
        <is>
          <t>MID</t>
        </is>
      </c>
      <c r="G678" t="b">
        <v>1</v>
      </c>
      <c r="H678" s="2" t="n">
        <v>5</v>
      </c>
      <c r="I678" t="inlineStr">
        <is>
          <t>a</t>
        </is>
      </c>
      <c r="K678" s="2" t="n"/>
      <c r="M678" s="3" t="n">
        <v>1750</v>
      </c>
      <c r="N678" s="8" t="n">
        <v>1750</v>
      </c>
      <c r="O678" s="8" t="n">
        <v>0</v>
      </c>
      <c r="Q678" t="inlineStr">
        <is>
          <t>flat</t>
        </is>
      </c>
      <c r="R678" s="6" t="n">
        <v>1750</v>
      </c>
      <c r="S678" t="inlineStr">
        <is>
          <t>Solio</t>
        </is>
      </c>
      <c r="U678" s="6" t="n">
        <v>85</v>
      </c>
      <c r="V678" s="2" t="n"/>
      <c r="W678" s="7">
        <f>IF(N(U678)&lt;=0,0,MIN(Assumptions!$B$15,N(R678)/N(U678)))</f>
        <v/>
      </c>
      <c r="X678" s="6" t="n">
        <v>0.143</v>
      </c>
      <c r="Y678" s="3" t="n"/>
      <c r="Z678" t="inlineStr"/>
      <c r="AA678" s="3" t="n">
        <v>1</v>
      </c>
      <c r="AB678" s="3" t="n"/>
      <c r="AC678" s="3" t="n"/>
      <c r="AD678" s="3" t="n"/>
      <c r="AE678" s="3" t="n"/>
      <c r="AF678" s="3" t="n">
        <v>0</v>
      </c>
      <c r="AG678" s="3" t="n"/>
      <c r="AH678" s="3" t="n">
        <v>0</v>
      </c>
      <c r="AI678" s="3" t="n"/>
      <c r="AJ678" s="3" t="n">
        <v>3.9421</v>
      </c>
      <c r="AK678" s="3" t="n">
        <v>1.99</v>
      </c>
      <c r="AL678" s="3" t="n">
        <v>-0.2160434166173144</v>
      </c>
      <c r="AM678" s="6" t="n">
        <v>0</v>
      </c>
      <c r="AN678" s="3" t="n">
        <v>0</v>
      </c>
      <c r="AO678" s="3" t="n">
        <v>0</v>
      </c>
      <c r="AP678" s="3" t="n">
        <v>0</v>
      </c>
      <c r="AQ678" s="3">
        <f>N(X678)*N(BJ678)</f>
        <v/>
      </c>
      <c r="AR678" s="3" t="n">
        <v>0</v>
      </c>
      <c r="AS678" s="3" t="n">
        <v>-0</v>
      </c>
      <c r="AT678" s="3" t="n">
        <v>-0.2160434166173144</v>
      </c>
      <c r="AU678" s="3">
        <f>SUM(AO678:AT678)</f>
        <v/>
      </c>
      <c r="AV678" s="7">
        <f>IF(OR(N(W678)&lt;=0,N(BH678)=0),0,N(W678)*IF(N(R678)/N(W678)&gt;=60,N(BH678),1))</f>
        <v/>
      </c>
      <c r="AW678" s="7">
        <f>N(W678)*N(AF678)*N(BI678)</f>
        <v/>
      </c>
      <c r="AX678" s="3">
        <f>IF(N(BH678)=0,0,N(W678)*N(AH678))</f>
        <v/>
      </c>
      <c r="AY678" s="7">
        <f>N(AM678)*(Assumptions!$B$13*N(BK678)-(1-Assumptions!$B$13)*Assumptions!$B$14)+N(AN678)</f>
        <v/>
      </c>
      <c r="AZ678" s="7">
        <f>N(AU678)*N(R678)/90+N(AV678)+N(AW678)+N(AX678)+N(AY678)</f>
        <v/>
      </c>
      <c r="BA678" s="3">
        <f>IF(N(R678)&lt;=0,0,(N(AZ678)-N(AY678))*90/N(R678))</f>
        <v/>
      </c>
      <c r="BB678" s="7">
        <f>IFERROR(AZ678-VLOOKUP($E678,Assumptions!$A$40:$C$43,3,FALSE),"")</f>
        <v/>
      </c>
      <c r="BC678" s="3">
        <f>IFERROR(BB678/H678,"")</f>
        <v/>
      </c>
      <c r="BD678">
        <f>IF(AND($G678=TRUE,$E678="GKP"),AZ678,"")</f>
        <v/>
      </c>
      <c r="BE678">
        <f>IF(AND($G678=TRUE,$E678="DEF"),AZ678,"")</f>
        <v/>
      </c>
      <c r="BF678">
        <f>IF(AND($G678=TRUE,$E678="MID"),AZ678,"")</f>
        <v/>
      </c>
      <c r="BG678">
        <f>IF(AND($G678=TRUE,$E678="FWD"),AZ678,"")</f>
        <v/>
      </c>
      <c r="BH678" t="n">
        <v>2</v>
      </c>
      <c r="BI678" t="n">
        <v>2</v>
      </c>
      <c r="BJ678" t="n">
        <v>1</v>
      </c>
      <c r="BK678" t="n">
        <v>5</v>
      </c>
    </row>
    <row r="679">
      <c r="A679" t="inlineStr">
        <is>
          <t>Óscar Zambrano</t>
        </is>
      </c>
      <c r="B679" t="inlineStr">
        <is>
          <t>HUL</t>
        </is>
      </c>
      <c r="D679" t="b">
        <v>0</v>
      </c>
      <c r="E679" t="inlineStr">
        <is>
          <t>MID</t>
        </is>
      </c>
      <c r="G679" t="b">
        <v>1</v>
      </c>
      <c r="H679" s="2" t="n">
        <v>4.5</v>
      </c>
      <c r="I679" t="inlineStr">
        <is>
          <t>i</t>
        </is>
      </c>
      <c r="J679" t="inlineStr">
        <is>
          <t>Thigh injury - Unknown return date</t>
        </is>
      </c>
      <c r="K679" s="2" t="n"/>
      <c r="M679" s="3" t="n">
        <v>88</v>
      </c>
      <c r="N679" s="8" t="n">
        <v>88</v>
      </c>
      <c r="O679" s="8" t="n">
        <v>0</v>
      </c>
      <c r="Q679" t="inlineStr">
        <is>
          <t>flat</t>
        </is>
      </c>
      <c r="R679" s="6" t="n">
        <v>88</v>
      </c>
      <c r="S679" t="inlineStr">
        <is>
          <t>Solio</t>
        </is>
      </c>
      <c r="U679" s="6" t="n">
        <v>85</v>
      </c>
      <c r="V679" s="2" t="n"/>
      <c r="W679" s="7">
        <f>IF(N(U679)&lt;=0,0,MIN(Assumptions!$B$15,N(R679)/N(U679)))</f>
        <v/>
      </c>
      <c r="X679" s="6" t="n">
        <v>0.143</v>
      </c>
      <c r="Y679" s="3" t="n"/>
      <c r="Z679" t="inlineStr"/>
      <c r="AA679" s="3" t="n">
        <v>1</v>
      </c>
      <c r="AB679" s="3" t="n"/>
      <c r="AC679" s="3" t="n"/>
      <c r="AD679" s="3" t="n"/>
      <c r="AE679" s="3" t="n"/>
      <c r="AF679" s="3" t="n">
        <v>0</v>
      </c>
      <c r="AG679" s="3" t="n"/>
      <c r="AH679" s="3" t="n">
        <v>0</v>
      </c>
      <c r="AI679" s="3" t="n"/>
      <c r="AJ679" s="3" t="n">
        <v>3.9421</v>
      </c>
      <c r="AK679" s="3" t="n">
        <v>1.99</v>
      </c>
      <c r="AL679" s="3" t="n">
        <v>-0.2160434166173144</v>
      </c>
      <c r="AM679" s="6" t="n">
        <v>0</v>
      </c>
      <c r="AN679" s="3" t="n">
        <v>0</v>
      </c>
      <c r="AO679" s="3" t="n">
        <v>0</v>
      </c>
      <c r="AP679" s="3" t="n">
        <v>0</v>
      </c>
      <c r="AQ679" s="3">
        <f>N(X679)*N(BJ679)</f>
        <v/>
      </c>
      <c r="AR679" s="3" t="n">
        <v>0</v>
      </c>
      <c r="AS679" s="3" t="n">
        <v>-0</v>
      </c>
      <c r="AT679" s="3" t="n">
        <v>-0.2160434166173144</v>
      </c>
      <c r="AU679" s="3">
        <f>SUM(AO679:AT679)</f>
        <v/>
      </c>
      <c r="AV679" s="7">
        <f>IF(OR(N(W679)&lt;=0,N(BH679)=0),0,N(W679)*IF(N(R679)/N(W679)&gt;=60,N(BH679),1))</f>
        <v/>
      </c>
      <c r="AW679" s="7">
        <f>N(W679)*N(AF679)*N(BI679)</f>
        <v/>
      </c>
      <c r="AX679" s="3">
        <f>IF(N(BH679)=0,0,N(W679)*N(AH679))</f>
        <v/>
      </c>
      <c r="AY679" s="7">
        <f>N(AM679)*(Assumptions!$B$13*N(BK679)-(1-Assumptions!$B$13)*Assumptions!$B$14)+N(AN679)</f>
        <v/>
      </c>
      <c r="AZ679" s="7">
        <f>N(AU679)*N(R679)/90+N(AV679)+N(AW679)+N(AX679)+N(AY679)</f>
        <v/>
      </c>
      <c r="BA679" s="3">
        <f>IF(N(R679)&lt;=0,0,(N(AZ679)-N(AY679))*90/N(R679))</f>
        <v/>
      </c>
      <c r="BB679" s="7">
        <f>IFERROR(AZ679-VLOOKUP($E679,Assumptions!$A$40:$C$43,3,FALSE),"")</f>
        <v/>
      </c>
      <c r="BC679" s="3">
        <f>IFERROR(BB679/H679,"")</f>
        <v/>
      </c>
      <c r="BD679">
        <f>IF(AND($G679=TRUE,$E679="GKP"),AZ679,"")</f>
        <v/>
      </c>
      <c r="BE679">
        <f>IF(AND($G679=TRUE,$E679="DEF"),AZ679,"")</f>
        <v/>
      </c>
      <c r="BF679">
        <f>IF(AND($G679=TRUE,$E679="MID"),AZ679,"")</f>
        <v/>
      </c>
      <c r="BG679">
        <f>IF(AND($G679=TRUE,$E679="FWD"),AZ679,"")</f>
        <v/>
      </c>
      <c r="BH679" t="n">
        <v>2</v>
      </c>
      <c r="BI679" t="n">
        <v>2</v>
      </c>
      <c r="BJ679" t="n">
        <v>1</v>
      </c>
      <c r="BK679" t="n">
        <v>5</v>
      </c>
    </row>
    <row r="680">
      <c r="A680" t="inlineStr">
        <is>
          <t>Ewen Jaouen</t>
        </is>
      </c>
      <c r="B680" t="inlineStr">
        <is>
          <t>NEW</t>
        </is>
      </c>
      <c r="D680" t="b">
        <v>0</v>
      </c>
      <c r="E680" t="inlineStr">
        <is>
          <t>GKP</t>
        </is>
      </c>
      <c r="G680" t="b">
        <v>1</v>
      </c>
      <c r="H680" s="2" t="n">
        <v>4.5</v>
      </c>
      <c r="I680" t="inlineStr">
        <is>
          <t>a</t>
        </is>
      </c>
      <c r="K680" s="2" t="n"/>
      <c r="M680" s="3" t="n">
        <v>34</v>
      </c>
      <c r="N680" s="8" t="n">
        <v>34</v>
      </c>
      <c r="O680" s="8" t="n">
        <v>0</v>
      </c>
      <c r="Q680" t="inlineStr">
        <is>
          <t>flat</t>
        </is>
      </c>
      <c r="R680" s="6" t="n">
        <v>34</v>
      </c>
      <c r="S680" t="inlineStr">
        <is>
          <t>Solio</t>
        </is>
      </c>
      <c r="U680" s="6" t="n">
        <v>85</v>
      </c>
      <c r="V680" s="2" t="n"/>
      <c r="W680" s="7">
        <f>IF(N(U680)&lt;=0,0,MIN(Assumptions!$B$15,N(R680)/N(U680)))</f>
        <v/>
      </c>
      <c r="X680" s="6" t="n">
        <v>0.248</v>
      </c>
      <c r="Y680" s="3" t="n"/>
      <c r="Z680" t="inlineStr"/>
      <c r="AA680" s="3" t="n">
        <v>1</v>
      </c>
      <c r="AB680" s="3" t="n"/>
      <c r="AC680" s="3" t="n"/>
      <c r="AD680" s="3" t="n"/>
      <c r="AE680" s="3" t="n">
        <v>0</v>
      </c>
      <c r="AF680" s="3" t="n">
        <v>0</v>
      </c>
      <c r="AG680" s="3" t="n"/>
      <c r="AH680" s="3" t="n">
        <v>0</v>
      </c>
      <c r="AI680" s="3" t="n"/>
      <c r="AJ680" s="3" t="n">
        <v>3.0912</v>
      </c>
      <c r="AK680" s="3" t="n">
        <v>1.4534</v>
      </c>
      <c r="AL680" s="3" t="n">
        <v>-0.0763216474948735</v>
      </c>
      <c r="AM680" s="6" t="n">
        <v>0</v>
      </c>
      <c r="AN680" s="3" t="n">
        <v>0.0308459158642866</v>
      </c>
      <c r="AO680" s="3" t="n">
        <v>0</v>
      </c>
      <c r="AP680" s="3" t="n">
        <v>0</v>
      </c>
      <c r="AQ680" s="3">
        <f>N(X680)*N(BJ680)</f>
        <v/>
      </c>
      <c r="AR680" s="3" t="n">
        <v>0.6950146973483665</v>
      </c>
      <c r="AS680" s="3" t="n">
        <v>-0.4903625828545308</v>
      </c>
      <c r="AT680" s="3" t="n">
        <v>-0.0763216474948735</v>
      </c>
      <c r="AU680" s="3">
        <f>SUM(AO680:AT680)</f>
        <v/>
      </c>
      <c r="AV680" s="7">
        <f>IF(OR(N(W680)&lt;=0,N(BH680)=0),0,N(W680)*IF(N(R680)/N(W680)&gt;=60,N(BH680),1))</f>
        <v/>
      </c>
      <c r="AW680" s="7">
        <f>N(W680)*N(AF680)*N(BI680)</f>
        <v/>
      </c>
      <c r="AX680" s="3">
        <f>IF(N(BH680)=0,0,N(W680)*N(AH680))</f>
        <v/>
      </c>
      <c r="AY680" s="7">
        <f>N(AM680)*(Assumptions!$B$13*N(BK680)-(1-Assumptions!$B$13)*Assumptions!$B$14)+N(AN680)</f>
        <v/>
      </c>
      <c r="AZ680" s="7">
        <f>N(AU680)*N(R680)/90+N(AV680)+N(AW680)+N(AX680)+N(AY680)</f>
        <v/>
      </c>
      <c r="BA680" s="3">
        <f>IF(N(R680)&lt;=0,0,(N(AZ680)-N(AY680))*90/N(R680))</f>
        <v/>
      </c>
      <c r="BB680" s="7">
        <f>IFERROR(AZ680-VLOOKUP($E680,Assumptions!$A$40:$C$43,3,FALSE),"")</f>
        <v/>
      </c>
      <c r="BC680" s="3">
        <f>IFERROR(BB680/H680,"")</f>
        <v/>
      </c>
      <c r="BD680">
        <f>IF(AND($G680=TRUE,$E680="GKP"),AZ680,"")</f>
        <v/>
      </c>
      <c r="BE680">
        <f>IF(AND($G680=TRUE,$E680="DEF"),AZ680,"")</f>
        <v/>
      </c>
      <c r="BF680">
        <f>IF(AND($G680=TRUE,$E680="MID"),AZ680,"")</f>
        <v/>
      </c>
      <c r="BG680">
        <f>IF(AND($G680=TRUE,$E680="FWD"),AZ680,"")</f>
        <v/>
      </c>
      <c r="BH680" t="n">
        <v>2</v>
      </c>
      <c r="BI680" t="n">
        <v>0</v>
      </c>
      <c r="BJ680" t="n">
        <v>4</v>
      </c>
      <c r="BK680" t="n">
        <v>10</v>
      </c>
    </row>
    <row r="681">
      <c r="A681" t="inlineStr">
        <is>
          <t>Sindre Walle Egeli</t>
        </is>
      </c>
      <c r="B681" t="inlineStr">
        <is>
          <t>IPS</t>
        </is>
      </c>
      <c r="D681" t="b">
        <v>0</v>
      </c>
      <c r="E681" t="inlineStr">
        <is>
          <t>FWD</t>
        </is>
      </c>
      <c r="G681" t="b">
        <v>1</v>
      </c>
      <c r="H681" s="2" t="n">
        <v>4.5</v>
      </c>
      <c r="I681" t="inlineStr">
        <is>
          <t>a</t>
        </is>
      </c>
      <c r="K681" s="2" t="n"/>
      <c r="M681" s="3" t="n">
        <v>616</v>
      </c>
      <c r="N681" s="8" t="n">
        <v>616</v>
      </c>
      <c r="O681" s="8" t="n">
        <v>0</v>
      </c>
      <c r="Q681" t="inlineStr">
        <is>
          <t>flat</t>
        </is>
      </c>
      <c r="R681" s="6" t="n">
        <v>616</v>
      </c>
      <c r="S681" t="inlineStr">
        <is>
          <t>Solio</t>
        </is>
      </c>
      <c r="U681" s="6" t="n">
        <v>85</v>
      </c>
      <c r="V681" s="2" t="n"/>
      <c r="W681" s="7">
        <f>IF(N(U681)&lt;=0,0,MIN(Assumptions!$B$15,N(R681)/N(U681)))</f>
        <v/>
      </c>
      <c r="X681" s="6" t="n">
        <v>0.17</v>
      </c>
      <c r="Y681" s="3" t="n"/>
      <c r="Z681" t="inlineStr"/>
      <c r="AA681" s="3" t="n">
        <v>1</v>
      </c>
      <c r="AB681" s="3" t="n"/>
      <c r="AC681" s="3" t="n"/>
      <c r="AD681" s="3" t="n"/>
      <c r="AE681" s="3" t="n"/>
      <c r="AF681" s="3" t="n">
        <v>0</v>
      </c>
      <c r="AG681" s="3" t="n"/>
      <c r="AH681" s="3" t="n">
        <v>0</v>
      </c>
      <c r="AI681" s="3" t="n"/>
      <c r="AJ681" s="3" t="n">
        <v>3.5741</v>
      </c>
      <c r="AK681" s="3" t="n">
        <v>1.8319</v>
      </c>
      <c r="AL681" s="3" t="n">
        <v>-0.174691292596322</v>
      </c>
      <c r="AM681" s="6" t="n">
        <v>0</v>
      </c>
      <c r="AN681" s="3" t="n">
        <v>0</v>
      </c>
      <c r="AO681" s="3" t="n">
        <v>0</v>
      </c>
      <c r="AP681" s="3" t="n">
        <v>0</v>
      </c>
      <c r="AQ681" s="3">
        <f>N(X681)*N(BJ681)</f>
        <v/>
      </c>
      <c r="AR681" s="3" t="n">
        <v>0</v>
      </c>
      <c r="AS681" s="3" t="n">
        <v>-0</v>
      </c>
      <c r="AT681" s="3" t="n">
        <v>-0.174691292596322</v>
      </c>
      <c r="AU681" s="3">
        <f>SUM(AO681:AT681)</f>
        <v/>
      </c>
      <c r="AV681" s="7">
        <f>IF(OR(N(W681)&lt;=0,N(BH681)=0),0,N(W681)*IF(N(R681)/N(W681)&gt;=60,N(BH681),1))</f>
        <v/>
      </c>
      <c r="AW681" s="7">
        <f>N(W681)*N(AF681)*N(BI681)</f>
        <v/>
      </c>
      <c r="AX681" s="3">
        <f>IF(N(BH681)=0,0,N(W681)*N(AH681))</f>
        <v/>
      </c>
      <c r="AY681" s="7">
        <f>N(AM681)*(Assumptions!$B$13*N(BK681)-(1-Assumptions!$B$13)*Assumptions!$B$14)+N(AN681)</f>
        <v/>
      </c>
      <c r="AZ681" s="7">
        <f>N(AU681)*N(R681)/90+N(AV681)+N(AW681)+N(AX681)+N(AY681)</f>
        <v/>
      </c>
      <c r="BA681" s="3">
        <f>IF(N(R681)&lt;=0,0,(N(AZ681)-N(AY681))*90/N(R681))</f>
        <v/>
      </c>
      <c r="BB681" s="7">
        <f>IFERROR(AZ681-VLOOKUP($E681,Assumptions!$A$40:$C$43,3,FALSE),"")</f>
        <v/>
      </c>
      <c r="BC681" s="3">
        <f>IFERROR(BB681/H681,"")</f>
        <v/>
      </c>
      <c r="BD681">
        <f>IF(AND($G681=TRUE,$E681="GKP"),AZ681,"")</f>
        <v/>
      </c>
      <c r="BE681">
        <f>IF(AND($G681=TRUE,$E681="DEF"),AZ681,"")</f>
        <v/>
      </c>
      <c r="BF681">
        <f>IF(AND($G681=TRUE,$E681="MID"),AZ681,"")</f>
        <v/>
      </c>
      <c r="BG681">
        <f>IF(AND($G681=TRUE,$E681="FWD"),AZ681,"")</f>
        <v/>
      </c>
      <c r="BH681" t="n">
        <v>2</v>
      </c>
      <c r="BI681" t="n">
        <v>2</v>
      </c>
      <c r="BJ681" t="n">
        <v>0</v>
      </c>
      <c r="BK681" t="n">
        <v>4</v>
      </c>
    </row>
    <row r="682">
      <c r="A682" t="inlineStr">
        <is>
          <t>Jamaldeen Jimoh-Aloba</t>
        </is>
      </c>
      <c r="C682" t="inlineStr">
        <is>
          <t>AVL</t>
        </is>
      </c>
      <c r="D682" t="b">
        <v>0</v>
      </c>
      <c r="F682" t="inlineStr">
        <is>
          <t>MID</t>
        </is>
      </c>
      <c r="G682" t="b">
        <v>0</v>
      </c>
      <c r="H682" s="2" t="n"/>
      <c r="K682" s="2" t="n">
        <v>8</v>
      </c>
      <c r="M682" s="3" t="n"/>
      <c r="N682" s="8" t="n">
        <v>8</v>
      </c>
      <c r="O682" s="8" t="n">
        <v>0</v>
      </c>
      <c r="R682" s="6" t="n">
        <v>8</v>
      </c>
      <c r="S682" t="inlineStr">
        <is>
          <t>25/26 actual</t>
        </is>
      </c>
      <c r="U682" s="6" t="n">
        <v>80.09999999999999</v>
      </c>
      <c r="V682" s="2" t="n">
        <v>0</v>
      </c>
      <c r="W682" s="7">
        <f>IF(N(U682)&lt;=0,0,MIN(Assumptions!$B$15,N(R682)/N(U682)))</f>
        <v/>
      </c>
      <c r="X682" s="6" t="n"/>
      <c r="Y682" s="3" t="n"/>
      <c r="Z682" t="inlineStr"/>
      <c r="AA682" s="3" t="n">
        <v>1</v>
      </c>
      <c r="AB682" s="3" t="n">
        <v>1</v>
      </c>
      <c r="AC682" s="3" t="n">
        <v>0</v>
      </c>
      <c r="AD682" s="3" t="n"/>
      <c r="AE682" s="3" t="n">
        <v>8.606</v>
      </c>
      <c r="AF682" s="3" t="n">
        <v>0</v>
      </c>
      <c r="AG682" s="3" t="n">
        <v>6.957</v>
      </c>
      <c r="AH682" s="3" t="n">
        <v>0</v>
      </c>
      <c r="AI682" s="3" t="n">
        <v>1</v>
      </c>
      <c r="AJ682" s="3" t="n"/>
      <c r="AK682" s="3" t="n"/>
      <c r="AL682" s="3" t="n"/>
      <c r="AM682" s="6" t="n">
        <v>0</v>
      </c>
      <c r="AN682" s="3" t="n">
        <v>0</v>
      </c>
      <c r="AO682" s="3" t="n">
        <v>0</v>
      </c>
      <c r="AP682" s="3" t="n">
        <v>0</v>
      </c>
      <c r="AQ682" s="3">
        <f>N(X682)*N(BJ682)</f>
        <v/>
      </c>
      <c r="AR682" s="3" t="n">
        <v>0</v>
      </c>
      <c r="AS682" s="3" t="n">
        <v>0</v>
      </c>
      <c r="AT682" s="3" t="n">
        <v>0</v>
      </c>
      <c r="AU682" s="3">
        <f>SUM(AO682:AT682)</f>
        <v/>
      </c>
      <c r="AV682" s="7">
        <f>IF(OR(N(W682)&lt;=0,N(BH682)=0),0,N(W682)*IF(N(R682)/N(W682)&gt;=60,N(BH682),1))</f>
        <v/>
      </c>
      <c r="AW682" s="7">
        <f>N(W682)*N(AF682)*N(BI682)</f>
        <v/>
      </c>
      <c r="AX682" s="3">
        <f>IF(N(BH682)=0,0,N(W682)*N(AH682))</f>
        <v/>
      </c>
      <c r="AY682" s="7">
        <f>N(AM682)*(Assumptions!$B$13*N(BK682)-(1-Assumptions!$B$13)*Assumptions!$B$14)+N(AN682)</f>
        <v/>
      </c>
      <c r="AZ682" s="7">
        <f>N(AU682)*N(R682)/90+N(AV682)+N(AW682)+N(AX682)+N(AY682)</f>
        <v/>
      </c>
      <c r="BA682" s="3">
        <f>IF(N(R682)&lt;=0,0,(N(AZ682)-N(AY682))*90/N(R682))</f>
        <v/>
      </c>
      <c r="BB682" s="7">
        <f>IFERROR(AZ682-VLOOKUP($E682,Assumptions!$A$40:$C$43,3,FALSE),"")</f>
        <v/>
      </c>
      <c r="BC682" s="3">
        <f>IFERROR(BB682/H682,"")</f>
        <v/>
      </c>
      <c r="BD682">
        <f>IF(AND($G682=TRUE,$E682="GKP"),AZ682,"")</f>
        <v/>
      </c>
      <c r="BE682">
        <f>IF(AND($G682=TRUE,$E682="DEF"),AZ682,"")</f>
        <v/>
      </c>
      <c r="BF682">
        <f>IF(AND($G682=TRUE,$E682="MID"),AZ682,"")</f>
        <v/>
      </c>
      <c r="BG682">
        <f>IF(AND($G682=TRUE,$E682="FWD"),AZ682,"")</f>
        <v/>
      </c>
      <c r="BH682" t="n">
        <v>0</v>
      </c>
      <c r="BI682" t="n">
        <v>0</v>
      </c>
      <c r="BJ682" t="n">
        <v>0</v>
      </c>
      <c r="BK682" t="n">
        <v>0</v>
      </c>
    </row>
    <row r="683">
      <c r="A683" t="inlineStr">
        <is>
          <t>Álvaro Rodríguez</t>
        </is>
      </c>
      <c r="B683" t="inlineStr">
        <is>
          <t>BOU</t>
        </is>
      </c>
      <c r="D683" t="b">
        <v>0</v>
      </c>
      <c r="E683" t="inlineStr">
        <is>
          <t>FWD</t>
        </is>
      </c>
      <c r="G683" t="b">
        <v>1</v>
      </c>
      <c r="H683" s="2" t="n">
        <v>6</v>
      </c>
      <c r="I683" t="inlineStr">
        <is>
          <t>a</t>
        </is>
      </c>
      <c r="K683" s="2" t="n"/>
      <c r="M683" s="3" t="n">
        <v>719</v>
      </c>
      <c r="N683" s="4" t="n">
        <v>1350</v>
      </c>
      <c r="O683" s="4" t="n">
        <v>631</v>
      </c>
      <c r="P683" s="5" t="inlineStr">
        <is>
          <t>medium</t>
        </is>
      </c>
      <c r="Q683" t="inlineStr">
        <is>
          <t>flat</t>
        </is>
      </c>
      <c r="R683" s="6" t="n">
        <v>1350</v>
      </c>
      <c r="S683" t="inlineStr">
        <is>
          <t>research</t>
        </is>
      </c>
      <c r="T683" s="5" t="inlineStr">
        <is>
          <t>A c.GBP 25.7m striker signed 14 Jul on a five-year deal, explicitly briefed as competition for Evanilson and as Enes Unal's successor in the relief-striker role. With Kroupi out until roughly the turn of the year and Unal now sold, he is the only backup centre-forward at the club for the first third of the season, on top of a Europa League league phase. 719 minutes is a bench-warmer's allocation for a club-record-bracket signing. Held to 1350 rather than higher because he is currently a 75% doubt with an unspecified injury and missed both the Betis and Mainz friendlies.</t>
        </is>
      </c>
      <c r="U683" s="6" t="n">
        <v>85</v>
      </c>
      <c r="V683" s="2" t="n"/>
      <c r="W683" s="7">
        <f>IF(N(U683)&lt;=0,0,MIN(Assumptions!$B$15,N(R683)/N(U683)))</f>
        <v/>
      </c>
      <c r="X683" s="6" t="n">
        <v>0.23</v>
      </c>
      <c r="Y683" s="3" t="n"/>
      <c r="Z683" t="inlineStr"/>
      <c r="AA683" s="3" t="n">
        <v>1</v>
      </c>
      <c r="AB683" s="3" t="n"/>
      <c r="AC683" s="3" t="n"/>
      <c r="AD683" s="3" t="n"/>
      <c r="AE683" s="3" t="n"/>
      <c r="AF683" s="3" t="n">
        <v>0</v>
      </c>
      <c r="AG683" s="3" t="n"/>
      <c r="AH683" s="3" t="n">
        <v>0</v>
      </c>
      <c r="AI683" s="3" t="n"/>
      <c r="AJ683" s="3" t="n">
        <v>3.0957</v>
      </c>
      <c r="AK683" s="3" t="n">
        <v>1.53</v>
      </c>
      <c r="AL683" s="3" t="n">
        <v>-0.174691292596322</v>
      </c>
      <c r="AM683" s="6" t="n">
        <v>0</v>
      </c>
      <c r="AN683" s="3" t="n">
        <v>0</v>
      </c>
      <c r="AO683" s="3" t="n">
        <v>0</v>
      </c>
      <c r="AP683" s="3" t="n">
        <v>0</v>
      </c>
      <c r="AQ683" s="3">
        <f>N(X683)*N(BJ683)</f>
        <v/>
      </c>
      <c r="AR683" s="3" t="n">
        <v>0</v>
      </c>
      <c r="AS683" s="3" t="n">
        <v>-0</v>
      </c>
      <c r="AT683" s="3" t="n">
        <v>-0.174691292596322</v>
      </c>
      <c r="AU683" s="3">
        <f>SUM(AO683:AT683)</f>
        <v/>
      </c>
      <c r="AV683" s="7">
        <f>IF(OR(N(W683)&lt;=0,N(BH683)=0),0,N(W683)*IF(N(R683)/N(W683)&gt;=60,N(BH683),1))</f>
        <v/>
      </c>
      <c r="AW683" s="7">
        <f>N(W683)*N(AF683)*N(BI683)</f>
        <v/>
      </c>
      <c r="AX683" s="3">
        <f>IF(N(BH683)=0,0,N(W683)*N(AH683))</f>
        <v/>
      </c>
      <c r="AY683" s="7">
        <f>N(AM683)*(Assumptions!$B$13*N(BK683)-(1-Assumptions!$B$13)*Assumptions!$B$14)+N(AN683)</f>
        <v/>
      </c>
      <c r="AZ683" s="7">
        <f>N(AU683)*N(R683)/90+N(AV683)+N(AW683)+N(AX683)+N(AY683)</f>
        <v/>
      </c>
      <c r="BA683" s="3">
        <f>IF(N(R683)&lt;=0,0,(N(AZ683)-N(AY683))*90/N(R683))</f>
        <v/>
      </c>
      <c r="BB683" s="7">
        <f>IFERROR(AZ683-VLOOKUP($E683,Assumptions!$A$40:$C$43,3,FALSE),"")</f>
        <v/>
      </c>
      <c r="BC683" s="3">
        <f>IFERROR(BB683/H683,"")</f>
        <v/>
      </c>
      <c r="BD683">
        <f>IF(AND($G683=TRUE,$E683="GKP"),AZ683,"")</f>
        <v/>
      </c>
      <c r="BE683">
        <f>IF(AND($G683=TRUE,$E683="DEF"),AZ683,"")</f>
        <v/>
      </c>
      <c r="BF683">
        <f>IF(AND($G683=TRUE,$E683="MID"),AZ683,"")</f>
        <v/>
      </c>
      <c r="BG683">
        <f>IF(AND($G683=TRUE,$E683="FWD"),AZ683,"")</f>
        <v/>
      </c>
      <c r="BH683" t="n">
        <v>2</v>
      </c>
      <c r="BI683" t="n">
        <v>2</v>
      </c>
      <c r="BJ683" t="n">
        <v>0</v>
      </c>
      <c r="BK683" t="n">
        <v>4</v>
      </c>
    </row>
    <row r="684">
      <c r="A684" t="inlineStr">
        <is>
          <t>Eliezer Mayenda</t>
        </is>
      </c>
      <c r="C684" t="inlineStr">
        <is>
          <t>SUN</t>
        </is>
      </c>
      <c r="D684" t="b">
        <v>0</v>
      </c>
      <c r="F684" t="inlineStr">
        <is>
          <t>FWD</t>
        </is>
      </c>
      <c r="G684" t="b">
        <v>0</v>
      </c>
      <c r="H684" s="2" t="n"/>
      <c r="K684" s="2" t="n">
        <v>756</v>
      </c>
      <c r="M684" s="3" t="n"/>
      <c r="N684" s="8" t="n">
        <v>756</v>
      </c>
      <c r="O684" s="8" t="n">
        <v>0</v>
      </c>
      <c r="R684" s="6" t="n">
        <v>756</v>
      </c>
      <c r="S684" t="inlineStr">
        <is>
          <t>25/26 actual</t>
        </is>
      </c>
      <c r="U684" s="6" t="n">
        <v>76.40000000000001</v>
      </c>
      <c r="V684" s="2" t="n">
        <v>8</v>
      </c>
      <c r="W684" s="7">
        <f>IF(N(U684)&lt;=0,0,MIN(Assumptions!$B$15,N(R684)/N(U684)))</f>
        <v/>
      </c>
      <c r="X684" s="6" t="n"/>
      <c r="Y684" s="3" t="n">
        <v>0.2954</v>
      </c>
      <c r="Z684" t="inlineStr">
        <is>
          <t>adjusted xGOT</t>
        </is>
      </c>
      <c r="AA684" s="3" t="n">
        <v>1</v>
      </c>
      <c r="AB684" s="3" t="n">
        <v>1.165</v>
      </c>
      <c r="AC684" s="3" t="n">
        <v>2.1</v>
      </c>
      <c r="AD684" s="3" t="n">
        <v>0.08840000000000001</v>
      </c>
      <c r="AE684" s="3" t="n">
        <v>3.937</v>
      </c>
      <c r="AF684" s="3" t="n">
        <v>0</v>
      </c>
      <c r="AG684" s="3" t="n">
        <v>0.964</v>
      </c>
      <c r="AH684" s="3" t="n">
        <v>0</v>
      </c>
      <c r="AI684" s="3" t="n">
        <v>27</v>
      </c>
      <c r="AJ684" s="3" t="n"/>
      <c r="AK684" s="3" t="n"/>
      <c r="AL684" s="3" t="n"/>
      <c r="AM684" s="6" t="n">
        <v>0</v>
      </c>
      <c r="AN684" s="3" t="n">
        <v>0</v>
      </c>
      <c r="AO684" s="3" t="n">
        <v>0</v>
      </c>
      <c r="AP684" s="3" t="n">
        <v>0</v>
      </c>
      <c r="AQ684" s="3">
        <f>N(X684)*N(BJ684)</f>
        <v/>
      </c>
      <c r="AR684" s="3" t="n">
        <v>0</v>
      </c>
      <c r="AS684" s="3" t="n">
        <v>0</v>
      </c>
      <c r="AT684" s="3" t="n">
        <v>0</v>
      </c>
      <c r="AU684" s="3">
        <f>SUM(AO684:AT684)</f>
        <v/>
      </c>
      <c r="AV684" s="7">
        <f>IF(OR(N(W684)&lt;=0,N(BH684)=0),0,N(W684)*IF(N(R684)/N(W684)&gt;=60,N(BH684),1))</f>
        <v/>
      </c>
      <c r="AW684" s="7">
        <f>N(W684)*N(AF684)*N(BI684)</f>
        <v/>
      </c>
      <c r="AX684" s="3">
        <f>IF(N(BH684)=0,0,N(W684)*N(AH684))</f>
        <v/>
      </c>
      <c r="AY684" s="7">
        <f>N(AM684)*(Assumptions!$B$13*N(BK684)-(1-Assumptions!$B$13)*Assumptions!$B$14)+N(AN684)</f>
        <v/>
      </c>
      <c r="AZ684" s="7">
        <f>N(AU684)*N(R684)/90+N(AV684)+N(AW684)+N(AX684)+N(AY684)</f>
        <v/>
      </c>
      <c r="BA684" s="3">
        <f>IF(N(R684)&lt;=0,0,(N(AZ684)-N(AY684))*90/N(R684))</f>
        <v/>
      </c>
      <c r="BB684" s="7">
        <f>IFERROR(AZ684-VLOOKUP($E684,Assumptions!$A$40:$C$43,3,FALSE),"")</f>
        <v/>
      </c>
      <c r="BC684" s="3">
        <f>IFERROR(BB684/H684,"")</f>
        <v/>
      </c>
      <c r="BD684">
        <f>IF(AND($G684=TRUE,$E684="GKP"),AZ684,"")</f>
        <v/>
      </c>
      <c r="BE684">
        <f>IF(AND($G684=TRUE,$E684="DEF"),AZ684,"")</f>
        <v/>
      </c>
      <c r="BF684">
        <f>IF(AND($G684=TRUE,$E684="MID"),AZ684,"")</f>
        <v/>
      </c>
      <c r="BG684">
        <f>IF(AND($G684=TRUE,$E684="FWD"),AZ684,"")</f>
        <v/>
      </c>
      <c r="BH684" t="n">
        <v>0</v>
      </c>
      <c r="BI684" t="n">
        <v>0</v>
      </c>
      <c r="BJ684" t="n">
        <v>0</v>
      </c>
      <c r="BK684" t="n">
        <v>0</v>
      </c>
    </row>
    <row r="685">
      <c r="A685" t="inlineStr">
        <is>
          <t>Soungoutou Magassa</t>
        </is>
      </c>
      <c r="C685" t="inlineStr">
        <is>
          <t>WHU</t>
        </is>
      </c>
      <c r="D685" t="b">
        <v>0</v>
      </c>
      <c r="F685" t="inlineStr">
        <is>
          <t>MID</t>
        </is>
      </c>
      <c r="G685" t="b">
        <v>0</v>
      </c>
      <c r="H685" s="2" t="n"/>
      <c r="K685" s="2" t="n">
        <v>979</v>
      </c>
      <c r="M685" s="3" t="n"/>
      <c r="N685" s="8" t="n">
        <v>979</v>
      </c>
      <c r="O685" s="8" t="n">
        <v>0</v>
      </c>
      <c r="R685" s="6" t="n">
        <v>979</v>
      </c>
      <c r="S685" t="inlineStr">
        <is>
          <t>25/26 actual</t>
        </is>
      </c>
      <c r="U685" s="6" t="n">
        <v>76.8</v>
      </c>
      <c r="V685" s="2" t="n">
        <v>11</v>
      </c>
      <c r="W685" s="7">
        <f>IF(N(U685)&lt;=0,0,MIN(Assumptions!$B$15,N(R685)/N(U685)))</f>
        <v/>
      </c>
      <c r="X685" s="6" t="n"/>
      <c r="Y685" s="3" t="n">
        <v>0.0431</v>
      </c>
      <c r="Z685" t="inlineStr">
        <is>
          <t>adjusted xGOT</t>
        </is>
      </c>
      <c r="AA685" s="3" t="n">
        <v>1</v>
      </c>
      <c r="AB685" s="3" t="n">
        <v>1.066</v>
      </c>
      <c r="AC685" s="3" t="n">
        <v>0.4</v>
      </c>
      <c r="AD685" s="3" t="n">
        <v>0.06859999999999999</v>
      </c>
      <c r="AE685" s="3" t="n">
        <v>10.411</v>
      </c>
      <c r="AF685" s="3" t="n">
        <v>0</v>
      </c>
      <c r="AG685" s="3" t="n">
        <v>7.82</v>
      </c>
      <c r="AH685" s="3" t="n">
        <v>0</v>
      </c>
      <c r="AI685" s="3" t="n">
        <v>31</v>
      </c>
      <c r="AJ685" s="3" t="n"/>
      <c r="AK685" s="3" t="n"/>
      <c r="AL685" s="3" t="n"/>
      <c r="AM685" s="6" t="n">
        <v>0</v>
      </c>
      <c r="AN685" s="3" t="n">
        <v>0</v>
      </c>
      <c r="AO685" s="3" t="n">
        <v>0</v>
      </c>
      <c r="AP685" s="3" t="n">
        <v>0</v>
      </c>
      <c r="AQ685" s="3">
        <f>N(X685)*N(BJ685)</f>
        <v/>
      </c>
      <c r="AR685" s="3" t="n">
        <v>0</v>
      </c>
      <c r="AS685" s="3" t="n">
        <v>0</v>
      </c>
      <c r="AT685" s="3" t="n">
        <v>0</v>
      </c>
      <c r="AU685" s="3">
        <f>SUM(AO685:AT685)</f>
        <v/>
      </c>
      <c r="AV685" s="7">
        <f>IF(OR(N(W685)&lt;=0,N(BH685)=0),0,N(W685)*IF(N(R685)/N(W685)&gt;=60,N(BH685),1))</f>
        <v/>
      </c>
      <c r="AW685" s="7">
        <f>N(W685)*N(AF685)*N(BI685)</f>
        <v/>
      </c>
      <c r="AX685" s="3">
        <f>IF(N(BH685)=0,0,N(W685)*N(AH685))</f>
        <v/>
      </c>
      <c r="AY685" s="7">
        <f>N(AM685)*(Assumptions!$B$13*N(BK685)-(1-Assumptions!$B$13)*Assumptions!$B$14)+N(AN685)</f>
        <v/>
      </c>
      <c r="AZ685" s="7">
        <f>N(AU685)*N(R685)/90+N(AV685)+N(AW685)+N(AX685)+N(AY685)</f>
        <v/>
      </c>
      <c r="BA685" s="3">
        <f>IF(N(R685)&lt;=0,0,(N(AZ685)-N(AY685))*90/N(R685))</f>
        <v/>
      </c>
      <c r="BB685" s="7">
        <f>IFERROR(AZ685-VLOOKUP($E685,Assumptions!$A$40:$C$43,3,FALSE),"")</f>
        <v/>
      </c>
      <c r="BC685" s="3">
        <f>IFERROR(BB685/H685,"")</f>
        <v/>
      </c>
      <c r="BD685">
        <f>IF(AND($G685=TRUE,$E685="GKP"),AZ685,"")</f>
        <v/>
      </c>
      <c r="BE685">
        <f>IF(AND($G685=TRUE,$E685="DEF"),AZ685,"")</f>
        <v/>
      </c>
      <c r="BF685">
        <f>IF(AND($G685=TRUE,$E685="MID"),AZ685,"")</f>
        <v/>
      </c>
      <c r="BG685">
        <f>IF(AND($G685=TRUE,$E685="FWD"),AZ685,"")</f>
        <v/>
      </c>
      <c r="BH685" t="n">
        <v>0</v>
      </c>
      <c r="BI685" t="n">
        <v>0</v>
      </c>
      <c r="BJ685" t="n">
        <v>0</v>
      </c>
      <c r="BK685" t="n">
        <v>0</v>
      </c>
    </row>
    <row r="686">
      <c r="A686" t="inlineStr">
        <is>
          <t>Callum Marshall</t>
        </is>
      </c>
      <c r="C686" t="inlineStr">
        <is>
          <t>WHU</t>
        </is>
      </c>
      <c r="D686" t="b">
        <v>0</v>
      </c>
      <c r="F686" t="inlineStr">
        <is>
          <t>FWD</t>
        </is>
      </c>
      <c r="G686" t="b">
        <v>0</v>
      </c>
      <c r="H686" s="2" t="n"/>
      <c r="K686" s="2" t="n">
        <v>58</v>
      </c>
      <c r="M686" s="3" t="n"/>
      <c r="N686" s="8" t="n">
        <v>58</v>
      </c>
      <c r="O686" s="8" t="n">
        <v>0</v>
      </c>
      <c r="R686" s="6" t="n">
        <v>58</v>
      </c>
      <c r="S686" t="inlineStr">
        <is>
          <t>25/26 actual</t>
        </is>
      </c>
      <c r="U686" s="6" t="n">
        <v>78.5</v>
      </c>
      <c r="V686" s="2" t="n">
        <v>0</v>
      </c>
      <c r="W686" s="7">
        <f>IF(N(U686)&lt;=0,0,MIN(Assumptions!$B$15,N(R686)/N(U686)))</f>
        <v/>
      </c>
      <c r="X686" s="6" t="n"/>
      <c r="Y686" s="3" t="n">
        <v>0.1986</v>
      </c>
      <c r="Z686" t="inlineStr">
        <is>
          <t>adjusted xGOT</t>
        </is>
      </c>
      <c r="AA686" s="3" t="n">
        <v>1</v>
      </c>
      <c r="AB686" s="3" t="n">
        <v>0.984</v>
      </c>
      <c r="AC686" s="3" t="n">
        <v>0.1</v>
      </c>
      <c r="AD686" s="3" t="n">
        <v>0</v>
      </c>
      <c r="AE686" s="3" t="n">
        <v>4.783</v>
      </c>
      <c r="AF686" s="3" t="n">
        <v>0</v>
      </c>
      <c r="AG686" s="3" t="n">
        <v>0.479</v>
      </c>
      <c r="AH686" s="3" t="n">
        <v>0</v>
      </c>
      <c r="AI686" s="3" t="n">
        <v>2</v>
      </c>
      <c r="AJ686" s="3" t="n"/>
      <c r="AK686" s="3" t="n"/>
      <c r="AL686" s="3" t="n"/>
      <c r="AM686" s="6" t="n">
        <v>0</v>
      </c>
      <c r="AN686" s="3" t="n">
        <v>0</v>
      </c>
      <c r="AO686" s="3" t="n">
        <v>0</v>
      </c>
      <c r="AP686" s="3" t="n">
        <v>0</v>
      </c>
      <c r="AQ686" s="3">
        <f>N(X686)*N(BJ686)</f>
        <v/>
      </c>
      <c r="AR686" s="3" t="n">
        <v>0</v>
      </c>
      <c r="AS686" s="3" t="n">
        <v>0</v>
      </c>
      <c r="AT686" s="3" t="n">
        <v>0</v>
      </c>
      <c r="AU686" s="3">
        <f>SUM(AO686:AT686)</f>
        <v/>
      </c>
      <c r="AV686" s="7">
        <f>IF(OR(N(W686)&lt;=0,N(BH686)=0),0,N(W686)*IF(N(R686)/N(W686)&gt;=60,N(BH686),1))</f>
        <v/>
      </c>
      <c r="AW686" s="7">
        <f>N(W686)*N(AF686)*N(BI686)</f>
        <v/>
      </c>
      <c r="AX686" s="3">
        <f>IF(N(BH686)=0,0,N(W686)*N(AH686))</f>
        <v/>
      </c>
      <c r="AY686" s="7">
        <f>N(AM686)*(Assumptions!$B$13*N(BK686)-(1-Assumptions!$B$13)*Assumptions!$B$14)+N(AN686)</f>
        <v/>
      </c>
      <c r="AZ686" s="7">
        <f>N(AU686)*N(R686)/90+N(AV686)+N(AW686)+N(AX686)+N(AY686)</f>
        <v/>
      </c>
      <c r="BA686" s="3">
        <f>IF(N(R686)&lt;=0,0,(N(AZ686)-N(AY686))*90/N(R686))</f>
        <v/>
      </c>
      <c r="BB686" s="7">
        <f>IFERROR(AZ686-VLOOKUP($E686,Assumptions!$A$40:$C$43,3,FALSE),"")</f>
        <v/>
      </c>
      <c r="BC686" s="3">
        <f>IFERROR(BB686/H686,"")</f>
        <v/>
      </c>
      <c r="BD686">
        <f>IF(AND($G686=TRUE,$E686="GKP"),AZ686,"")</f>
        <v/>
      </c>
      <c r="BE686">
        <f>IF(AND($G686=TRUE,$E686="DEF"),AZ686,"")</f>
        <v/>
      </c>
      <c r="BF686">
        <f>IF(AND($G686=TRUE,$E686="MID"),AZ686,"")</f>
        <v/>
      </c>
      <c r="BG686">
        <f>IF(AND($G686=TRUE,$E686="FWD"),AZ686,"")</f>
        <v/>
      </c>
      <c r="BH686" t="n">
        <v>0</v>
      </c>
      <c r="BI686" t="n">
        <v>0</v>
      </c>
      <c r="BJ686" t="n">
        <v>0</v>
      </c>
      <c r="BK686" t="n">
        <v>0</v>
      </c>
    </row>
    <row r="687">
      <c r="A687" t="inlineStr">
        <is>
          <t>Joe Knight</t>
        </is>
      </c>
      <c r="C687" t="inlineStr">
        <is>
          <t>BHA</t>
        </is>
      </c>
      <c r="D687" t="b">
        <v>0</v>
      </c>
      <c r="F687" t="inlineStr">
        <is>
          <t>MID</t>
        </is>
      </c>
      <c r="G687" t="b">
        <v>0</v>
      </c>
      <c r="H687" s="2" t="n"/>
      <c r="K687" s="2" t="n">
        <v>1</v>
      </c>
      <c r="M687" s="3" t="n"/>
      <c r="N687" s="8" t="n">
        <v>1</v>
      </c>
      <c r="O687" s="8" t="n">
        <v>0</v>
      </c>
      <c r="R687" s="6" t="n">
        <v>1</v>
      </c>
      <c r="S687" t="inlineStr">
        <is>
          <t>25/26 actual</t>
        </is>
      </c>
      <c r="U687" s="6" t="n">
        <v>80.09999999999999</v>
      </c>
      <c r="V687" s="2" t="n">
        <v>0</v>
      </c>
      <c r="W687" s="7">
        <f>IF(N(U687)&lt;=0,0,MIN(Assumptions!$B$15,N(R687)/N(U687)))</f>
        <v/>
      </c>
      <c r="X687" s="6" t="n"/>
      <c r="Y687" s="3" t="n">
        <v>0</v>
      </c>
      <c r="Z687" t="inlineStr">
        <is>
          <t>blended xG</t>
        </is>
      </c>
      <c r="AA687" s="3" t="n">
        <v>1</v>
      </c>
      <c r="AB687" s="3" t="n">
        <v>1</v>
      </c>
      <c r="AC687" s="3" t="n">
        <v>0</v>
      </c>
      <c r="AD687" s="3" t="n">
        <v>0</v>
      </c>
      <c r="AE687" s="3" t="n">
        <v>8.565</v>
      </c>
      <c r="AF687" s="3" t="n">
        <v>0</v>
      </c>
      <c r="AG687" s="3" t="n">
        <v>7.011</v>
      </c>
      <c r="AH687" s="3" t="n">
        <v>0</v>
      </c>
      <c r="AI687" s="3" t="n">
        <v>1</v>
      </c>
      <c r="AJ687" s="3" t="n"/>
      <c r="AK687" s="3" t="n"/>
      <c r="AL687" s="3" t="n"/>
      <c r="AM687" s="6" t="n">
        <v>0</v>
      </c>
      <c r="AN687" s="3" t="n">
        <v>0</v>
      </c>
      <c r="AO687" s="3" t="n">
        <v>0</v>
      </c>
      <c r="AP687" s="3" t="n">
        <v>0</v>
      </c>
      <c r="AQ687" s="3">
        <f>N(X687)*N(BJ687)</f>
        <v/>
      </c>
      <c r="AR687" s="3" t="n">
        <v>0</v>
      </c>
      <c r="AS687" s="3" t="n">
        <v>0</v>
      </c>
      <c r="AT687" s="3" t="n">
        <v>0</v>
      </c>
      <c r="AU687" s="3">
        <f>SUM(AO687:AT687)</f>
        <v/>
      </c>
      <c r="AV687" s="7">
        <f>IF(OR(N(W687)&lt;=0,N(BH687)=0),0,N(W687)*IF(N(R687)/N(W687)&gt;=60,N(BH687),1))</f>
        <v/>
      </c>
      <c r="AW687" s="7">
        <f>N(W687)*N(AF687)*N(BI687)</f>
        <v/>
      </c>
      <c r="AX687" s="3">
        <f>IF(N(BH687)=0,0,N(W687)*N(AH687))</f>
        <v/>
      </c>
      <c r="AY687" s="7">
        <f>N(AM687)*(Assumptions!$B$13*N(BK687)-(1-Assumptions!$B$13)*Assumptions!$B$14)+N(AN687)</f>
        <v/>
      </c>
      <c r="AZ687" s="7">
        <f>N(AU687)*N(R687)/90+N(AV687)+N(AW687)+N(AX687)+N(AY687)</f>
        <v/>
      </c>
      <c r="BA687" s="3">
        <f>IF(N(R687)&lt;=0,0,(N(AZ687)-N(AY687))*90/N(R687))</f>
        <v/>
      </c>
      <c r="BB687" s="7">
        <f>IFERROR(AZ687-VLOOKUP($E687,Assumptions!$A$40:$C$43,3,FALSE),"")</f>
        <v/>
      </c>
      <c r="BC687" s="3">
        <f>IFERROR(BB687/H687,"")</f>
        <v/>
      </c>
      <c r="BD687">
        <f>IF(AND($G687=TRUE,$E687="GKP"),AZ687,"")</f>
        <v/>
      </c>
      <c r="BE687">
        <f>IF(AND($G687=TRUE,$E687="DEF"),AZ687,"")</f>
        <v/>
      </c>
      <c r="BF687">
        <f>IF(AND($G687=TRUE,$E687="MID"),AZ687,"")</f>
        <v/>
      </c>
      <c r="BG687">
        <f>IF(AND($G687=TRUE,$E687="FWD"),AZ687,"")</f>
        <v/>
      </c>
      <c r="BH687" t="n">
        <v>0</v>
      </c>
      <c r="BI687" t="n">
        <v>0</v>
      </c>
      <c r="BJ687" t="n">
        <v>0</v>
      </c>
      <c r="BK687" t="n">
        <v>0</v>
      </c>
    </row>
    <row r="688">
      <c r="A688" t="inlineStr">
        <is>
          <t>Ousmane Diomande</t>
        </is>
      </c>
      <c r="B688" t="inlineStr">
        <is>
          <t>NFO</t>
        </is>
      </c>
      <c r="D688" t="b">
        <v>0</v>
      </c>
      <c r="E688" t="inlineStr">
        <is>
          <t>DEF</t>
        </is>
      </c>
      <c r="G688" t="b">
        <v>1</v>
      </c>
      <c r="H688" s="2" t="n">
        <v>5.5</v>
      </c>
      <c r="I688" t="inlineStr">
        <is>
          <t>a</t>
        </is>
      </c>
      <c r="K688" s="2" t="n"/>
      <c r="M688" s="3" t="n">
        <v>2861</v>
      </c>
      <c r="N688" s="4" t="n">
        <v>2700</v>
      </c>
      <c r="O688" s="4" t="n">
        <v>-161</v>
      </c>
      <c r="P688" s="5" t="inlineStr">
        <is>
          <t>medium</t>
        </is>
      </c>
      <c r="Q688" t="inlineStr">
        <is>
          <t>flat</t>
        </is>
      </c>
      <c r="R688" s="6" t="n">
        <v>2700</v>
      </c>
      <c r="S688" t="inlineStr">
        <is>
          <t>research</t>
        </is>
      </c>
      <c r="T688" s="5" t="inlineStr">
        <is>
          <t>Signed from Sporting CP on 11 Aug 2026 and started the next day, so the starting role is right. Trimmed only for first-season-in-England adaptation and the fact that Morato and Jair Cunha are established alternatives in the same back three.</t>
        </is>
      </c>
      <c r="U688" s="6" t="n">
        <v>85</v>
      </c>
      <c r="V688" s="2" t="n"/>
      <c r="W688" s="7">
        <f>IF(N(U688)&lt;=0,0,MIN(Assumptions!$B$15,N(R688)/N(U688)))</f>
        <v/>
      </c>
      <c r="X688" s="6" t="n">
        <v>0.224</v>
      </c>
      <c r="Y688" s="3" t="n"/>
      <c r="Z688" t="inlineStr"/>
      <c r="AA688" s="3" t="n">
        <v>1</v>
      </c>
      <c r="AB688" s="3" t="n"/>
      <c r="AC688" s="3" t="n"/>
      <c r="AD688" s="3" t="n"/>
      <c r="AE688" s="3" t="n"/>
      <c r="AF688" s="3" t="n">
        <v>0</v>
      </c>
      <c r="AG688" s="3" t="n"/>
      <c r="AH688" s="3" t="n">
        <v>0</v>
      </c>
      <c r="AI688" s="3" t="n"/>
      <c r="AJ688" s="3" t="n">
        <v>3.1134</v>
      </c>
      <c r="AK688" s="3" t="n">
        <v>1.5588</v>
      </c>
      <c r="AL688" s="3" t="n">
        <v>-0.2045226422080557</v>
      </c>
      <c r="AM688" s="6" t="n">
        <v>0</v>
      </c>
      <c r="AN688" s="3" t="n">
        <v>0</v>
      </c>
      <c r="AO688" s="3" t="n">
        <v>0</v>
      </c>
      <c r="AP688" s="3" t="n">
        <v>0</v>
      </c>
      <c r="AQ688" s="3">
        <f>N(X688)*N(BJ688)</f>
        <v/>
      </c>
      <c r="AR688" s="3" t="n">
        <v>0</v>
      </c>
      <c r="AS688" s="3" t="n">
        <v>-0.5404658182244797</v>
      </c>
      <c r="AT688" s="3" t="n">
        <v>-0.2045226422080557</v>
      </c>
      <c r="AU688" s="3">
        <f>SUM(AO688:AT688)</f>
        <v/>
      </c>
      <c r="AV688" s="7">
        <f>IF(OR(N(W688)&lt;=0,N(BH688)=0),0,N(W688)*IF(N(R688)/N(W688)&gt;=60,N(BH688),1))</f>
        <v/>
      </c>
      <c r="AW688" s="7">
        <f>N(W688)*N(AF688)*N(BI688)</f>
        <v/>
      </c>
      <c r="AX688" s="3">
        <f>IF(N(BH688)=0,0,N(W688)*N(AH688))</f>
        <v/>
      </c>
      <c r="AY688" s="7">
        <f>N(AM688)*(Assumptions!$B$13*N(BK688)-(1-Assumptions!$B$13)*Assumptions!$B$14)+N(AN688)</f>
        <v/>
      </c>
      <c r="AZ688" s="7">
        <f>N(AU688)*N(R688)/90+N(AV688)+N(AW688)+N(AX688)+N(AY688)</f>
        <v/>
      </c>
      <c r="BA688" s="3">
        <f>IF(N(R688)&lt;=0,0,(N(AZ688)-N(AY688))*90/N(R688))</f>
        <v/>
      </c>
      <c r="BB688" s="7">
        <f>IFERROR(AZ688-VLOOKUP($E688,Assumptions!$A$40:$C$43,3,FALSE),"")</f>
        <v/>
      </c>
      <c r="BC688" s="3">
        <f>IFERROR(BB688/H688,"")</f>
        <v/>
      </c>
      <c r="BD688">
        <f>IF(AND($G688=TRUE,$E688="GKP"),AZ688,"")</f>
        <v/>
      </c>
      <c r="BE688">
        <f>IF(AND($G688=TRUE,$E688="DEF"),AZ688,"")</f>
        <v/>
      </c>
      <c r="BF688">
        <f>IF(AND($G688=TRUE,$E688="MID"),AZ688,"")</f>
        <v/>
      </c>
      <c r="BG688">
        <f>IF(AND($G688=TRUE,$E688="FWD"),AZ688,"")</f>
        <v/>
      </c>
      <c r="BH688" t="n">
        <v>2</v>
      </c>
      <c r="BI688" t="n">
        <v>2</v>
      </c>
      <c r="BJ688" t="n">
        <v>4</v>
      </c>
      <c r="BK688" t="n">
        <v>6</v>
      </c>
    </row>
    <row r="689">
      <c r="A689" t="inlineStr">
        <is>
          <t>César Palacios</t>
        </is>
      </c>
      <c r="B689" t="inlineStr">
        <is>
          <t>FUL</t>
        </is>
      </c>
      <c r="D689" t="b">
        <v>0</v>
      </c>
      <c r="E689" t="inlineStr">
        <is>
          <t>MID</t>
        </is>
      </c>
      <c r="G689" t="b">
        <v>1</v>
      </c>
      <c r="H689" s="2" t="n">
        <v>5.5</v>
      </c>
      <c r="I689" t="inlineStr">
        <is>
          <t>a</t>
        </is>
      </c>
      <c r="K689" s="2" t="n"/>
      <c r="M689" s="3" t="n">
        <v>1072</v>
      </c>
      <c r="N689" s="4" t="n">
        <v>1400</v>
      </c>
      <c r="O689" s="4" t="n">
        <v>328</v>
      </c>
      <c r="P689" s="5" t="inlineStr">
        <is>
          <t>medium</t>
        </is>
      </c>
      <c r="Q689" t="inlineStr">
        <is>
          <t>flat</t>
        </is>
      </c>
      <c r="R689" s="6" t="n">
        <v>1400</v>
      </c>
      <c r="S689" t="inlineStr">
        <is>
          <t>research</t>
        </is>
      </c>
      <c r="T689" s="5" t="inlineStr">
        <is>
          <t>Signed from Real Madrid 3 Aug 2026 in the €50m double deal with Gonzalo Garcia; Arbeloa's personal signing from Real Madrid Castilla and handed the No.8 shirt. Started two of the last three friendlies including the final dress rehearsal v Stuttgart on 15 Aug. Solio's 1072 (and a 5 Aug scouting read of 'bench minutes initially') pre-dates those two starts.</t>
        </is>
      </c>
      <c r="U689" s="6" t="n">
        <v>85</v>
      </c>
      <c r="V689" s="2" t="n"/>
      <c r="W689" s="7">
        <f>IF(N(U689)&lt;=0,0,MIN(Assumptions!$B$15,N(R689)/N(U689)))</f>
        <v/>
      </c>
      <c r="X689" s="6" t="n">
        <v>0.214</v>
      </c>
      <c r="Y689" s="3" t="n"/>
      <c r="Z689" t="inlineStr"/>
      <c r="AA689" s="3" t="n">
        <v>1</v>
      </c>
      <c r="AB689" s="3" t="n"/>
      <c r="AC689" s="3" t="n"/>
      <c r="AD689" s="3" t="n"/>
      <c r="AE689" s="3" t="n"/>
      <c r="AF689" s="3" t="n">
        <v>0</v>
      </c>
      <c r="AG689" s="3" t="n"/>
      <c r="AH689" s="3" t="n">
        <v>0</v>
      </c>
      <c r="AI689" s="3" t="n"/>
      <c r="AJ689" s="3" t="n">
        <v>3.22</v>
      </c>
      <c r="AK689" s="3" t="n">
        <v>1.6019</v>
      </c>
      <c r="AL689" s="3" t="n">
        <v>-0.2160434166173144</v>
      </c>
      <c r="AM689" s="6" t="n">
        <v>0</v>
      </c>
      <c r="AN689" s="3" t="n">
        <v>0</v>
      </c>
      <c r="AO689" s="3" t="n">
        <v>0</v>
      </c>
      <c r="AP689" s="3" t="n">
        <v>0</v>
      </c>
      <c r="AQ689" s="3">
        <f>N(X689)*N(BJ689)</f>
        <v/>
      </c>
      <c r="AR689" s="3" t="n">
        <v>0</v>
      </c>
      <c r="AS689" s="3" t="n">
        <v>-0</v>
      </c>
      <c r="AT689" s="3" t="n">
        <v>-0.2160434166173144</v>
      </c>
      <c r="AU689" s="3">
        <f>SUM(AO689:AT689)</f>
        <v/>
      </c>
      <c r="AV689" s="7">
        <f>IF(OR(N(W689)&lt;=0,N(BH689)=0),0,N(W689)*IF(N(R689)/N(W689)&gt;=60,N(BH689),1))</f>
        <v/>
      </c>
      <c r="AW689" s="7">
        <f>N(W689)*N(AF689)*N(BI689)</f>
        <v/>
      </c>
      <c r="AX689" s="3">
        <f>IF(N(BH689)=0,0,N(W689)*N(AH689))</f>
        <v/>
      </c>
      <c r="AY689" s="7">
        <f>N(AM689)*(Assumptions!$B$13*N(BK689)-(1-Assumptions!$B$13)*Assumptions!$B$14)+N(AN689)</f>
        <v/>
      </c>
      <c r="AZ689" s="7">
        <f>N(AU689)*N(R689)/90+N(AV689)+N(AW689)+N(AX689)+N(AY689)</f>
        <v/>
      </c>
      <c r="BA689" s="3">
        <f>IF(N(R689)&lt;=0,0,(N(AZ689)-N(AY689))*90/N(R689))</f>
        <v/>
      </c>
      <c r="BB689" s="7">
        <f>IFERROR(AZ689-VLOOKUP($E689,Assumptions!$A$40:$C$43,3,FALSE),"")</f>
        <v/>
      </c>
      <c r="BC689" s="3">
        <f>IFERROR(BB689/H689,"")</f>
        <v/>
      </c>
      <c r="BD689">
        <f>IF(AND($G689=TRUE,$E689="GKP"),AZ689,"")</f>
        <v/>
      </c>
      <c r="BE689">
        <f>IF(AND($G689=TRUE,$E689="DEF"),AZ689,"")</f>
        <v/>
      </c>
      <c r="BF689">
        <f>IF(AND($G689=TRUE,$E689="MID"),AZ689,"")</f>
        <v/>
      </c>
      <c r="BG689">
        <f>IF(AND($G689=TRUE,$E689="FWD"),AZ689,"")</f>
        <v/>
      </c>
      <c r="BH689" t="n">
        <v>2</v>
      </c>
      <c r="BI689" t="n">
        <v>2</v>
      </c>
      <c r="BJ689" t="n">
        <v>1</v>
      </c>
      <c r="BK689" t="n">
        <v>5</v>
      </c>
    </row>
    <row r="690">
      <c r="A690" t="inlineStr">
        <is>
          <t>Luis Guilherme</t>
        </is>
      </c>
      <c r="C690" t="inlineStr">
        <is>
          <t>WHU</t>
        </is>
      </c>
      <c r="D690" t="b">
        <v>0</v>
      </c>
      <c r="F690" t="inlineStr">
        <is>
          <t>MID</t>
        </is>
      </c>
      <c r="G690" t="b">
        <v>0</v>
      </c>
      <c r="H690" s="2" t="n"/>
      <c r="K690" s="2" t="n">
        <v>121</v>
      </c>
      <c r="M690" s="3" t="n"/>
      <c r="N690" s="8" t="n">
        <v>121</v>
      </c>
      <c r="O690" s="8" t="n">
        <v>0</v>
      </c>
      <c r="R690" s="6" t="n">
        <v>121</v>
      </c>
      <c r="S690" t="inlineStr">
        <is>
          <t>25/26 actual</t>
        </is>
      </c>
      <c r="U690" s="6" t="n">
        <v>76.90000000000001</v>
      </c>
      <c r="V690" s="2" t="n">
        <v>1</v>
      </c>
      <c r="W690" s="7">
        <f>IF(N(U690)&lt;=0,0,MIN(Assumptions!$B$15,N(R690)/N(U690)))</f>
        <v/>
      </c>
      <c r="X690" s="6" t="n"/>
      <c r="Y690" s="3" t="n">
        <v>0.0498</v>
      </c>
      <c r="Z690" t="inlineStr">
        <is>
          <t>adjusted xGOT</t>
        </is>
      </c>
      <c r="AA690" s="3" t="n">
        <v>1</v>
      </c>
      <c r="AB690" s="3" t="n">
        <v>0.954</v>
      </c>
      <c r="AC690" s="3" t="n">
        <v>0.5</v>
      </c>
      <c r="AD690" s="3" t="n">
        <v>0.0385</v>
      </c>
      <c r="AE690" s="3" t="n">
        <v>8.52</v>
      </c>
      <c r="AF690" s="3" t="n">
        <v>0</v>
      </c>
      <c r="AG690" s="3" t="n">
        <v>6.049</v>
      </c>
      <c r="AH690" s="3" t="n">
        <v>0</v>
      </c>
      <c r="AI690" s="3" t="n">
        <v>5</v>
      </c>
      <c r="AJ690" s="3" t="n"/>
      <c r="AK690" s="3" t="n"/>
      <c r="AL690" s="3" t="n"/>
      <c r="AM690" s="6" t="n">
        <v>0</v>
      </c>
      <c r="AN690" s="3" t="n">
        <v>0</v>
      </c>
      <c r="AO690" s="3" t="n">
        <v>0</v>
      </c>
      <c r="AP690" s="3" t="n">
        <v>0</v>
      </c>
      <c r="AQ690" s="3">
        <f>N(X690)*N(BJ690)</f>
        <v/>
      </c>
      <c r="AR690" s="3" t="n">
        <v>0</v>
      </c>
      <c r="AS690" s="3" t="n">
        <v>0</v>
      </c>
      <c r="AT690" s="3" t="n">
        <v>0</v>
      </c>
      <c r="AU690" s="3">
        <f>SUM(AO690:AT690)</f>
        <v/>
      </c>
      <c r="AV690" s="7">
        <f>IF(OR(N(W690)&lt;=0,N(BH690)=0),0,N(W690)*IF(N(R690)/N(W690)&gt;=60,N(BH690),1))</f>
        <v/>
      </c>
      <c r="AW690" s="7">
        <f>N(W690)*N(AF690)*N(BI690)</f>
        <v/>
      </c>
      <c r="AX690" s="3">
        <f>IF(N(BH690)=0,0,N(W690)*N(AH690))</f>
        <v/>
      </c>
      <c r="AY690" s="7">
        <f>N(AM690)*(Assumptions!$B$13*N(BK690)-(1-Assumptions!$B$13)*Assumptions!$B$14)+N(AN690)</f>
        <v/>
      </c>
      <c r="AZ690" s="7">
        <f>N(AU690)*N(R690)/90+N(AV690)+N(AW690)+N(AX690)+N(AY690)</f>
        <v/>
      </c>
      <c r="BA690" s="3">
        <f>IF(N(R690)&lt;=0,0,(N(AZ690)-N(AY690))*90/N(R690))</f>
        <v/>
      </c>
      <c r="BB690" s="7">
        <f>IFERROR(AZ690-VLOOKUP($E690,Assumptions!$A$40:$C$43,3,FALSE),"")</f>
        <v/>
      </c>
      <c r="BC690" s="3">
        <f>IFERROR(BB690/H690,"")</f>
        <v/>
      </c>
      <c r="BD690">
        <f>IF(AND($G690=TRUE,$E690="GKP"),AZ690,"")</f>
        <v/>
      </c>
      <c r="BE690">
        <f>IF(AND($G690=TRUE,$E690="DEF"),AZ690,"")</f>
        <v/>
      </c>
      <c r="BF690">
        <f>IF(AND($G690=TRUE,$E690="MID"),AZ690,"")</f>
        <v/>
      </c>
      <c r="BG690">
        <f>IF(AND($G690=TRUE,$E690="FWD"),AZ690,"")</f>
        <v/>
      </c>
      <c r="BH690" t="n">
        <v>0</v>
      </c>
      <c r="BI690" t="n">
        <v>0</v>
      </c>
      <c r="BJ690" t="n">
        <v>0</v>
      </c>
      <c r="BK690" t="n">
        <v>0</v>
      </c>
    </row>
    <row r="691">
      <c r="A691" t="inlineStr">
        <is>
          <t>Miguel Brau</t>
        </is>
      </c>
      <c r="B691" t="inlineStr">
        <is>
          <t>COV</t>
        </is>
      </c>
      <c r="D691" t="b">
        <v>0</v>
      </c>
      <c r="E691" t="inlineStr">
        <is>
          <t>DEF</t>
        </is>
      </c>
      <c r="G691" t="b">
        <v>1</v>
      </c>
      <c r="H691" s="2" t="n">
        <v>4</v>
      </c>
      <c r="I691" t="inlineStr">
        <is>
          <t>a</t>
        </is>
      </c>
      <c r="K691" s="2" t="n"/>
      <c r="M691" s="3" t="n">
        <v>0</v>
      </c>
      <c r="N691" s="8" t="n">
        <v>0</v>
      </c>
      <c r="O691" s="8" t="n">
        <v>0</v>
      </c>
      <c r="Q691" t="inlineStr">
        <is>
          <t>flat</t>
        </is>
      </c>
      <c r="R691" s="6" t="n">
        <v>0</v>
      </c>
      <c r="S691" t="inlineStr">
        <is>
          <t>Solio</t>
        </is>
      </c>
      <c r="U691" s="6" t="n">
        <v>85</v>
      </c>
      <c r="V691" s="2" t="n"/>
      <c r="W691" s="7">
        <f>IF(N(U691)&lt;=0,0,MIN(Assumptions!$B$15,N(R691)/N(U691)))</f>
        <v/>
      </c>
      <c r="X691" s="6" t="n">
        <v>0.17</v>
      </c>
      <c r="Y691" s="3" t="n"/>
      <c r="Z691" t="inlineStr"/>
      <c r="AA691" s="3" t="n">
        <v>1</v>
      </c>
      <c r="AB691" s="3" t="n"/>
      <c r="AC691" s="3" t="n"/>
      <c r="AD691" s="3" t="n"/>
      <c r="AE691" s="3" t="n"/>
      <c r="AF691" s="3" t="n">
        <v>0</v>
      </c>
      <c r="AG691" s="3" t="n"/>
      <c r="AH691" s="3" t="n">
        <v>0</v>
      </c>
      <c r="AI691" s="3" t="n"/>
      <c r="AJ691" s="3" t="n">
        <v>3.6194</v>
      </c>
      <c r="AK691" s="3" t="n">
        <v>1.8271</v>
      </c>
      <c r="AL691" s="3" t="n">
        <v>-0.2045226422080557</v>
      </c>
      <c r="AM691" s="6" t="n">
        <v>0</v>
      </c>
      <c r="AN691" s="3" t="n">
        <v>0</v>
      </c>
      <c r="AO691" s="3" t="n">
        <v>0</v>
      </c>
      <c r="AP691" s="3" t="n">
        <v>0</v>
      </c>
      <c r="AQ691" s="3">
        <f>N(X691)*N(BJ691)</f>
        <v/>
      </c>
      <c r="AR691" s="3" t="n">
        <v>0</v>
      </c>
      <c r="AS691" s="3" t="n">
        <v>-0.670020548738316</v>
      </c>
      <c r="AT691" s="3" t="n">
        <v>-0.2045226422080557</v>
      </c>
      <c r="AU691" s="3">
        <f>SUM(AO691:AT691)</f>
        <v/>
      </c>
      <c r="AV691" s="7">
        <f>IF(OR(N(W691)&lt;=0,N(BH691)=0),0,N(W691)*IF(N(R691)/N(W691)&gt;=60,N(BH691),1))</f>
        <v/>
      </c>
      <c r="AW691" s="7">
        <f>N(W691)*N(AF691)*N(BI691)</f>
        <v/>
      </c>
      <c r="AX691" s="3">
        <f>IF(N(BH691)=0,0,N(W691)*N(AH691))</f>
        <v/>
      </c>
      <c r="AY691" s="7">
        <f>N(AM691)*(Assumptions!$B$13*N(BK691)-(1-Assumptions!$B$13)*Assumptions!$B$14)+N(AN691)</f>
        <v/>
      </c>
      <c r="AZ691" s="7">
        <f>N(AU691)*N(R691)/90+N(AV691)+N(AW691)+N(AX691)+N(AY691)</f>
        <v/>
      </c>
      <c r="BA691" s="3">
        <f>IF(N(R691)&lt;=0,0,(N(AZ691)-N(AY691))*90/N(R691))</f>
        <v/>
      </c>
      <c r="BB691" s="7">
        <f>IFERROR(AZ691-VLOOKUP($E691,Assumptions!$A$40:$C$43,3,FALSE),"")</f>
        <v/>
      </c>
      <c r="BC691" s="3">
        <f>IFERROR(BB691/H691,"")</f>
        <v/>
      </c>
      <c r="BD691">
        <f>IF(AND($G691=TRUE,$E691="GKP"),AZ691,"")</f>
        <v/>
      </c>
      <c r="BE691">
        <f>IF(AND($G691=TRUE,$E691="DEF"),AZ691,"")</f>
        <v/>
      </c>
      <c r="BF691">
        <f>IF(AND($G691=TRUE,$E691="MID"),AZ691,"")</f>
        <v/>
      </c>
      <c r="BG691">
        <f>IF(AND($G691=TRUE,$E691="FWD"),AZ691,"")</f>
        <v/>
      </c>
      <c r="BH691" t="n">
        <v>2</v>
      </c>
      <c r="BI691" t="n">
        <v>2</v>
      </c>
      <c r="BJ691" t="n">
        <v>4</v>
      </c>
      <c r="BK691" t="n">
        <v>6</v>
      </c>
    </row>
    <row r="692">
      <c r="A692" t="inlineStr">
        <is>
          <t>Kosta Nedeljkovic</t>
        </is>
      </c>
      <c r="B692" t="inlineStr">
        <is>
          <t>AVL</t>
        </is>
      </c>
      <c r="D692" t="b">
        <v>0</v>
      </c>
      <c r="E692" t="inlineStr">
        <is>
          <t>DEF</t>
        </is>
      </c>
      <c r="G692" t="b">
        <v>1</v>
      </c>
      <c r="H692" s="2" t="n">
        <v>4</v>
      </c>
      <c r="I692" t="inlineStr">
        <is>
          <t>a</t>
        </is>
      </c>
      <c r="K692" s="2" t="n"/>
      <c r="M692" s="3" t="n">
        <v>0</v>
      </c>
      <c r="N692" s="4" t="n">
        <v>200</v>
      </c>
      <c r="O692" s="4" t="n">
        <v>200</v>
      </c>
      <c r="P692" s="5" t="inlineStr">
        <is>
          <t>low</t>
        </is>
      </c>
      <c r="Q692" t="inlineStr">
        <is>
          <t>flat</t>
        </is>
      </c>
      <c r="R692" s="6" t="n">
        <v>200</v>
      </c>
      <c r="S692" t="inlineStr">
        <is>
          <t>research</t>
        </is>
      </c>
      <c r="T692" s="5" t="inlineStr">
        <is>
          <t>Solio has him at zero, but he is back from his RB Leipzig loan, is listed in the 2026/27 first-team squad, was in the Super Cup squad and started at right-back against Monchengladbach - and Andres Garcia's loan to Getafe left the deputy right-back slot vacant. Kept low because Rangers want him on loan and Villa are chasing Wan-Bissaka, either of which would take this back to zero.</t>
        </is>
      </c>
      <c r="U692" s="6" t="n">
        <v>85</v>
      </c>
      <c r="V692" s="2" t="n"/>
      <c r="W692" s="7">
        <f>IF(N(U692)&lt;=0,0,MIN(Assumptions!$B$15,N(R692)/N(U692)))</f>
        <v/>
      </c>
      <c r="X692" s="6" t="n">
        <v>0.273</v>
      </c>
      <c r="Y692" s="3" t="n"/>
      <c r="Z692" t="inlineStr"/>
      <c r="AA692" s="3" t="n">
        <v>1</v>
      </c>
      <c r="AB692" s="3" t="n"/>
      <c r="AC692" s="3" t="n"/>
      <c r="AD692" s="3" t="n"/>
      <c r="AE692" s="3" t="n"/>
      <c r="AF692" s="3" t="n">
        <v>0</v>
      </c>
      <c r="AG692" s="3" t="n"/>
      <c r="AH692" s="3" t="n">
        <v>0</v>
      </c>
      <c r="AI692" s="3" t="n"/>
      <c r="AJ692" s="3" t="n">
        <v>2.7451</v>
      </c>
      <c r="AK692" s="3" t="n">
        <v>1.3575</v>
      </c>
      <c r="AL692" s="3" t="n">
        <v>-0.1957236914779764</v>
      </c>
      <c r="AM692" s="6" t="n">
        <v>0</v>
      </c>
      <c r="AN692" s="3" t="n">
        <v>0</v>
      </c>
      <c r="AO692" s="3" t="n">
        <v>0</v>
      </c>
      <c r="AP692" s="3" t="n">
        <v>0</v>
      </c>
      <c r="AQ692" s="3">
        <f>N(X692)*N(BJ692)</f>
        <v/>
      </c>
      <c r="AR692" s="3" t="n">
        <v>0</v>
      </c>
      <c r="AS692" s="3" t="n">
        <v>-0.4453012382517575</v>
      </c>
      <c r="AT692" s="3" t="n">
        <v>-0.1957236914779764</v>
      </c>
      <c r="AU692" s="3">
        <f>SUM(AO692:AT692)</f>
        <v/>
      </c>
      <c r="AV692" s="7">
        <f>IF(OR(N(W692)&lt;=0,N(BH692)=0),0,N(W692)*IF(N(R692)/N(W692)&gt;=60,N(BH692),1))</f>
        <v/>
      </c>
      <c r="AW692" s="7">
        <f>N(W692)*N(AF692)*N(BI692)</f>
        <v/>
      </c>
      <c r="AX692" s="3">
        <f>IF(N(BH692)=0,0,N(W692)*N(AH692))</f>
        <v/>
      </c>
      <c r="AY692" s="7">
        <f>N(AM692)*(Assumptions!$B$13*N(BK692)-(1-Assumptions!$B$13)*Assumptions!$B$14)+N(AN692)</f>
        <v/>
      </c>
      <c r="AZ692" s="7">
        <f>N(AU692)*N(R692)/90+N(AV692)+N(AW692)+N(AX692)+N(AY692)</f>
        <v/>
      </c>
      <c r="BA692" s="3">
        <f>IF(N(R692)&lt;=0,0,(N(AZ692)-N(AY692))*90/N(R692))</f>
        <v/>
      </c>
      <c r="BB692" s="7">
        <f>IFERROR(AZ692-VLOOKUP($E692,Assumptions!$A$40:$C$43,3,FALSE),"")</f>
        <v/>
      </c>
      <c r="BC692" s="3">
        <f>IFERROR(BB692/H692,"")</f>
        <v/>
      </c>
      <c r="BD692">
        <f>IF(AND($G692=TRUE,$E692="GKP"),AZ692,"")</f>
        <v/>
      </c>
      <c r="BE692">
        <f>IF(AND($G692=TRUE,$E692="DEF"),AZ692,"")</f>
        <v/>
      </c>
      <c r="BF692">
        <f>IF(AND($G692=TRUE,$E692="MID"),AZ692,"")</f>
        <v/>
      </c>
      <c r="BG692">
        <f>IF(AND($G692=TRUE,$E692="FWD"),AZ692,"")</f>
        <v/>
      </c>
      <c r="BH692" t="n">
        <v>2</v>
      </c>
      <c r="BI692" t="n">
        <v>2</v>
      </c>
      <c r="BJ692" t="n">
        <v>4</v>
      </c>
      <c r="BK692" t="n">
        <v>6</v>
      </c>
    </row>
    <row r="693">
      <c r="A693" t="inlineStr">
        <is>
          <t>Geovany Quenda</t>
        </is>
      </c>
      <c r="B693" t="inlineStr">
        <is>
          <t>CHE</t>
        </is>
      </c>
      <c r="D693" t="b">
        <v>0</v>
      </c>
      <c r="E693" t="inlineStr">
        <is>
          <t>MID</t>
        </is>
      </c>
      <c r="G693" t="b">
        <v>1</v>
      </c>
      <c r="H693" s="2" t="n">
        <v>5.5</v>
      </c>
      <c r="I693" t="inlineStr">
        <is>
          <t>a</t>
        </is>
      </c>
      <c r="K693" s="2" t="n"/>
      <c r="M693" s="3" t="n">
        <v>866</v>
      </c>
      <c r="N693" s="8" t="n">
        <v>866</v>
      </c>
      <c r="O693" s="8" t="n">
        <v>0</v>
      </c>
      <c r="Q693" t="inlineStr">
        <is>
          <t>flat</t>
        </is>
      </c>
      <c r="R693" s="6" t="n">
        <v>866</v>
      </c>
      <c r="S693" t="inlineStr">
        <is>
          <t>Solio</t>
        </is>
      </c>
      <c r="U693" s="6" t="n">
        <v>85</v>
      </c>
      <c r="V693" s="2" t="n"/>
      <c r="W693" s="7">
        <f>IF(N(U693)&lt;=0,0,MIN(Assumptions!$B$15,N(R693)/N(U693)))</f>
        <v/>
      </c>
      <c r="X693" s="6" t="n">
        <v>0.322</v>
      </c>
      <c r="Y693" s="3" t="n"/>
      <c r="Z693" t="inlineStr"/>
      <c r="AA693" s="3" t="n">
        <v>1</v>
      </c>
      <c r="AB693" s="3" t="n"/>
      <c r="AC693" s="3" t="n"/>
      <c r="AD693" s="3" t="n"/>
      <c r="AE693" s="3" t="n"/>
      <c r="AF693" s="3" t="n">
        <v>0</v>
      </c>
      <c r="AG693" s="3" t="n"/>
      <c r="AH693" s="3" t="n">
        <v>0</v>
      </c>
      <c r="AI693" s="3" t="n"/>
      <c r="AJ693" s="3" t="n">
        <v>2.4232</v>
      </c>
      <c r="AK693" s="3" t="n">
        <v>1.1851</v>
      </c>
      <c r="AL693" s="3" t="n">
        <v>-0.2160434166173144</v>
      </c>
      <c r="AM693" s="6" t="n">
        <v>0</v>
      </c>
      <c r="AN693" s="3" t="n">
        <v>0</v>
      </c>
      <c r="AO693" s="3" t="n">
        <v>0</v>
      </c>
      <c r="AP693" s="3" t="n">
        <v>0</v>
      </c>
      <c r="AQ693" s="3">
        <f>N(X693)*N(BJ693)</f>
        <v/>
      </c>
      <c r="AR693" s="3" t="n">
        <v>0</v>
      </c>
      <c r="AS693" s="3" t="n">
        <v>-0</v>
      </c>
      <c r="AT693" s="3" t="n">
        <v>-0.2160434166173144</v>
      </c>
      <c r="AU693" s="3">
        <f>SUM(AO693:AT693)</f>
        <v/>
      </c>
      <c r="AV693" s="7">
        <f>IF(OR(N(W693)&lt;=0,N(BH693)=0),0,N(W693)*IF(N(R693)/N(W693)&gt;=60,N(BH693),1))</f>
        <v/>
      </c>
      <c r="AW693" s="7">
        <f>N(W693)*N(AF693)*N(BI693)</f>
        <v/>
      </c>
      <c r="AX693" s="3">
        <f>IF(N(BH693)=0,0,N(W693)*N(AH693))</f>
        <v/>
      </c>
      <c r="AY693" s="7">
        <f>N(AM693)*(Assumptions!$B$13*N(BK693)-(1-Assumptions!$B$13)*Assumptions!$B$14)+N(AN693)</f>
        <v/>
      </c>
      <c r="AZ693" s="7">
        <f>N(AU693)*N(R693)/90+N(AV693)+N(AW693)+N(AX693)+N(AY693)</f>
        <v/>
      </c>
      <c r="BA693" s="3">
        <f>IF(N(R693)&lt;=0,0,(N(AZ693)-N(AY693))*90/N(R693))</f>
        <v/>
      </c>
      <c r="BB693" s="7">
        <f>IFERROR(AZ693-VLOOKUP($E693,Assumptions!$A$40:$C$43,3,FALSE),"")</f>
        <v/>
      </c>
      <c r="BC693" s="3">
        <f>IFERROR(BB693/H693,"")</f>
        <v/>
      </c>
      <c r="BD693">
        <f>IF(AND($G693=TRUE,$E693="GKP"),AZ693,"")</f>
        <v/>
      </c>
      <c r="BE693">
        <f>IF(AND($G693=TRUE,$E693="DEF"),AZ693,"")</f>
        <v/>
      </c>
      <c r="BF693">
        <f>IF(AND($G693=TRUE,$E693="MID"),AZ693,"")</f>
        <v/>
      </c>
      <c r="BG693">
        <f>IF(AND($G693=TRUE,$E693="FWD"),AZ693,"")</f>
        <v/>
      </c>
      <c r="BH693" t="n">
        <v>2</v>
      </c>
      <c r="BI693" t="n">
        <v>2</v>
      </c>
      <c r="BJ693" t="n">
        <v>1</v>
      </c>
      <c r="BK693" t="n">
        <v>5</v>
      </c>
    </row>
    <row r="694">
      <c r="A694" t="inlineStr">
        <is>
          <t>Tom Edozie</t>
        </is>
      </c>
      <c r="C694" t="inlineStr">
        <is>
          <t>WOL</t>
        </is>
      </c>
      <c r="D694" t="b">
        <v>0</v>
      </c>
      <c r="F694" t="inlineStr">
        <is>
          <t>MID</t>
        </is>
      </c>
      <c r="G694" t="b">
        <v>0</v>
      </c>
      <c r="H694" s="2" t="n"/>
      <c r="K694" s="2" t="n">
        <v>12</v>
      </c>
      <c r="M694" s="3" t="n"/>
      <c r="N694" s="8" t="n">
        <v>12</v>
      </c>
      <c r="O694" s="8" t="n">
        <v>0</v>
      </c>
      <c r="R694" s="6" t="n">
        <v>12</v>
      </c>
      <c r="S694" t="inlineStr">
        <is>
          <t>25/26 actual</t>
        </is>
      </c>
      <c r="U694" s="6" t="n">
        <v>80.09999999999999</v>
      </c>
      <c r="V694" s="2" t="n">
        <v>0</v>
      </c>
      <c r="W694" s="7">
        <f>IF(N(U694)&lt;=0,0,MIN(Assumptions!$B$15,N(R694)/N(U694)))</f>
        <v/>
      </c>
      <c r="X694" s="6" t="n"/>
      <c r="Y694" s="3" t="n">
        <v>1.845</v>
      </c>
      <c r="Z694" t="inlineStr">
        <is>
          <t>adjusted xGOT</t>
        </is>
      </c>
      <c r="AA694" s="3" t="n">
        <v>1</v>
      </c>
      <c r="AB694" s="3" t="n">
        <v>1.069</v>
      </c>
      <c r="AC694" s="3" t="n">
        <v>0.2</v>
      </c>
      <c r="AD694" s="3" t="n"/>
      <c r="AE694" s="3" t="n">
        <v>8.558999999999999</v>
      </c>
      <c r="AF694" s="3" t="n">
        <v>0</v>
      </c>
      <c r="AG694" s="3" t="n">
        <v>6.827</v>
      </c>
      <c r="AH694" s="3" t="n">
        <v>0</v>
      </c>
      <c r="AI694" s="3" t="n">
        <v>3</v>
      </c>
      <c r="AJ694" s="3" t="n"/>
      <c r="AK694" s="3" t="n"/>
      <c r="AL694" s="3" t="n"/>
      <c r="AM694" s="6" t="n">
        <v>0</v>
      </c>
      <c r="AN694" s="3" t="n">
        <v>0</v>
      </c>
      <c r="AO694" s="3" t="n">
        <v>0</v>
      </c>
      <c r="AP694" s="3" t="n">
        <v>0</v>
      </c>
      <c r="AQ694" s="3">
        <f>N(X694)*N(BJ694)</f>
        <v/>
      </c>
      <c r="AR694" s="3" t="n">
        <v>0</v>
      </c>
      <c r="AS694" s="3" t="n">
        <v>0</v>
      </c>
      <c r="AT694" s="3" t="n">
        <v>0</v>
      </c>
      <c r="AU694" s="3">
        <f>SUM(AO694:AT694)</f>
        <v/>
      </c>
      <c r="AV694" s="7">
        <f>IF(OR(N(W694)&lt;=0,N(BH694)=0),0,N(W694)*IF(N(R694)/N(W694)&gt;=60,N(BH694),1))</f>
        <v/>
      </c>
      <c r="AW694" s="7">
        <f>N(W694)*N(AF694)*N(BI694)</f>
        <v/>
      </c>
      <c r="AX694" s="3">
        <f>IF(N(BH694)=0,0,N(W694)*N(AH694))</f>
        <v/>
      </c>
      <c r="AY694" s="7">
        <f>N(AM694)*(Assumptions!$B$13*N(BK694)-(1-Assumptions!$B$13)*Assumptions!$B$14)+N(AN694)</f>
        <v/>
      </c>
      <c r="AZ694" s="7">
        <f>N(AU694)*N(R694)/90+N(AV694)+N(AW694)+N(AX694)+N(AY694)</f>
        <v/>
      </c>
      <c r="BA694" s="3">
        <f>IF(N(R694)&lt;=0,0,(N(AZ694)-N(AY694))*90/N(R694))</f>
        <v/>
      </c>
      <c r="BB694" s="7">
        <f>IFERROR(AZ694-VLOOKUP($E694,Assumptions!$A$40:$C$43,3,FALSE),"")</f>
        <v/>
      </c>
      <c r="BC694" s="3">
        <f>IFERROR(BB694/H694,"")</f>
        <v/>
      </c>
      <c r="BD694">
        <f>IF(AND($G694=TRUE,$E694="GKP"),AZ694,"")</f>
        <v/>
      </c>
      <c r="BE694">
        <f>IF(AND($G694=TRUE,$E694="DEF"),AZ694,"")</f>
        <v/>
      </c>
      <c r="BF694">
        <f>IF(AND($G694=TRUE,$E694="MID"),AZ694,"")</f>
        <v/>
      </c>
      <c r="BG694">
        <f>IF(AND($G694=TRUE,$E694="FWD"),AZ694,"")</f>
        <v/>
      </c>
      <c r="BH694" t="n">
        <v>0</v>
      </c>
      <c r="BI694" t="n">
        <v>0</v>
      </c>
      <c r="BJ694" t="n">
        <v>0</v>
      </c>
      <c r="BK694" t="n">
        <v>0</v>
      </c>
    </row>
    <row r="695">
      <c r="A695" t="inlineStr">
        <is>
          <t>Lucas Herrington</t>
        </is>
      </c>
      <c r="B695" t="inlineStr">
        <is>
          <t>HUL</t>
        </is>
      </c>
      <c r="D695" t="b">
        <v>0</v>
      </c>
      <c r="E695" t="inlineStr">
        <is>
          <t>DEF</t>
        </is>
      </c>
      <c r="G695" t="b">
        <v>1</v>
      </c>
      <c r="H695" s="2" t="n">
        <v>4</v>
      </c>
      <c r="I695" t="inlineStr">
        <is>
          <t>a</t>
        </is>
      </c>
      <c r="K695" s="2" t="n"/>
      <c r="M695" s="3" t="n">
        <v>0</v>
      </c>
      <c r="N695" s="8" t="n">
        <v>0</v>
      </c>
      <c r="O695" s="8" t="n">
        <v>0</v>
      </c>
      <c r="Q695" t="inlineStr">
        <is>
          <t>flat</t>
        </is>
      </c>
      <c r="R695" s="6" t="n">
        <v>0</v>
      </c>
      <c r="S695" t="inlineStr">
        <is>
          <t>Solio</t>
        </is>
      </c>
      <c r="U695" s="6" t="n">
        <v>85</v>
      </c>
      <c r="V695" s="2" t="n"/>
      <c r="W695" s="7">
        <f>IF(N(U695)&lt;=0,0,MIN(Assumptions!$B$15,N(R695)/N(U695)))</f>
        <v/>
      </c>
      <c r="X695" s="6" t="n">
        <v>0.143</v>
      </c>
      <c r="Y695" s="3" t="n"/>
      <c r="Z695" t="inlineStr"/>
      <c r="AA695" s="3" t="n">
        <v>1</v>
      </c>
      <c r="AB695" s="3" t="n"/>
      <c r="AC695" s="3" t="n"/>
      <c r="AD695" s="3" t="n"/>
      <c r="AE695" s="3" t="n"/>
      <c r="AF695" s="3" t="n">
        <v>0</v>
      </c>
      <c r="AG695" s="3" t="n"/>
      <c r="AH695" s="3" t="n">
        <v>0</v>
      </c>
      <c r="AI695" s="3" t="n"/>
      <c r="AJ695" s="3" t="n">
        <v>3.9421</v>
      </c>
      <c r="AK695" s="3" t="n">
        <v>1.99</v>
      </c>
      <c r="AL695" s="3" t="n">
        <v>-0.2045226422080557</v>
      </c>
      <c r="AM695" s="6" t="n">
        <v>0</v>
      </c>
      <c r="AN695" s="3" t="n">
        <v>0</v>
      </c>
      <c r="AO695" s="3" t="n">
        <v>0</v>
      </c>
      <c r="AP695" s="3" t="n">
        <v>0</v>
      </c>
      <c r="AQ695" s="3">
        <f>N(X695)*N(BJ695)</f>
        <v/>
      </c>
      <c r="AR695" s="3" t="n">
        <v>0</v>
      </c>
      <c r="AS695" s="3" t="n">
        <v>-0.7496714098286652</v>
      </c>
      <c r="AT695" s="3" t="n">
        <v>-0.2045226422080557</v>
      </c>
      <c r="AU695" s="3">
        <f>SUM(AO695:AT695)</f>
        <v/>
      </c>
      <c r="AV695" s="7">
        <f>IF(OR(N(W695)&lt;=0,N(BH695)=0),0,N(W695)*IF(N(R695)/N(W695)&gt;=60,N(BH695),1))</f>
        <v/>
      </c>
      <c r="AW695" s="7">
        <f>N(W695)*N(AF695)*N(BI695)</f>
        <v/>
      </c>
      <c r="AX695" s="3">
        <f>IF(N(BH695)=0,0,N(W695)*N(AH695))</f>
        <v/>
      </c>
      <c r="AY695" s="7">
        <f>N(AM695)*(Assumptions!$B$13*N(BK695)-(1-Assumptions!$B$13)*Assumptions!$B$14)+N(AN695)</f>
        <v/>
      </c>
      <c r="AZ695" s="7">
        <f>N(AU695)*N(R695)/90+N(AV695)+N(AW695)+N(AX695)+N(AY695)</f>
        <v/>
      </c>
      <c r="BA695" s="3">
        <f>IF(N(R695)&lt;=0,0,(N(AZ695)-N(AY695))*90/N(R695))</f>
        <v/>
      </c>
      <c r="BB695" s="7">
        <f>IFERROR(AZ695-VLOOKUP($E695,Assumptions!$A$40:$C$43,3,FALSE),"")</f>
        <v/>
      </c>
      <c r="BC695" s="3">
        <f>IFERROR(BB695/H695,"")</f>
        <v/>
      </c>
      <c r="BD695">
        <f>IF(AND($G695=TRUE,$E695="GKP"),AZ695,"")</f>
        <v/>
      </c>
      <c r="BE695">
        <f>IF(AND($G695=TRUE,$E695="DEF"),AZ695,"")</f>
        <v/>
      </c>
      <c r="BF695">
        <f>IF(AND($G695=TRUE,$E695="MID"),AZ695,"")</f>
        <v/>
      </c>
      <c r="BG695">
        <f>IF(AND($G695=TRUE,$E695="FWD"),AZ695,"")</f>
        <v/>
      </c>
      <c r="BH695" t="n">
        <v>2</v>
      </c>
      <c r="BI695" t="n">
        <v>2</v>
      </c>
      <c r="BJ695" t="n">
        <v>4</v>
      </c>
      <c r="BK695" t="n">
        <v>6</v>
      </c>
    </row>
    <row r="696">
      <c r="A696" t="inlineStr">
        <is>
          <t>Ezra Mayers</t>
        </is>
      </c>
      <c r="C696" t="inlineStr">
        <is>
          <t>WHU</t>
        </is>
      </c>
      <c r="D696" t="b">
        <v>0</v>
      </c>
      <c r="F696" t="inlineStr">
        <is>
          <t>DEF</t>
        </is>
      </c>
      <c r="G696" t="b">
        <v>0</v>
      </c>
      <c r="H696" s="2" t="n"/>
      <c r="K696" s="2" t="n">
        <v>113</v>
      </c>
      <c r="M696" s="3" t="n"/>
      <c r="N696" s="8" t="n">
        <v>113</v>
      </c>
      <c r="O696" s="8" t="n">
        <v>0</v>
      </c>
      <c r="R696" s="6" t="n">
        <v>113</v>
      </c>
      <c r="S696" t="inlineStr">
        <is>
          <t>25/26 actual</t>
        </is>
      </c>
      <c r="U696" s="6" t="n">
        <v>85.5</v>
      </c>
      <c r="V696" s="2" t="n">
        <v>0</v>
      </c>
      <c r="W696" s="7">
        <f>IF(N(U696)&lt;=0,0,MIN(Assumptions!$B$15,N(R696)/N(U696)))</f>
        <v/>
      </c>
      <c r="X696" s="6" t="n"/>
      <c r="Y696" s="3" t="n">
        <v>0.094</v>
      </c>
      <c r="Z696" t="inlineStr">
        <is>
          <t>adjusted xGOT</t>
        </is>
      </c>
      <c r="AA696" s="3" t="n">
        <v>1</v>
      </c>
      <c r="AB696" s="3" t="n">
        <v>0.985</v>
      </c>
      <c r="AC696" s="3" t="n">
        <v>0.1</v>
      </c>
      <c r="AD696" s="3" t="n">
        <v>0.0927</v>
      </c>
      <c r="AE696" s="3" t="n">
        <v>7.183</v>
      </c>
      <c r="AF696" s="3" t="n">
        <v>0</v>
      </c>
      <c r="AG696" s="3" t="n">
        <v>8.43</v>
      </c>
      <c r="AH696" s="3" t="n">
        <v>0</v>
      </c>
      <c r="AI696" s="3" t="n">
        <v>6</v>
      </c>
      <c r="AJ696" s="3" t="n"/>
      <c r="AK696" s="3" t="n"/>
      <c r="AL696" s="3" t="n"/>
      <c r="AM696" s="6" t="n">
        <v>0</v>
      </c>
      <c r="AN696" s="3" t="n">
        <v>0</v>
      </c>
      <c r="AO696" s="3" t="n">
        <v>0</v>
      </c>
      <c r="AP696" s="3" t="n">
        <v>0</v>
      </c>
      <c r="AQ696" s="3">
        <f>N(X696)*N(BJ696)</f>
        <v/>
      </c>
      <c r="AR696" s="3" t="n">
        <v>0</v>
      </c>
      <c r="AS696" s="3" t="n">
        <v>0</v>
      </c>
      <c r="AT696" s="3" t="n">
        <v>0</v>
      </c>
      <c r="AU696" s="3">
        <f>SUM(AO696:AT696)</f>
        <v/>
      </c>
      <c r="AV696" s="7">
        <f>IF(OR(N(W696)&lt;=0,N(BH696)=0),0,N(W696)*IF(N(R696)/N(W696)&gt;=60,N(BH696),1))</f>
        <v/>
      </c>
      <c r="AW696" s="7">
        <f>N(W696)*N(AF696)*N(BI696)</f>
        <v/>
      </c>
      <c r="AX696" s="3">
        <f>IF(N(BH696)=0,0,N(W696)*N(AH696))</f>
        <v/>
      </c>
      <c r="AY696" s="7">
        <f>N(AM696)*(Assumptions!$B$13*N(BK696)-(1-Assumptions!$B$13)*Assumptions!$B$14)+N(AN696)</f>
        <v/>
      </c>
      <c r="AZ696" s="7">
        <f>N(AU696)*N(R696)/90+N(AV696)+N(AW696)+N(AX696)+N(AY696)</f>
        <v/>
      </c>
      <c r="BA696" s="3">
        <f>IF(N(R696)&lt;=0,0,(N(AZ696)-N(AY696))*90/N(R696))</f>
        <v/>
      </c>
      <c r="BB696" s="7">
        <f>IFERROR(AZ696-VLOOKUP($E696,Assumptions!$A$40:$C$43,3,FALSE),"")</f>
        <v/>
      </c>
      <c r="BC696" s="3">
        <f>IFERROR(BB696/H696,"")</f>
        <v/>
      </c>
      <c r="BD696">
        <f>IF(AND($G696=TRUE,$E696="GKP"),AZ696,"")</f>
        <v/>
      </c>
      <c r="BE696">
        <f>IF(AND($G696=TRUE,$E696="DEF"),AZ696,"")</f>
        <v/>
      </c>
      <c r="BF696">
        <f>IF(AND($G696=TRUE,$E696="MID"),AZ696,"")</f>
        <v/>
      </c>
      <c r="BG696">
        <f>IF(AND($G696=TRUE,$E696="FWD"),AZ696,"")</f>
        <v/>
      </c>
      <c r="BH696" t="n">
        <v>0</v>
      </c>
      <c r="BI696" t="n">
        <v>0</v>
      </c>
      <c r="BJ696" t="n">
        <v>0</v>
      </c>
      <c r="BK696" t="n">
        <v>0</v>
      </c>
    </row>
    <row r="697">
      <c r="A697" t="inlineStr">
        <is>
          <t>Romelle Donovan</t>
        </is>
      </c>
      <c r="C697" t="inlineStr">
        <is>
          <t>BRE</t>
        </is>
      </c>
      <c r="D697" t="b">
        <v>0</v>
      </c>
      <c r="F697" t="inlineStr">
        <is>
          <t>MID</t>
        </is>
      </c>
      <c r="G697" t="b">
        <v>0</v>
      </c>
      <c r="H697" s="2" t="n"/>
      <c r="K697" s="2" t="n">
        <v>38</v>
      </c>
      <c r="M697" s="3" t="n"/>
      <c r="N697" s="8" t="n">
        <v>38</v>
      </c>
      <c r="O697" s="8" t="n">
        <v>0</v>
      </c>
      <c r="R697" s="6" t="n">
        <v>38</v>
      </c>
      <c r="S697" t="inlineStr">
        <is>
          <t>25/26 actual</t>
        </is>
      </c>
      <c r="U697" s="6" t="n">
        <v>80.09999999999999</v>
      </c>
      <c r="V697" s="2" t="n">
        <v>0</v>
      </c>
      <c r="W697" s="7">
        <f>IF(N(U697)&lt;=0,0,MIN(Assumptions!$B$15,N(R697)/N(U697)))</f>
        <v/>
      </c>
      <c r="X697" s="6" t="n"/>
      <c r="Y697" s="3" t="n">
        <v>0.2108</v>
      </c>
      <c r="Z697" t="inlineStr">
        <is>
          <t>adjusted xGOT</t>
        </is>
      </c>
      <c r="AA697" s="3" t="n">
        <v>1</v>
      </c>
      <c r="AB697" s="3" t="n">
        <v>0.989</v>
      </c>
      <c r="AC697" s="3" t="n">
        <v>0.1</v>
      </c>
      <c r="AD697" s="3" t="n">
        <v>0.0759</v>
      </c>
      <c r="AE697" s="3" t="n">
        <v>8.741</v>
      </c>
      <c r="AF697" s="3" t="n">
        <v>0</v>
      </c>
      <c r="AG697" s="3" t="n">
        <v>7.582</v>
      </c>
      <c r="AH697" s="3" t="n">
        <v>0</v>
      </c>
      <c r="AI697" s="3" t="n">
        <v>4</v>
      </c>
      <c r="AJ697" s="3" t="n"/>
      <c r="AK697" s="3" t="n"/>
      <c r="AL697" s="3" t="n"/>
      <c r="AM697" s="6" t="n">
        <v>0</v>
      </c>
      <c r="AN697" s="3" t="n">
        <v>0</v>
      </c>
      <c r="AO697" s="3" t="n">
        <v>0</v>
      </c>
      <c r="AP697" s="3" t="n">
        <v>0</v>
      </c>
      <c r="AQ697" s="3">
        <f>N(X697)*N(BJ697)</f>
        <v/>
      </c>
      <c r="AR697" s="3" t="n">
        <v>0</v>
      </c>
      <c r="AS697" s="3" t="n">
        <v>0</v>
      </c>
      <c r="AT697" s="3" t="n">
        <v>0</v>
      </c>
      <c r="AU697" s="3">
        <f>SUM(AO697:AT697)</f>
        <v/>
      </c>
      <c r="AV697" s="7">
        <f>IF(OR(N(W697)&lt;=0,N(BH697)=0),0,N(W697)*IF(N(R697)/N(W697)&gt;=60,N(BH697),1))</f>
        <v/>
      </c>
      <c r="AW697" s="7">
        <f>N(W697)*N(AF697)*N(BI697)</f>
        <v/>
      </c>
      <c r="AX697" s="3">
        <f>IF(N(BH697)=0,0,N(W697)*N(AH697))</f>
        <v/>
      </c>
      <c r="AY697" s="7">
        <f>N(AM697)*(Assumptions!$B$13*N(BK697)-(1-Assumptions!$B$13)*Assumptions!$B$14)+N(AN697)</f>
        <v/>
      </c>
      <c r="AZ697" s="7">
        <f>N(AU697)*N(R697)/90+N(AV697)+N(AW697)+N(AX697)+N(AY697)</f>
        <v/>
      </c>
      <c r="BA697" s="3">
        <f>IF(N(R697)&lt;=0,0,(N(AZ697)-N(AY697))*90/N(R697))</f>
        <v/>
      </c>
      <c r="BB697" s="7">
        <f>IFERROR(AZ697-VLOOKUP($E697,Assumptions!$A$40:$C$43,3,FALSE),"")</f>
        <v/>
      </c>
      <c r="BC697" s="3">
        <f>IFERROR(BB697/H697,"")</f>
        <v/>
      </c>
      <c r="BD697">
        <f>IF(AND($G697=TRUE,$E697="GKP"),AZ697,"")</f>
        <v/>
      </c>
      <c r="BE697">
        <f>IF(AND($G697=TRUE,$E697="DEF"),AZ697,"")</f>
        <v/>
      </c>
      <c r="BF697">
        <f>IF(AND($G697=TRUE,$E697="MID"),AZ697,"")</f>
        <v/>
      </c>
      <c r="BG697">
        <f>IF(AND($G697=TRUE,$E697="FWD"),AZ697,"")</f>
        <v/>
      </c>
      <c r="BH697" t="n">
        <v>0</v>
      </c>
      <c r="BI697" t="n">
        <v>0</v>
      </c>
      <c r="BJ697" t="n">
        <v>0</v>
      </c>
      <c r="BK697" t="n">
        <v>0</v>
      </c>
    </row>
    <row r="698">
      <c r="A698" t="inlineStr">
        <is>
          <t>Jeremy Jacquet</t>
        </is>
      </c>
      <c r="B698" t="inlineStr">
        <is>
          <t>LIV</t>
        </is>
      </c>
      <c r="D698" t="b">
        <v>0</v>
      </c>
      <c r="E698" t="inlineStr">
        <is>
          <t>DEF</t>
        </is>
      </c>
      <c r="G698" t="b">
        <v>1</v>
      </c>
      <c r="H698" s="2" t="n">
        <v>5</v>
      </c>
      <c r="I698" t="inlineStr">
        <is>
          <t>a</t>
        </is>
      </c>
      <c r="K698" s="2" t="n"/>
      <c r="M698" s="3" t="n">
        <v>1442</v>
      </c>
      <c r="N698" s="4" t="n">
        <v>1000</v>
      </c>
      <c r="O698" s="4" t="n">
        <v>-442</v>
      </c>
      <c r="P698" s="5" t="inlineStr">
        <is>
          <t>medium</t>
        </is>
      </c>
      <c r="Q698" t="inlineStr">
        <is>
          <t>flat</t>
        </is>
      </c>
      <c r="R698" s="6" t="n">
        <v>1000</v>
      </c>
      <c r="S698" t="inlineStr">
        <is>
          <t>research</t>
        </is>
      </c>
      <c r="T698" s="5" t="inlineStr">
        <is>
          <t>Jacquet has been out since a shoulder injury in February, sat out all three US friendlies, and only rejoined full training on 12 August. Iraola on 9 August: 'He's taking a little bit more time than we expected.' This Is Anfield says Newcastle is 'looking too far ahead' for him and lists him as minutes-managed. He should displace Araujo later in the season, but not from the start, so Solio's 1442 starts him too early.</t>
        </is>
      </c>
      <c r="U698" s="6" t="n">
        <v>85</v>
      </c>
      <c r="V698" s="2" t="n"/>
      <c r="W698" s="7">
        <f>IF(N(U698)&lt;=0,0,MIN(Assumptions!$B$15,N(R698)/N(U698)))</f>
        <v/>
      </c>
      <c r="X698" s="6" t="n">
        <v>0.342</v>
      </c>
      <c r="Y698" s="3" t="n"/>
      <c r="Z698" t="inlineStr"/>
      <c r="AA698" s="3" t="n">
        <v>1</v>
      </c>
      <c r="AB698" s="3" t="n"/>
      <c r="AC698" s="3" t="n"/>
      <c r="AD698" s="3" t="n"/>
      <c r="AE698" s="3" t="n"/>
      <c r="AF698" s="3" t="n">
        <v>0</v>
      </c>
      <c r="AG698" s="3" t="n"/>
      <c r="AH698" s="3" t="n">
        <v>0</v>
      </c>
      <c r="AI698" s="3" t="n"/>
      <c r="AJ698" s="3" t="n">
        <v>2.409</v>
      </c>
      <c r="AK698" s="3" t="n">
        <v>1.1228</v>
      </c>
      <c r="AL698" s="3" t="n">
        <v>-0.2045226422080557</v>
      </c>
      <c r="AM698" s="6" t="n">
        <v>0</v>
      </c>
      <c r="AN698" s="3" t="n">
        <v>0</v>
      </c>
      <c r="AO698" s="3" t="n">
        <v>0</v>
      </c>
      <c r="AP698" s="3" t="n">
        <v>0</v>
      </c>
      <c r="AQ698" s="3">
        <f>N(X698)*N(BJ698)</f>
        <v/>
      </c>
      <c r="AR698" s="3" t="n">
        <v>0</v>
      </c>
      <c r="AS698" s="3" t="n">
        <v>-0.3378660007281162</v>
      </c>
      <c r="AT698" s="3" t="n">
        <v>-0.2045226422080557</v>
      </c>
      <c r="AU698" s="3">
        <f>SUM(AO698:AT698)</f>
        <v/>
      </c>
      <c r="AV698" s="7">
        <f>IF(OR(N(W698)&lt;=0,N(BH698)=0),0,N(W698)*IF(N(R698)/N(W698)&gt;=60,N(BH698),1))</f>
        <v/>
      </c>
      <c r="AW698" s="7">
        <f>N(W698)*N(AF698)*N(BI698)</f>
        <v/>
      </c>
      <c r="AX698" s="3">
        <f>IF(N(BH698)=0,0,N(W698)*N(AH698))</f>
        <v/>
      </c>
      <c r="AY698" s="7">
        <f>N(AM698)*(Assumptions!$B$13*N(BK698)-(1-Assumptions!$B$13)*Assumptions!$B$14)+N(AN698)</f>
        <v/>
      </c>
      <c r="AZ698" s="7">
        <f>N(AU698)*N(R698)/90+N(AV698)+N(AW698)+N(AX698)+N(AY698)</f>
        <v/>
      </c>
      <c r="BA698" s="3">
        <f>IF(N(R698)&lt;=0,0,(N(AZ698)-N(AY698))*90/N(R698))</f>
        <v/>
      </c>
      <c r="BB698" s="7">
        <f>IFERROR(AZ698-VLOOKUP($E698,Assumptions!$A$40:$C$43,3,FALSE),"")</f>
        <v/>
      </c>
      <c r="BC698" s="3">
        <f>IFERROR(BB698/H698,"")</f>
        <v/>
      </c>
      <c r="BD698">
        <f>IF(AND($G698=TRUE,$E698="GKP"),AZ698,"")</f>
        <v/>
      </c>
      <c r="BE698">
        <f>IF(AND($G698=TRUE,$E698="DEF"),AZ698,"")</f>
        <v/>
      </c>
      <c r="BF698">
        <f>IF(AND($G698=TRUE,$E698="MID"),AZ698,"")</f>
        <v/>
      </c>
      <c r="BG698">
        <f>IF(AND($G698=TRUE,$E698="FWD"),AZ698,"")</f>
        <v/>
      </c>
      <c r="BH698" t="n">
        <v>2</v>
      </c>
      <c r="BI698" t="n">
        <v>2</v>
      </c>
      <c r="BJ698" t="n">
        <v>4</v>
      </c>
      <c r="BK698" t="n">
        <v>6</v>
      </c>
    </row>
    <row r="699">
      <c r="A699" t="inlineStr">
        <is>
          <t>Ben Winterburn</t>
        </is>
      </c>
      <c r="C699" t="inlineStr">
        <is>
          <t>BOU</t>
        </is>
      </c>
      <c r="D699" t="b">
        <v>0</v>
      </c>
      <c r="F699" t="inlineStr">
        <is>
          <t>MID</t>
        </is>
      </c>
      <c r="G699" t="b">
        <v>0</v>
      </c>
      <c r="H699" s="2" t="n"/>
      <c r="K699" s="2" t="n">
        <v>6</v>
      </c>
      <c r="M699" s="3" t="n"/>
      <c r="N699" s="8" t="n">
        <v>6</v>
      </c>
      <c r="O699" s="8" t="n">
        <v>0</v>
      </c>
      <c r="R699" s="6" t="n">
        <v>6</v>
      </c>
      <c r="S699" t="inlineStr">
        <is>
          <t>25/26 actual</t>
        </is>
      </c>
      <c r="U699" s="6" t="n">
        <v>80.09999999999999</v>
      </c>
      <c r="V699" s="2" t="n">
        <v>0</v>
      </c>
      <c r="W699" s="7">
        <f>IF(N(U699)&lt;=0,0,MIN(Assumptions!$B$15,N(R699)/N(U699)))</f>
        <v/>
      </c>
      <c r="X699" s="6" t="n"/>
      <c r="Y699" s="3" t="n"/>
      <c r="Z699" t="inlineStr"/>
      <c r="AA699" s="3" t="n">
        <v>1</v>
      </c>
      <c r="AB699" s="3" t="n">
        <v>1</v>
      </c>
      <c r="AC699" s="3" t="n">
        <v>0</v>
      </c>
      <c r="AD699" s="3" t="n"/>
      <c r="AE699" s="3" t="n">
        <v>8.506</v>
      </c>
      <c r="AF699" s="3" t="n">
        <v>0</v>
      </c>
      <c r="AG699" s="3" t="n">
        <v>6.972</v>
      </c>
      <c r="AH699" s="3" t="n">
        <v>0</v>
      </c>
      <c r="AI699" s="3" t="n">
        <v>1</v>
      </c>
      <c r="AJ699" s="3" t="n"/>
      <c r="AK699" s="3" t="n"/>
      <c r="AL699" s="3" t="n"/>
      <c r="AM699" s="6" t="n">
        <v>0</v>
      </c>
      <c r="AN699" s="3" t="n">
        <v>0</v>
      </c>
      <c r="AO699" s="3" t="n">
        <v>0</v>
      </c>
      <c r="AP699" s="3" t="n">
        <v>0</v>
      </c>
      <c r="AQ699" s="3">
        <f>N(X699)*N(BJ699)</f>
        <v/>
      </c>
      <c r="AR699" s="3" t="n">
        <v>0</v>
      </c>
      <c r="AS699" s="3" t="n">
        <v>0</v>
      </c>
      <c r="AT699" s="3" t="n">
        <v>0</v>
      </c>
      <c r="AU699" s="3">
        <f>SUM(AO699:AT699)</f>
        <v/>
      </c>
      <c r="AV699" s="7">
        <f>IF(OR(N(W699)&lt;=0,N(BH699)=0),0,N(W699)*IF(N(R699)/N(W699)&gt;=60,N(BH699),1))</f>
        <v/>
      </c>
      <c r="AW699" s="7">
        <f>N(W699)*N(AF699)*N(BI699)</f>
        <v/>
      </c>
      <c r="AX699" s="3">
        <f>IF(N(BH699)=0,0,N(W699)*N(AH699))</f>
        <v/>
      </c>
      <c r="AY699" s="7">
        <f>N(AM699)*(Assumptions!$B$13*N(BK699)-(1-Assumptions!$B$13)*Assumptions!$B$14)+N(AN699)</f>
        <v/>
      </c>
      <c r="AZ699" s="7">
        <f>N(AU699)*N(R699)/90+N(AV699)+N(AW699)+N(AX699)+N(AY699)</f>
        <v/>
      </c>
      <c r="BA699" s="3">
        <f>IF(N(R699)&lt;=0,0,(N(AZ699)-N(AY699))*90/N(R699))</f>
        <v/>
      </c>
      <c r="BB699" s="7">
        <f>IFERROR(AZ699-VLOOKUP($E699,Assumptions!$A$40:$C$43,3,FALSE),"")</f>
        <v/>
      </c>
      <c r="BC699" s="3">
        <f>IFERROR(BB699/H699,"")</f>
        <v/>
      </c>
      <c r="BD699">
        <f>IF(AND($G699=TRUE,$E699="GKP"),AZ699,"")</f>
        <v/>
      </c>
      <c r="BE699">
        <f>IF(AND($G699=TRUE,$E699="DEF"),AZ699,"")</f>
        <v/>
      </c>
      <c r="BF699">
        <f>IF(AND($G699=TRUE,$E699="MID"),AZ699,"")</f>
        <v/>
      </c>
      <c r="BG699">
        <f>IF(AND($G699=TRUE,$E699="FWD"),AZ699,"")</f>
        <v/>
      </c>
      <c r="BH699" t="n">
        <v>0</v>
      </c>
      <c r="BI699" t="n">
        <v>0</v>
      </c>
      <c r="BJ699" t="n">
        <v>0</v>
      </c>
      <c r="BK699" t="n">
        <v>0</v>
      </c>
    </row>
    <row r="700">
      <c r="A700" t="inlineStr">
        <is>
          <t>Nobel Mendy</t>
        </is>
      </c>
      <c r="B700" t="inlineStr">
        <is>
          <t>HUL</t>
        </is>
      </c>
      <c r="D700" t="b">
        <v>0</v>
      </c>
      <c r="E700" t="inlineStr">
        <is>
          <t>DEF</t>
        </is>
      </c>
      <c r="G700" t="b">
        <v>1</v>
      </c>
      <c r="H700" s="2" t="n">
        <v>4</v>
      </c>
      <c r="I700" t="inlineStr">
        <is>
          <t>a</t>
        </is>
      </c>
      <c r="K700" s="2" t="n"/>
      <c r="M700" s="3" t="n">
        <v>0</v>
      </c>
      <c r="N700" s="8" t="n">
        <v>0</v>
      </c>
      <c r="O700" s="8" t="n">
        <v>0</v>
      </c>
      <c r="Q700" t="inlineStr">
        <is>
          <t>flat</t>
        </is>
      </c>
      <c r="R700" s="6" t="n">
        <v>0</v>
      </c>
      <c r="S700" t="inlineStr">
        <is>
          <t>Solio</t>
        </is>
      </c>
      <c r="U700" s="6" t="n">
        <v>85</v>
      </c>
      <c r="V700" s="2" t="n"/>
      <c r="W700" s="7">
        <f>IF(N(U700)&lt;=0,0,MIN(Assumptions!$B$15,N(R700)/N(U700)))</f>
        <v/>
      </c>
      <c r="X700" s="6" t="n">
        <v>0.143</v>
      </c>
      <c r="Y700" s="3" t="n"/>
      <c r="Z700" t="inlineStr"/>
      <c r="AA700" s="3" t="n">
        <v>1</v>
      </c>
      <c r="AB700" s="3" t="n"/>
      <c r="AC700" s="3" t="n"/>
      <c r="AD700" s="3" t="n"/>
      <c r="AE700" s="3" t="n"/>
      <c r="AF700" s="3" t="n">
        <v>0</v>
      </c>
      <c r="AG700" s="3" t="n"/>
      <c r="AH700" s="3" t="n">
        <v>0</v>
      </c>
      <c r="AI700" s="3" t="n"/>
      <c r="AJ700" s="3" t="n">
        <v>3.9421</v>
      </c>
      <c r="AK700" s="3" t="n">
        <v>1.99</v>
      </c>
      <c r="AL700" s="3" t="n">
        <v>-0.2045226422080557</v>
      </c>
      <c r="AM700" s="6" t="n">
        <v>0</v>
      </c>
      <c r="AN700" s="3" t="n">
        <v>0</v>
      </c>
      <c r="AO700" s="3" t="n">
        <v>0</v>
      </c>
      <c r="AP700" s="3" t="n">
        <v>0</v>
      </c>
      <c r="AQ700" s="3">
        <f>N(X700)*N(BJ700)</f>
        <v/>
      </c>
      <c r="AR700" s="3" t="n">
        <v>0</v>
      </c>
      <c r="AS700" s="3" t="n">
        <v>-0.7496714098286652</v>
      </c>
      <c r="AT700" s="3" t="n">
        <v>-0.2045226422080557</v>
      </c>
      <c r="AU700" s="3">
        <f>SUM(AO700:AT700)</f>
        <v/>
      </c>
      <c r="AV700" s="7">
        <f>IF(OR(N(W700)&lt;=0,N(BH700)=0),0,N(W700)*IF(N(R700)/N(W700)&gt;=60,N(BH700),1))</f>
        <v/>
      </c>
      <c r="AW700" s="7">
        <f>N(W700)*N(AF700)*N(BI700)</f>
        <v/>
      </c>
      <c r="AX700" s="3">
        <f>IF(N(BH700)=0,0,N(W700)*N(AH700))</f>
        <v/>
      </c>
      <c r="AY700" s="7">
        <f>N(AM700)*(Assumptions!$B$13*N(BK700)-(1-Assumptions!$B$13)*Assumptions!$B$14)+N(AN700)</f>
        <v/>
      </c>
      <c r="AZ700" s="7">
        <f>N(AU700)*N(R700)/90+N(AV700)+N(AW700)+N(AX700)+N(AY700)</f>
        <v/>
      </c>
      <c r="BA700" s="3">
        <f>IF(N(R700)&lt;=0,0,(N(AZ700)-N(AY700))*90/N(R700))</f>
        <v/>
      </c>
      <c r="BB700" s="7">
        <f>IFERROR(AZ700-VLOOKUP($E700,Assumptions!$A$40:$C$43,3,FALSE),"")</f>
        <v/>
      </c>
      <c r="BC700" s="3">
        <f>IFERROR(BB700/H700,"")</f>
        <v/>
      </c>
      <c r="BD700">
        <f>IF(AND($G700=TRUE,$E700="GKP"),AZ700,"")</f>
        <v/>
      </c>
      <c r="BE700">
        <f>IF(AND($G700=TRUE,$E700="DEF"),AZ700,"")</f>
        <v/>
      </c>
      <c r="BF700">
        <f>IF(AND($G700=TRUE,$E700="MID"),AZ700,"")</f>
        <v/>
      </c>
      <c r="BG700">
        <f>IF(AND($G700=TRUE,$E700="FWD"),AZ700,"")</f>
        <v/>
      </c>
      <c r="BH700" t="n">
        <v>2</v>
      </c>
      <c r="BI700" t="n">
        <v>2</v>
      </c>
      <c r="BJ700" t="n">
        <v>4</v>
      </c>
      <c r="BK700" t="n">
        <v>6</v>
      </c>
    </row>
    <row r="701">
      <c r="A701" t="inlineStr">
        <is>
          <t>Elliot Stroud</t>
        </is>
      </c>
      <c r="B701" t="inlineStr">
        <is>
          <t>HUL</t>
        </is>
      </c>
      <c r="D701" t="b">
        <v>0</v>
      </c>
      <c r="E701" t="inlineStr">
        <is>
          <t>MID</t>
        </is>
      </c>
      <c r="G701" t="b">
        <v>1</v>
      </c>
      <c r="H701" s="2" t="n">
        <v>5</v>
      </c>
      <c r="I701" t="inlineStr">
        <is>
          <t>a</t>
        </is>
      </c>
      <c r="K701" s="2" t="n"/>
      <c r="M701" s="3" t="n">
        <v>2554</v>
      </c>
      <c r="N701" s="8" t="n">
        <v>2554</v>
      </c>
      <c r="O701" s="8" t="n">
        <v>0</v>
      </c>
      <c r="Q701" t="inlineStr">
        <is>
          <t>flat</t>
        </is>
      </c>
      <c r="R701" s="6" t="n">
        <v>2554</v>
      </c>
      <c r="S701" t="inlineStr">
        <is>
          <t>Solio</t>
        </is>
      </c>
      <c r="U701" s="6" t="n">
        <v>85</v>
      </c>
      <c r="V701" s="2" t="n"/>
      <c r="W701" s="7">
        <f>IF(N(U701)&lt;=0,0,MIN(Assumptions!$B$15,N(R701)/N(U701)))</f>
        <v/>
      </c>
      <c r="X701" s="6" t="n">
        <v>0.143</v>
      </c>
      <c r="Y701" s="3" t="n"/>
      <c r="Z701" t="inlineStr"/>
      <c r="AA701" s="3" t="n">
        <v>1</v>
      </c>
      <c r="AB701" s="3" t="n"/>
      <c r="AC701" s="3" t="n"/>
      <c r="AD701" s="3" t="n"/>
      <c r="AE701" s="3" t="n"/>
      <c r="AF701" s="3" t="n">
        <v>0</v>
      </c>
      <c r="AG701" s="3" t="n"/>
      <c r="AH701" s="3" t="n">
        <v>0</v>
      </c>
      <c r="AI701" s="3" t="n"/>
      <c r="AJ701" s="3" t="n">
        <v>3.9421</v>
      </c>
      <c r="AK701" s="3" t="n">
        <v>1.99</v>
      </c>
      <c r="AL701" s="3" t="n">
        <v>-0.2160434166173144</v>
      </c>
      <c r="AM701" s="6" t="n">
        <v>0</v>
      </c>
      <c r="AN701" s="3" t="n">
        <v>0</v>
      </c>
      <c r="AO701" s="3" t="n">
        <v>0</v>
      </c>
      <c r="AP701" s="3" t="n">
        <v>0</v>
      </c>
      <c r="AQ701" s="3">
        <f>N(X701)*N(BJ701)</f>
        <v/>
      </c>
      <c r="AR701" s="3" t="n">
        <v>0</v>
      </c>
      <c r="AS701" s="3" t="n">
        <v>-0</v>
      </c>
      <c r="AT701" s="3" t="n">
        <v>-0.2160434166173144</v>
      </c>
      <c r="AU701" s="3">
        <f>SUM(AO701:AT701)</f>
        <v/>
      </c>
      <c r="AV701" s="7">
        <f>IF(OR(N(W701)&lt;=0,N(BH701)=0),0,N(W701)*IF(N(R701)/N(W701)&gt;=60,N(BH701),1))</f>
        <v/>
      </c>
      <c r="AW701" s="7">
        <f>N(W701)*N(AF701)*N(BI701)</f>
        <v/>
      </c>
      <c r="AX701" s="3">
        <f>IF(N(BH701)=0,0,N(W701)*N(AH701))</f>
        <v/>
      </c>
      <c r="AY701" s="7">
        <f>N(AM701)*(Assumptions!$B$13*N(BK701)-(1-Assumptions!$B$13)*Assumptions!$B$14)+N(AN701)</f>
        <v/>
      </c>
      <c r="AZ701" s="7">
        <f>N(AU701)*N(R701)/90+N(AV701)+N(AW701)+N(AX701)+N(AY701)</f>
        <v/>
      </c>
      <c r="BA701" s="3">
        <f>IF(N(R701)&lt;=0,0,(N(AZ701)-N(AY701))*90/N(R701))</f>
        <v/>
      </c>
      <c r="BB701" s="7">
        <f>IFERROR(AZ701-VLOOKUP($E701,Assumptions!$A$40:$C$43,3,FALSE),"")</f>
        <v/>
      </c>
      <c r="BC701" s="3">
        <f>IFERROR(BB701/H701,"")</f>
        <v/>
      </c>
      <c r="BD701">
        <f>IF(AND($G701=TRUE,$E701="GKP"),AZ701,"")</f>
        <v/>
      </c>
      <c r="BE701">
        <f>IF(AND($G701=TRUE,$E701="DEF"),AZ701,"")</f>
        <v/>
      </c>
      <c r="BF701">
        <f>IF(AND($G701=TRUE,$E701="MID"),AZ701,"")</f>
        <v/>
      </c>
      <c r="BG701">
        <f>IF(AND($G701=TRUE,$E701="FWD"),AZ701,"")</f>
        <v/>
      </c>
      <c r="BH701" t="n">
        <v>2</v>
      </c>
      <c r="BI701" t="n">
        <v>2</v>
      </c>
      <c r="BJ701" t="n">
        <v>1</v>
      </c>
      <c r="BK701" t="n">
        <v>5</v>
      </c>
    </row>
    <row r="702">
      <c r="A702" t="inlineStr">
        <is>
          <t>Bazoumana Touré</t>
        </is>
      </c>
      <c r="B702" t="inlineStr">
        <is>
          <t>NEW</t>
        </is>
      </c>
      <c r="D702" t="b">
        <v>0</v>
      </c>
      <c r="E702" t="inlineStr">
        <is>
          <t>MID</t>
        </is>
      </c>
      <c r="G702" t="b">
        <v>1</v>
      </c>
      <c r="H702" s="2" t="n">
        <v>6</v>
      </c>
      <c r="I702" t="inlineStr">
        <is>
          <t>a</t>
        </is>
      </c>
      <c r="K702" s="2" t="n"/>
      <c r="M702" s="3" t="n">
        <v>1197</v>
      </c>
      <c r="N702" s="4" t="n">
        <v>1400</v>
      </c>
      <c r="O702" s="4" t="n">
        <v>203</v>
      </c>
      <c r="P702" s="5" t="inlineStr">
        <is>
          <t>medium</t>
        </is>
      </c>
      <c r="Q702" t="inlineStr">
        <is>
          <t>flat</t>
        </is>
      </c>
      <c r="R702" s="6" t="n">
        <v>1400</v>
      </c>
      <c r="S702" t="inlineStr">
        <is>
          <t>research</t>
        </is>
      </c>
      <c r="T702" s="5" t="inlineStr">
        <is>
          <t>A GBP 42.8m signing from Hoffenheim on 5 Jul 2026, explicitly bought to help fill the hole left by Anthony Gordon's sale, who started on the left v Everton in Jaissle's second match. Raised only slightly: he is 20, has no Premier League record, and Harvey Barnes signed a new contract and started the other friendly on that flank.</t>
        </is>
      </c>
      <c r="U702" s="6" t="n">
        <v>85</v>
      </c>
      <c r="V702" s="2" t="n"/>
      <c r="W702" s="7">
        <f>IF(N(U702)&lt;=0,0,MIN(Assumptions!$B$15,N(R702)/N(U702)))</f>
        <v/>
      </c>
      <c r="X702" s="6" t="n">
        <v>0.248</v>
      </c>
      <c r="Y702" s="3" t="n"/>
      <c r="Z702" t="inlineStr"/>
      <c r="AA702" s="3" t="n">
        <v>1</v>
      </c>
      <c r="AB702" s="3" t="n"/>
      <c r="AC702" s="3" t="n"/>
      <c r="AD702" s="3" t="n"/>
      <c r="AE702" s="3" t="n"/>
      <c r="AF702" s="3" t="n">
        <v>0</v>
      </c>
      <c r="AG702" s="3" t="n"/>
      <c r="AH702" s="3" t="n">
        <v>0</v>
      </c>
      <c r="AI702" s="3" t="n"/>
      <c r="AJ702" s="3" t="n">
        <v>3.0912</v>
      </c>
      <c r="AK702" s="3" t="n">
        <v>1.4534</v>
      </c>
      <c r="AL702" s="3" t="n">
        <v>-0.2160434166173144</v>
      </c>
      <c r="AM702" s="6" t="n">
        <v>0</v>
      </c>
      <c r="AN702" s="3" t="n">
        <v>0</v>
      </c>
      <c r="AO702" s="3" t="n">
        <v>0</v>
      </c>
      <c r="AP702" s="3" t="n">
        <v>0</v>
      </c>
      <c r="AQ702" s="3">
        <f>N(X702)*N(BJ702)</f>
        <v/>
      </c>
      <c r="AR702" s="3" t="n">
        <v>0</v>
      </c>
      <c r="AS702" s="3" t="n">
        <v>-0</v>
      </c>
      <c r="AT702" s="3" t="n">
        <v>-0.2160434166173144</v>
      </c>
      <c r="AU702" s="3">
        <f>SUM(AO702:AT702)</f>
        <v/>
      </c>
      <c r="AV702" s="7">
        <f>IF(OR(N(W702)&lt;=0,N(BH702)=0),0,N(W702)*IF(N(R702)/N(W702)&gt;=60,N(BH702),1))</f>
        <v/>
      </c>
      <c r="AW702" s="7">
        <f>N(W702)*N(AF702)*N(BI702)</f>
        <v/>
      </c>
      <c r="AX702" s="3">
        <f>IF(N(BH702)=0,0,N(W702)*N(AH702))</f>
        <v/>
      </c>
      <c r="AY702" s="7">
        <f>N(AM702)*(Assumptions!$B$13*N(BK702)-(1-Assumptions!$B$13)*Assumptions!$B$14)+N(AN702)</f>
        <v/>
      </c>
      <c r="AZ702" s="7">
        <f>N(AU702)*N(R702)/90+N(AV702)+N(AW702)+N(AX702)+N(AY702)</f>
        <v/>
      </c>
      <c r="BA702" s="3">
        <f>IF(N(R702)&lt;=0,0,(N(AZ702)-N(AY702))*90/N(R702))</f>
        <v/>
      </c>
      <c r="BB702" s="7">
        <f>IFERROR(AZ702-VLOOKUP($E702,Assumptions!$A$40:$C$43,3,FALSE),"")</f>
        <v/>
      </c>
      <c r="BC702" s="3">
        <f>IFERROR(BB702/H702,"")</f>
        <v/>
      </c>
      <c r="BD702">
        <f>IF(AND($G702=TRUE,$E702="GKP"),AZ702,"")</f>
        <v/>
      </c>
      <c r="BE702">
        <f>IF(AND($G702=TRUE,$E702="DEF"),AZ702,"")</f>
        <v/>
      </c>
      <c r="BF702">
        <f>IF(AND($G702=TRUE,$E702="MID"),AZ702,"")</f>
        <v/>
      </c>
      <c r="BG702">
        <f>IF(AND($G702=TRUE,$E702="FWD"),AZ702,"")</f>
        <v/>
      </c>
      <c r="BH702" t="n">
        <v>2</v>
      </c>
      <c r="BI702" t="n">
        <v>2</v>
      </c>
      <c r="BJ702" t="n">
        <v>1</v>
      </c>
      <c r="BK702" t="n">
        <v>5</v>
      </c>
    </row>
    <row r="703">
      <c r="A703" t="inlineStr">
        <is>
          <t>El Hadji Malick Diouf</t>
        </is>
      </c>
      <c r="C703" t="inlineStr">
        <is>
          <t>WHU</t>
        </is>
      </c>
      <c r="D703" t="b">
        <v>0</v>
      </c>
      <c r="F703" t="inlineStr">
        <is>
          <t>DEF</t>
        </is>
      </c>
      <c r="G703" t="b">
        <v>0</v>
      </c>
      <c r="H703" s="2" t="n"/>
      <c r="K703" s="2" t="n">
        <v>2711</v>
      </c>
      <c r="M703" s="3" t="n"/>
      <c r="N703" s="8" t="n">
        <v>2711</v>
      </c>
      <c r="O703" s="8" t="n">
        <v>0</v>
      </c>
      <c r="R703" s="6" t="n">
        <v>2711</v>
      </c>
      <c r="S703" t="inlineStr">
        <is>
          <t>25/26 actual</t>
        </is>
      </c>
      <c r="U703" s="6" t="n">
        <v>87.40000000000001</v>
      </c>
      <c r="V703" s="2" t="n">
        <v>30</v>
      </c>
      <c r="W703" s="7">
        <f>IF(N(U703)&lt;=0,0,MIN(Assumptions!$B$15,N(R703)/N(U703)))</f>
        <v/>
      </c>
      <c r="X703" s="6" t="n"/>
      <c r="Y703" s="3" t="n">
        <v>0.0179</v>
      </c>
      <c r="Z703" t="inlineStr">
        <is>
          <t>adjusted xGOT</t>
        </is>
      </c>
      <c r="AA703" s="3" t="n">
        <v>1</v>
      </c>
      <c r="AB703" s="3" t="n">
        <v>0.945</v>
      </c>
      <c r="AC703" s="3" t="n">
        <v>0.6</v>
      </c>
      <c r="AD703" s="3" t="n">
        <v>0.108</v>
      </c>
      <c r="AE703" s="3" t="n">
        <v>7</v>
      </c>
      <c r="AF703" s="3" t="n">
        <v>0</v>
      </c>
      <c r="AG703" s="3" t="n">
        <v>6.886</v>
      </c>
      <c r="AH703" s="3" t="n">
        <v>0</v>
      </c>
      <c r="AI703" s="3" t="n">
        <v>62</v>
      </c>
      <c r="AJ703" s="3" t="n"/>
      <c r="AK703" s="3" t="n"/>
      <c r="AL703" s="3" t="n"/>
      <c r="AM703" s="6" t="n">
        <v>0</v>
      </c>
      <c r="AN703" s="3" t="n">
        <v>0</v>
      </c>
      <c r="AO703" s="3" t="n">
        <v>0</v>
      </c>
      <c r="AP703" s="3" t="n">
        <v>0</v>
      </c>
      <c r="AQ703" s="3">
        <f>N(X703)*N(BJ703)</f>
        <v/>
      </c>
      <c r="AR703" s="3" t="n">
        <v>0</v>
      </c>
      <c r="AS703" s="3" t="n">
        <v>0</v>
      </c>
      <c r="AT703" s="3" t="n">
        <v>0</v>
      </c>
      <c r="AU703" s="3">
        <f>SUM(AO703:AT703)</f>
        <v/>
      </c>
      <c r="AV703" s="7">
        <f>IF(OR(N(W703)&lt;=0,N(BH703)=0),0,N(W703)*IF(N(R703)/N(W703)&gt;=60,N(BH703),1))</f>
        <v/>
      </c>
      <c r="AW703" s="7">
        <f>N(W703)*N(AF703)*N(BI703)</f>
        <v/>
      </c>
      <c r="AX703" s="3">
        <f>IF(N(BH703)=0,0,N(W703)*N(AH703))</f>
        <v/>
      </c>
      <c r="AY703" s="7">
        <f>N(AM703)*(Assumptions!$B$13*N(BK703)-(1-Assumptions!$B$13)*Assumptions!$B$14)+N(AN703)</f>
        <v/>
      </c>
      <c r="AZ703" s="7">
        <f>N(AU703)*N(R703)/90+N(AV703)+N(AW703)+N(AX703)+N(AY703)</f>
        <v/>
      </c>
      <c r="BA703" s="3">
        <f>IF(N(R703)&lt;=0,0,(N(AZ703)-N(AY703))*90/N(R703))</f>
        <v/>
      </c>
      <c r="BB703" s="7">
        <f>IFERROR(AZ703-VLOOKUP($E703,Assumptions!$A$40:$C$43,3,FALSE),"")</f>
        <v/>
      </c>
      <c r="BC703" s="3">
        <f>IFERROR(BB703/H703,"")</f>
        <v/>
      </c>
      <c r="BD703">
        <f>IF(AND($G703=TRUE,$E703="GKP"),AZ703,"")</f>
        <v/>
      </c>
      <c r="BE703">
        <f>IF(AND($G703=TRUE,$E703="DEF"),AZ703,"")</f>
        <v/>
      </c>
      <c r="BF703">
        <f>IF(AND($G703=TRUE,$E703="MID"),AZ703,"")</f>
        <v/>
      </c>
      <c r="BG703">
        <f>IF(AND($G703=TRUE,$E703="FWD"),AZ703,"")</f>
        <v/>
      </c>
      <c r="BH703" t="n">
        <v>0</v>
      </c>
      <c r="BI703" t="n">
        <v>0</v>
      </c>
      <c r="BJ703" t="n">
        <v>0</v>
      </c>
      <c r="BK703" t="n">
        <v>0</v>
      </c>
    </row>
    <row r="704">
      <c r="A704" t="inlineStr">
        <is>
          <t>Johan Manzambi</t>
        </is>
      </c>
      <c r="B704" t="inlineStr">
        <is>
          <t>AVL</t>
        </is>
      </c>
      <c r="D704" t="b">
        <v>0</v>
      </c>
      <c r="E704" t="inlineStr">
        <is>
          <t>MID</t>
        </is>
      </c>
      <c r="G704" t="b">
        <v>1</v>
      </c>
      <c r="H704" s="2" t="n">
        <v>6</v>
      </c>
      <c r="I704" t="inlineStr">
        <is>
          <t>a</t>
        </is>
      </c>
      <c r="K704" s="2" t="n"/>
      <c r="M704" s="3" t="n">
        <v>2069</v>
      </c>
      <c r="N704" s="4" t="n">
        <v>1750</v>
      </c>
      <c r="O704" s="4" t="n">
        <v>-319</v>
      </c>
      <c r="P704" s="5" t="inlineStr">
        <is>
          <t>medium</t>
        </is>
      </c>
      <c r="Q704" t="inlineStr">
        <is>
          <t>flat</t>
        </is>
      </c>
      <c r="R704" s="6" t="n">
        <v>1750</v>
      </c>
      <c r="S704" t="inlineStr">
        <is>
          <t>research</t>
        </is>
      </c>
      <c r="T704" s="5" t="inlineStr">
        <is>
          <t>Has a knee injury carried over from the World Cup, has not appeared in pre-season at all, and was still not ready for the 15 August friendly. A GBP 52m signing who will play a lot once fit, but he starts behind schedule, has no Premier League record and has to adapt to Emery's system from a standing start.</t>
        </is>
      </c>
      <c r="U704" s="6" t="n">
        <v>85</v>
      </c>
      <c r="V704" s="2" t="n"/>
      <c r="W704" s="7">
        <f>IF(N(U704)&lt;=0,0,MIN(Assumptions!$B$15,N(R704)/N(U704)))</f>
        <v/>
      </c>
      <c r="X704" s="6" t="n">
        <v>0.273</v>
      </c>
      <c r="Y704" s="3" t="n"/>
      <c r="Z704" t="inlineStr"/>
      <c r="AA704" s="3" t="n">
        <v>1</v>
      </c>
      <c r="AB704" s="3" t="n"/>
      <c r="AC704" s="3" t="n"/>
      <c r="AD704" s="3" t="n"/>
      <c r="AE704" s="3" t="n"/>
      <c r="AF704" s="3" t="n">
        <v>0</v>
      </c>
      <c r="AG704" s="3" t="n"/>
      <c r="AH704" s="3" t="n">
        <v>0</v>
      </c>
      <c r="AI704" s="3" t="n"/>
      <c r="AJ704" s="3" t="n">
        <v>2.7451</v>
      </c>
      <c r="AK704" s="3" t="n">
        <v>1.3575</v>
      </c>
      <c r="AL704" s="3" t="n">
        <v>-0.2160434166173144</v>
      </c>
      <c r="AM704" s="6" t="n">
        <v>0</v>
      </c>
      <c r="AN704" s="3" t="n">
        <v>0</v>
      </c>
      <c r="AO704" s="3" t="n">
        <v>0</v>
      </c>
      <c r="AP704" s="3" t="n">
        <v>0</v>
      </c>
      <c r="AQ704" s="3">
        <f>N(X704)*N(BJ704)</f>
        <v/>
      </c>
      <c r="AR704" s="3" t="n">
        <v>0</v>
      </c>
      <c r="AS704" s="3" t="n">
        <v>-0</v>
      </c>
      <c r="AT704" s="3" t="n">
        <v>-0.2160434166173144</v>
      </c>
      <c r="AU704" s="3">
        <f>SUM(AO704:AT704)</f>
        <v/>
      </c>
      <c r="AV704" s="7">
        <f>IF(OR(N(W704)&lt;=0,N(BH704)=0),0,N(W704)*IF(N(R704)/N(W704)&gt;=60,N(BH704),1))</f>
        <v/>
      </c>
      <c r="AW704" s="7">
        <f>N(W704)*N(AF704)*N(BI704)</f>
        <v/>
      </c>
      <c r="AX704" s="3">
        <f>IF(N(BH704)=0,0,N(W704)*N(AH704))</f>
        <v/>
      </c>
      <c r="AY704" s="7">
        <f>N(AM704)*(Assumptions!$B$13*N(BK704)-(1-Assumptions!$B$13)*Assumptions!$B$14)+N(AN704)</f>
        <v/>
      </c>
      <c r="AZ704" s="7">
        <f>N(AU704)*N(R704)/90+N(AV704)+N(AW704)+N(AX704)+N(AY704)</f>
        <v/>
      </c>
      <c r="BA704" s="3">
        <f>IF(N(R704)&lt;=0,0,(N(AZ704)-N(AY704))*90/N(R704))</f>
        <v/>
      </c>
      <c r="BB704" s="7">
        <f>IFERROR(AZ704-VLOOKUP($E704,Assumptions!$A$40:$C$43,3,FALSE),"")</f>
        <v/>
      </c>
      <c r="BC704" s="3">
        <f>IFERROR(BB704/H704,"")</f>
        <v/>
      </c>
      <c r="BD704">
        <f>IF(AND($G704=TRUE,$E704="GKP"),AZ704,"")</f>
        <v/>
      </c>
      <c r="BE704">
        <f>IF(AND($G704=TRUE,$E704="DEF"),AZ704,"")</f>
        <v/>
      </c>
      <c r="BF704">
        <f>IF(AND($G704=TRUE,$E704="MID"),AZ704,"")</f>
        <v/>
      </c>
      <c r="BG704">
        <f>IF(AND($G704=TRUE,$E704="FWD"),AZ704,"")</f>
        <v/>
      </c>
      <c r="BH704" t="n">
        <v>2</v>
      </c>
      <c r="BI704" t="n">
        <v>2</v>
      </c>
      <c r="BJ704" t="n">
        <v>1</v>
      </c>
      <c r="BK704" t="n">
        <v>5</v>
      </c>
    </row>
    <row r="705">
      <c r="A705" t="inlineStr">
        <is>
          <t>Jesse Derry</t>
        </is>
      </c>
      <c r="C705" t="inlineStr">
        <is>
          <t>CHE</t>
        </is>
      </c>
      <c r="D705" t="b">
        <v>0</v>
      </c>
      <c r="F705" t="inlineStr">
        <is>
          <t>MID</t>
        </is>
      </c>
      <c r="G705" t="b">
        <v>0</v>
      </c>
      <c r="H705" s="2" t="n"/>
      <c r="K705" s="2" t="n">
        <v>44</v>
      </c>
      <c r="M705" s="3" t="n"/>
      <c r="N705" s="8" t="n">
        <v>44</v>
      </c>
      <c r="O705" s="8" t="n">
        <v>0</v>
      </c>
      <c r="R705" s="6" t="n">
        <v>44</v>
      </c>
      <c r="S705" t="inlineStr">
        <is>
          <t>25/26 actual</t>
        </is>
      </c>
      <c r="U705" s="6" t="n">
        <v>76.90000000000001</v>
      </c>
      <c r="V705" s="2" t="n">
        <v>1</v>
      </c>
      <c r="W705" s="7">
        <f>IF(N(U705)&lt;=0,0,MIN(Assumptions!$B$15,N(R705)/N(U705)))</f>
        <v/>
      </c>
      <c r="X705" s="6" t="n"/>
      <c r="Y705" s="3" t="n">
        <v>0.2045</v>
      </c>
      <c r="Z705" t="inlineStr">
        <is>
          <t>adjusted xGOT</t>
        </is>
      </c>
      <c r="AA705" s="3" t="n">
        <v>1</v>
      </c>
      <c r="AB705" s="3" t="n">
        <v>1</v>
      </c>
      <c r="AC705" s="3" t="n">
        <v>0.1</v>
      </c>
      <c r="AD705" s="3" t="n">
        <v>0</v>
      </c>
      <c r="AE705" s="3" t="n">
        <v>8.425000000000001</v>
      </c>
      <c r="AF705" s="3" t="n">
        <v>0</v>
      </c>
      <c r="AG705" s="3" t="n">
        <v>6.875</v>
      </c>
      <c r="AH705" s="3" t="n">
        <v>0</v>
      </c>
      <c r="AI705" s="3" t="n">
        <v>1</v>
      </c>
      <c r="AJ705" s="3" t="n"/>
      <c r="AK705" s="3" t="n"/>
      <c r="AL705" s="3" t="n"/>
      <c r="AM705" s="6" t="n">
        <v>0</v>
      </c>
      <c r="AN705" s="3" t="n">
        <v>0</v>
      </c>
      <c r="AO705" s="3" t="n">
        <v>0</v>
      </c>
      <c r="AP705" s="3" t="n">
        <v>0</v>
      </c>
      <c r="AQ705" s="3">
        <f>N(X705)*N(BJ705)</f>
        <v/>
      </c>
      <c r="AR705" s="3" t="n">
        <v>0</v>
      </c>
      <c r="AS705" s="3" t="n">
        <v>0</v>
      </c>
      <c r="AT705" s="3" t="n">
        <v>0</v>
      </c>
      <c r="AU705" s="3">
        <f>SUM(AO705:AT705)</f>
        <v/>
      </c>
      <c r="AV705" s="7">
        <f>IF(OR(N(W705)&lt;=0,N(BH705)=0),0,N(W705)*IF(N(R705)/N(W705)&gt;=60,N(BH705),1))</f>
        <v/>
      </c>
      <c r="AW705" s="7">
        <f>N(W705)*N(AF705)*N(BI705)</f>
        <v/>
      </c>
      <c r="AX705" s="3">
        <f>IF(N(BH705)=0,0,N(W705)*N(AH705))</f>
        <v/>
      </c>
      <c r="AY705" s="7">
        <f>N(AM705)*(Assumptions!$B$13*N(BK705)-(1-Assumptions!$B$13)*Assumptions!$B$14)+N(AN705)</f>
        <v/>
      </c>
      <c r="AZ705" s="7">
        <f>N(AU705)*N(R705)/90+N(AV705)+N(AW705)+N(AX705)+N(AY705)</f>
        <v/>
      </c>
      <c r="BA705" s="3">
        <f>IF(N(R705)&lt;=0,0,(N(AZ705)-N(AY705))*90/N(R705))</f>
        <v/>
      </c>
      <c r="BB705" s="7">
        <f>IFERROR(AZ705-VLOOKUP($E705,Assumptions!$A$40:$C$43,3,FALSE),"")</f>
        <v/>
      </c>
      <c r="BC705" s="3">
        <f>IFERROR(BB705/H705,"")</f>
        <v/>
      </c>
      <c r="BD705">
        <f>IF(AND($G705=TRUE,$E705="GKP"),AZ705,"")</f>
        <v/>
      </c>
      <c r="BE705">
        <f>IF(AND($G705=TRUE,$E705="DEF"),AZ705,"")</f>
        <v/>
      </c>
      <c r="BF705">
        <f>IF(AND($G705=TRUE,$E705="MID"),AZ705,"")</f>
        <v/>
      </c>
      <c r="BG705">
        <f>IF(AND($G705=TRUE,$E705="FWD"),AZ705,"")</f>
        <v/>
      </c>
      <c r="BH705" t="n">
        <v>0</v>
      </c>
      <c r="BI705" t="n">
        <v>0</v>
      </c>
      <c r="BJ705" t="n">
        <v>0</v>
      </c>
      <c r="BK705" t="n">
        <v>0</v>
      </c>
    </row>
    <row r="706">
      <c r="A706" t="inlineStr">
        <is>
          <t>Marco Palestra</t>
        </is>
      </c>
      <c r="B706" t="inlineStr">
        <is>
          <t>CHE</t>
        </is>
      </c>
      <c r="D706" t="b">
        <v>0</v>
      </c>
      <c r="E706" t="inlineStr">
        <is>
          <t>DEF</t>
        </is>
      </c>
      <c r="G706" t="b">
        <v>1</v>
      </c>
      <c r="H706" s="2" t="n">
        <v>5.5</v>
      </c>
      <c r="I706" t="inlineStr">
        <is>
          <t>a</t>
        </is>
      </c>
      <c r="K706" s="2" t="n"/>
      <c r="M706" s="3" t="n">
        <v>2588</v>
      </c>
      <c r="N706" s="8" t="n">
        <v>2588</v>
      </c>
      <c r="O706" s="8" t="n">
        <v>0</v>
      </c>
      <c r="Q706" t="inlineStr">
        <is>
          <t>flat</t>
        </is>
      </c>
      <c r="R706" s="6" t="n">
        <v>2588</v>
      </c>
      <c r="S706" t="inlineStr">
        <is>
          <t>Solio</t>
        </is>
      </c>
      <c r="U706" s="6" t="n">
        <v>85</v>
      </c>
      <c r="V706" s="2" t="n"/>
      <c r="W706" s="7">
        <f>IF(N(U706)&lt;=0,0,MIN(Assumptions!$B$15,N(R706)/N(U706)))</f>
        <v/>
      </c>
      <c r="X706" s="6" t="n">
        <v>0.322</v>
      </c>
      <c r="Y706" s="3" t="n"/>
      <c r="Z706" t="inlineStr"/>
      <c r="AA706" s="3" t="n">
        <v>1</v>
      </c>
      <c r="AB706" s="3" t="n"/>
      <c r="AC706" s="3" t="n"/>
      <c r="AD706" s="3" t="n"/>
      <c r="AE706" s="3" t="n"/>
      <c r="AF706" s="3" t="n">
        <v>0</v>
      </c>
      <c r="AG706" s="3" t="n"/>
      <c r="AH706" s="3" t="n">
        <v>0</v>
      </c>
      <c r="AI706" s="3" t="n"/>
      <c r="AJ706" s="3" t="n">
        <v>2.4232</v>
      </c>
      <c r="AK706" s="3" t="n">
        <v>1.1851</v>
      </c>
      <c r="AL706" s="3" t="n">
        <v>-0.2045226422080557</v>
      </c>
      <c r="AM706" s="6" t="n">
        <v>0</v>
      </c>
      <c r="AN706" s="3" t="n">
        <v>0</v>
      </c>
      <c r="AO706" s="3" t="n">
        <v>0</v>
      </c>
      <c r="AP706" s="3" t="n">
        <v>0</v>
      </c>
      <c r="AQ706" s="3">
        <f>N(X706)*N(BJ706)</f>
        <v/>
      </c>
      <c r="AR706" s="3" t="n">
        <v>0</v>
      </c>
      <c r="AS706" s="3" t="n">
        <v>-0.365915508000572</v>
      </c>
      <c r="AT706" s="3" t="n">
        <v>-0.2045226422080557</v>
      </c>
      <c r="AU706" s="3">
        <f>SUM(AO706:AT706)</f>
        <v/>
      </c>
      <c r="AV706" s="7">
        <f>IF(OR(N(W706)&lt;=0,N(BH706)=0),0,N(W706)*IF(N(R706)/N(W706)&gt;=60,N(BH706),1))</f>
        <v/>
      </c>
      <c r="AW706" s="7">
        <f>N(W706)*N(AF706)*N(BI706)</f>
        <v/>
      </c>
      <c r="AX706" s="3">
        <f>IF(N(BH706)=0,0,N(W706)*N(AH706))</f>
        <v/>
      </c>
      <c r="AY706" s="7">
        <f>N(AM706)*(Assumptions!$B$13*N(BK706)-(1-Assumptions!$B$13)*Assumptions!$B$14)+N(AN706)</f>
        <v/>
      </c>
      <c r="AZ706" s="7">
        <f>N(AU706)*N(R706)/90+N(AV706)+N(AW706)+N(AX706)+N(AY706)</f>
        <v/>
      </c>
      <c r="BA706" s="3">
        <f>IF(N(R706)&lt;=0,0,(N(AZ706)-N(AY706))*90/N(R706))</f>
        <v/>
      </c>
      <c r="BB706" s="7">
        <f>IFERROR(AZ706-VLOOKUP($E706,Assumptions!$A$40:$C$43,3,FALSE),"")</f>
        <v/>
      </c>
      <c r="BC706" s="3">
        <f>IFERROR(BB706/H706,"")</f>
        <v/>
      </c>
      <c r="BD706">
        <f>IF(AND($G706=TRUE,$E706="GKP"),AZ706,"")</f>
        <v/>
      </c>
      <c r="BE706">
        <f>IF(AND($G706=TRUE,$E706="DEF"),AZ706,"")</f>
        <v/>
      </c>
      <c r="BF706">
        <f>IF(AND($G706=TRUE,$E706="MID"),AZ706,"")</f>
        <v/>
      </c>
      <c r="BG706">
        <f>IF(AND($G706=TRUE,$E706="FWD"),AZ706,"")</f>
        <v/>
      </c>
      <c r="BH706" t="n">
        <v>2</v>
      </c>
      <c r="BI706" t="n">
        <v>2</v>
      </c>
      <c r="BJ706" t="n">
        <v>4</v>
      </c>
      <c r="BK706" t="n">
        <v>6</v>
      </c>
    </row>
    <row r="707">
      <c r="A707" t="inlineStr">
        <is>
          <t>Kaine Andrews</t>
        </is>
      </c>
      <c r="B707" t="inlineStr">
        <is>
          <t>COV</t>
        </is>
      </c>
      <c r="D707" t="b">
        <v>0</v>
      </c>
      <c r="E707" t="inlineStr">
        <is>
          <t>MID</t>
        </is>
      </c>
      <c r="G707" t="b">
        <v>1</v>
      </c>
      <c r="H707" s="2" t="n">
        <v>4.5</v>
      </c>
      <c r="I707" t="inlineStr">
        <is>
          <t>a</t>
        </is>
      </c>
      <c r="K707" s="2" t="n"/>
      <c r="M707" s="3" t="n">
        <v>0</v>
      </c>
      <c r="N707" s="8" t="n">
        <v>0</v>
      </c>
      <c r="O707" s="8" t="n">
        <v>0</v>
      </c>
      <c r="Q707" t="inlineStr">
        <is>
          <t>flat</t>
        </is>
      </c>
      <c r="R707" s="6" t="n">
        <v>0</v>
      </c>
      <c r="S707" t="inlineStr">
        <is>
          <t>Solio</t>
        </is>
      </c>
      <c r="U707" s="6" t="n">
        <v>85</v>
      </c>
      <c r="V707" s="2" t="n"/>
      <c r="W707" s="7">
        <f>IF(N(U707)&lt;=0,0,MIN(Assumptions!$B$15,N(R707)/N(U707)))</f>
        <v/>
      </c>
      <c r="X707" s="6" t="n">
        <v>0.17</v>
      </c>
      <c r="Y707" s="3" t="n"/>
      <c r="Z707" t="inlineStr"/>
      <c r="AA707" s="3" t="n">
        <v>1</v>
      </c>
      <c r="AB707" s="3" t="n"/>
      <c r="AC707" s="3" t="n"/>
      <c r="AD707" s="3" t="n"/>
      <c r="AE707" s="3" t="n"/>
      <c r="AF707" s="3" t="n">
        <v>0</v>
      </c>
      <c r="AG707" s="3" t="n"/>
      <c r="AH707" s="3" t="n">
        <v>0</v>
      </c>
      <c r="AI707" s="3" t="n"/>
      <c r="AJ707" s="3" t="n">
        <v>3.6194</v>
      </c>
      <c r="AK707" s="3" t="n">
        <v>1.8271</v>
      </c>
      <c r="AL707" s="3" t="n">
        <v>-0.2160434166173144</v>
      </c>
      <c r="AM707" s="6" t="n">
        <v>0</v>
      </c>
      <c r="AN707" s="3" t="n">
        <v>0</v>
      </c>
      <c r="AO707" s="3" t="n">
        <v>0</v>
      </c>
      <c r="AP707" s="3" t="n">
        <v>0</v>
      </c>
      <c r="AQ707" s="3">
        <f>N(X707)*N(BJ707)</f>
        <v/>
      </c>
      <c r="AR707" s="3" t="n">
        <v>0</v>
      </c>
      <c r="AS707" s="3" t="n">
        <v>-0</v>
      </c>
      <c r="AT707" s="3" t="n">
        <v>-0.2160434166173144</v>
      </c>
      <c r="AU707" s="3">
        <f>SUM(AO707:AT707)</f>
        <v/>
      </c>
      <c r="AV707" s="7">
        <f>IF(OR(N(W707)&lt;=0,N(BH707)=0),0,N(W707)*IF(N(R707)/N(W707)&gt;=60,N(BH707),1))</f>
        <v/>
      </c>
      <c r="AW707" s="7">
        <f>N(W707)*N(AF707)*N(BI707)</f>
        <v/>
      </c>
      <c r="AX707" s="3">
        <f>IF(N(BH707)=0,0,N(W707)*N(AH707))</f>
        <v/>
      </c>
      <c r="AY707" s="7">
        <f>N(AM707)*(Assumptions!$B$13*N(BK707)-(1-Assumptions!$B$13)*Assumptions!$B$14)+N(AN707)</f>
        <v/>
      </c>
      <c r="AZ707" s="7">
        <f>N(AU707)*N(R707)/90+N(AV707)+N(AW707)+N(AX707)+N(AY707)</f>
        <v/>
      </c>
      <c r="BA707" s="3">
        <f>IF(N(R707)&lt;=0,0,(N(AZ707)-N(AY707))*90/N(R707))</f>
        <v/>
      </c>
      <c r="BB707" s="7">
        <f>IFERROR(AZ707-VLOOKUP($E707,Assumptions!$A$40:$C$43,3,FALSE),"")</f>
        <v/>
      </c>
      <c r="BC707" s="3">
        <f>IFERROR(BB707/H707,"")</f>
        <v/>
      </c>
      <c r="BD707">
        <f>IF(AND($G707=TRUE,$E707="GKP"),AZ707,"")</f>
        <v/>
      </c>
      <c r="BE707">
        <f>IF(AND($G707=TRUE,$E707="DEF"),AZ707,"")</f>
        <v/>
      </c>
      <c r="BF707">
        <f>IF(AND($G707=TRUE,$E707="MID"),AZ707,"")</f>
        <v/>
      </c>
      <c r="BG707">
        <f>IF(AND($G707=TRUE,$E707="FWD"),AZ707,"")</f>
        <v/>
      </c>
      <c r="BH707" t="n">
        <v>2</v>
      </c>
      <c r="BI707" t="n">
        <v>2</v>
      </c>
      <c r="BJ707" t="n">
        <v>1</v>
      </c>
      <c r="BK707" t="n">
        <v>5</v>
      </c>
    </row>
    <row r="708">
      <c r="A708" t="inlineStr">
        <is>
          <t>Mohamadou Kanté</t>
        </is>
      </c>
      <c r="C708" t="inlineStr">
        <is>
          <t>WHU</t>
        </is>
      </c>
      <c r="D708" t="b">
        <v>0</v>
      </c>
      <c r="F708" t="inlineStr">
        <is>
          <t>MID</t>
        </is>
      </c>
      <c r="G708" t="b">
        <v>0</v>
      </c>
      <c r="H708" s="2" t="n"/>
      <c r="K708" s="2" t="n">
        <v>67</v>
      </c>
      <c r="M708" s="3" t="n"/>
      <c r="N708" s="8" t="n">
        <v>67</v>
      </c>
      <c r="O708" s="8" t="n">
        <v>0</v>
      </c>
      <c r="R708" s="6" t="n">
        <v>67</v>
      </c>
      <c r="S708" t="inlineStr">
        <is>
          <t>25/26 actual</t>
        </is>
      </c>
      <c r="U708" s="6" t="n">
        <v>80.09999999999999</v>
      </c>
      <c r="V708" s="2" t="n">
        <v>0</v>
      </c>
      <c r="W708" s="7">
        <f>IF(N(U708)&lt;=0,0,MIN(Assumptions!$B$15,N(R708)/N(U708)))</f>
        <v/>
      </c>
      <c r="X708" s="6" t="n"/>
      <c r="Y708" s="3" t="n">
        <v>0.0927</v>
      </c>
      <c r="Z708" t="inlineStr">
        <is>
          <t>adjusted xGOT</t>
        </is>
      </c>
      <c r="AA708" s="3" t="n">
        <v>1</v>
      </c>
      <c r="AB708" s="3" t="n">
        <v>0.991</v>
      </c>
      <c r="AC708" s="3" t="n">
        <v>0.1</v>
      </c>
      <c r="AD708" s="3" t="n">
        <v>0.1476</v>
      </c>
      <c r="AE708" s="3" t="n">
        <v>9.677</v>
      </c>
      <c r="AF708" s="3" t="n">
        <v>0</v>
      </c>
      <c r="AG708" s="3" t="n">
        <v>7.39</v>
      </c>
      <c r="AH708" s="3" t="n">
        <v>0</v>
      </c>
      <c r="AI708" s="3" t="n">
        <v>11</v>
      </c>
      <c r="AJ708" s="3" t="n"/>
      <c r="AK708" s="3" t="n"/>
      <c r="AL708" s="3" t="n"/>
      <c r="AM708" s="6" t="n">
        <v>0</v>
      </c>
      <c r="AN708" s="3" t="n">
        <v>0</v>
      </c>
      <c r="AO708" s="3" t="n">
        <v>0</v>
      </c>
      <c r="AP708" s="3" t="n">
        <v>0</v>
      </c>
      <c r="AQ708" s="3">
        <f>N(X708)*N(BJ708)</f>
        <v/>
      </c>
      <c r="AR708" s="3" t="n">
        <v>0</v>
      </c>
      <c r="AS708" s="3" t="n">
        <v>0</v>
      </c>
      <c r="AT708" s="3" t="n">
        <v>0</v>
      </c>
      <c r="AU708" s="3">
        <f>SUM(AO708:AT708)</f>
        <v/>
      </c>
      <c r="AV708" s="7">
        <f>IF(OR(N(W708)&lt;=0,N(BH708)=0),0,N(W708)*IF(N(R708)/N(W708)&gt;=60,N(BH708),1))</f>
        <v/>
      </c>
      <c r="AW708" s="7">
        <f>N(W708)*N(AF708)*N(BI708)</f>
        <v/>
      </c>
      <c r="AX708" s="3">
        <f>IF(N(BH708)=0,0,N(W708)*N(AH708))</f>
        <v/>
      </c>
      <c r="AY708" s="7">
        <f>N(AM708)*(Assumptions!$B$13*N(BK708)-(1-Assumptions!$B$13)*Assumptions!$B$14)+N(AN708)</f>
        <v/>
      </c>
      <c r="AZ708" s="7">
        <f>N(AU708)*N(R708)/90+N(AV708)+N(AW708)+N(AX708)+N(AY708)</f>
        <v/>
      </c>
      <c r="BA708" s="3">
        <f>IF(N(R708)&lt;=0,0,(N(AZ708)-N(AY708))*90/N(R708))</f>
        <v/>
      </c>
      <c r="BB708" s="7">
        <f>IFERROR(AZ708-VLOOKUP($E708,Assumptions!$A$40:$C$43,3,FALSE),"")</f>
        <v/>
      </c>
      <c r="BC708" s="3">
        <f>IFERROR(BB708/H708,"")</f>
        <v/>
      </c>
      <c r="BD708">
        <f>IF(AND($G708=TRUE,$E708="GKP"),AZ708,"")</f>
        <v/>
      </c>
      <c r="BE708">
        <f>IF(AND($G708=TRUE,$E708="DEF"),AZ708,"")</f>
        <v/>
      </c>
      <c r="BF708">
        <f>IF(AND($G708=TRUE,$E708="MID"),AZ708,"")</f>
        <v/>
      </c>
      <c r="BG708">
        <f>IF(AND($G708=TRUE,$E708="FWD"),AZ708,"")</f>
        <v/>
      </c>
      <c r="BH708" t="n">
        <v>0</v>
      </c>
      <c r="BI708" t="n">
        <v>0</v>
      </c>
      <c r="BJ708" t="n">
        <v>0</v>
      </c>
      <c r="BK708" t="n">
        <v>0</v>
      </c>
    </row>
    <row r="709">
      <c r="A709" t="inlineStr">
        <is>
          <t>Aladji Bamba</t>
        </is>
      </c>
      <c r="B709" t="inlineStr">
        <is>
          <t>NEW</t>
        </is>
      </c>
      <c r="D709" t="b">
        <v>0</v>
      </c>
      <c r="E709" t="inlineStr">
        <is>
          <t>MID</t>
        </is>
      </c>
      <c r="G709" t="b">
        <v>1</v>
      </c>
      <c r="H709" s="2" t="n">
        <v>5</v>
      </c>
      <c r="I709" t="inlineStr">
        <is>
          <t>a</t>
        </is>
      </c>
      <c r="K709" s="2" t="n"/>
      <c r="M709" s="3" t="n">
        <v>2018</v>
      </c>
      <c r="N709" s="8" t="n">
        <v>2018</v>
      </c>
      <c r="O709" s="8" t="n">
        <v>0</v>
      </c>
      <c r="Q709" t="inlineStr">
        <is>
          <t>flat</t>
        </is>
      </c>
      <c r="R709" s="6" t="n">
        <v>2018</v>
      </c>
      <c r="S709" t="inlineStr">
        <is>
          <t>Solio</t>
        </is>
      </c>
      <c r="U709" s="6" t="n">
        <v>85</v>
      </c>
      <c r="V709" s="2" t="n"/>
      <c r="W709" s="7">
        <f>IF(N(U709)&lt;=0,0,MIN(Assumptions!$B$15,N(R709)/N(U709)))</f>
        <v/>
      </c>
      <c r="X709" s="6" t="n">
        <v>0.248</v>
      </c>
      <c r="Y709" s="3" t="n"/>
      <c r="Z709" t="inlineStr"/>
      <c r="AA709" s="3" t="n">
        <v>1</v>
      </c>
      <c r="AB709" s="3" t="n"/>
      <c r="AC709" s="3" t="n"/>
      <c r="AD709" s="3" t="n"/>
      <c r="AE709" s="3" t="n"/>
      <c r="AF709" s="3" t="n">
        <v>0</v>
      </c>
      <c r="AG709" s="3" t="n"/>
      <c r="AH709" s="3" t="n">
        <v>0</v>
      </c>
      <c r="AI709" s="3" t="n"/>
      <c r="AJ709" s="3" t="n">
        <v>3.0912</v>
      </c>
      <c r="AK709" s="3" t="n">
        <v>1.4534</v>
      </c>
      <c r="AL709" s="3" t="n">
        <v>-0.2160434166173144</v>
      </c>
      <c r="AM709" s="6" t="n">
        <v>0</v>
      </c>
      <c r="AN709" s="3" t="n">
        <v>0</v>
      </c>
      <c r="AO709" s="3" t="n">
        <v>0</v>
      </c>
      <c r="AP709" s="3" t="n">
        <v>0</v>
      </c>
      <c r="AQ709" s="3">
        <f>N(X709)*N(BJ709)</f>
        <v/>
      </c>
      <c r="AR709" s="3" t="n">
        <v>0</v>
      </c>
      <c r="AS709" s="3" t="n">
        <v>-0</v>
      </c>
      <c r="AT709" s="3" t="n">
        <v>-0.2160434166173144</v>
      </c>
      <c r="AU709" s="3">
        <f>SUM(AO709:AT709)</f>
        <v/>
      </c>
      <c r="AV709" s="7">
        <f>IF(OR(N(W709)&lt;=0,N(BH709)=0),0,N(W709)*IF(N(R709)/N(W709)&gt;=60,N(BH709),1))</f>
        <v/>
      </c>
      <c r="AW709" s="7">
        <f>N(W709)*N(AF709)*N(BI709)</f>
        <v/>
      </c>
      <c r="AX709" s="3">
        <f>IF(N(BH709)=0,0,N(W709)*N(AH709))</f>
        <v/>
      </c>
      <c r="AY709" s="7">
        <f>N(AM709)*(Assumptions!$B$13*N(BK709)-(1-Assumptions!$B$13)*Assumptions!$B$14)+N(AN709)</f>
        <v/>
      </c>
      <c r="AZ709" s="7">
        <f>N(AU709)*N(R709)/90+N(AV709)+N(AW709)+N(AX709)+N(AY709)</f>
        <v/>
      </c>
      <c r="BA709" s="3">
        <f>IF(N(R709)&lt;=0,0,(N(AZ709)-N(AY709))*90/N(R709))</f>
        <v/>
      </c>
      <c r="BB709" s="7">
        <f>IFERROR(AZ709-VLOOKUP($E709,Assumptions!$A$40:$C$43,3,FALSE),"")</f>
        <v/>
      </c>
      <c r="BC709" s="3">
        <f>IFERROR(BB709/H709,"")</f>
        <v/>
      </c>
      <c r="BD709">
        <f>IF(AND($G709=TRUE,$E709="GKP"),AZ709,"")</f>
        <v/>
      </c>
      <c r="BE709">
        <f>IF(AND($G709=TRUE,$E709="DEF"),AZ709,"")</f>
        <v/>
      </c>
      <c r="BF709">
        <f>IF(AND($G709=TRUE,$E709="MID"),AZ709,"")</f>
        <v/>
      </c>
      <c r="BG709">
        <f>IF(AND($G709=TRUE,$E709="FWD"),AZ709,"")</f>
        <v/>
      </c>
      <c r="BH709" t="n">
        <v>2</v>
      </c>
      <c r="BI709" t="n">
        <v>2</v>
      </c>
      <c r="BJ709" t="n">
        <v>1</v>
      </c>
      <c r="BK709" t="n">
        <v>5</v>
      </c>
    </row>
    <row r="710">
      <c r="A710" t="inlineStr">
        <is>
          <t>Sean Steur</t>
        </is>
      </c>
      <c r="B710" t="inlineStr">
        <is>
          <t>NEW</t>
        </is>
      </c>
      <c r="D710" t="b">
        <v>0</v>
      </c>
      <c r="E710" t="inlineStr">
        <is>
          <t>MID</t>
        </is>
      </c>
      <c r="G710" t="b">
        <v>1</v>
      </c>
      <c r="H710" s="2" t="n">
        <v>5</v>
      </c>
      <c r="I710" t="inlineStr">
        <is>
          <t>a</t>
        </is>
      </c>
      <c r="K710" s="2" t="n"/>
      <c r="M710" s="3" t="n">
        <v>1379</v>
      </c>
      <c r="N710" s="4" t="n">
        <v>1080</v>
      </c>
      <c r="O710" s="4" t="n">
        <v>-299</v>
      </c>
      <c r="P710" s="5" t="inlineStr">
        <is>
          <t>medium</t>
        </is>
      </c>
      <c r="Q710" t="inlineStr">
        <is>
          <t>flat</t>
        </is>
      </c>
      <c r="R710" s="6" t="n">
        <v>1080</v>
      </c>
      <c r="S710" t="inlineStr">
        <is>
          <t>research</t>
        </is>
      </c>
      <c r="T710" s="5" t="inlineStr">
        <is>
          <t>Steur is 18, arrived from Ajax on 9 Jul 2026 with no Premier League record, and Newcastle are actively pursuing an experienced central midfielder (Hojbjerg reported furthest advanced at around GBP 13m, with Palhinha also targeted) precisely to shield him and Bamba. The Mag judged him likely too young for the Liverpool opener. Offset by the fact he did start v Leverkusen, so the cut is modest.</t>
        </is>
      </c>
      <c r="U710" s="6" t="n">
        <v>85</v>
      </c>
      <c r="V710" s="2" t="n"/>
      <c r="W710" s="7">
        <f>IF(N(U710)&lt;=0,0,MIN(Assumptions!$B$15,N(R710)/N(U710)))</f>
        <v/>
      </c>
      <c r="X710" s="6" t="n">
        <v>0.248</v>
      </c>
      <c r="Y710" s="3" t="n"/>
      <c r="Z710" t="inlineStr"/>
      <c r="AA710" s="3" t="n">
        <v>1</v>
      </c>
      <c r="AB710" s="3" t="n"/>
      <c r="AC710" s="3" t="n"/>
      <c r="AD710" s="3" t="n"/>
      <c r="AE710" s="3" t="n"/>
      <c r="AF710" s="3" t="n">
        <v>0</v>
      </c>
      <c r="AG710" s="3" t="n"/>
      <c r="AH710" s="3" t="n">
        <v>0</v>
      </c>
      <c r="AI710" s="3" t="n"/>
      <c r="AJ710" s="3" t="n">
        <v>3.0912</v>
      </c>
      <c r="AK710" s="3" t="n">
        <v>1.4534</v>
      </c>
      <c r="AL710" s="3" t="n">
        <v>-0.2160434166173144</v>
      </c>
      <c r="AM710" s="6" t="n">
        <v>0</v>
      </c>
      <c r="AN710" s="3" t="n">
        <v>0</v>
      </c>
      <c r="AO710" s="3" t="n">
        <v>0</v>
      </c>
      <c r="AP710" s="3" t="n">
        <v>0</v>
      </c>
      <c r="AQ710" s="3">
        <f>N(X710)*N(BJ710)</f>
        <v/>
      </c>
      <c r="AR710" s="3" t="n">
        <v>0</v>
      </c>
      <c r="AS710" s="3" t="n">
        <v>-0</v>
      </c>
      <c r="AT710" s="3" t="n">
        <v>-0.2160434166173144</v>
      </c>
      <c r="AU710" s="3">
        <f>SUM(AO710:AT710)</f>
        <v/>
      </c>
      <c r="AV710" s="7">
        <f>IF(OR(N(W710)&lt;=0,N(BH710)=0),0,N(W710)*IF(N(R710)/N(W710)&gt;=60,N(BH710),1))</f>
        <v/>
      </c>
      <c r="AW710" s="7">
        <f>N(W710)*N(AF710)*N(BI710)</f>
        <v/>
      </c>
      <c r="AX710" s="3">
        <f>IF(N(BH710)=0,0,N(W710)*N(AH710))</f>
        <v/>
      </c>
      <c r="AY710" s="7">
        <f>N(AM710)*(Assumptions!$B$13*N(BK710)-(1-Assumptions!$B$13)*Assumptions!$B$14)+N(AN710)</f>
        <v/>
      </c>
      <c r="AZ710" s="7">
        <f>N(AU710)*N(R710)/90+N(AV710)+N(AW710)+N(AX710)+N(AY710)</f>
        <v/>
      </c>
      <c r="BA710" s="3">
        <f>IF(N(R710)&lt;=0,0,(N(AZ710)-N(AY710))*90/N(R710))</f>
        <v/>
      </c>
      <c r="BB710" s="7">
        <f>IFERROR(AZ710-VLOOKUP($E710,Assumptions!$A$40:$C$43,3,FALSE),"")</f>
        <v/>
      </c>
      <c r="BC710" s="3">
        <f>IFERROR(BB710/H710,"")</f>
        <v/>
      </c>
      <c r="BD710">
        <f>IF(AND($G710=TRUE,$E710="GKP"),AZ710,"")</f>
        <v/>
      </c>
      <c r="BE710">
        <f>IF(AND($G710=TRUE,$E710="DEF"),AZ710,"")</f>
        <v/>
      </c>
      <c r="BF710">
        <f>IF(AND($G710=TRUE,$E710="MID"),AZ710,"")</f>
        <v/>
      </c>
      <c r="BG710">
        <f>IF(AND($G710=TRUE,$E710="FWD"),AZ710,"")</f>
        <v/>
      </c>
      <c r="BH710" t="n">
        <v>2</v>
      </c>
      <c r="BI710" t="n">
        <v>2</v>
      </c>
      <c r="BJ710" t="n">
        <v>1</v>
      </c>
      <c r="BK710" t="n">
        <v>5</v>
      </c>
    </row>
    <row r="711">
      <c r="A711" t="inlineStr">
        <is>
          <t>Pedro Lima</t>
        </is>
      </c>
      <c r="C711" t="inlineStr">
        <is>
          <t>WOL</t>
        </is>
      </c>
      <c r="D711" t="b">
        <v>0</v>
      </c>
      <c r="F711" t="inlineStr">
        <is>
          <t>DEF</t>
        </is>
      </c>
      <c r="G711" t="b">
        <v>0</v>
      </c>
      <c r="H711" s="2" t="n"/>
      <c r="K711" s="2" t="n">
        <v>259</v>
      </c>
      <c r="M711" s="3" t="n"/>
      <c r="N711" s="8" t="n">
        <v>259</v>
      </c>
      <c r="O711" s="8" t="n">
        <v>0</v>
      </c>
      <c r="R711" s="6" t="n">
        <v>259</v>
      </c>
      <c r="S711" t="inlineStr">
        <is>
          <t>25/26 actual</t>
        </is>
      </c>
      <c r="U711" s="6" t="n">
        <v>80.8</v>
      </c>
      <c r="V711" s="2" t="n">
        <v>3</v>
      </c>
      <c r="W711" s="7">
        <f>IF(N(U711)&lt;=0,0,MIN(Assumptions!$B$15,N(R711)/N(U711)))</f>
        <v/>
      </c>
      <c r="X711" s="6" t="n"/>
      <c r="Y711" s="3" t="n">
        <v>0.1216</v>
      </c>
      <c r="Z711" t="inlineStr">
        <is>
          <t>adjusted xGOT</t>
        </is>
      </c>
      <c r="AA711" s="3" t="n">
        <v>1</v>
      </c>
      <c r="AB711" s="3" t="n">
        <v>0.999</v>
      </c>
      <c r="AC711" s="3" t="n">
        <v>0.4</v>
      </c>
      <c r="AD711" s="3" t="n">
        <v>0.07530000000000001</v>
      </c>
      <c r="AE711" s="3" t="n">
        <v>7.414</v>
      </c>
      <c r="AF711" s="3" t="n">
        <v>0</v>
      </c>
      <c r="AG711" s="3" t="n">
        <v>7.299</v>
      </c>
      <c r="AH711" s="3" t="n">
        <v>0</v>
      </c>
      <c r="AI711" s="3" t="n">
        <v>11</v>
      </c>
      <c r="AJ711" s="3" t="n"/>
      <c r="AK711" s="3" t="n"/>
      <c r="AL711" s="3" t="n"/>
      <c r="AM711" s="6" t="n">
        <v>0</v>
      </c>
      <c r="AN711" s="3" t="n">
        <v>0</v>
      </c>
      <c r="AO711" s="3" t="n">
        <v>0</v>
      </c>
      <c r="AP711" s="3" t="n">
        <v>0</v>
      </c>
      <c r="AQ711" s="3">
        <f>N(X711)*N(BJ711)</f>
        <v/>
      </c>
      <c r="AR711" s="3" t="n">
        <v>0</v>
      </c>
      <c r="AS711" s="3" t="n">
        <v>0</v>
      </c>
      <c r="AT711" s="3" t="n">
        <v>0</v>
      </c>
      <c r="AU711" s="3">
        <f>SUM(AO711:AT711)</f>
        <v/>
      </c>
      <c r="AV711" s="7">
        <f>IF(OR(N(W711)&lt;=0,N(BH711)=0),0,N(W711)*IF(N(R711)/N(W711)&gt;=60,N(BH711),1))</f>
        <v/>
      </c>
      <c r="AW711" s="7">
        <f>N(W711)*N(AF711)*N(BI711)</f>
        <v/>
      </c>
      <c r="AX711" s="3">
        <f>IF(N(BH711)=0,0,N(W711)*N(AH711))</f>
        <v/>
      </c>
      <c r="AY711" s="7">
        <f>N(AM711)*(Assumptions!$B$13*N(BK711)-(1-Assumptions!$B$13)*Assumptions!$B$14)+N(AN711)</f>
        <v/>
      </c>
      <c r="AZ711" s="7">
        <f>N(AU711)*N(R711)/90+N(AV711)+N(AW711)+N(AX711)+N(AY711)</f>
        <v/>
      </c>
      <c r="BA711" s="3">
        <f>IF(N(R711)&lt;=0,0,(N(AZ711)-N(AY711))*90/N(R711))</f>
        <v/>
      </c>
      <c r="BB711" s="7">
        <f>IFERROR(AZ711-VLOOKUP($E711,Assumptions!$A$40:$C$43,3,FALSE),"")</f>
        <v/>
      </c>
      <c r="BC711" s="3">
        <f>IFERROR(BB711/H711,"")</f>
        <v/>
      </c>
      <c r="BD711">
        <f>IF(AND($G711=TRUE,$E711="GKP"),AZ711,"")</f>
        <v/>
      </c>
      <c r="BE711">
        <f>IF(AND($G711=TRUE,$E711="DEF"),AZ711,"")</f>
        <v/>
      </c>
      <c r="BF711">
        <f>IF(AND($G711=TRUE,$E711="MID"),AZ711,"")</f>
        <v/>
      </c>
      <c r="BG711">
        <f>IF(AND($G711=TRUE,$E711="FWD"),AZ711,"")</f>
        <v/>
      </c>
      <c r="BH711" t="n">
        <v>0</v>
      </c>
      <c r="BI711" t="n">
        <v>0</v>
      </c>
      <c r="BJ711" t="n">
        <v>0</v>
      </c>
      <c r="BK711" t="n">
        <v>0</v>
      </c>
    </row>
    <row r="712">
      <c r="A712" t="inlineStr">
        <is>
          <t>Fer López</t>
        </is>
      </c>
      <c r="C712" t="inlineStr">
        <is>
          <t>WOL</t>
        </is>
      </c>
      <c r="D712" t="b">
        <v>0</v>
      </c>
      <c r="F712" t="inlineStr">
        <is>
          <t>MID</t>
        </is>
      </c>
      <c r="G712" t="b">
        <v>0</v>
      </c>
      <c r="H712" s="2" t="n"/>
      <c r="K712" s="2" t="n">
        <v>229</v>
      </c>
      <c r="M712" s="3" t="n"/>
      <c r="N712" s="8" t="n">
        <v>229</v>
      </c>
      <c r="O712" s="8" t="n">
        <v>0</v>
      </c>
      <c r="R712" s="6" t="n">
        <v>229</v>
      </c>
      <c r="S712" t="inlineStr">
        <is>
          <t>25/26 actual</t>
        </is>
      </c>
      <c r="U712" s="6" t="n">
        <v>75.8</v>
      </c>
      <c r="V712" s="2" t="n">
        <v>2</v>
      </c>
      <c r="W712" s="7">
        <f>IF(N(U712)&lt;=0,0,MIN(Assumptions!$B$15,N(R712)/N(U712)))</f>
        <v/>
      </c>
      <c r="X712" s="6" t="n"/>
      <c r="Y712" s="3" t="n">
        <v>0.0633</v>
      </c>
      <c r="Z712" t="inlineStr">
        <is>
          <t>adjusted xGOT</t>
        </is>
      </c>
      <c r="AA712" s="3" t="n">
        <v>1</v>
      </c>
      <c r="AB712" s="3" t="n">
        <v>1.005</v>
      </c>
      <c r="AC712" s="3" t="n">
        <v>0.2</v>
      </c>
      <c r="AD712" s="3" t="n">
        <v>0.2012</v>
      </c>
      <c r="AE712" s="3" t="n">
        <v>7.653</v>
      </c>
      <c r="AF712" s="3" t="n">
        <v>0</v>
      </c>
      <c r="AG712" s="3" t="n">
        <v>5.972</v>
      </c>
      <c r="AH712" s="3" t="n">
        <v>0</v>
      </c>
      <c r="AI712" s="3" t="n">
        <v>10</v>
      </c>
      <c r="AJ712" s="3" t="n"/>
      <c r="AK712" s="3" t="n"/>
      <c r="AL712" s="3" t="n"/>
      <c r="AM712" s="6" t="n">
        <v>0</v>
      </c>
      <c r="AN712" s="3" t="n">
        <v>0</v>
      </c>
      <c r="AO712" s="3" t="n">
        <v>0</v>
      </c>
      <c r="AP712" s="3" t="n">
        <v>0</v>
      </c>
      <c r="AQ712" s="3">
        <f>N(X712)*N(BJ712)</f>
        <v/>
      </c>
      <c r="AR712" s="3" t="n">
        <v>0</v>
      </c>
      <c r="AS712" s="3" t="n">
        <v>0</v>
      </c>
      <c r="AT712" s="3" t="n">
        <v>0</v>
      </c>
      <c r="AU712" s="3">
        <f>SUM(AO712:AT712)</f>
        <v/>
      </c>
      <c r="AV712" s="7">
        <f>IF(OR(N(W712)&lt;=0,N(BH712)=0),0,N(W712)*IF(N(R712)/N(W712)&gt;=60,N(BH712),1))</f>
        <v/>
      </c>
      <c r="AW712" s="7">
        <f>N(W712)*N(AF712)*N(BI712)</f>
        <v/>
      </c>
      <c r="AX712" s="3">
        <f>IF(N(BH712)=0,0,N(W712)*N(AH712))</f>
        <v/>
      </c>
      <c r="AY712" s="7">
        <f>N(AM712)*(Assumptions!$B$13*N(BK712)-(1-Assumptions!$B$13)*Assumptions!$B$14)+N(AN712)</f>
        <v/>
      </c>
      <c r="AZ712" s="7">
        <f>N(AU712)*N(R712)/90+N(AV712)+N(AW712)+N(AX712)+N(AY712)</f>
        <v/>
      </c>
      <c r="BA712" s="3">
        <f>IF(N(R712)&lt;=0,0,(N(AZ712)-N(AY712))*90/N(R712))</f>
        <v/>
      </c>
      <c r="BB712" s="7">
        <f>IFERROR(AZ712-VLOOKUP($E712,Assumptions!$A$40:$C$43,3,FALSE),"")</f>
        <v/>
      </c>
      <c r="BC712" s="3">
        <f>IFERROR(BB712/H712,"")</f>
        <v/>
      </c>
      <c r="BD712">
        <f>IF(AND($G712=TRUE,$E712="GKP"),AZ712,"")</f>
        <v/>
      </c>
      <c r="BE712">
        <f>IF(AND($G712=TRUE,$E712="DEF"),AZ712,"")</f>
        <v/>
      </c>
      <c r="BF712">
        <f>IF(AND($G712=TRUE,$E712="MID"),AZ712,"")</f>
        <v/>
      </c>
      <c r="BG712">
        <f>IF(AND($G712=TRUE,$E712="FWD"),AZ712,"")</f>
        <v/>
      </c>
      <c r="BH712" t="n">
        <v>0</v>
      </c>
      <c r="BI712" t="n">
        <v>0</v>
      </c>
      <c r="BJ712" t="n">
        <v>0</v>
      </c>
      <c r="BK712" t="n">
        <v>0</v>
      </c>
    </row>
    <row r="713">
      <c r="A713" t="inlineStr">
        <is>
          <t>Mateus Mané</t>
        </is>
      </c>
      <c r="C713" t="inlineStr">
        <is>
          <t>WOL</t>
        </is>
      </c>
      <c r="D713" t="b">
        <v>0</v>
      </c>
      <c r="F713" t="inlineStr">
        <is>
          <t>FWD</t>
        </is>
      </c>
      <c r="G713" t="b">
        <v>0</v>
      </c>
      <c r="H713" s="2" t="n"/>
      <c r="K713" s="2" t="n">
        <v>1790</v>
      </c>
      <c r="M713" s="3" t="n"/>
      <c r="N713" s="8" t="n">
        <v>1790</v>
      </c>
      <c r="O713" s="8" t="n">
        <v>0</v>
      </c>
      <c r="R713" s="6" t="n">
        <v>1790</v>
      </c>
      <c r="S713" t="inlineStr">
        <is>
          <t>25/26 actual</t>
        </is>
      </c>
      <c r="U713" s="6" t="n">
        <v>82.8</v>
      </c>
      <c r="V713" s="2" t="n">
        <v>19</v>
      </c>
      <c r="W713" s="7">
        <f>IF(N(U713)&lt;=0,0,MIN(Assumptions!$B$15,N(R713)/N(U713)))</f>
        <v/>
      </c>
      <c r="X713" s="6" t="n"/>
      <c r="Y713" s="3" t="n">
        <v>0.1151</v>
      </c>
      <c r="Z713" t="inlineStr">
        <is>
          <t>adjusted xGOT</t>
        </is>
      </c>
      <c r="AA713" s="3" t="n">
        <v>1</v>
      </c>
      <c r="AB713" s="3" t="n">
        <v>1.139</v>
      </c>
      <c r="AC713" s="3" t="n">
        <v>2</v>
      </c>
      <c r="AD713" s="3" t="n">
        <v>0.165</v>
      </c>
      <c r="AE713" s="3" t="n">
        <v>6.295</v>
      </c>
      <c r="AF713" s="3" t="n">
        <v>0</v>
      </c>
      <c r="AG713" s="3" t="n">
        <v>3.692</v>
      </c>
      <c r="AH713" s="3" t="n">
        <v>0</v>
      </c>
      <c r="AI713" s="3" t="n">
        <v>45</v>
      </c>
      <c r="AJ713" s="3" t="n"/>
      <c r="AK713" s="3" t="n"/>
      <c r="AL713" s="3" t="n"/>
      <c r="AM713" s="6" t="n">
        <v>0</v>
      </c>
      <c r="AN713" s="3" t="n">
        <v>0</v>
      </c>
      <c r="AO713" s="3" t="n">
        <v>0</v>
      </c>
      <c r="AP713" s="3" t="n">
        <v>0</v>
      </c>
      <c r="AQ713" s="3">
        <f>N(X713)*N(BJ713)</f>
        <v/>
      </c>
      <c r="AR713" s="3" t="n">
        <v>0</v>
      </c>
      <c r="AS713" s="3" t="n">
        <v>0</v>
      </c>
      <c r="AT713" s="3" t="n">
        <v>0</v>
      </c>
      <c r="AU713" s="3">
        <f>SUM(AO713:AT713)</f>
        <v/>
      </c>
      <c r="AV713" s="7">
        <f>IF(OR(N(W713)&lt;=0,N(BH713)=0),0,N(W713)*IF(N(R713)/N(W713)&gt;=60,N(BH713),1))</f>
        <v/>
      </c>
      <c r="AW713" s="7">
        <f>N(W713)*N(AF713)*N(BI713)</f>
        <v/>
      </c>
      <c r="AX713" s="3">
        <f>IF(N(BH713)=0,0,N(W713)*N(AH713))</f>
        <v/>
      </c>
      <c r="AY713" s="7">
        <f>N(AM713)*(Assumptions!$B$13*N(BK713)-(1-Assumptions!$B$13)*Assumptions!$B$14)+N(AN713)</f>
        <v/>
      </c>
      <c r="AZ713" s="7">
        <f>N(AU713)*N(R713)/90+N(AV713)+N(AW713)+N(AX713)+N(AY713)</f>
        <v/>
      </c>
      <c r="BA713" s="3">
        <f>IF(N(R713)&lt;=0,0,(N(AZ713)-N(AY713))*90/N(R713))</f>
        <v/>
      </c>
      <c r="BB713" s="7">
        <f>IFERROR(AZ713-VLOOKUP($E713,Assumptions!$A$40:$C$43,3,FALSE),"")</f>
        <v/>
      </c>
      <c r="BC713" s="3">
        <f>IFERROR(BB713/H713,"")</f>
        <v/>
      </c>
      <c r="BD713">
        <f>IF(AND($G713=TRUE,$E713="GKP"),AZ713,"")</f>
        <v/>
      </c>
      <c r="BE713">
        <f>IF(AND($G713=TRUE,$E713="DEF"),AZ713,"")</f>
        <v/>
      </c>
      <c r="BF713">
        <f>IF(AND($G713=TRUE,$E713="MID"),AZ713,"")</f>
        <v/>
      </c>
      <c r="BG713">
        <f>IF(AND($G713=TRUE,$E713="FWD"),AZ713,"")</f>
        <v/>
      </c>
      <c r="BH713" t="n">
        <v>0</v>
      </c>
      <c r="BI713" t="n">
        <v>0</v>
      </c>
      <c r="BJ713" t="n">
        <v>0</v>
      </c>
      <c r="BK713" t="n">
        <v>0</v>
      </c>
    </row>
    <row r="714">
      <c r="A714" t="inlineStr">
        <is>
          <t>Jeremy Monga</t>
        </is>
      </c>
      <c r="B714" t="inlineStr">
        <is>
          <t>MCI</t>
        </is>
      </c>
      <c r="D714" t="b">
        <v>0</v>
      </c>
      <c r="E714" t="inlineStr">
        <is>
          <t>MID</t>
        </is>
      </c>
      <c r="G714" t="b">
        <v>1</v>
      </c>
      <c r="H714" s="2" t="n">
        <v>5</v>
      </c>
      <c r="I714" t="inlineStr">
        <is>
          <t>a</t>
        </is>
      </c>
      <c r="K714" s="2" t="n"/>
      <c r="M714" s="3" t="n">
        <v>0</v>
      </c>
      <c r="N714" s="8" t="n">
        <v>0</v>
      </c>
      <c r="O714" s="8" t="n">
        <v>0</v>
      </c>
      <c r="Q714" t="inlineStr">
        <is>
          <t>flat</t>
        </is>
      </c>
      <c r="R714" s="6" t="n">
        <v>0</v>
      </c>
      <c r="S714" t="inlineStr">
        <is>
          <t>Solio</t>
        </is>
      </c>
      <c r="U714" s="6" t="n">
        <v>85</v>
      </c>
      <c r="V714" s="2" t="n"/>
      <c r="W714" s="7">
        <f>IF(N(U714)&lt;=0,0,MIN(Assumptions!$B$15,N(R714)/N(U714)))</f>
        <v/>
      </c>
      <c r="X714" s="6" t="n">
        <v>0.371</v>
      </c>
      <c r="Y714" s="3" t="n"/>
      <c r="Z714" t="inlineStr"/>
      <c r="AA714" s="3" t="n">
        <v>1</v>
      </c>
      <c r="AB714" s="3" t="n"/>
      <c r="AC714" s="3" t="n"/>
      <c r="AD714" s="3" t="n"/>
      <c r="AE714" s="3" t="n"/>
      <c r="AF714" s="3" t="n">
        <v>0</v>
      </c>
      <c r="AG714" s="3" t="n"/>
      <c r="AH714" s="3" t="n">
        <v>0</v>
      </c>
      <c r="AI714" s="3" t="n"/>
      <c r="AJ714" s="3" t="n">
        <v>1.9737</v>
      </c>
      <c r="AK714" s="3" t="n">
        <v>1.0365</v>
      </c>
      <c r="AL714" s="3" t="n">
        <v>-0.2076849682258277</v>
      </c>
      <c r="AM714" s="6" t="n">
        <v>0</v>
      </c>
      <c r="AN714" s="3" t="n">
        <v>0</v>
      </c>
      <c r="AO714" s="3" t="n">
        <v>0</v>
      </c>
      <c r="AP714" s="3" t="n">
        <v>0</v>
      </c>
      <c r="AQ714" s="3">
        <f>N(X714)*N(BJ714)</f>
        <v/>
      </c>
      <c r="AR714" s="3" t="n">
        <v>0</v>
      </c>
      <c r="AS714" s="3" t="n">
        <v>-0</v>
      </c>
      <c r="AT714" s="3" t="n">
        <v>-0.2076849682258277</v>
      </c>
      <c r="AU714" s="3">
        <f>SUM(AO714:AT714)</f>
        <v/>
      </c>
      <c r="AV714" s="7">
        <f>IF(OR(N(W714)&lt;=0,N(BH714)=0),0,N(W714)*IF(N(R714)/N(W714)&gt;=60,N(BH714),1))</f>
        <v/>
      </c>
      <c r="AW714" s="7">
        <f>N(W714)*N(AF714)*N(BI714)</f>
        <v/>
      </c>
      <c r="AX714" s="3">
        <f>IF(N(BH714)=0,0,N(W714)*N(AH714))</f>
        <v/>
      </c>
      <c r="AY714" s="7">
        <f>N(AM714)*(Assumptions!$B$13*N(BK714)-(1-Assumptions!$B$13)*Assumptions!$B$14)+N(AN714)</f>
        <v/>
      </c>
      <c r="AZ714" s="7">
        <f>N(AU714)*N(R714)/90+N(AV714)+N(AW714)+N(AX714)+N(AY714)</f>
        <v/>
      </c>
      <c r="BA714" s="3">
        <f>IF(N(R714)&lt;=0,0,(N(AZ714)-N(AY714))*90/N(R714))</f>
        <v/>
      </c>
      <c r="BB714" s="7">
        <f>IFERROR(AZ714-VLOOKUP($E714,Assumptions!$A$40:$C$43,3,FALSE),"")</f>
        <v/>
      </c>
      <c r="BC714" s="3">
        <f>IFERROR(BB714/H714,"")</f>
        <v/>
      </c>
      <c r="BD714">
        <f>IF(AND($G714=TRUE,$E714="GKP"),AZ714,"")</f>
        <v/>
      </c>
      <c r="BE714">
        <f>IF(AND($G714=TRUE,$E714="DEF"),AZ714,"")</f>
        <v/>
      </c>
      <c r="BF714">
        <f>IF(AND($G714=TRUE,$E714="MID"),AZ714,"")</f>
        <v/>
      </c>
      <c r="BG714">
        <f>IF(AND($G714=TRUE,$E714="FWD"),AZ714,"")</f>
        <v/>
      </c>
      <c r="BH714" t="n">
        <v>2</v>
      </c>
      <c r="BI714" t="n">
        <v>2</v>
      </c>
      <c r="BJ714" t="n">
        <v>1</v>
      </c>
      <c r="BK714" t="n">
        <v>5</v>
      </c>
    </row>
    <row r="715">
      <c r="A715" t="inlineStr">
        <is>
          <t>Cathal McCarthy</t>
        </is>
      </c>
      <c r="B715" t="inlineStr">
        <is>
          <t>HUL</t>
        </is>
      </c>
      <c r="D715" t="b">
        <v>0</v>
      </c>
      <c r="E715" t="inlineStr">
        <is>
          <t>DEF</t>
        </is>
      </c>
      <c r="G715" t="b">
        <v>1</v>
      </c>
      <c r="H715" s="2" t="n">
        <v>4</v>
      </c>
      <c r="I715" t="inlineStr">
        <is>
          <t>a</t>
        </is>
      </c>
      <c r="K715" s="2" t="n"/>
      <c r="M715" s="3" t="n">
        <v>10</v>
      </c>
      <c r="N715" s="8" t="n">
        <v>10</v>
      </c>
      <c r="O715" s="8" t="n">
        <v>0</v>
      </c>
      <c r="Q715" t="inlineStr">
        <is>
          <t>flat</t>
        </is>
      </c>
      <c r="R715" s="6" t="n">
        <v>10</v>
      </c>
      <c r="S715" t="inlineStr">
        <is>
          <t>Solio</t>
        </is>
      </c>
      <c r="U715" s="6" t="n">
        <v>85</v>
      </c>
      <c r="V715" s="2" t="n"/>
      <c r="W715" s="7">
        <f>IF(N(U715)&lt;=0,0,MIN(Assumptions!$B$15,N(R715)/N(U715)))</f>
        <v/>
      </c>
      <c r="X715" s="6" t="n">
        <v>0.143</v>
      </c>
      <c r="Y715" s="3" t="n"/>
      <c r="Z715" t="inlineStr"/>
      <c r="AA715" s="3" t="n">
        <v>1</v>
      </c>
      <c r="AB715" s="3" t="n"/>
      <c r="AC715" s="3" t="n"/>
      <c r="AD715" s="3" t="n"/>
      <c r="AE715" s="3" t="n"/>
      <c r="AF715" s="3" t="n">
        <v>0</v>
      </c>
      <c r="AG715" s="3" t="n"/>
      <c r="AH715" s="3" t="n">
        <v>0</v>
      </c>
      <c r="AI715" s="3" t="n"/>
      <c r="AJ715" s="3" t="n">
        <v>3.9421</v>
      </c>
      <c r="AK715" s="3" t="n">
        <v>1.99</v>
      </c>
      <c r="AL715" s="3" t="n">
        <v>-0.2045226422080557</v>
      </c>
      <c r="AM715" s="6" t="n">
        <v>0</v>
      </c>
      <c r="AN715" s="3" t="n">
        <v>0</v>
      </c>
      <c r="AO715" s="3" t="n">
        <v>0</v>
      </c>
      <c r="AP715" s="3" t="n">
        <v>0</v>
      </c>
      <c r="AQ715" s="3">
        <f>N(X715)*N(BJ715)</f>
        <v/>
      </c>
      <c r="AR715" s="3" t="n">
        <v>0</v>
      </c>
      <c r="AS715" s="3" t="n">
        <v>-0.7496714098286652</v>
      </c>
      <c r="AT715" s="3" t="n">
        <v>-0.2045226422080557</v>
      </c>
      <c r="AU715" s="3">
        <f>SUM(AO715:AT715)</f>
        <v/>
      </c>
      <c r="AV715" s="7">
        <f>IF(OR(N(W715)&lt;=0,N(BH715)=0),0,N(W715)*IF(N(R715)/N(W715)&gt;=60,N(BH715),1))</f>
        <v/>
      </c>
      <c r="AW715" s="7">
        <f>N(W715)*N(AF715)*N(BI715)</f>
        <v/>
      </c>
      <c r="AX715" s="3">
        <f>IF(N(BH715)=0,0,N(W715)*N(AH715))</f>
        <v/>
      </c>
      <c r="AY715" s="7">
        <f>N(AM715)*(Assumptions!$B$13*N(BK715)-(1-Assumptions!$B$13)*Assumptions!$B$14)+N(AN715)</f>
        <v/>
      </c>
      <c r="AZ715" s="7">
        <f>N(AU715)*N(R715)/90+N(AV715)+N(AW715)+N(AX715)+N(AY715)</f>
        <v/>
      </c>
      <c r="BA715" s="3">
        <f>IF(N(R715)&lt;=0,0,(N(AZ715)-N(AY715))*90/N(R715))</f>
        <v/>
      </c>
      <c r="BB715" s="7">
        <f>IFERROR(AZ715-VLOOKUP($E715,Assumptions!$A$40:$C$43,3,FALSE),"")</f>
        <v/>
      </c>
      <c r="BC715" s="3">
        <f>IFERROR(BB715/H715,"")</f>
        <v/>
      </c>
      <c r="BD715">
        <f>IF(AND($G715=TRUE,$E715="GKP"),AZ715,"")</f>
        <v/>
      </c>
      <c r="BE715">
        <f>IF(AND($G715=TRUE,$E715="DEF"),AZ715,"")</f>
        <v/>
      </c>
      <c r="BF715">
        <f>IF(AND($G715=TRUE,$E715="MID"),AZ715,"")</f>
        <v/>
      </c>
      <c r="BG715">
        <f>IF(AND($G715=TRUE,$E715="FWD"),AZ715,"")</f>
        <v/>
      </c>
      <c r="BH715" t="n">
        <v>2</v>
      </c>
      <c r="BI715" t="n">
        <v>2</v>
      </c>
      <c r="BJ715" t="n">
        <v>4</v>
      </c>
      <c r="BK715" t="n">
        <v>6</v>
      </c>
    </row>
    <row r="716">
      <c r="A716" t="inlineStr">
        <is>
          <t>Caleb Yirenkyi</t>
        </is>
      </c>
      <c r="B716" t="inlineStr">
        <is>
          <t>COV</t>
        </is>
      </c>
      <c r="D716" t="b">
        <v>0</v>
      </c>
      <c r="E716" t="inlineStr">
        <is>
          <t>MID</t>
        </is>
      </c>
      <c r="G716" t="b">
        <v>1</v>
      </c>
      <c r="H716" s="2" t="n">
        <v>5</v>
      </c>
      <c r="I716" t="inlineStr">
        <is>
          <t>a</t>
        </is>
      </c>
      <c r="K716" s="2" t="n"/>
      <c r="M716" s="3" t="n">
        <v>2696</v>
      </c>
      <c r="N716" s="8" t="n">
        <v>2696</v>
      </c>
      <c r="O716" s="8" t="n">
        <v>0</v>
      </c>
      <c r="Q716" t="inlineStr">
        <is>
          <t>flat</t>
        </is>
      </c>
      <c r="R716" s="6" t="n">
        <v>2696</v>
      </c>
      <c r="S716" t="inlineStr">
        <is>
          <t>Solio</t>
        </is>
      </c>
      <c r="U716" s="6" t="n">
        <v>85</v>
      </c>
      <c r="V716" s="2" t="n"/>
      <c r="W716" s="7">
        <f>IF(N(U716)&lt;=0,0,MIN(Assumptions!$B$15,N(R716)/N(U716)))</f>
        <v/>
      </c>
      <c r="X716" s="6" t="n">
        <v>0.17</v>
      </c>
      <c r="Y716" s="3" t="n"/>
      <c r="Z716" t="inlineStr"/>
      <c r="AA716" s="3" t="n">
        <v>1</v>
      </c>
      <c r="AB716" s="3" t="n"/>
      <c r="AC716" s="3" t="n"/>
      <c r="AD716" s="3" t="n"/>
      <c r="AE716" s="3" t="n"/>
      <c r="AF716" s="3" t="n">
        <v>0</v>
      </c>
      <c r="AG716" s="3" t="n"/>
      <c r="AH716" s="3" t="n">
        <v>0</v>
      </c>
      <c r="AI716" s="3" t="n"/>
      <c r="AJ716" s="3" t="n">
        <v>3.6194</v>
      </c>
      <c r="AK716" s="3" t="n">
        <v>1.8271</v>
      </c>
      <c r="AL716" s="3" t="n">
        <v>-0.2160434166173144</v>
      </c>
      <c r="AM716" s="6" t="n">
        <v>0</v>
      </c>
      <c r="AN716" s="3" t="n">
        <v>0</v>
      </c>
      <c r="AO716" s="3" t="n">
        <v>0</v>
      </c>
      <c r="AP716" s="3" t="n">
        <v>0</v>
      </c>
      <c r="AQ716" s="3">
        <f>N(X716)*N(BJ716)</f>
        <v/>
      </c>
      <c r="AR716" s="3" t="n">
        <v>0</v>
      </c>
      <c r="AS716" s="3" t="n">
        <v>-0</v>
      </c>
      <c r="AT716" s="3" t="n">
        <v>-0.2160434166173144</v>
      </c>
      <c r="AU716" s="3">
        <f>SUM(AO716:AT716)</f>
        <v/>
      </c>
      <c r="AV716" s="7">
        <f>IF(OR(N(W716)&lt;=0,N(BH716)=0),0,N(W716)*IF(N(R716)/N(W716)&gt;=60,N(BH716),1))</f>
        <v/>
      </c>
      <c r="AW716" s="7">
        <f>N(W716)*N(AF716)*N(BI716)</f>
        <v/>
      </c>
      <c r="AX716" s="3">
        <f>IF(N(BH716)=0,0,N(W716)*N(AH716))</f>
        <v/>
      </c>
      <c r="AY716" s="7">
        <f>N(AM716)*(Assumptions!$B$13*N(BK716)-(1-Assumptions!$B$13)*Assumptions!$B$14)+N(AN716)</f>
        <v/>
      </c>
      <c r="AZ716" s="7">
        <f>N(AU716)*N(R716)/90+N(AV716)+N(AW716)+N(AX716)+N(AY716)</f>
        <v/>
      </c>
      <c r="BA716" s="3">
        <f>IF(N(R716)&lt;=0,0,(N(AZ716)-N(AY716))*90/N(R716))</f>
        <v/>
      </c>
      <c r="BB716" s="7">
        <f>IFERROR(AZ716-VLOOKUP($E716,Assumptions!$A$40:$C$43,3,FALSE),"")</f>
        <v/>
      </c>
      <c r="BC716" s="3">
        <f>IFERROR(BB716/H716,"")</f>
        <v/>
      </c>
      <c r="BD716">
        <f>IF(AND($G716=TRUE,$E716="GKP"),AZ716,"")</f>
        <v/>
      </c>
      <c r="BE716">
        <f>IF(AND($G716=TRUE,$E716="DEF"),AZ716,"")</f>
        <v/>
      </c>
      <c r="BF716">
        <f>IF(AND($G716=TRUE,$E716="MID"),AZ716,"")</f>
        <v/>
      </c>
      <c r="BG716">
        <f>IF(AND($G716=TRUE,$E716="FWD"),AZ716,"")</f>
        <v/>
      </c>
      <c r="BH716" t="n">
        <v>2</v>
      </c>
      <c r="BI716" t="n">
        <v>2</v>
      </c>
      <c r="BJ716" t="n">
        <v>1</v>
      </c>
      <c r="BK716" t="n">
        <v>5</v>
      </c>
    </row>
    <row r="717">
      <c r="A717" t="inlineStr">
        <is>
          <t>George Shepherd</t>
        </is>
      </c>
      <c r="B717" t="inlineStr">
        <is>
          <t>COV</t>
        </is>
      </c>
      <c r="D717" t="b">
        <v>0</v>
      </c>
      <c r="E717" t="inlineStr">
        <is>
          <t>MID</t>
        </is>
      </c>
      <c r="G717" t="b">
        <v>1</v>
      </c>
      <c r="H717" s="2" t="n">
        <v>4.5</v>
      </c>
      <c r="I717" t="inlineStr">
        <is>
          <t>a</t>
        </is>
      </c>
      <c r="K717" s="2" t="n"/>
      <c r="M717" s="3" t="n">
        <v>0</v>
      </c>
      <c r="N717" s="8" t="n">
        <v>0</v>
      </c>
      <c r="O717" s="8" t="n">
        <v>0</v>
      </c>
      <c r="Q717" t="inlineStr">
        <is>
          <t>flat</t>
        </is>
      </c>
      <c r="R717" s="6" t="n">
        <v>0</v>
      </c>
      <c r="S717" t="inlineStr">
        <is>
          <t>Solio</t>
        </is>
      </c>
      <c r="U717" s="6" t="n">
        <v>85</v>
      </c>
      <c r="V717" s="2" t="n"/>
      <c r="W717" s="7">
        <f>IF(N(U717)&lt;=0,0,MIN(Assumptions!$B$15,N(R717)/N(U717)))</f>
        <v/>
      </c>
      <c r="X717" s="6" t="n">
        <v>0.17</v>
      </c>
      <c r="Y717" s="3" t="n"/>
      <c r="Z717" t="inlineStr"/>
      <c r="AA717" s="3" t="n">
        <v>1</v>
      </c>
      <c r="AB717" s="3" t="n"/>
      <c r="AC717" s="3" t="n"/>
      <c r="AD717" s="3" t="n"/>
      <c r="AE717" s="3" t="n"/>
      <c r="AF717" s="3" t="n">
        <v>0</v>
      </c>
      <c r="AG717" s="3" t="n"/>
      <c r="AH717" s="3" t="n">
        <v>0</v>
      </c>
      <c r="AI717" s="3" t="n"/>
      <c r="AJ717" s="3" t="n">
        <v>3.6194</v>
      </c>
      <c r="AK717" s="3" t="n">
        <v>1.8271</v>
      </c>
      <c r="AL717" s="3" t="n">
        <v>-0.2160434166173144</v>
      </c>
      <c r="AM717" s="6" t="n">
        <v>0</v>
      </c>
      <c r="AN717" s="3" t="n">
        <v>0</v>
      </c>
      <c r="AO717" s="3" t="n">
        <v>0</v>
      </c>
      <c r="AP717" s="3" t="n">
        <v>0</v>
      </c>
      <c r="AQ717" s="3">
        <f>N(X717)*N(BJ717)</f>
        <v/>
      </c>
      <c r="AR717" s="3" t="n">
        <v>0</v>
      </c>
      <c r="AS717" s="3" t="n">
        <v>-0</v>
      </c>
      <c r="AT717" s="3" t="n">
        <v>-0.2160434166173144</v>
      </c>
      <c r="AU717" s="3">
        <f>SUM(AO717:AT717)</f>
        <v/>
      </c>
      <c r="AV717" s="7">
        <f>IF(OR(N(W717)&lt;=0,N(BH717)=0),0,N(W717)*IF(N(R717)/N(W717)&gt;=60,N(BH717),1))</f>
        <v/>
      </c>
      <c r="AW717" s="7">
        <f>N(W717)*N(AF717)*N(BI717)</f>
        <v/>
      </c>
      <c r="AX717" s="3">
        <f>IF(N(BH717)=0,0,N(W717)*N(AH717))</f>
        <v/>
      </c>
      <c r="AY717" s="7">
        <f>N(AM717)*(Assumptions!$B$13*N(BK717)-(1-Assumptions!$B$13)*Assumptions!$B$14)+N(AN717)</f>
        <v/>
      </c>
      <c r="AZ717" s="7">
        <f>N(AU717)*N(R717)/90+N(AV717)+N(AW717)+N(AX717)+N(AY717)</f>
        <v/>
      </c>
      <c r="BA717" s="3">
        <f>IF(N(R717)&lt;=0,0,(N(AZ717)-N(AY717))*90/N(R717))</f>
        <v/>
      </c>
      <c r="BB717" s="7">
        <f>IFERROR(AZ717-VLOOKUP($E717,Assumptions!$A$40:$C$43,3,FALSE),"")</f>
        <v/>
      </c>
      <c r="BC717" s="3">
        <f>IFERROR(BB717/H717,"")</f>
        <v/>
      </c>
      <c r="BD717">
        <f>IF(AND($G717=TRUE,$E717="GKP"),AZ717,"")</f>
        <v/>
      </c>
      <c r="BE717">
        <f>IF(AND($G717=TRUE,$E717="DEF"),AZ717,"")</f>
        <v/>
      </c>
      <c r="BF717">
        <f>IF(AND($G717=TRUE,$E717="MID"),AZ717,"")</f>
        <v/>
      </c>
      <c r="BG717">
        <f>IF(AND($G717=TRUE,$E717="FWD"),AZ717,"")</f>
        <v/>
      </c>
      <c r="BH717" t="n">
        <v>2</v>
      </c>
      <c r="BI717" t="n">
        <v>2</v>
      </c>
      <c r="BJ717" t="n">
        <v>1</v>
      </c>
      <c r="BK717" t="n">
        <v>5</v>
      </c>
    </row>
    <row r="718">
      <c r="A718" t="inlineStr">
        <is>
          <t>Jerome Abbey</t>
        </is>
      </c>
      <c r="C718" t="inlineStr">
        <is>
          <t>WOL</t>
        </is>
      </c>
      <c r="D718" t="b">
        <v>0</v>
      </c>
      <c r="F718" t="inlineStr">
        <is>
          <t>MID</t>
        </is>
      </c>
      <c r="G718" t="b">
        <v>0</v>
      </c>
      <c r="H718" s="2" t="n"/>
      <c r="K718" s="2" t="n">
        <v>16</v>
      </c>
      <c r="M718" s="3" t="n"/>
      <c r="N718" s="8" t="n">
        <v>16</v>
      </c>
      <c r="O718" s="8" t="n">
        <v>0</v>
      </c>
      <c r="R718" s="6" t="n">
        <v>16</v>
      </c>
      <c r="S718" t="inlineStr">
        <is>
          <t>25/26 actual</t>
        </is>
      </c>
      <c r="U718" s="6" t="n">
        <v>80.09999999999999</v>
      </c>
      <c r="V718" s="2" t="n">
        <v>0</v>
      </c>
      <c r="W718" s="7">
        <f>IF(N(U718)&lt;=0,0,MIN(Assumptions!$B$15,N(R718)/N(U718)))</f>
        <v/>
      </c>
      <c r="X718" s="6" t="n"/>
      <c r="Y718" s="3" t="n"/>
      <c r="Z718" t="inlineStr"/>
      <c r="AA718" s="3" t="n">
        <v>1</v>
      </c>
      <c r="AB718" s="3" t="n">
        <v>1</v>
      </c>
      <c r="AC718" s="3" t="n">
        <v>0</v>
      </c>
      <c r="AD718" s="3" t="n"/>
      <c r="AE718" s="3" t="n">
        <v>8.635</v>
      </c>
      <c r="AF718" s="3" t="n">
        <v>0</v>
      </c>
      <c r="AG718" s="3" t="n">
        <v>6.798</v>
      </c>
      <c r="AH718" s="3" t="n">
        <v>0</v>
      </c>
      <c r="AI718" s="3" t="n">
        <v>1</v>
      </c>
      <c r="AJ718" s="3" t="n"/>
      <c r="AK718" s="3" t="n"/>
      <c r="AL718" s="3" t="n"/>
      <c r="AM718" s="6" t="n">
        <v>0</v>
      </c>
      <c r="AN718" s="3" t="n">
        <v>0</v>
      </c>
      <c r="AO718" s="3" t="n">
        <v>0</v>
      </c>
      <c r="AP718" s="3" t="n">
        <v>0</v>
      </c>
      <c r="AQ718" s="3">
        <f>N(X718)*N(BJ718)</f>
        <v/>
      </c>
      <c r="AR718" s="3" t="n">
        <v>0</v>
      </c>
      <c r="AS718" s="3" t="n">
        <v>0</v>
      </c>
      <c r="AT718" s="3" t="n">
        <v>0</v>
      </c>
      <c r="AU718" s="3">
        <f>SUM(AO718:AT718)</f>
        <v/>
      </c>
      <c r="AV718" s="7">
        <f>IF(OR(N(W718)&lt;=0,N(BH718)=0),0,N(W718)*IF(N(R718)/N(W718)&gt;=60,N(BH718),1))</f>
        <v/>
      </c>
      <c r="AW718" s="7">
        <f>N(W718)*N(AF718)*N(BI718)</f>
        <v/>
      </c>
      <c r="AX718" s="3">
        <f>IF(N(BH718)=0,0,N(W718)*N(AH718))</f>
        <v/>
      </c>
      <c r="AY718" s="7">
        <f>N(AM718)*(Assumptions!$B$13*N(BK718)-(1-Assumptions!$B$13)*Assumptions!$B$14)+N(AN718)</f>
        <v/>
      </c>
      <c r="AZ718" s="7">
        <f>N(AU718)*N(R718)/90+N(AV718)+N(AW718)+N(AX718)+N(AY718)</f>
        <v/>
      </c>
      <c r="BA718" s="3">
        <f>IF(N(R718)&lt;=0,0,(N(AZ718)-N(AY718))*90/N(R718))</f>
        <v/>
      </c>
      <c r="BB718" s="7">
        <f>IFERROR(AZ718-VLOOKUP($E718,Assumptions!$A$40:$C$43,3,FALSE),"")</f>
        <v/>
      </c>
      <c r="BC718" s="3">
        <f>IFERROR(BB718/H718,"")</f>
        <v/>
      </c>
      <c r="BD718">
        <f>IF(AND($G718=TRUE,$E718="GKP"),AZ718,"")</f>
        <v/>
      </c>
      <c r="BE718">
        <f>IF(AND($G718=TRUE,$E718="DEF"),AZ718,"")</f>
        <v/>
      </c>
      <c r="BF718">
        <f>IF(AND($G718=TRUE,$E718="MID"),AZ718,"")</f>
        <v/>
      </c>
      <c r="BG718">
        <f>IF(AND($G718=TRUE,$E718="FWD"),AZ718,"")</f>
        <v/>
      </c>
      <c r="BH718" t="n">
        <v>0</v>
      </c>
      <c r="BI718" t="n">
        <v>0</v>
      </c>
      <c r="BJ718" t="n">
        <v>0</v>
      </c>
      <c r="BK718" t="n">
        <v>0</v>
      </c>
    </row>
    <row r="719">
      <c r="A719" t="inlineStr">
        <is>
          <t>Brian Madjo</t>
        </is>
      </c>
      <c r="B719" t="inlineStr">
        <is>
          <t>AVL</t>
        </is>
      </c>
      <c r="D719" t="b">
        <v>0</v>
      </c>
      <c r="E719" t="inlineStr">
        <is>
          <t>FWD</t>
        </is>
      </c>
      <c r="G719" t="b">
        <v>1</v>
      </c>
      <c r="H719" s="2" t="n">
        <v>5.5</v>
      </c>
      <c r="I719" t="inlineStr">
        <is>
          <t>a</t>
        </is>
      </c>
      <c r="K719" s="2" t="n"/>
      <c r="M719" s="3" t="n">
        <v>247</v>
      </c>
      <c r="N719" s="4" t="n">
        <v>100</v>
      </c>
      <c r="O719" s="4" t="n">
        <v>-147</v>
      </c>
      <c r="P719" s="5" t="inlineStr">
        <is>
          <t>medium</t>
        </is>
      </c>
      <c r="Q719" t="inlineStr">
        <is>
          <t>flat</t>
        </is>
      </c>
      <c r="R719" s="6" t="n">
        <v>100</v>
      </c>
      <c r="S719" t="inlineStr">
        <is>
          <t>research</t>
        </is>
      </c>
      <c r="T719" s="5" t="inlineStr">
        <is>
          <t>The 17-year-old scored in the Super Cup and Emery rates him, but he picked up an injury late in that match and is out until at least September. Cut rather than removed because Emery is clearly willing to use him and the striker depth behind Watkins is thin.</t>
        </is>
      </c>
      <c r="U719" s="6" t="n">
        <v>85</v>
      </c>
      <c r="V719" s="2" t="n"/>
      <c r="W719" s="7">
        <f>IF(N(U719)&lt;=0,0,MIN(Assumptions!$B$15,N(R719)/N(U719)))</f>
        <v/>
      </c>
      <c r="X719" s="6" t="n">
        <v>0.273</v>
      </c>
      <c r="Y719" s="3" t="n"/>
      <c r="Z719" t="inlineStr"/>
      <c r="AA719" s="3" t="n">
        <v>1</v>
      </c>
      <c r="AB719" s="3" t="n"/>
      <c r="AC719" s="3" t="n"/>
      <c r="AD719" s="3" t="n"/>
      <c r="AE719" s="3" t="n"/>
      <c r="AF719" s="3" t="n">
        <v>0</v>
      </c>
      <c r="AG719" s="3" t="n"/>
      <c r="AH719" s="3" t="n">
        <v>0</v>
      </c>
      <c r="AI719" s="3" t="n"/>
      <c r="AJ719" s="3" t="n">
        <v>2.7451</v>
      </c>
      <c r="AK719" s="3" t="n">
        <v>1.3575</v>
      </c>
      <c r="AL719" s="3" t="n">
        <v>-0.174691292596322</v>
      </c>
      <c r="AM719" s="6" t="n">
        <v>0</v>
      </c>
      <c r="AN719" s="3" t="n">
        <v>0</v>
      </c>
      <c r="AO719" s="3" t="n">
        <v>0</v>
      </c>
      <c r="AP719" s="3" t="n">
        <v>0</v>
      </c>
      <c r="AQ719" s="3">
        <f>N(X719)*N(BJ719)</f>
        <v/>
      </c>
      <c r="AR719" s="3" t="n">
        <v>0</v>
      </c>
      <c r="AS719" s="3" t="n">
        <v>-0</v>
      </c>
      <c r="AT719" s="3" t="n">
        <v>-0.174691292596322</v>
      </c>
      <c r="AU719" s="3">
        <f>SUM(AO719:AT719)</f>
        <v/>
      </c>
      <c r="AV719" s="7">
        <f>IF(OR(N(W719)&lt;=0,N(BH719)=0),0,N(W719)*IF(N(R719)/N(W719)&gt;=60,N(BH719),1))</f>
        <v/>
      </c>
      <c r="AW719" s="7">
        <f>N(W719)*N(AF719)*N(BI719)</f>
        <v/>
      </c>
      <c r="AX719" s="3">
        <f>IF(N(BH719)=0,0,N(W719)*N(AH719))</f>
        <v/>
      </c>
      <c r="AY719" s="7">
        <f>N(AM719)*(Assumptions!$B$13*N(BK719)-(1-Assumptions!$B$13)*Assumptions!$B$14)+N(AN719)</f>
        <v/>
      </c>
      <c r="AZ719" s="7">
        <f>N(AU719)*N(R719)/90+N(AV719)+N(AW719)+N(AX719)+N(AY719)</f>
        <v/>
      </c>
      <c r="BA719" s="3">
        <f>IF(N(R719)&lt;=0,0,(N(AZ719)-N(AY719))*90/N(R719))</f>
        <v/>
      </c>
      <c r="BB719" s="7">
        <f>IFERROR(AZ719-VLOOKUP($E719,Assumptions!$A$40:$C$43,3,FALSE),"")</f>
        <v/>
      </c>
      <c r="BC719" s="3">
        <f>IFERROR(BB719/H719,"")</f>
        <v/>
      </c>
      <c r="BD719">
        <f>IF(AND($G719=TRUE,$E719="GKP"),AZ719,"")</f>
        <v/>
      </c>
      <c r="BE719">
        <f>IF(AND($G719=TRUE,$E719="DEF"),AZ719,"")</f>
        <v/>
      </c>
      <c r="BF719">
        <f>IF(AND($G719=TRUE,$E719="MID"),AZ719,"")</f>
        <v/>
      </c>
      <c r="BG719">
        <f>IF(AND($G719=TRUE,$E719="FWD"),AZ719,"")</f>
        <v/>
      </c>
      <c r="BH719" t="n">
        <v>2</v>
      </c>
      <c r="BI719" t="n">
        <v>2</v>
      </c>
      <c r="BJ719" t="n">
        <v>0</v>
      </c>
      <c r="BK719" t="n">
        <v>4</v>
      </c>
    </row>
    <row r="720">
      <c r="A720" t="inlineStr">
        <is>
          <t>Zadok Yohanna</t>
        </is>
      </c>
      <c r="B720" t="inlineStr">
        <is>
          <t>BHA</t>
        </is>
      </c>
      <c r="D720" t="b">
        <v>0</v>
      </c>
      <c r="E720" t="inlineStr">
        <is>
          <t>MID</t>
        </is>
      </c>
      <c r="G720" t="b">
        <v>1</v>
      </c>
      <c r="H720" s="2" t="n">
        <v>5</v>
      </c>
      <c r="I720" t="inlineStr">
        <is>
          <t>a</t>
        </is>
      </c>
      <c r="K720" s="2" t="n"/>
      <c r="M720" s="3" t="n">
        <v>162</v>
      </c>
      <c r="N720" s="4" t="n">
        <v>740</v>
      </c>
      <c r="O720" s="4" t="n">
        <v>578</v>
      </c>
      <c r="P720" s="5" t="inlineStr">
        <is>
          <t>medium</t>
        </is>
      </c>
      <c r="Q720" t="inlineStr">
        <is>
          <t>flat</t>
        </is>
      </c>
      <c r="R720" s="6" t="n">
        <v>740</v>
      </c>
      <c r="S720" t="inlineStr">
        <is>
          <t>research</t>
        </is>
      </c>
      <c r="T720" s="5" t="inlineStr">
        <is>
          <t>GBP 21.5m signing from AIK on 15 Jun 2026 on a five-year deal - Brighton beat Chelsea to him - and he came off the bench in both August friendlies. Solio's 162 minutes predates or ignores the signing. Raised but kept modest: he is 18, Hurzeler has only said he 'will be involved' in the first-team squad, and Brighton have a long record of easing teenagers in. The wide-area injuries to Minteh and Mitoma are what make even 740 plausible.</t>
        </is>
      </c>
      <c r="U720" s="6" t="n">
        <v>85</v>
      </c>
      <c r="V720" s="2" t="n"/>
      <c r="W720" s="7">
        <f>IF(N(U720)&lt;=0,0,MIN(Assumptions!$B$15,N(R720)/N(U720)))</f>
        <v/>
      </c>
      <c r="X720" s="6" t="n">
        <v>0.252</v>
      </c>
      <c r="Y720" s="3" t="n"/>
      <c r="Z720" t="inlineStr"/>
      <c r="AA720" s="3" t="n">
        <v>1</v>
      </c>
      <c r="AB720" s="3" t="n"/>
      <c r="AC720" s="3" t="n"/>
      <c r="AD720" s="3" t="n"/>
      <c r="AE720" s="3" t="n"/>
      <c r="AF720" s="3" t="n">
        <v>0</v>
      </c>
      <c r="AG720" s="3" t="n"/>
      <c r="AH720" s="3" t="n">
        <v>0</v>
      </c>
      <c r="AI720" s="3" t="n"/>
      <c r="AJ720" s="3" t="n">
        <v>2.8404</v>
      </c>
      <c r="AK720" s="3" t="n">
        <v>1.439</v>
      </c>
      <c r="AL720" s="3" t="n">
        <v>-0.2160434166173144</v>
      </c>
      <c r="AM720" s="6" t="n">
        <v>0</v>
      </c>
      <c r="AN720" s="3" t="n">
        <v>0</v>
      </c>
      <c r="AO720" s="3" t="n">
        <v>0</v>
      </c>
      <c r="AP720" s="3" t="n">
        <v>0</v>
      </c>
      <c r="AQ720" s="3">
        <f>N(X720)*N(BJ720)</f>
        <v/>
      </c>
      <c r="AR720" s="3" t="n">
        <v>0</v>
      </c>
      <c r="AS720" s="3" t="n">
        <v>-0</v>
      </c>
      <c r="AT720" s="3" t="n">
        <v>-0.2160434166173144</v>
      </c>
      <c r="AU720" s="3">
        <f>SUM(AO720:AT720)</f>
        <v/>
      </c>
      <c r="AV720" s="7">
        <f>IF(OR(N(W720)&lt;=0,N(BH720)=0),0,N(W720)*IF(N(R720)/N(W720)&gt;=60,N(BH720),1))</f>
        <v/>
      </c>
      <c r="AW720" s="7">
        <f>N(W720)*N(AF720)*N(BI720)</f>
        <v/>
      </c>
      <c r="AX720" s="3">
        <f>IF(N(BH720)=0,0,N(W720)*N(AH720))</f>
        <v/>
      </c>
      <c r="AY720" s="7">
        <f>N(AM720)*(Assumptions!$B$13*N(BK720)-(1-Assumptions!$B$13)*Assumptions!$B$14)+N(AN720)</f>
        <v/>
      </c>
      <c r="AZ720" s="7">
        <f>N(AU720)*N(R720)/90+N(AV720)+N(AW720)+N(AX720)+N(AY720)</f>
        <v/>
      </c>
      <c r="BA720" s="3">
        <f>IF(N(R720)&lt;=0,0,(N(AZ720)-N(AY720))*90/N(R720))</f>
        <v/>
      </c>
      <c r="BB720" s="7">
        <f>IFERROR(AZ720-VLOOKUP($E720,Assumptions!$A$40:$C$43,3,FALSE),"")</f>
        <v/>
      </c>
      <c r="BC720" s="3">
        <f>IFERROR(BB720/H720,"")</f>
        <v/>
      </c>
      <c r="BD720">
        <f>IF(AND($G720=TRUE,$E720="GKP"),AZ720,"")</f>
        <v/>
      </c>
      <c r="BE720">
        <f>IF(AND($G720=TRUE,$E720="DEF"),AZ720,"")</f>
        <v/>
      </c>
      <c r="BF720">
        <f>IF(AND($G720=TRUE,$E720="MID"),AZ720,"")</f>
        <v/>
      </c>
      <c r="BG720">
        <f>IF(AND($G720=TRUE,$E720="FWD"),AZ720,"")</f>
        <v/>
      </c>
      <c r="BH720" t="n">
        <v>2</v>
      </c>
      <c r="BI720" t="n">
        <v>2</v>
      </c>
      <c r="BJ720" t="n">
        <v>1</v>
      </c>
      <c r="BK720" t="n">
        <v>5</v>
      </c>
    </row>
  </sheetData>
  <autoFilter ref="A1:BK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16" customWidth="1" min="1" max="1"/>
    <col width="105" customWidth="1" min="2" max="2"/>
  </cols>
  <sheetData>
    <row r="1">
      <c r="A1" s="11" t="inlineStr">
        <is>
          <t>Scoring (FPL 2026/27, read from the game's own config)</t>
        </is>
      </c>
    </row>
    <row r="3">
      <c r="A3" s="12" t="inlineStr">
        <is>
          <t>Pos</t>
        </is>
      </c>
      <c r="B3" s="12" t="inlineStr">
        <is>
          <t>Goal</t>
        </is>
      </c>
      <c r="C3" s="12" t="inlineStr">
        <is>
          <t>Assist</t>
        </is>
      </c>
      <c r="D3" s="12" t="inlineStr">
        <is>
          <t>Clean sheet</t>
        </is>
      </c>
      <c r="E3" s="12" t="inlineStr">
        <is>
          <t>DefCon</t>
        </is>
      </c>
      <c r="F3" s="12" t="inlineStr">
        <is>
          <t>Appearance 60+</t>
        </is>
      </c>
      <c r="G3" s="12" t="inlineStr">
        <is>
          <t>DefCon threshold</t>
        </is>
      </c>
      <c r="H3" s="12" t="inlineStr">
        <is>
          <t>Saves per point</t>
        </is>
      </c>
      <c r="I3" s="12" t="inlineStr">
        <is>
          <t>Conceded per -1</t>
        </is>
      </c>
    </row>
    <row r="4">
      <c r="A4" t="inlineStr">
        <is>
          <t>GKP</t>
        </is>
      </c>
      <c r="B4" t="n">
        <v>10</v>
      </c>
      <c r="C4" t="n">
        <v>3</v>
      </c>
      <c r="D4" t="n">
        <v>4</v>
      </c>
      <c r="E4" t="n">
        <v>0</v>
      </c>
      <c r="F4" t="n">
        <v>2</v>
      </c>
      <c r="G4" t="n">
        <v>99</v>
      </c>
      <c r="H4" t="n">
        <v>3</v>
      </c>
      <c r="I4" t="n">
        <v>2</v>
      </c>
    </row>
    <row r="5">
      <c r="A5" t="inlineStr">
        <is>
          <t>DEF</t>
        </is>
      </c>
      <c r="B5" t="n">
        <v>6</v>
      </c>
      <c r="C5" t="n">
        <v>3</v>
      </c>
      <c r="D5" t="n">
        <v>4</v>
      </c>
      <c r="E5" t="n">
        <v>2</v>
      </c>
      <c r="F5" t="n">
        <v>2</v>
      </c>
      <c r="G5" t="n">
        <v>10</v>
      </c>
      <c r="H5" t="n">
        <v>0</v>
      </c>
      <c r="I5" t="n">
        <v>2</v>
      </c>
    </row>
    <row r="6">
      <c r="A6" t="inlineStr">
        <is>
          <t>MID</t>
        </is>
      </c>
      <c r="B6" t="n">
        <v>5</v>
      </c>
      <c r="C6" t="n">
        <v>3</v>
      </c>
      <c r="D6" t="n">
        <v>1</v>
      </c>
      <c r="E6" t="n">
        <v>2</v>
      </c>
      <c r="F6" t="n">
        <v>2</v>
      </c>
      <c r="G6" t="n">
        <v>12</v>
      </c>
      <c r="H6" t="n">
        <v>0</v>
      </c>
      <c r="I6" t="n">
        <v>0</v>
      </c>
    </row>
    <row r="7">
      <c r="A7" t="inlineStr">
        <is>
          <t>FWD</t>
        </is>
      </c>
      <c r="B7" t="n">
        <v>4</v>
      </c>
      <c r="C7" t="n">
        <v>3</v>
      </c>
      <c r="D7" t="n">
        <v>0</v>
      </c>
      <c r="E7" t="n">
        <v>2</v>
      </c>
      <c r="F7" t="n">
        <v>2</v>
      </c>
      <c r="G7" t="n">
        <v>12</v>
      </c>
      <c r="H7" t="n">
        <v>0</v>
      </c>
      <c r="I7" t="n">
        <v>0</v>
      </c>
    </row>
    <row r="10">
      <c r="A10" s="11" t="inlineStr">
        <is>
          <t>Global inputs</t>
        </is>
      </c>
    </row>
    <row r="11">
      <c r="A11" t="inlineStr">
        <is>
          <t>Assist uplift (FPL assists / Opta assists)</t>
        </is>
      </c>
      <c r="B11" t="n">
        <v>1.32</v>
      </c>
    </row>
    <row r="12">
      <c r="A12" t="inlineStr">
        <is>
          <t>DefCon points per qualifying match</t>
        </is>
      </c>
      <c r="B12" t="n">
        <v>2</v>
      </c>
    </row>
    <row r="13">
      <c r="A13" t="inlineStr">
        <is>
          <t>Penalty conversion rate</t>
        </is>
      </c>
      <c r="B13" s="6" t="n">
        <v>0.8294</v>
      </c>
    </row>
    <row r="14">
      <c r="A14" t="inlineStr">
        <is>
          <t>Points for a missed penalty</t>
        </is>
      </c>
      <c r="B14" t="n">
        <v>2</v>
      </c>
    </row>
    <row r="15">
      <c r="A15" t="inlineStr">
        <is>
          <t>Matches in a season</t>
        </is>
      </c>
      <c r="B15" t="n">
        <v>38</v>
      </c>
    </row>
    <row r="17">
      <c r="A17" s="11" t="inlineStr">
        <is>
          <t>Notes</t>
        </is>
      </c>
    </row>
    <row r="18" ht="46" customHeight="1">
      <c r="A18" s="11" t="inlineStr">
        <is>
          <t>xMins</t>
        </is>
      </c>
      <c r="B18" s="13" t="inlineStr">
        <is>
          <t>Your minutes forecast for 2026/27, in the blue cell. Three columns sit behind it. 'xMins Solio' is Solio's raw forecast, which is forward-looking and so already prices injuries and late World Cup returns. 'xMins Solio adjusted' is that figure after the club-by-club research moved it, for the 226 players the research reached; everyone else keeps Solio's number, or 2025/26 minutes where Solio has no view. 'xMins 26/27' starts at the adjusted figure and is yours to overwrite. 'xMins source' says which of the three a row is on, 'Research delta' how far the research moved it, and 'Research reason' why, with the article or podcast it came from. This is the single biggest lever in the model and the one number no dataset can settle.</t>
        </is>
      </c>
    </row>
    <row r="19" ht="46" customHeight="1">
      <c r="A19" s="11" t="inlineStr">
        <is>
          <t>Research</t>
        </is>
      </c>
      <c r="B19" s="13" t="inlineStr">
        <is>
          <t>Green cells mark the 226 players whose minutes the club-by-club research changed. It read what beat writers, local press and club podcasts were saying in the fortnight to 16 August 2026, one club at a time, and every change carries a source URL and a date. Confidence is the researcher's own: high, medium or low. It is a dated snapshot, not a live feed -- it does not know anything that happened after that date, and it cannot see January.</t>
        </is>
      </c>
    </row>
    <row r="20" ht="46" customHeight="1">
      <c r="A20" s="11" t="inlineStr">
        <is>
          <t>Saves</t>
        </is>
      </c>
      <c r="B20" s="13" t="inlineStr">
        <is>
          <t>Goalkeepers only, 1 point per 3 saves settled every match. 'Saves/match' is the club's expected saves, derived from the goals it is expected to concede and the quality of the shots it concedes them from. The sheet turns that into points with a Poisson, because two saves in a match are worth nothing: over 2025/26 that flooring was worth 0.213 points per save, not 0.333.</t>
        </is>
      </c>
    </row>
    <row r="21" ht="46" customHeight="1">
      <c r="A21" s="11" t="inlineStr">
        <is>
          <t>Goals conceded</t>
        </is>
      </c>
      <c r="B21" s="13" t="inlineStr">
        <is>
          <t>Goalkeepers and defenders, -1 per 2 conceded, settled every match. Same Poisson treatment: ignoring the per-match floor makes the penalty 57% too harsh.</t>
        </is>
      </c>
    </row>
    <row r="22" ht="46" customHeight="1">
      <c r="A22" s="11" t="inlineStr">
        <is>
          <t>Cards</t>
        </is>
      </c>
      <c r="B22" s="13" t="inlineStr">
        <is>
          <t>-1 a yellow, -3 a red. Booking rate is a real player trait -- year-on-year correlation +0.47 over 766 repeat player-seasons -- so yellows are the player's own three-season rate shrunk toward his position. Reds are not: at one per 200 nineties an individual red rate is noise, so everyone gets the position's.</t>
        </is>
      </c>
    </row>
    <row r="23" ht="46" customHeight="1">
      <c r="A23" s="11" t="inlineStr">
        <is>
          <t>Penalties</t>
        </is>
      </c>
      <c r="B23" s="13" t="inlineStr">
        <is>
          <t>Kept out of xG entirely and credited back here, because penalty duty moves between seasons and Cole Palmer's 2025/26 expected goals were 44% penalties. 'Pens/season' is the club's expected penalties times this player's share of them, which follows the listed taker order and how much of the season he is expected to play. Season-level, not per 90.</t>
        </is>
      </c>
    </row>
    <row r="24" ht="46" customHeight="1">
      <c r="A24" s="11" t="inlineStr">
        <is>
          <t>P(CS)</t>
        </is>
      </c>
      <c r="B24" s="13"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25" ht="46" customHeight="1">
      <c r="A25" s="11" t="inlineStr">
        <is>
          <t>Assist uplift</t>
        </is>
      </c>
      <c r="B25" s="13" t="inlineStr">
        <is>
          <t>FPL awards assists more loosely than Opta (rebounds, deflections, won penalties). Across 2025/26 that was 765 FPL assists vs 580 Opta assists, so 1.32. Both xG models measure the Opta definition, so xA needs this to become FPL assists. Applied in the model, not in the sheet: changing the number here does nothing until scripts are re-run.</t>
        </is>
      </c>
    </row>
    <row r="26" ht="46" customHeight="1">
      <c r="A26" s="11" t="inlineStr">
        <is>
          <t>xG source</t>
        </is>
      </c>
      <c r="B26" s="13" t="inlineStr">
        <is>
          <t>Adjusted xGOT where a player has shot-placement history, otherwise blended xG. Column 'xG basis' says which was used. Either way it is scaled to the non-penalty share of his 2025/26 expected goals, so penalties are counted once, in the penalty column, and not twice.</t>
        </is>
      </c>
    </row>
    <row r="27" ht="46" customHeight="1">
      <c r="A27" s="11" t="inlineStr">
        <is>
          <t>DefCon</t>
        </is>
      </c>
      <c r="B27" s="13"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8" ht="46" customHeight="1">
      <c r="A28" s="11" t="inlineStr">
        <is>
          <t>Mins per start</t>
        </is>
      </c>
      <c r="B28" s="13" t="inlineStr">
        <is>
          <t>Minutes played in matches he started, over starts, from 2025/26 -- with sendings-off dropped from both sides, since a red card is not rotation risk. It is shrunk toward the position mean by 10 starts, which out of sample beats both the raw average (MAE 4.07 against 5.20) and the position mean alone (4.76). 'Mins/start starts' is how many starts it rests on: a small number means the figure is mostly the prior. Editable, because the research knows things the measurement cannot -- a player promoted to nailed is usually hooked less often than he was, and no row from last season can say so. Note the direction: at a fixed xMins, a LOWER figure here means more matches and so more appearance points. The early hook costs you through xMins, not through this column.</t>
        </is>
      </c>
    </row>
    <row r="29" ht="46" customHeight="1">
      <c r="A29" s="11" t="inlineStr">
        <is>
          <t>Bonus</t>
        </is>
      </c>
      <c r="B29" s="13" t="inlineStr">
        <is>
          <t>Won per match, not per minute: 3/2/1 is contested once per fixture. 'Base BPS/90' is the player's BPS with every event the model projects elsewhere — goals, assists, clean sheets, saves, goals conceded, cards — stripped out, leaving appearance, defensive actions, passing and carrying. That remainder is what repeats: across 2025/26's two halves, total BPS per 90 replicated at r=0.39 and base BPS per 90 at r=0.78, so the old column carried mostly noise and double-counted the goals. 'Bonus/match' simulates one match — his base BPS, plus goals and assists drawn from his own team's goals, plus the clean sheet — against the three scores he actually had to beat, sampled from 380 real fixtures and conditioned on the scoreline. That conditioning is why a Manchester City assist is worth less bonus than the same assist elsewhere: in a 4-0 win four team-mates and a clean sheet are competing for the same three points. Scaled to the bonus that actually exists, 6 points a fixture, by a factor of 1.06 to 1.34 depending on position.</t>
        </is>
      </c>
    </row>
    <row r="30" ht="46" customHeight="1">
      <c r="A30" s="11" t="inlineStr">
        <is>
          <t>VORP</t>
        </is>
      </c>
      <c r="B30" s="13"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31" ht="46" customHeight="1">
      <c r="A31" s="11" t="inlineStr">
        <is>
          <t>VORP per £m</t>
        </is>
      </c>
      <c r="B31" s="13" t="inlineStr">
        <is>
          <t>VORP divided by price. Pure VORP measures scarcity alone; this measures scarcity against the £100m budget that still binds you in a normal FPL season.</t>
        </is>
      </c>
    </row>
    <row r="32" ht="46" customHeight="1">
      <c r="A32" s="11" t="inlineStr">
        <is>
          <t>Appearance</t>
        </is>
      </c>
      <c r="B32" s="13" t="inlineStr">
        <is>
          <t>1 point for playing, 2 for 60 minutes or more, earned per match rather than per 90 -- which is why it is shown as a season total. 'Matches' is xMins divided by 'Mins per start', capped at the 38 a season has. The cap matters: Christian Nørgaard's 45 minutes per start came from a cameo-heavy year, and 2,804 forecast minutes divided by it claims 62 matches. Once capped he is making 38 longer appearances instead, which clears the 60-minute line. 'App pts 25/26' is what he actually earned last season, for comparison only -- it does not feed the model.</t>
        </is>
      </c>
    </row>
    <row r="33" ht="46" customHeight="1">
      <c r="A33" s="11" t="inlineStr">
        <is>
          <t>Moved club</t>
        </is>
      </c>
      <c r="B33" s="13" t="inlineStr">
        <is>
          <t>Amber cells mark a player who changed club over the summer, and mark exactly the numbers the move breaks. His clean sheets, saves and goals against all follow him to the new club correctly -- those are keyed on the club, never on the player. His xG and xA do not: they are the rates he produced at the old club, in the old side's shape, and nothing in any dataset repairs that. Treat the amber figures as needing your own judgement.</t>
        </is>
      </c>
    </row>
    <row r="34" ht="46" customHeight="1">
      <c r="A34" s="11" t="inlineStr">
        <is>
          <t>Live cells</t>
        </is>
      </c>
      <c r="B34" s="13" t="inlineStr">
        <is>
          <t>Almost everything on this sheet is a value, computed in Python. Six columns are still real formulas -- Matches, App pts season, DC pts season, xPts season, VORP and VORP per £m -- so that changing 'xMins 26/27' or 'Mins per start' moves a player's total and his rank the way it should. Change anything else and you are editing a number the model will overwrite on the next run.</t>
        </is>
      </c>
    </row>
    <row r="36">
      <c r="A36" s="11" t="inlineStr">
        <is>
          <t>VORP settings</t>
        </is>
      </c>
    </row>
    <row r="38">
      <c r="A38" t="inlineStr">
        <is>
          <t>Teams in league</t>
        </is>
      </c>
      <c r="B38" s="6" t="n">
        <v>8</v>
      </c>
    </row>
    <row r="39">
      <c r="A39" s="12" t="inlineStr">
        <is>
          <t>Position</t>
        </is>
      </c>
      <c r="B39" s="12" t="inlineStr">
        <is>
          <t>Squad slots per team</t>
        </is>
      </c>
      <c r="C39" s="12" t="inlineStr">
        <is>
          <t>Replacement xPts</t>
        </is>
      </c>
    </row>
    <row r="40">
      <c r="A40" t="inlineStr">
        <is>
          <t>GKP</t>
        </is>
      </c>
      <c r="B40" s="6" t="n">
        <v>2</v>
      </c>
      <c r="C40" s="14">
        <f>IFERROR(LARGE('xPts model'!$BD$2:$BD$720,$B$38*B40+1),0)</f>
        <v/>
      </c>
    </row>
    <row r="41">
      <c r="A41" t="inlineStr">
        <is>
          <t>DEF</t>
        </is>
      </c>
      <c r="B41" s="6" t="n">
        <v>5</v>
      </c>
      <c r="C41" s="14">
        <f>IFERROR(LARGE('xPts model'!$BE$2:$BE$720,$B$38*B41+1),0)</f>
        <v/>
      </c>
    </row>
    <row r="42">
      <c r="A42" t="inlineStr">
        <is>
          <t>MID</t>
        </is>
      </c>
      <c r="B42" s="6" t="n">
        <v>5</v>
      </c>
      <c r="C42" s="14">
        <f>IFERROR(LARGE('xPts model'!$BF$2:$BF$720,$B$38*B42+1),0)</f>
        <v/>
      </c>
    </row>
    <row r="43">
      <c r="A43" t="inlineStr">
        <is>
          <t>FWD</t>
        </is>
      </c>
      <c r="B43" s="6" t="n">
        <v>3</v>
      </c>
      <c r="C43" s="14">
        <f>IFERROR(LARGE('xPts model'!$BG$2:$BG$720,$B$38*B43+1),0)</f>
        <v/>
      </c>
    </row>
    <row r="45" ht="46" customHeight="1">
      <c r="A45" s="13"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2026-08-17T08:00:45Z</dcterms:created>
  <dcterms:modified xsi:type="dcterms:W3CDTF">2026-08-17T09:34:33Z</dcterms:modified>
</cp:coreProperties>
</file>