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model'!$A$1:$BJ$720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7">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15">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1" fontId="0" fillId="5" borderId="0" pivotButton="0" quotePrefix="0" xfId="0"/>
    <xf numFmtId="0" fontId="0" fillId="5" borderId="0" pivotButton="0" quotePrefix="0" xfId="0"/>
    <xf numFmtId="0" fontId="0" fillId="3" borderId="0" pivotButton="0" quotePrefix="0" xfId="0"/>
    <xf numFmtId="165" fontId="0" fillId="4" borderId="0" pivotButton="0" quotePrefix="0" xfId="0"/>
    <xf numFmtId="1" fontId="0" fillId="4" borderId="0" pivotButton="0" quotePrefix="0" xfId="0"/>
    <xf numFmtId="0" fontId="0" fillId="6" borderId="0" pivotButton="0" quotePrefix="0" xfId="0"/>
    <xf numFmtId="164" fontId="0" fillId="6"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4" customWidth="1" min="26" max="26"/>
    <col width="11" customWidth="1" min="27" max="27"/>
    <col width="11" customWidth="1" min="28" max="28"/>
    <col width="12"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hidden="1" width="11" customWidth="1" min="55" max="55"/>
    <col hidden="1" width="11" customWidth="1" min="56" max="56"/>
    <col hidden="1" width="11" customWidth="1" min="57" max="57"/>
    <col hidden="1" width="11" customWidth="1" min="58" max="58"/>
    <col hidden="1" width="11" customWidth="1" min="59" max="59"/>
    <col hidden="1" width="11" customWidth="1" min="60" max="60"/>
    <col hidden="1" width="11" customWidth="1" min="61" max="61"/>
    <col hidden="1" width="11" customWidth="1" min="62" max="62"/>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Solio adjusted</t>
        </is>
      </c>
      <c r="O1" s="1" t="inlineStr">
        <is>
          <t>Research delta</t>
        </is>
      </c>
      <c r="P1" s="1" t="inlineStr">
        <is>
          <t>Research confidence</t>
        </is>
      </c>
      <c r="Q1" s="1" t="inlineStr">
        <is>
          <t>xMins pattern</t>
        </is>
      </c>
      <c r="R1" s="1" t="inlineStr">
        <is>
          <t>xMins 26/27</t>
        </is>
      </c>
      <c r="S1" s="1" t="inlineStr">
        <is>
          <t>xMins source</t>
        </is>
      </c>
      <c r="T1" s="1" t="inlineStr">
        <is>
          <t>Research reason</t>
        </is>
      </c>
      <c r="U1" s="1" t="inlineStr">
        <is>
          <t>Mins per start</t>
        </is>
      </c>
      <c r="V1" s="1" t="inlineStr">
        <is>
          <t>Mins/start starts</t>
        </is>
      </c>
      <c r="W1" s="1" t="inlineStr">
        <is>
          <t>Matches</t>
        </is>
      </c>
      <c r="X1" s="1" t="inlineStr">
        <is>
          <t>P(CS)</t>
        </is>
      </c>
      <c r="Y1" s="1" t="inlineStr">
        <is>
          <t>xG/90</t>
        </is>
      </c>
      <c r="Z1" s="1" t="inlineStr">
        <is>
          <t>xG basis</t>
        </is>
      </c>
      <c r="AA1" s="1" t="inlineStr">
        <is>
          <t>Non-pen share</t>
        </is>
      </c>
      <c r="AB1" s="1" t="inlineStr">
        <is>
          <t>Placement ratio</t>
        </is>
      </c>
      <c r="AC1" s="1" t="inlineStr">
        <is>
          <t>Placement sample xG</t>
        </is>
      </c>
      <c r="AD1" s="1" t="inlineStr">
        <is>
          <t>xA/90</t>
        </is>
      </c>
      <c r="AE1" s="1" t="inlineStr">
        <is>
          <t>DefCon actions/90</t>
        </is>
      </c>
      <c r="AF1" s="1" t="inlineStr">
        <is>
          <t>DefCon hit %</t>
        </is>
      </c>
      <c r="AG1" s="1" t="inlineStr">
        <is>
          <t>Bonus/90</t>
        </is>
      </c>
      <c r="AH1" s="1" t="inlineStr">
        <is>
          <t>App pts 25/26</t>
        </is>
      </c>
      <c r="AI1" s="1" t="inlineStr">
        <is>
          <t>Saves/match</t>
        </is>
      </c>
      <c r="AJ1" s="1" t="inlineStr">
        <is>
          <t>Goals against/match</t>
        </is>
      </c>
      <c r="AK1" s="1" t="inlineStr">
        <is>
          <t>Card rate/90</t>
        </is>
      </c>
      <c r="AL1" s="1" t="inlineStr">
        <is>
          <t>Pens/season</t>
        </is>
      </c>
      <c r="AM1" s="1" t="inlineStr">
        <is>
          <t>Pen save pts</t>
        </is>
      </c>
      <c r="AN1" s="1" t="inlineStr">
        <is>
          <t>xG pts/90</t>
        </is>
      </c>
      <c r="AO1" s="1" t="inlineStr">
        <is>
          <t>xA pts/90</t>
        </is>
      </c>
      <c r="AP1" s="1" t="inlineStr">
        <is>
          <t>CS pts/90</t>
        </is>
      </c>
      <c r="AQ1" s="1" t="inlineStr">
        <is>
          <t>Bonus pts/90</t>
        </is>
      </c>
      <c r="AR1" s="1" t="inlineStr">
        <is>
          <t>Save pts/90</t>
        </is>
      </c>
      <c r="AS1" s="1" t="inlineStr">
        <is>
          <t>GC pts/90</t>
        </is>
      </c>
      <c r="AT1" s="1" t="inlineStr">
        <is>
          <t>Cards pts/90</t>
        </is>
      </c>
      <c r="AU1" s="1" t="inlineStr">
        <is>
          <t>Rate pts/90</t>
        </is>
      </c>
      <c r="AV1" s="1" t="inlineStr">
        <is>
          <t>App pts season</t>
        </is>
      </c>
      <c r="AW1" s="1" t="inlineStr">
        <is>
          <t>DC pts season</t>
        </is>
      </c>
      <c r="AX1" s="1" t="inlineStr">
        <is>
          <t>Pen pts season</t>
        </is>
      </c>
      <c r="AY1" s="1" t="inlineStr">
        <is>
          <t>xPts season</t>
        </is>
      </c>
      <c r="AZ1" s="1" t="inlineStr">
        <is>
          <t>xPts/90</t>
        </is>
      </c>
      <c r="BA1" s="1" t="inlineStr">
        <is>
          <t>VORP</t>
        </is>
      </c>
      <c r="BB1" s="1" t="inlineStr">
        <is>
          <t>VORP per £m</t>
        </is>
      </c>
      <c r="BC1" s="1" t="inlineStr">
        <is>
          <t>_pool GKP</t>
        </is>
      </c>
      <c r="BD1" s="1" t="inlineStr">
        <is>
          <t>_pool DEF</t>
        </is>
      </c>
      <c r="BE1" s="1" t="inlineStr">
        <is>
          <t>_pool MID</t>
        </is>
      </c>
      <c r="BF1" s="1" t="inlineStr">
        <is>
          <t>_pool FWD</t>
        </is>
      </c>
      <c r="BG1" s="1" t="inlineStr">
        <is>
          <t>_app 60+</t>
        </is>
      </c>
      <c r="BH1" s="1" t="inlineStr">
        <is>
          <t>_dc pts</t>
        </is>
      </c>
      <c r="BI1" s="1" t="inlineStr">
        <is>
          <t>_cs pts</t>
        </is>
      </c>
      <c r="BJ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s="4" t="n">
        <v>3000</v>
      </c>
      <c r="O2" s="4" t="n">
        <v>-204</v>
      </c>
      <c r="P2" s="5" t="inlineStr">
        <is>
          <t>medium</t>
        </is>
      </c>
      <c r="Q2" t="inlineStr">
        <is>
          <t>flat</t>
        </is>
      </c>
      <c r="R2" s="6" t="n">
        <v>3000</v>
      </c>
      <c r="S2" t="inlineStr">
        <is>
          <t>research</t>
        </is>
      </c>
      <c r="T2" s="5" t="inlineStr">
        <is>
          <t>Not a doubt about his place — a doubt about the first month. He played no part in pre-season after a deep World Cup run, only returned to training in the week of the Community Shield, and was expected to start that match on the bench. 3,204 would also be a career high; his best in a City shirt is 2,953 last season. Trimming to roughly last season's level rather than above it.</t>
        </is>
      </c>
      <c r="U2" s="6" t="n">
        <v>84.59999999999999</v>
      </c>
      <c r="V2" s="2" t="n">
        <v>34</v>
      </c>
      <c r="W2" s="7">
        <f>IF(N(U2)&lt;=0,0,MIN(Assumptions!$B$15,N(R2)/N(U2)))</f>
        <v/>
      </c>
      <c r="X2" s="6" t="n">
        <v>0.371</v>
      </c>
      <c r="Y2" s="3" t="n">
        <v>0.6655</v>
      </c>
      <c r="Z2" t="inlineStr">
        <is>
          <t>adjusted xGOT</t>
        </is>
      </c>
      <c r="AA2" s="3" t="n">
        <v>0.894</v>
      </c>
      <c r="AB2" s="3" t="n">
        <v>0.958</v>
      </c>
      <c r="AC2" s="3" t="n">
        <v>105.5</v>
      </c>
      <c r="AD2" s="3" t="n">
        <v>0.1246</v>
      </c>
      <c r="AE2" s="3" t="n">
        <v>3.488</v>
      </c>
      <c r="AF2" s="3" t="n">
        <v>0.0001611404032986208</v>
      </c>
      <c r="AG2" s="3" t="n">
        <v>1.3105</v>
      </c>
      <c r="AH2" s="3" t="n">
        <v>68</v>
      </c>
      <c r="AI2" s="3" t="n">
        <v>1.9737</v>
      </c>
      <c r="AJ2" s="3" t="n">
        <v>1.0365</v>
      </c>
      <c r="AK2" s="3" t="n">
        <v>-0.0908254123424939</v>
      </c>
      <c r="AL2" s="6" t="n">
        <v>6.02600782414642</v>
      </c>
      <c r="AM2" s="3" t="n">
        <v>0</v>
      </c>
      <c r="AN2" s="3" t="n">
        <v>2.662</v>
      </c>
      <c r="AO2" s="3" t="n">
        <v>0.4934160000000001</v>
      </c>
      <c r="AP2" s="3">
        <f>N(X2)*N(BI2)</f>
        <v/>
      </c>
      <c r="AQ2" s="3" t="n">
        <v>1.3105</v>
      </c>
      <c r="AR2" s="3" t="n">
        <v>0</v>
      </c>
      <c r="AS2" s="3" t="n">
        <v>-0</v>
      </c>
      <c r="AT2" s="3" t="n">
        <v>-0.0908254123424939</v>
      </c>
      <c r="AU2" s="3">
        <f>SUM(AN2:AT2)</f>
        <v/>
      </c>
      <c r="AV2" s="7">
        <f>IF(OR(N(W2)&lt;=0,N(BG2)=0),0,N(W2)*IF(N(R2)/N(W2)&gt;=60,N(BG2),1))</f>
        <v/>
      </c>
      <c r="AW2" s="7">
        <f>N(W2)*N(AF2)*N(BH2)</f>
        <v/>
      </c>
      <c r="AX2" s="7">
        <f>N(AL2)*(Assumptions!$B$13*N(BJ2)-(1-Assumptions!$B$13)*Assumptions!$B$14)+N(AM2)</f>
        <v/>
      </c>
      <c r="AY2" s="7">
        <f>N(AU2)*N(R2)/90+N(AV2)+N(AW2)+N(AX2)</f>
        <v/>
      </c>
      <c r="AZ2" s="3">
        <f>IF(N(R2)&lt;=0,0,(N(AY2)-N(AX2))*90/N(R2))</f>
        <v/>
      </c>
      <c r="BA2" s="7">
        <f>IFERROR(AY2-VLOOKUP($E2,Assumptions!$A$40:$C$43,3,FALSE),"")</f>
        <v/>
      </c>
      <c r="BB2" s="3">
        <f>IFERROR(BA2/H2,"")</f>
        <v/>
      </c>
      <c r="BC2">
        <f>IF(AND($G2=TRUE,$E2="GKP"),AY2,"")</f>
        <v/>
      </c>
      <c r="BD2">
        <f>IF(AND($G2=TRUE,$E2="DEF"),AY2,"")</f>
        <v/>
      </c>
      <c r="BE2">
        <f>IF(AND($G2=TRUE,$E2="MID"),AY2,"")</f>
        <v/>
      </c>
      <c r="BF2">
        <f>IF(AND($G2=TRUE,$E2="FWD"),AY2,"")</f>
        <v/>
      </c>
      <c r="BG2" t="n">
        <v>2</v>
      </c>
      <c r="BH2" t="n">
        <v>2</v>
      </c>
      <c r="BI2" t="n">
        <v>0</v>
      </c>
      <c r="BJ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s="8" t="n">
        <v>3342</v>
      </c>
      <c r="O3" s="8" t="n">
        <v>0</v>
      </c>
      <c r="Q3" t="inlineStr">
        <is>
          <t>flat</t>
        </is>
      </c>
      <c r="R3" s="6" t="n">
        <v>3342</v>
      </c>
      <c r="S3" t="inlineStr">
        <is>
          <t>Solio</t>
        </is>
      </c>
      <c r="U3" s="6" t="n">
        <v>85.90000000000001</v>
      </c>
      <c r="V3" s="2" t="n">
        <v>35</v>
      </c>
      <c r="W3" s="7">
        <f>IF(N(U3)&lt;=0,0,MIN(Assumptions!$B$15,N(R3)/N(U3)))</f>
        <v/>
      </c>
      <c r="X3" s="6" t="n">
        <v>0.334</v>
      </c>
      <c r="Y3" s="3" t="n">
        <v>0.1866</v>
      </c>
      <c r="Z3" t="inlineStr">
        <is>
          <t>adjusted xGOT</t>
        </is>
      </c>
      <c r="AA3" s="3" t="n">
        <v>0.617</v>
      </c>
      <c r="AB3" s="3" t="n">
        <v>0.954</v>
      </c>
      <c r="AC3" s="3" t="n">
        <v>39.8</v>
      </c>
      <c r="AD3" s="3" t="n">
        <v>0.441</v>
      </c>
      <c r="AE3" s="3" t="n">
        <v>8.456</v>
      </c>
      <c r="AF3" s="3" t="n">
        <v>0.1171014588947341</v>
      </c>
      <c r="AG3" s="3" t="n">
        <v>1.2626</v>
      </c>
      <c r="AH3" s="3" t="n">
        <v>69</v>
      </c>
      <c r="AI3" s="3" t="n">
        <v>2.2165</v>
      </c>
      <c r="AJ3" s="3" t="n">
        <v>1.1467</v>
      </c>
      <c r="AK3" s="3" t="n">
        <v>-0.1783755058227372</v>
      </c>
      <c r="AL3" s="6" t="n">
        <v>5.864353249388292</v>
      </c>
      <c r="AM3" s="3" t="n">
        <v>0</v>
      </c>
      <c r="AN3" s="3" t="n">
        <v>0.9329999999999999</v>
      </c>
      <c r="AO3" s="3" t="n">
        <v>1.74636</v>
      </c>
      <c r="AP3" s="3">
        <f>N(X3)*N(BI3)</f>
        <v/>
      </c>
      <c r="AQ3" s="3" t="n">
        <v>1.2626</v>
      </c>
      <c r="AR3" s="3" t="n">
        <v>0</v>
      </c>
      <c r="AS3" s="3" t="n">
        <v>-0</v>
      </c>
      <c r="AT3" s="3" t="n">
        <v>-0.1783755058227372</v>
      </c>
      <c r="AU3" s="3">
        <f>SUM(AN3:AT3)</f>
        <v/>
      </c>
      <c r="AV3" s="7">
        <f>IF(OR(N(W3)&lt;=0,N(BG3)=0),0,N(W3)*IF(N(R3)/N(W3)&gt;=60,N(BG3),1))</f>
        <v/>
      </c>
      <c r="AW3" s="7">
        <f>N(W3)*N(AF3)*N(BH3)</f>
        <v/>
      </c>
      <c r="AX3" s="7">
        <f>N(AL3)*(Assumptions!$B$13*N(BJ3)-(1-Assumptions!$B$13)*Assumptions!$B$14)+N(AM3)</f>
        <v/>
      </c>
      <c r="AY3" s="7">
        <f>N(AU3)*N(R3)/90+N(AV3)+N(AW3)+N(AX3)</f>
        <v/>
      </c>
      <c r="AZ3" s="3">
        <f>IF(N(R3)&lt;=0,0,(N(AY3)-N(AX3))*90/N(R3))</f>
        <v/>
      </c>
      <c r="BA3" s="7">
        <f>IFERROR(AY3-VLOOKUP($E3,Assumptions!$A$40:$C$43,3,FALSE),"")</f>
        <v/>
      </c>
      <c r="BB3" s="3">
        <f>IFERROR(BA3/H3,"")</f>
        <v/>
      </c>
      <c r="BC3">
        <f>IF(AND($G3=TRUE,$E3="GKP"),AY3,"")</f>
        <v/>
      </c>
      <c r="BD3">
        <f>IF(AND($G3=TRUE,$E3="DEF"),AY3,"")</f>
        <v/>
      </c>
      <c r="BE3">
        <f>IF(AND($G3=TRUE,$E3="MID"),AY3,"")</f>
        <v/>
      </c>
      <c r="BF3">
        <f>IF(AND($G3=TRUE,$E3="FWD"),AY3,"")</f>
        <v/>
      </c>
      <c r="BG3" t="n">
        <v>2</v>
      </c>
      <c r="BH3" t="n">
        <v>2</v>
      </c>
      <c r="BI3" t="n">
        <v>1</v>
      </c>
      <c r="BJ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s="8" t="n">
        <v>3283</v>
      </c>
      <c r="O4" s="8" t="n">
        <v>0</v>
      </c>
      <c r="Q4" t="inlineStr">
        <is>
          <t>flat</t>
        </is>
      </c>
      <c r="R4" s="6" t="n">
        <v>3283</v>
      </c>
      <c r="S4" t="inlineStr">
        <is>
          <t>Solio</t>
        </is>
      </c>
      <c r="U4" s="6" t="n">
        <v>88.5</v>
      </c>
      <c r="V4" s="2" t="n">
        <v>30</v>
      </c>
      <c r="W4" s="7">
        <f>IF(N(U4)&lt;=0,0,MIN(Assumptions!$B$15,N(R4)/N(U4)))</f>
        <v/>
      </c>
      <c r="X4" s="6" t="n">
        <v>0.391</v>
      </c>
      <c r="Y4" s="3" t="n">
        <v>0.0785</v>
      </c>
      <c r="Z4" t="inlineStr">
        <is>
          <t>adjusted xGOT</t>
        </is>
      </c>
      <c r="AA4" s="3" t="n">
        <v>1</v>
      </c>
      <c r="AB4" s="3" t="n">
        <v>0.8159999999999999</v>
      </c>
      <c r="AC4" s="3" t="n">
        <v>15.2</v>
      </c>
      <c r="AD4" s="3" t="n">
        <v>0.0732</v>
      </c>
      <c r="AE4" s="3" t="n">
        <v>8.779</v>
      </c>
      <c r="AF4" s="3" t="n">
        <v>0.3643188784078821</v>
      </c>
      <c r="AG4" s="3" t="n">
        <v>0.7855</v>
      </c>
      <c r="AH4" s="3" t="n">
        <v>62</v>
      </c>
      <c r="AI4" s="3" t="n">
        <v>2.067</v>
      </c>
      <c r="AJ4" s="3" t="n">
        <v>0.9838</v>
      </c>
      <c r="AK4" s="3" t="n">
        <v>-0.1653812682758228</v>
      </c>
      <c r="AL4" s="6" t="n">
        <v>0</v>
      </c>
      <c r="AM4" s="3" t="n">
        <v>0</v>
      </c>
      <c r="AN4" s="3" t="n">
        <v>0.471</v>
      </c>
      <c r="AO4" s="3" t="n">
        <v>0.289872</v>
      </c>
      <c r="AP4" s="3">
        <f>N(X4)*N(BI4)</f>
        <v/>
      </c>
      <c r="AQ4" s="3" t="n">
        <v>0.7855</v>
      </c>
      <c r="AR4" s="3" t="n">
        <v>0</v>
      </c>
      <c r="AS4" s="3" t="n">
        <v>-0.2768479886568037</v>
      </c>
      <c r="AT4" s="3" t="n">
        <v>-0.1653812682758228</v>
      </c>
      <c r="AU4" s="3">
        <f>SUM(AN4:AT4)</f>
        <v/>
      </c>
      <c r="AV4" s="7">
        <f>IF(OR(N(W4)&lt;=0,N(BG4)=0),0,N(W4)*IF(N(R4)/N(W4)&gt;=60,N(BG4),1))</f>
        <v/>
      </c>
      <c r="AW4" s="7">
        <f>N(W4)*N(AF4)*N(BH4)</f>
        <v/>
      </c>
      <c r="AX4" s="7">
        <f>N(AL4)*(Assumptions!$B$13*N(BJ4)-(1-Assumptions!$B$13)*Assumptions!$B$14)+N(AM4)</f>
        <v/>
      </c>
      <c r="AY4" s="7">
        <f>N(AU4)*N(R4)/90+N(AV4)+N(AW4)+N(AX4)</f>
        <v/>
      </c>
      <c r="AZ4" s="3">
        <f>IF(N(R4)&lt;=0,0,(N(AY4)-N(AX4))*90/N(R4))</f>
        <v/>
      </c>
      <c r="BA4" s="7">
        <f>IFERROR(AY4-VLOOKUP($E4,Assumptions!$A$40:$C$43,3,FALSE),"")</f>
        <v/>
      </c>
      <c r="BB4" s="3">
        <f>IFERROR(BA4/H4,"")</f>
        <v/>
      </c>
      <c r="BC4">
        <f>IF(AND($G4=TRUE,$E4="GKP"),AY4,"")</f>
        <v/>
      </c>
      <c r="BD4">
        <f>IF(AND($G4=TRUE,$E4="DEF"),AY4,"")</f>
        <v/>
      </c>
      <c r="BE4">
        <f>IF(AND($G4=TRUE,$E4="MID"),AY4,"")</f>
        <v/>
      </c>
      <c r="BF4">
        <f>IF(AND($G4=TRUE,$E4="FWD"),AY4,"")</f>
        <v/>
      </c>
      <c r="BG4" t="n">
        <v>2</v>
      </c>
      <c r="BH4" t="n">
        <v>2</v>
      </c>
      <c r="BI4" t="n">
        <v>4</v>
      </c>
      <c r="BJ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s="4" t="n">
        <v>2900</v>
      </c>
      <c r="O5" s="4" t="n">
        <v>-206</v>
      </c>
      <c r="P5" s="5" t="inlineStr">
        <is>
          <t>low</t>
        </is>
      </c>
      <c r="Q5" t="inlineStr">
        <is>
          <t>flat</t>
        </is>
      </c>
      <c r="R5" s="6" t="n">
        <v>2900</v>
      </c>
      <c r="S5" t="inlineStr">
        <is>
          <t>research</t>
        </is>
      </c>
      <c r="T5" s="5" t="inlineStr">
        <is>
          <t>Lowest-confidence delta in this file, and included partly to keep the budget honest. 3,106 minutes is 34.5 full matches, which would make him the most-used City winger of the Guardiola-to-Maresca era. His 3,200 minutes last season were largely banked at Bournemouth before January, where he was genuinely nailed; at City he is in a rotation with Doku, Cherki, Savinho, Foden and Monga that Opta lists as one of the club's deepest areas. Small trim only — he was outstanding in pre-season and nothing suggests he loses his place.</t>
        </is>
      </c>
      <c r="U5" s="6" t="n">
        <v>85.09999999999999</v>
      </c>
      <c r="V5" s="2" t="n">
        <v>37</v>
      </c>
      <c r="W5" s="7">
        <f>IF(N(U5)&lt;=0,0,MIN(Assumptions!$B$15,N(R5)/N(U5)))</f>
        <v/>
      </c>
      <c r="X5" s="6" t="n">
        <v>0.371</v>
      </c>
      <c r="Y5" s="3" t="n">
        <v>0.3139</v>
      </c>
      <c r="Z5" t="inlineStr">
        <is>
          <t>adjusted xGOT</t>
        </is>
      </c>
      <c r="AA5" s="3" t="n">
        <v>0.881</v>
      </c>
      <c r="AB5" s="3" t="n">
        <v>1.141</v>
      </c>
      <c r="AC5" s="3" t="n">
        <v>25.7</v>
      </c>
      <c r="AD5" s="3" t="n">
        <v>0.102</v>
      </c>
      <c r="AE5" s="3" t="n">
        <v>6.994</v>
      </c>
      <c r="AF5" s="3" t="n">
        <v>0.03775900965641876</v>
      </c>
      <c r="AG5" s="3" t="n">
        <v>0.5344</v>
      </c>
      <c r="AH5" s="3" t="n">
        <v>72</v>
      </c>
      <c r="AI5" s="3" t="n">
        <v>1.9737</v>
      </c>
      <c r="AJ5" s="3" t="n">
        <v>1.0365</v>
      </c>
      <c r="AK5" s="3" t="n">
        <v>-0.2354149219812201</v>
      </c>
      <c r="AL5" s="6" t="n">
        <v>0.331298897539341</v>
      </c>
      <c r="AM5" s="3" t="n">
        <v>0</v>
      </c>
      <c r="AN5" s="3" t="n">
        <v>1.5695</v>
      </c>
      <c r="AO5" s="3" t="n">
        <v>0.40392</v>
      </c>
      <c r="AP5" s="3">
        <f>N(X5)*N(BI5)</f>
        <v/>
      </c>
      <c r="AQ5" s="3" t="n">
        <v>0.5344</v>
      </c>
      <c r="AR5" s="3" t="n">
        <v>0</v>
      </c>
      <c r="AS5" s="3" t="n">
        <v>-0</v>
      </c>
      <c r="AT5" s="3" t="n">
        <v>-0.2354149219812201</v>
      </c>
      <c r="AU5" s="3">
        <f>SUM(AN5:AT5)</f>
        <v/>
      </c>
      <c r="AV5" s="7">
        <f>IF(OR(N(W5)&lt;=0,N(BG5)=0),0,N(W5)*IF(N(R5)/N(W5)&gt;=60,N(BG5),1))</f>
        <v/>
      </c>
      <c r="AW5" s="7">
        <f>N(W5)*N(AF5)*N(BH5)</f>
        <v/>
      </c>
      <c r="AX5" s="7">
        <f>N(AL5)*(Assumptions!$B$13*N(BJ5)-(1-Assumptions!$B$13)*Assumptions!$B$14)+N(AM5)</f>
        <v/>
      </c>
      <c r="AY5" s="7">
        <f>N(AU5)*N(R5)/90+N(AV5)+N(AW5)+N(AX5)</f>
        <v/>
      </c>
      <c r="AZ5" s="3">
        <f>IF(N(R5)&lt;=0,0,(N(AY5)-N(AX5))*90/N(R5))</f>
        <v/>
      </c>
      <c r="BA5" s="7">
        <f>IFERROR(AY5-VLOOKUP($E5,Assumptions!$A$40:$C$43,3,FALSE),"")</f>
        <v/>
      </c>
      <c r="BB5" s="3">
        <f>IFERROR(BA5/H5,"")</f>
        <v/>
      </c>
      <c r="BC5">
        <f>IF(AND($G5=TRUE,$E5="GKP"),AY5,"")</f>
        <v/>
      </c>
      <c r="BD5">
        <f>IF(AND($G5=TRUE,$E5="DEF"),AY5,"")</f>
        <v/>
      </c>
      <c r="BE5">
        <f>IF(AND($G5=TRUE,$E5="MID"),AY5,"")</f>
        <v/>
      </c>
      <c r="BF5">
        <f>IF(AND($G5=TRUE,$E5="FWD"),AY5,"")</f>
        <v/>
      </c>
      <c r="BG5" t="n">
        <v>2</v>
      </c>
      <c r="BH5" t="n">
        <v>2</v>
      </c>
      <c r="BI5" t="n">
        <v>1</v>
      </c>
      <c r="BJ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s="4" t="n">
        <v>3150</v>
      </c>
      <c r="O6" s="4" t="n">
        <v>-151</v>
      </c>
      <c r="P6" s="5" t="inlineStr">
        <is>
          <t>medium</t>
        </is>
      </c>
      <c r="Q6" t="inlineStr">
        <is>
          <t>flat</t>
        </is>
      </c>
      <c r="R6" s="6" t="n">
        <v>3150</v>
      </c>
      <c r="S6" t="inlineStr">
        <is>
          <t>research</t>
        </is>
      </c>
      <c r="T6" s="5" t="inlineStr">
        <is>
          <t>Staying at Forest and central to Glasner's plans, so the headline number is broadly right. Trimmed because Solio projects 200 minutes above his own 2025-26 total of 3,101, and an attacking midfielder in a two-ten system is the profile most often substituted late.</t>
        </is>
      </c>
      <c r="U6" s="6" t="n">
        <v>85.3</v>
      </c>
      <c r="V6" s="2" t="n">
        <v>35</v>
      </c>
      <c r="W6" s="7">
        <f>IF(N(U6)&lt;=0,0,MIN(Assumptions!$B$15,N(R6)/N(U6)))</f>
        <v/>
      </c>
      <c r="X6" s="6" t="n">
        <v>0.224</v>
      </c>
      <c r="Y6" s="3" t="n">
        <v>0.2899</v>
      </c>
      <c r="Z6" t="inlineStr">
        <is>
          <t>adjusted xGOT</t>
        </is>
      </c>
      <c r="AA6" s="3" t="n">
        <v>0.9350000000000001</v>
      </c>
      <c r="AB6" s="3" t="n">
        <v>0.989</v>
      </c>
      <c r="AC6" s="3" t="n">
        <v>30.5</v>
      </c>
      <c r="AD6" s="3" t="n">
        <v>0.1076</v>
      </c>
      <c r="AE6" s="3" t="n">
        <v>5.809</v>
      </c>
      <c r="AF6" s="3" t="n">
        <v>0.0110688280569039</v>
      </c>
      <c r="AG6" s="3" t="n">
        <v>0.5224</v>
      </c>
      <c r="AH6" s="3" t="n">
        <v>72</v>
      </c>
      <c r="AI6" s="3" t="n">
        <v>3.1134</v>
      </c>
      <c r="AJ6" s="3" t="n">
        <v>1.5588</v>
      </c>
      <c r="AK6" s="3" t="n">
        <v>-0.1751960287699131</v>
      </c>
      <c r="AL6" s="6" t="n">
        <v>3.588896383734543</v>
      </c>
      <c r="AM6" s="3" t="n">
        <v>0</v>
      </c>
      <c r="AN6" s="3" t="n">
        <v>1.4495</v>
      </c>
      <c r="AO6" s="3" t="n">
        <v>0.426096</v>
      </c>
      <c r="AP6" s="3">
        <f>N(X6)*N(BI6)</f>
        <v/>
      </c>
      <c r="AQ6" s="3" t="n">
        <v>0.5224</v>
      </c>
      <c r="AR6" s="3" t="n">
        <v>0</v>
      </c>
      <c r="AS6" s="3" t="n">
        <v>-0</v>
      </c>
      <c r="AT6" s="3" t="n">
        <v>-0.1751960287699131</v>
      </c>
      <c r="AU6" s="3">
        <f>SUM(AN6:AT6)</f>
        <v/>
      </c>
      <c r="AV6" s="7">
        <f>IF(OR(N(W6)&lt;=0,N(BG6)=0),0,N(W6)*IF(N(R6)/N(W6)&gt;=60,N(BG6),1))</f>
        <v/>
      </c>
      <c r="AW6" s="7">
        <f>N(W6)*N(AF6)*N(BH6)</f>
        <v/>
      </c>
      <c r="AX6" s="7">
        <f>N(AL6)*(Assumptions!$B$13*N(BJ6)-(1-Assumptions!$B$13)*Assumptions!$B$14)+N(AM6)</f>
        <v/>
      </c>
      <c r="AY6" s="7">
        <f>N(AU6)*N(R6)/90+N(AV6)+N(AW6)+N(AX6)</f>
        <v/>
      </c>
      <c r="AZ6" s="3">
        <f>IF(N(R6)&lt;=0,0,(N(AY6)-N(AX6))*90/N(R6))</f>
        <v/>
      </c>
      <c r="BA6" s="7">
        <f>IFERROR(AY6-VLOOKUP($E6,Assumptions!$A$40:$C$43,3,FALSE),"")</f>
        <v/>
      </c>
      <c r="BB6" s="3">
        <f>IFERROR(BA6/H6,"")</f>
        <v/>
      </c>
      <c r="BC6">
        <f>IF(AND($G6=TRUE,$E6="GKP"),AY6,"")</f>
        <v/>
      </c>
      <c r="BD6">
        <f>IF(AND($G6=TRUE,$E6="DEF"),AY6,"")</f>
        <v/>
      </c>
      <c r="BE6">
        <f>IF(AND($G6=TRUE,$E6="MID"),AY6,"")</f>
        <v/>
      </c>
      <c r="BF6">
        <f>IF(AND($G6=TRUE,$E6="FWD"),AY6,"")</f>
        <v/>
      </c>
      <c r="BG6" t="n">
        <v>2</v>
      </c>
      <c r="BH6" t="n">
        <v>2</v>
      </c>
      <c r="BI6" t="n">
        <v>1</v>
      </c>
      <c r="BJ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s="4" t="n">
        <v>2950</v>
      </c>
      <c r="O7" s="4" t="n">
        <v>-156</v>
      </c>
      <c r="P7" s="5" t="inlineStr">
        <is>
          <t>low</t>
        </is>
      </c>
      <c r="Q7" t="inlineStr">
        <is>
          <t>flat</t>
        </is>
      </c>
      <c r="R7" s="6" t="n">
        <v>2950</v>
      </c>
      <c r="S7" t="inlineStr">
        <is>
          <t>research</t>
        </is>
      </c>
      <c r="T7" s="5" t="inlineStr">
        <is>
          <t>Rice is fit and available, so no large cut is warranted - but Solio's 3106 would be his heaviest league season yet on the back of hamstring nerve pain he has been managing since December, a knee problem, and a World Cup that ran to the third-place play-off. Fantasy Football Scout's 14 August guide flags that Rice has 'only just returned to training after the World Cup' and that early minutes may be managed. A 5% trim for load management, no more.</t>
        </is>
      </c>
      <c r="U7" s="6" t="n">
        <v>86</v>
      </c>
      <c r="V7" s="2" t="n">
        <v>35</v>
      </c>
      <c r="W7" s="7">
        <f>IF(N(U7)&lt;=0,0,MIN(Assumptions!$B$15,N(R7)/N(U7)))</f>
        <v/>
      </c>
      <c r="X7" s="6" t="n">
        <v>0.391</v>
      </c>
      <c r="Y7" s="3" t="n">
        <v>0.1037</v>
      </c>
      <c r="Z7" t="inlineStr">
        <is>
          <t>adjusted xGOT</t>
        </is>
      </c>
      <c r="AA7" s="3" t="n">
        <v>1</v>
      </c>
      <c r="AB7" s="3" t="n">
        <v>1.132</v>
      </c>
      <c r="AC7" s="3" t="n">
        <v>12.6</v>
      </c>
      <c r="AD7" s="3" t="n">
        <v>0.2252</v>
      </c>
      <c r="AE7" s="3" t="n">
        <v>10.494</v>
      </c>
      <c r="AF7" s="3" t="n">
        <v>0.3063672703400486</v>
      </c>
      <c r="AG7" s="3" t="n">
        <v>0.6984</v>
      </c>
      <c r="AH7" s="3" t="n">
        <v>71</v>
      </c>
      <c r="AI7" s="3" t="n">
        <v>2.067</v>
      </c>
      <c r="AJ7" s="3" t="n">
        <v>0.9838</v>
      </c>
      <c r="AK7" s="3" t="n">
        <v>-0.1506210597641032</v>
      </c>
      <c r="AL7" s="6" t="n">
        <v>0</v>
      </c>
      <c r="AM7" s="3" t="n">
        <v>0</v>
      </c>
      <c r="AN7" s="3" t="n">
        <v>0.5185</v>
      </c>
      <c r="AO7" s="3" t="n">
        <v>0.891792</v>
      </c>
      <c r="AP7" s="3">
        <f>N(X7)*N(BI7)</f>
        <v/>
      </c>
      <c r="AQ7" s="3" t="n">
        <v>0.6984</v>
      </c>
      <c r="AR7" s="3" t="n">
        <v>0</v>
      </c>
      <c r="AS7" s="3" t="n">
        <v>-0</v>
      </c>
      <c r="AT7" s="3" t="n">
        <v>-0.1506210597641032</v>
      </c>
      <c r="AU7" s="3">
        <f>SUM(AN7:AT7)</f>
        <v/>
      </c>
      <c r="AV7" s="7">
        <f>IF(OR(N(W7)&lt;=0,N(BG7)=0),0,N(W7)*IF(N(R7)/N(W7)&gt;=60,N(BG7),1))</f>
        <v/>
      </c>
      <c r="AW7" s="7">
        <f>N(W7)*N(AF7)*N(BH7)</f>
        <v/>
      </c>
      <c r="AX7" s="7">
        <f>N(AL7)*(Assumptions!$B$13*N(BJ7)-(1-Assumptions!$B$13)*Assumptions!$B$14)+N(AM7)</f>
        <v/>
      </c>
      <c r="AY7" s="7">
        <f>N(AU7)*N(R7)/90+N(AV7)+N(AW7)+N(AX7)</f>
        <v/>
      </c>
      <c r="AZ7" s="3">
        <f>IF(N(R7)&lt;=0,0,(N(AY7)-N(AX7))*90/N(R7))</f>
        <v/>
      </c>
      <c r="BA7" s="7">
        <f>IFERROR(AY7-VLOOKUP($E7,Assumptions!$A$40:$C$43,3,FALSE),"")</f>
        <v/>
      </c>
      <c r="BB7" s="3">
        <f>IFERROR(BA7/H7,"")</f>
        <v/>
      </c>
      <c r="BC7">
        <f>IF(AND($G7=TRUE,$E7="GKP"),AY7,"")</f>
        <v/>
      </c>
      <c r="BD7">
        <f>IF(AND($G7=TRUE,$E7="DEF"),AY7,"")</f>
        <v/>
      </c>
      <c r="BE7">
        <f>IF(AND($G7=TRUE,$E7="MID"),AY7,"")</f>
        <v/>
      </c>
      <c r="BF7">
        <f>IF(AND($G7=TRUE,$E7="FWD"),AY7,"")</f>
        <v/>
      </c>
      <c r="BG7" t="n">
        <v>2</v>
      </c>
      <c r="BH7" t="n">
        <v>2</v>
      </c>
      <c r="BI7" t="n">
        <v>1</v>
      </c>
      <c r="BJ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s="4" t="n">
        <v>3050</v>
      </c>
      <c r="O8" s="4" t="n">
        <v>-159</v>
      </c>
      <c r="P8" s="5" t="inlineStr">
        <is>
          <t>low</t>
        </is>
      </c>
      <c r="Q8" t="inlineStr">
        <is>
          <t>flat</t>
        </is>
      </c>
      <c r="R8" s="6" t="n">
        <v>3050</v>
      </c>
      <c r="S8" t="inlineStr">
        <is>
          <t>research</t>
        </is>
      </c>
      <c r="T8" s="5" t="inlineStr">
        <is>
          <t>Small trim only. Brentford signed Callum Wilson on a free on 9 July, and he replaced Thiago at half-time against Rennes and registered two assists. Solio's 3209 assumes essentially no in-game rotation at centre-forward; a dedicated deputy with 95 Premier League goals makes a modest number of early substitutions and rested matches likelier. Thiago remains the undisputed starter.</t>
        </is>
      </c>
      <c r="U8" s="6" t="n">
        <v>85.90000000000001</v>
      </c>
      <c r="V8" s="2" t="n">
        <v>37</v>
      </c>
      <c r="W8" s="7">
        <f>IF(N(U8)&lt;=0,0,MIN(Assumptions!$B$15,N(R8)/N(U8)))</f>
        <v/>
      </c>
      <c r="X8" s="6" t="n">
        <v>0.228</v>
      </c>
      <c r="Y8" s="3" t="n">
        <v>0.3992</v>
      </c>
      <c r="Z8" t="inlineStr">
        <is>
          <t>adjusted xGOT</t>
        </is>
      </c>
      <c r="AA8" s="3" t="n">
        <v>0.723</v>
      </c>
      <c r="AB8" s="3" t="n">
        <v>0.978</v>
      </c>
      <c r="AC8" s="3" t="n">
        <v>20.7</v>
      </c>
      <c r="AD8" s="3" t="n">
        <v>0.07240000000000001</v>
      </c>
      <c r="AE8" s="3" t="n">
        <v>5.675</v>
      </c>
      <c r="AF8" s="3" t="n">
        <v>0.009845651064124272</v>
      </c>
      <c r="AG8" s="3" t="n">
        <v>0.6032999999999999</v>
      </c>
      <c r="AH8" s="3" t="n">
        <v>75</v>
      </c>
      <c r="AI8" s="3" t="n">
        <v>3.2371</v>
      </c>
      <c r="AJ8" s="3" t="n">
        <v>1.5396</v>
      </c>
      <c r="AK8" s="3" t="n">
        <v>-0.1909662885404408</v>
      </c>
      <c r="AL8" s="6" t="n">
        <v>4.189117494674605</v>
      </c>
      <c r="AM8" s="3" t="n">
        <v>0</v>
      </c>
      <c r="AN8" s="3" t="n">
        <v>1.5968</v>
      </c>
      <c r="AO8" s="3" t="n">
        <v>0.286704</v>
      </c>
      <c r="AP8" s="3">
        <f>N(X8)*N(BI8)</f>
        <v/>
      </c>
      <c r="AQ8" s="3" t="n">
        <v>0.6032999999999999</v>
      </c>
      <c r="AR8" s="3" t="n">
        <v>0</v>
      </c>
      <c r="AS8" s="3" t="n">
        <v>-0</v>
      </c>
      <c r="AT8" s="3" t="n">
        <v>-0.1909662885404408</v>
      </c>
      <c r="AU8" s="3">
        <f>SUM(AN8:AT8)</f>
        <v/>
      </c>
      <c r="AV8" s="7">
        <f>IF(OR(N(W8)&lt;=0,N(BG8)=0),0,N(W8)*IF(N(R8)/N(W8)&gt;=60,N(BG8),1))</f>
        <v/>
      </c>
      <c r="AW8" s="7">
        <f>N(W8)*N(AF8)*N(BH8)</f>
        <v/>
      </c>
      <c r="AX8" s="7">
        <f>N(AL8)*(Assumptions!$B$13*N(BJ8)-(1-Assumptions!$B$13)*Assumptions!$B$14)+N(AM8)</f>
        <v/>
      </c>
      <c r="AY8" s="7">
        <f>N(AU8)*N(R8)/90+N(AV8)+N(AW8)+N(AX8)</f>
        <v/>
      </c>
      <c r="AZ8" s="3">
        <f>IF(N(R8)&lt;=0,0,(N(AY8)-N(AX8))*90/N(R8))</f>
        <v/>
      </c>
      <c r="BA8" s="7">
        <f>IFERROR(AY8-VLOOKUP($E8,Assumptions!$A$40:$C$43,3,FALSE),"")</f>
        <v/>
      </c>
      <c r="BB8" s="3">
        <f>IFERROR(BA8/H8,"")</f>
        <v/>
      </c>
      <c r="BC8">
        <f>IF(AND($G8=TRUE,$E8="GKP"),AY8,"")</f>
        <v/>
      </c>
      <c r="BD8">
        <f>IF(AND($G8=TRUE,$E8="DEF"),AY8,"")</f>
        <v/>
      </c>
      <c r="BE8">
        <f>IF(AND($G8=TRUE,$E8="MID"),AY8,"")</f>
        <v/>
      </c>
      <c r="BF8">
        <f>IF(AND($G8=TRUE,$E8="FWD"),AY8,"")</f>
        <v/>
      </c>
      <c r="BG8" t="n">
        <v>2</v>
      </c>
      <c r="BH8" t="n">
        <v>2</v>
      </c>
      <c r="BI8" t="n">
        <v>0</v>
      </c>
      <c r="BJ8" t="n">
        <v>4</v>
      </c>
    </row>
    <row r="9">
      <c r="A9" s="9" t="inlineStr">
        <is>
          <t>Elliot Anderson</t>
        </is>
      </c>
      <c r="B9" t="inlineStr">
        <is>
          <t>MCI</t>
        </is>
      </c>
      <c r="C9" s="9" t="inlineStr">
        <is>
          <t>NFO</t>
        </is>
      </c>
      <c r="D9" t="b">
        <v>1</v>
      </c>
      <c r="E9" t="inlineStr">
        <is>
          <t>MID</t>
        </is>
      </c>
      <c r="F9" t="inlineStr">
        <is>
          <t>MID</t>
        </is>
      </c>
      <c r="G9" t="b">
        <v>1</v>
      </c>
      <c r="H9" s="2" t="n">
        <v>6.5</v>
      </c>
      <c r="I9" t="inlineStr">
        <is>
          <t>a</t>
        </is>
      </c>
      <c r="K9" s="2" t="n">
        <v>3332</v>
      </c>
      <c r="L9" t="n">
        <v>180</v>
      </c>
      <c r="M9" s="3" t="n">
        <v>2096</v>
      </c>
      <c r="N9" s="4" t="n">
        <v>2700</v>
      </c>
      <c r="O9" s="4" t="n">
        <v>604</v>
      </c>
      <c r="P9" s="5" t="inlineStr">
        <is>
          <t>high</t>
        </is>
      </c>
      <c r="Q9" t="inlineStr">
        <is>
          <t>flat</t>
        </is>
      </c>
      <c r="R9" s="6" t="n">
        <v>2700</v>
      </c>
      <c r="S9" t="inlineStr">
        <is>
          <t>research</t>
        </is>
      </c>
      <c r="T9" s="5" t="inlineStr">
        <is>
          <t>Resolves the flagged question. The 'more likely to start on the bench' read is real but it is about one match, not the season: he had only four days' training with the squad before the Community Shield, which is why one preview made Nico Gonzalez the safer bet for that game. Everything longer-range points the other way — British-record £116m fee for an English player, reported as central to Maresca's midfield plans from the restart, Maresca himself mapping him as both a six and an eight, Reijnders sold and Rodri unavailable. Bench for one match, starter for the season.</t>
        </is>
      </c>
      <c r="U9" s="6" t="n">
        <v>87</v>
      </c>
      <c r="V9" s="2" t="n">
        <v>37</v>
      </c>
      <c r="W9" s="7">
        <f>IF(N(U9)&lt;=0,0,MIN(Assumptions!$B$15,N(R9)/N(U9)))</f>
        <v/>
      </c>
      <c r="X9" s="6" t="n">
        <v>0.371</v>
      </c>
      <c r="Y9" s="10" t="n">
        <v>0.0558</v>
      </c>
      <c r="Z9" t="inlineStr">
        <is>
          <t>adjusted xGOT</t>
        </is>
      </c>
      <c r="AA9" s="3" t="n">
        <v>0.779</v>
      </c>
      <c r="AB9" s="3" t="n">
        <v>0.902</v>
      </c>
      <c r="AC9" s="3" t="n">
        <v>7.8</v>
      </c>
      <c r="AD9" s="10" t="n">
        <v>0.1301</v>
      </c>
      <c r="AE9" s="3" t="n">
        <v>12.963</v>
      </c>
      <c r="AF9" s="3" t="n">
        <v>0.5975914507580702</v>
      </c>
      <c r="AG9" s="3" t="n">
        <v>0.4862</v>
      </c>
      <c r="AH9" s="3" t="n">
        <v>75</v>
      </c>
      <c r="AI9" s="3" t="n">
        <v>1.9737</v>
      </c>
      <c r="AJ9" s="3" t="n">
        <v>1.0365</v>
      </c>
      <c r="AK9" s="3" t="n">
        <v>-0.2595103024449674</v>
      </c>
      <c r="AL9" s="6" t="n">
        <v>0</v>
      </c>
      <c r="AM9" s="3" t="n">
        <v>0</v>
      </c>
      <c r="AN9" s="10" t="n">
        <v>0.279</v>
      </c>
      <c r="AO9" s="10" t="n">
        <v>0.515196</v>
      </c>
      <c r="AP9" s="3">
        <f>N(X9)*N(BI9)</f>
        <v/>
      </c>
      <c r="AQ9" s="3" t="n">
        <v>0.4862</v>
      </c>
      <c r="AR9" s="3" t="n">
        <v>0</v>
      </c>
      <c r="AS9" s="3" t="n">
        <v>-0</v>
      </c>
      <c r="AT9" s="3" t="n">
        <v>-0.2595103024449674</v>
      </c>
      <c r="AU9" s="3">
        <f>SUM(AN9:AT9)</f>
        <v/>
      </c>
      <c r="AV9" s="7">
        <f>IF(OR(N(W9)&lt;=0,N(BG9)=0),0,N(W9)*IF(N(R9)/N(W9)&gt;=60,N(BG9),1))</f>
        <v/>
      </c>
      <c r="AW9" s="7">
        <f>N(W9)*N(AF9)*N(BH9)</f>
        <v/>
      </c>
      <c r="AX9" s="7">
        <f>N(AL9)*(Assumptions!$B$13*N(BJ9)-(1-Assumptions!$B$13)*Assumptions!$B$14)+N(AM9)</f>
        <v/>
      </c>
      <c r="AY9" s="7">
        <f>N(AU9)*N(R9)/90+N(AV9)+N(AW9)+N(AX9)</f>
        <v/>
      </c>
      <c r="AZ9" s="3">
        <f>IF(N(R9)&lt;=0,0,(N(AY9)-N(AX9))*90/N(R9))</f>
        <v/>
      </c>
      <c r="BA9" s="7">
        <f>IFERROR(AY9-VLOOKUP($E9,Assumptions!$A$40:$C$43,3,FALSE),"")</f>
        <v/>
      </c>
      <c r="BB9" s="3">
        <f>IFERROR(BA9/H9,"")</f>
        <v/>
      </c>
      <c r="BC9">
        <f>IF(AND($G9=TRUE,$E9="GKP"),AY9,"")</f>
        <v/>
      </c>
      <c r="BD9">
        <f>IF(AND($G9=TRUE,$E9="DEF"),AY9,"")</f>
        <v/>
      </c>
      <c r="BE9">
        <f>IF(AND($G9=TRUE,$E9="MID"),AY9,"")</f>
        <v/>
      </c>
      <c r="BF9">
        <f>IF(AND($G9=TRUE,$E9="FWD"),AY9,"")</f>
        <v/>
      </c>
      <c r="BG9" t="n">
        <v>2</v>
      </c>
      <c r="BH9" t="n">
        <v>2</v>
      </c>
      <c r="BI9" t="n">
        <v>1</v>
      </c>
      <c r="BJ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s="8" t="n">
        <v>2611</v>
      </c>
      <c r="O10" s="8" t="n">
        <v>0</v>
      </c>
      <c r="Q10" t="inlineStr">
        <is>
          <t>flat</t>
        </is>
      </c>
      <c r="R10" s="6" t="n">
        <v>2611</v>
      </c>
      <c r="S10" t="inlineStr">
        <is>
          <t>Solio</t>
        </is>
      </c>
      <c r="U10" s="6" t="n">
        <v>89</v>
      </c>
      <c r="V10" s="2" t="n">
        <v>35</v>
      </c>
      <c r="W10" s="7">
        <f>IF(N(U10)&lt;=0,0,MIN(Assumptions!$B$15,N(R10)/N(U10)))</f>
        <v/>
      </c>
      <c r="X10" s="6" t="n">
        <v>0.371</v>
      </c>
      <c r="Y10" s="3" t="n">
        <v>0.1254</v>
      </c>
      <c r="Z10" t="inlineStr">
        <is>
          <t>adjusted xGOT</t>
        </is>
      </c>
      <c r="AA10" s="3" t="n">
        <v>1</v>
      </c>
      <c r="AB10" s="3" t="n">
        <v>1.084</v>
      </c>
      <c r="AC10" s="3" t="n">
        <v>8</v>
      </c>
      <c r="AD10" s="3" t="n">
        <v>0.0728</v>
      </c>
      <c r="AE10" s="3" t="n">
        <v>7.895</v>
      </c>
      <c r="AF10" s="3" t="n">
        <v>0.2597697676143359</v>
      </c>
      <c r="AG10" s="3" t="n">
        <v>0.3429</v>
      </c>
      <c r="AH10" s="3" t="n">
        <v>70</v>
      </c>
      <c r="AI10" s="3" t="n">
        <v>1.9737</v>
      </c>
      <c r="AJ10" s="3" t="n">
        <v>1.0365</v>
      </c>
      <c r="AK10" s="3" t="n">
        <v>-0.1945595673769788</v>
      </c>
      <c r="AL10" s="6" t="n">
        <v>0</v>
      </c>
      <c r="AM10" s="3" t="n">
        <v>0</v>
      </c>
      <c r="AN10" s="3" t="n">
        <v>0.7524000000000001</v>
      </c>
      <c r="AO10" s="3" t="n">
        <v>0.288288</v>
      </c>
      <c r="AP10" s="3">
        <f>N(X10)*N(BI10)</f>
        <v/>
      </c>
      <c r="AQ10" s="3" t="n">
        <v>0.3429</v>
      </c>
      <c r="AR10" s="3" t="n">
        <v>0</v>
      </c>
      <c r="AS10" s="3" t="n">
        <v>-0.2997019479071323</v>
      </c>
      <c r="AT10" s="3" t="n">
        <v>-0.1945595673769788</v>
      </c>
      <c r="AU10" s="3">
        <f>SUM(AN10:AT10)</f>
        <v/>
      </c>
      <c r="AV10" s="7">
        <f>IF(OR(N(W10)&lt;=0,N(BG10)=0),0,N(W10)*IF(N(R10)/N(W10)&gt;=60,N(BG10),1))</f>
        <v/>
      </c>
      <c r="AW10" s="7">
        <f>N(W10)*N(AF10)*N(BH10)</f>
        <v/>
      </c>
      <c r="AX10" s="7">
        <f>N(AL10)*(Assumptions!$B$13*N(BJ10)-(1-Assumptions!$B$13)*Assumptions!$B$14)+N(AM10)</f>
        <v/>
      </c>
      <c r="AY10" s="7">
        <f>N(AU10)*N(R10)/90+N(AV10)+N(AW10)+N(AX10)</f>
        <v/>
      </c>
      <c r="AZ10" s="3">
        <f>IF(N(R10)&lt;=0,0,(N(AY10)-N(AX10))*90/N(R10))</f>
        <v/>
      </c>
      <c r="BA10" s="7">
        <f>IFERROR(AY10-VLOOKUP($E10,Assumptions!$A$40:$C$43,3,FALSE),"")</f>
        <v/>
      </c>
      <c r="BB10" s="3">
        <f>IFERROR(BA10/H10,"")</f>
        <v/>
      </c>
      <c r="BC10">
        <f>IF(AND($G10=TRUE,$E10="GKP"),AY10,"")</f>
        <v/>
      </c>
      <c r="BD10">
        <f>IF(AND($G10=TRUE,$E10="DEF"),AY10,"")</f>
        <v/>
      </c>
      <c r="BE10">
        <f>IF(AND($G10=TRUE,$E10="MID"),AY10,"")</f>
        <v/>
      </c>
      <c r="BF10">
        <f>IF(AND($G10=TRUE,$E10="FWD"),AY10,"")</f>
        <v/>
      </c>
      <c r="BG10" t="n">
        <v>2</v>
      </c>
      <c r="BH10" t="n">
        <v>2</v>
      </c>
      <c r="BI10" t="n">
        <v>4</v>
      </c>
      <c r="BJ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s="8" t="n">
        <v>2890</v>
      </c>
      <c r="O11" s="8" t="n">
        <v>0</v>
      </c>
      <c r="Q11" t="inlineStr">
        <is>
          <t>flat</t>
        </is>
      </c>
      <c r="R11" s="6" t="n">
        <v>2890</v>
      </c>
      <c r="S11" t="inlineStr">
        <is>
          <t>Solio</t>
        </is>
      </c>
      <c r="U11" s="6" t="n">
        <v>81.09999999999999</v>
      </c>
      <c r="V11" s="2" t="n">
        <v>31</v>
      </c>
      <c r="W11" s="7">
        <f>IF(N(U11)&lt;=0,0,MIN(Assumptions!$B$15,N(R11)/N(U11)))</f>
        <v/>
      </c>
      <c r="X11" s="6" t="n">
        <v>0.322</v>
      </c>
      <c r="Y11" s="3" t="n">
        <v>0.5062</v>
      </c>
      <c r="Z11" t="inlineStr">
        <is>
          <t>adjusted xGOT</t>
        </is>
      </c>
      <c r="AA11" s="3" t="n">
        <v>1</v>
      </c>
      <c r="AB11" s="3" t="n">
        <v>1.003</v>
      </c>
      <c r="AC11" s="3" t="n">
        <v>35.9</v>
      </c>
      <c r="AD11" s="3" t="n">
        <v>0.1006</v>
      </c>
      <c r="AE11" s="3" t="n">
        <v>4.698</v>
      </c>
      <c r="AF11" s="3" t="n">
        <v>0.001466394974463547</v>
      </c>
      <c r="AG11" s="3" t="n">
        <v>1.0158</v>
      </c>
      <c r="AH11" s="3" t="n">
        <v>65</v>
      </c>
      <c r="AI11" s="3" t="n">
        <v>2.4232</v>
      </c>
      <c r="AJ11" s="3" t="n">
        <v>1.1851</v>
      </c>
      <c r="AK11" s="3" t="n">
        <v>-0.1716179423924405</v>
      </c>
      <c r="AL11" s="6" t="n">
        <v>0</v>
      </c>
      <c r="AM11" s="3" t="n">
        <v>0</v>
      </c>
      <c r="AN11" s="3" t="n">
        <v>2.0248</v>
      </c>
      <c r="AO11" s="3" t="n">
        <v>0.398376</v>
      </c>
      <c r="AP11" s="3">
        <f>N(X11)*N(BI11)</f>
        <v/>
      </c>
      <c r="AQ11" s="3" t="n">
        <v>1.0158</v>
      </c>
      <c r="AR11" s="3" t="n">
        <v>0</v>
      </c>
      <c r="AS11" s="3" t="n">
        <v>-0</v>
      </c>
      <c r="AT11" s="3" t="n">
        <v>-0.1716179423924405</v>
      </c>
      <c r="AU11" s="3">
        <f>SUM(AN11:AT11)</f>
        <v/>
      </c>
      <c r="AV11" s="7">
        <f>IF(OR(N(W11)&lt;=0,N(BG11)=0),0,N(W11)*IF(N(R11)/N(W11)&gt;=60,N(BG11),1))</f>
        <v/>
      </c>
      <c r="AW11" s="7">
        <f>N(W11)*N(AF11)*N(BH11)</f>
        <v/>
      </c>
      <c r="AX11" s="7">
        <f>N(AL11)*(Assumptions!$B$13*N(BJ11)-(1-Assumptions!$B$13)*Assumptions!$B$14)+N(AM11)</f>
        <v/>
      </c>
      <c r="AY11" s="7">
        <f>N(AU11)*N(R11)/90+N(AV11)+N(AW11)+N(AX11)</f>
        <v/>
      </c>
      <c r="AZ11" s="3">
        <f>IF(N(R11)&lt;=0,0,(N(AY11)-N(AX11))*90/N(R11))</f>
        <v/>
      </c>
      <c r="BA11" s="7">
        <f>IFERROR(AY11-VLOOKUP($E11,Assumptions!$A$40:$C$43,3,FALSE),"")</f>
        <v/>
      </c>
      <c r="BB11" s="3">
        <f>IFERROR(BA11/H11,"")</f>
        <v/>
      </c>
      <c r="BC11">
        <f>IF(AND($G11=TRUE,$E11="GKP"),AY11,"")</f>
        <v/>
      </c>
      <c r="BD11">
        <f>IF(AND($G11=TRUE,$E11="DEF"),AY11,"")</f>
        <v/>
      </c>
      <c r="BE11">
        <f>IF(AND($G11=TRUE,$E11="MID"),AY11,"")</f>
        <v/>
      </c>
      <c r="BF11">
        <f>IF(AND($G11=TRUE,$E11="FWD"),AY11,"")</f>
        <v/>
      </c>
      <c r="BG11" t="n">
        <v>2</v>
      </c>
      <c r="BH11" t="n">
        <v>2</v>
      </c>
      <c r="BI11" t="n">
        <v>0</v>
      </c>
      <c r="BJ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s="8" t="n">
        <v>3340</v>
      </c>
      <c r="O12" s="8" t="n">
        <v>0</v>
      </c>
      <c r="Q12" t="inlineStr">
        <is>
          <t>flat</t>
        </is>
      </c>
      <c r="R12" s="6" t="n">
        <v>3340</v>
      </c>
      <c r="S12" t="inlineStr">
        <is>
          <t>Solio</t>
        </is>
      </c>
      <c r="U12" s="6" t="n">
        <v>89.09999999999999</v>
      </c>
      <c r="V12" s="2" t="n">
        <v>38</v>
      </c>
      <c r="W12" s="7">
        <f>IF(N(U12)&lt;=0,0,MIN(Assumptions!$B$15,N(R12)/N(U12)))</f>
        <v/>
      </c>
      <c r="X12" s="6" t="n">
        <v>0.342</v>
      </c>
      <c r="Y12" s="3" t="n">
        <v>0.0983</v>
      </c>
      <c r="Z12" t="inlineStr">
        <is>
          <t>adjusted xGOT</t>
        </is>
      </c>
      <c r="AA12" s="3" t="n">
        <v>1</v>
      </c>
      <c r="AB12" s="3" t="n">
        <v>0.991</v>
      </c>
      <c r="AC12" s="3" t="n">
        <v>11.4</v>
      </c>
      <c r="AD12" s="3" t="n">
        <v>0.0233</v>
      </c>
      <c r="AE12" s="3" t="n">
        <v>8.989000000000001</v>
      </c>
      <c r="AF12" s="3" t="n">
        <v>0.3993014485030754</v>
      </c>
      <c r="AG12" s="3" t="n">
        <v>0.2368</v>
      </c>
      <c r="AH12" s="3" t="n">
        <v>76</v>
      </c>
      <c r="AI12" s="3" t="n">
        <v>2.409</v>
      </c>
      <c r="AJ12" s="3" t="n">
        <v>1.1228</v>
      </c>
      <c r="AK12" s="3" t="n">
        <v>-0.1444627501042969</v>
      </c>
      <c r="AL12" s="6" t="n">
        <v>0</v>
      </c>
      <c r="AM12" s="3" t="n">
        <v>0</v>
      </c>
      <c r="AN12" s="3" t="n">
        <v>0.5898</v>
      </c>
      <c r="AO12" s="3" t="n">
        <v>0.092268</v>
      </c>
      <c r="AP12" s="3">
        <f>N(X12)*N(BI12)</f>
        <v/>
      </c>
      <c r="AQ12" s="3" t="n">
        <v>0.2368</v>
      </c>
      <c r="AR12" s="3" t="n">
        <v>0</v>
      </c>
      <c r="AS12" s="3" t="n">
        <v>-0.3378660007281162</v>
      </c>
      <c r="AT12" s="3" t="n">
        <v>-0.1444627501042969</v>
      </c>
      <c r="AU12" s="3">
        <f>SUM(AN12:AT12)</f>
        <v/>
      </c>
      <c r="AV12" s="7">
        <f>IF(OR(N(W12)&lt;=0,N(BG12)=0),0,N(W12)*IF(N(R12)/N(W12)&gt;=60,N(BG12),1))</f>
        <v/>
      </c>
      <c r="AW12" s="7">
        <f>N(W12)*N(AF12)*N(BH12)</f>
        <v/>
      </c>
      <c r="AX12" s="7">
        <f>N(AL12)*(Assumptions!$B$13*N(BJ12)-(1-Assumptions!$B$13)*Assumptions!$B$14)+N(AM12)</f>
        <v/>
      </c>
      <c r="AY12" s="7">
        <f>N(AU12)*N(R12)/90+N(AV12)+N(AW12)+N(AX12)</f>
        <v/>
      </c>
      <c r="AZ12" s="3">
        <f>IF(N(R12)&lt;=0,0,(N(AY12)-N(AX12))*90/N(R12))</f>
        <v/>
      </c>
      <c r="BA12" s="7">
        <f>IFERROR(AY12-VLOOKUP($E12,Assumptions!$A$40:$C$43,3,FALSE),"")</f>
        <v/>
      </c>
      <c r="BB12" s="3">
        <f>IFERROR(BA12/H12,"")</f>
        <v/>
      </c>
      <c r="BC12">
        <f>IF(AND($G12=TRUE,$E12="GKP"),AY12,"")</f>
        <v/>
      </c>
      <c r="BD12">
        <f>IF(AND($G12=TRUE,$E12="DEF"),AY12,"")</f>
        <v/>
      </c>
      <c r="BE12">
        <f>IF(AND($G12=TRUE,$E12="MID"),AY12,"")</f>
        <v/>
      </c>
      <c r="BF12">
        <f>IF(AND($G12=TRUE,$E12="FWD"),AY12,"")</f>
        <v/>
      </c>
      <c r="BG12" t="n">
        <v>2</v>
      </c>
      <c r="BH12" t="n">
        <v>2</v>
      </c>
      <c r="BI12" t="n">
        <v>4</v>
      </c>
      <c r="BJ12" t="n">
        <v>6</v>
      </c>
    </row>
    <row r="13">
      <c r="A13" s="9" t="inlineStr">
        <is>
          <t>Marcos Senesi</t>
        </is>
      </c>
      <c r="B13" t="inlineStr">
        <is>
          <t>TOT</t>
        </is>
      </c>
      <c r="C13" s="9" t="inlineStr">
        <is>
          <t>BOU</t>
        </is>
      </c>
      <c r="D13" t="b">
        <v>1</v>
      </c>
      <c r="E13" t="inlineStr">
        <is>
          <t>DEF</t>
        </is>
      </c>
      <c r="F13" t="inlineStr">
        <is>
          <t>DEF</t>
        </is>
      </c>
      <c r="G13" t="b">
        <v>1</v>
      </c>
      <c r="H13" s="2" t="n">
        <v>6</v>
      </c>
      <c r="I13" t="inlineStr">
        <is>
          <t>a</t>
        </is>
      </c>
      <c r="K13" s="2" t="n">
        <v>3288</v>
      </c>
      <c r="L13" t="n">
        <v>175</v>
      </c>
      <c r="M13" s="3" t="n">
        <v>1573</v>
      </c>
      <c r="N13" s="4" t="n">
        <v>1950</v>
      </c>
      <c r="O13" s="4" t="n">
        <v>377</v>
      </c>
      <c r="P13" s="5" t="inlineStr">
        <is>
          <t>medium</t>
        </is>
      </c>
      <c r="Q13" t="inlineStr">
        <is>
          <t>flat</t>
        </is>
      </c>
      <c r="R13" s="6" t="n">
        <v>1950</v>
      </c>
      <c r="S13" t="inlineStr">
        <is>
          <t>research</t>
        </is>
      </c>
      <c r="T13" s="5" t="inlineStr">
        <is>
          <t>Solio's 1,573 reads Senesi as a squad centre-back. He is a rotation option behind the intended van Hecke-van de Ven pairing, but he started alongside van Hecke against Hoffenheim and is in line to start the opening fixtures while van de Ven builds fitness. With Romero sold, Vuskovic and Phillips sold and Dragusin loaned out, Senesi is the third of only four senior centre-backs.</t>
        </is>
      </c>
      <c r="U13" s="6" t="n">
        <v>88.09999999999999</v>
      </c>
      <c r="V13" s="2" t="n">
        <v>37</v>
      </c>
      <c r="W13" s="7">
        <f>IF(N(U13)&lt;=0,0,MIN(Assumptions!$B$15,N(R13)/N(U13)))</f>
        <v/>
      </c>
      <c r="X13" s="6" t="n">
        <v>0.286</v>
      </c>
      <c r="Y13" s="10" t="n">
        <v>0.0335</v>
      </c>
      <c r="Z13" t="inlineStr">
        <is>
          <t>adjusted xGOT</t>
        </is>
      </c>
      <c r="AA13" s="3" t="n">
        <v>1</v>
      </c>
      <c r="AB13" s="3" t="n">
        <v>0.799</v>
      </c>
      <c r="AC13" s="3" t="n">
        <v>6</v>
      </c>
      <c r="AD13" s="10" t="n">
        <v>0.1197</v>
      </c>
      <c r="AE13" s="3" t="n">
        <v>10.789</v>
      </c>
      <c r="AF13" s="3" t="n">
        <v>0.6100438310350587</v>
      </c>
      <c r="AG13" s="3" t="n">
        <v>0.3285</v>
      </c>
      <c r="AH13" s="3" t="n">
        <v>74</v>
      </c>
      <c r="AI13" s="3" t="n">
        <v>2.5739</v>
      </c>
      <c r="AJ13" s="3" t="n">
        <v>1.3096</v>
      </c>
      <c r="AK13" s="3" t="n">
        <v>-0.2951650613022939</v>
      </c>
      <c r="AL13" s="6" t="n">
        <v>0</v>
      </c>
      <c r="AM13" s="3" t="n">
        <v>0</v>
      </c>
      <c r="AN13" s="10" t="n">
        <v>0.201</v>
      </c>
      <c r="AO13" s="10" t="n">
        <v>0.474012</v>
      </c>
      <c r="AP13" s="3">
        <f>N(X13)*N(BI13)</f>
        <v/>
      </c>
      <c r="AQ13" s="3" t="n">
        <v>0.3285</v>
      </c>
      <c r="AR13" s="3" t="n">
        <v>0</v>
      </c>
      <c r="AS13" s="3" t="n">
        <v>-0.4230152821052008</v>
      </c>
      <c r="AT13" s="3" t="n">
        <v>-0.2951650613022939</v>
      </c>
      <c r="AU13" s="3">
        <f>SUM(AN13:AT13)</f>
        <v/>
      </c>
      <c r="AV13" s="7">
        <f>IF(OR(N(W13)&lt;=0,N(BG13)=0),0,N(W13)*IF(N(R13)/N(W13)&gt;=60,N(BG13),1))</f>
        <v/>
      </c>
      <c r="AW13" s="7">
        <f>N(W13)*N(AF13)*N(BH13)</f>
        <v/>
      </c>
      <c r="AX13" s="7">
        <f>N(AL13)*(Assumptions!$B$13*N(BJ13)-(1-Assumptions!$B$13)*Assumptions!$B$14)+N(AM13)</f>
        <v/>
      </c>
      <c r="AY13" s="7">
        <f>N(AU13)*N(R13)/90+N(AV13)+N(AW13)+N(AX13)</f>
        <v/>
      </c>
      <c r="AZ13" s="3">
        <f>IF(N(R13)&lt;=0,0,(N(AY13)-N(AX13))*90/N(R13))</f>
        <v/>
      </c>
      <c r="BA13" s="7">
        <f>IFERROR(AY13-VLOOKUP($E13,Assumptions!$A$40:$C$43,3,FALSE),"")</f>
        <v/>
      </c>
      <c r="BB13" s="3">
        <f>IFERROR(BA13/H13,"")</f>
        <v/>
      </c>
      <c r="BC13">
        <f>IF(AND($G13=TRUE,$E13="GKP"),AY13,"")</f>
        <v/>
      </c>
      <c r="BD13">
        <f>IF(AND($G13=TRUE,$E13="DEF"),AY13,"")</f>
        <v/>
      </c>
      <c r="BE13">
        <f>IF(AND($G13=TRUE,$E13="MID"),AY13,"")</f>
        <v/>
      </c>
      <c r="BF13">
        <f>IF(AND($G13=TRUE,$E13="FWD"),AY13,"")</f>
        <v/>
      </c>
      <c r="BG13" t="n">
        <v>2</v>
      </c>
      <c r="BH13" t="n">
        <v>2</v>
      </c>
      <c r="BI13" t="n">
        <v>4</v>
      </c>
      <c r="BJ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s="8" t="n">
        <v>3266</v>
      </c>
      <c r="O14" s="8" t="n">
        <v>0</v>
      </c>
      <c r="Q14" t="inlineStr">
        <is>
          <t>flat</t>
        </is>
      </c>
      <c r="R14" s="6" t="n">
        <v>3266</v>
      </c>
      <c r="S14" t="inlineStr">
        <is>
          <t>Solio</t>
        </is>
      </c>
      <c r="U14" s="6" t="n">
        <v>89</v>
      </c>
      <c r="V14" s="2" t="n">
        <v>37</v>
      </c>
      <c r="W14" s="7">
        <f>IF(N(U14)&lt;=0,0,MIN(Assumptions!$B$15,N(R14)/N(U14)))</f>
        <v/>
      </c>
      <c r="X14" s="6" t="n">
        <v>0.231</v>
      </c>
      <c r="Y14" s="3" t="n">
        <v>0.0555</v>
      </c>
      <c r="Z14" t="inlineStr">
        <is>
          <t>adjusted xGOT</t>
        </is>
      </c>
      <c r="AA14" s="3" t="n">
        <v>1</v>
      </c>
      <c r="AB14" s="3" t="n">
        <v>0.8120000000000001</v>
      </c>
      <c r="AC14" s="3" t="n">
        <v>9.4</v>
      </c>
      <c r="AD14" s="3" t="n">
        <v>0.0562</v>
      </c>
      <c r="AE14" s="3" t="n">
        <v>9.722</v>
      </c>
      <c r="AF14" s="3" t="n">
        <v>0.4929438581653922</v>
      </c>
      <c r="AG14" s="3" t="n">
        <v>0.3243</v>
      </c>
      <c r="AH14" s="3" t="n">
        <v>74</v>
      </c>
      <c r="AI14" s="3" t="n">
        <v>3.0311</v>
      </c>
      <c r="AJ14" s="3" t="n">
        <v>1.5252</v>
      </c>
      <c r="AK14" s="3" t="n">
        <v>-0.2371340111807672</v>
      </c>
      <c r="AL14" s="6" t="n">
        <v>0</v>
      </c>
      <c r="AM14" s="3" t="n">
        <v>0</v>
      </c>
      <c r="AN14" s="3" t="n">
        <v>0.333</v>
      </c>
      <c r="AO14" s="3" t="n">
        <v>0.222552</v>
      </c>
      <c r="AP14" s="3">
        <f>N(X14)*N(BI14)</f>
        <v/>
      </c>
      <c r="AQ14" s="3" t="n">
        <v>0.3243</v>
      </c>
      <c r="AR14" s="3" t="n">
        <v>0</v>
      </c>
      <c r="AS14" s="3" t="n">
        <v>-0.524434996152324</v>
      </c>
      <c r="AT14" s="3" t="n">
        <v>-0.2371340111807672</v>
      </c>
      <c r="AU14" s="3">
        <f>SUM(AN14:AT14)</f>
        <v/>
      </c>
      <c r="AV14" s="7">
        <f>IF(OR(N(W14)&lt;=0,N(BG14)=0),0,N(W14)*IF(N(R14)/N(W14)&gt;=60,N(BG14),1))</f>
        <v/>
      </c>
      <c r="AW14" s="7">
        <f>N(W14)*N(AF14)*N(BH14)</f>
        <v/>
      </c>
      <c r="AX14" s="7">
        <f>N(AL14)*(Assumptions!$B$13*N(BJ14)-(1-Assumptions!$B$13)*Assumptions!$B$14)+N(AM14)</f>
        <v/>
      </c>
      <c r="AY14" s="7">
        <f>N(AU14)*N(R14)/90+N(AV14)+N(AW14)+N(AX14)</f>
        <v/>
      </c>
      <c r="AZ14" s="3">
        <f>IF(N(R14)&lt;=0,0,(N(AY14)-N(AX14))*90/N(R14))</f>
        <v/>
      </c>
      <c r="BA14" s="7">
        <f>IFERROR(AY14-VLOOKUP($E14,Assumptions!$A$40:$C$43,3,FALSE),"")</f>
        <v/>
      </c>
      <c r="BB14" s="3">
        <f>IFERROR(BA14/H14,"")</f>
        <v/>
      </c>
      <c r="BC14">
        <f>IF(AND($G14=TRUE,$E14="GKP"),AY14,"")</f>
        <v/>
      </c>
      <c r="BD14">
        <f>IF(AND($G14=TRUE,$E14="DEF"),AY14,"")</f>
        <v/>
      </c>
      <c r="BE14">
        <f>IF(AND($G14=TRUE,$E14="MID"),AY14,"")</f>
        <v/>
      </c>
      <c r="BF14">
        <f>IF(AND($G14=TRUE,$E14="FWD"),AY14,"")</f>
        <v/>
      </c>
      <c r="BG14" t="n">
        <v>2</v>
      </c>
      <c r="BH14" t="n">
        <v>2</v>
      </c>
      <c r="BI14" t="n">
        <v>4</v>
      </c>
      <c r="BJ14" t="n">
        <v>6</v>
      </c>
    </row>
    <row r="15">
      <c r="A15" s="9" t="inlineStr">
        <is>
          <t>Morgan Rogers</t>
        </is>
      </c>
      <c r="B15" t="inlineStr">
        <is>
          <t>CHE</t>
        </is>
      </c>
      <c r="C15" s="9" t="inlineStr">
        <is>
          <t>AVL</t>
        </is>
      </c>
      <c r="D15" t="b">
        <v>1</v>
      </c>
      <c r="E15" t="inlineStr">
        <is>
          <t>MID</t>
        </is>
      </c>
      <c r="F15" t="inlineStr">
        <is>
          <t>MID</t>
        </is>
      </c>
      <c r="G15" t="b">
        <v>1</v>
      </c>
      <c r="H15" s="2" t="n">
        <v>7.5</v>
      </c>
      <c r="I15" t="inlineStr">
        <is>
          <t>a</t>
        </is>
      </c>
      <c r="K15" s="2" t="n">
        <v>3280</v>
      </c>
      <c r="L15" t="n">
        <v>169</v>
      </c>
      <c r="M15" s="3" t="n">
        <v>2890</v>
      </c>
      <c r="N15" s="8" t="n">
        <v>2890</v>
      </c>
      <c r="O15" s="8" t="n">
        <v>0</v>
      </c>
      <c r="Q15" t="inlineStr">
        <is>
          <t>flat</t>
        </is>
      </c>
      <c r="R15" s="6" t="n">
        <v>2890</v>
      </c>
      <c r="S15" t="inlineStr">
        <is>
          <t>Solio</t>
        </is>
      </c>
      <c r="U15" s="6" t="n">
        <v>86.8</v>
      </c>
      <c r="V15" s="2" t="n">
        <v>37</v>
      </c>
      <c r="W15" s="7">
        <f>IF(N(U15)&lt;=0,0,MIN(Assumptions!$B$15,N(R15)/N(U15)))</f>
        <v/>
      </c>
      <c r="X15" s="6" t="n">
        <v>0.322</v>
      </c>
      <c r="Y15" s="10" t="n">
        <v>0.2094</v>
      </c>
      <c r="Z15" t="inlineStr">
        <is>
          <t>adjusted xGOT</t>
        </is>
      </c>
      <c r="AA15" s="3" t="n">
        <v>1</v>
      </c>
      <c r="AB15" s="3" t="n">
        <v>1.116</v>
      </c>
      <c r="AC15" s="3" t="n">
        <v>14.7</v>
      </c>
      <c r="AD15" s="10" t="n">
        <v>0.1618</v>
      </c>
      <c r="AE15" s="3" t="n">
        <v>6.719</v>
      </c>
      <c r="AF15" s="3" t="n">
        <v>0.03322825115749717</v>
      </c>
      <c r="AG15" s="3" t="n">
        <v>0.4665</v>
      </c>
      <c r="AH15" s="3" t="n">
        <v>74</v>
      </c>
      <c r="AI15" s="3" t="n">
        <v>2.4232</v>
      </c>
      <c r="AJ15" s="3" t="n">
        <v>1.1851</v>
      </c>
      <c r="AK15" s="3" t="n">
        <v>-0.2453439170694833</v>
      </c>
      <c r="AL15" s="6" t="n">
        <v>0</v>
      </c>
      <c r="AM15" s="3" t="n">
        <v>0</v>
      </c>
      <c r="AN15" s="10" t="n">
        <v>1.047</v>
      </c>
      <c r="AO15" s="10" t="n">
        <v>0.6407280000000001</v>
      </c>
      <c r="AP15" s="3">
        <f>N(X15)*N(BI15)</f>
        <v/>
      </c>
      <c r="AQ15" s="3" t="n">
        <v>0.4665</v>
      </c>
      <c r="AR15" s="3" t="n">
        <v>0</v>
      </c>
      <c r="AS15" s="3" t="n">
        <v>-0</v>
      </c>
      <c r="AT15" s="3" t="n">
        <v>-0.2453439170694833</v>
      </c>
      <c r="AU15" s="3">
        <f>SUM(AN15:AT15)</f>
        <v/>
      </c>
      <c r="AV15" s="7">
        <f>IF(OR(N(W15)&lt;=0,N(BG15)=0),0,N(W15)*IF(N(R15)/N(W15)&gt;=60,N(BG15),1))</f>
        <v/>
      </c>
      <c r="AW15" s="7">
        <f>N(W15)*N(AF15)*N(BH15)</f>
        <v/>
      </c>
      <c r="AX15" s="7">
        <f>N(AL15)*(Assumptions!$B$13*N(BJ15)-(1-Assumptions!$B$13)*Assumptions!$B$14)+N(AM15)</f>
        <v/>
      </c>
      <c r="AY15" s="7">
        <f>N(AU15)*N(R15)/90+N(AV15)+N(AW15)+N(AX15)</f>
        <v/>
      </c>
      <c r="AZ15" s="3">
        <f>IF(N(R15)&lt;=0,0,(N(AY15)-N(AX15))*90/N(R15))</f>
        <v/>
      </c>
      <c r="BA15" s="7">
        <f>IFERROR(AY15-VLOOKUP($E15,Assumptions!$A$40:$C$43,3,FALSE),"")</f>
        <v/>
      </c>
      <c r="BB15" s="3">
        <f>IFERROR(BA15/H15,"")</f>
        <v/>
      </c>
      <c r="BC15">
        <f>IF(AND($G15=TRUE,$E15="GKP"),AY15,"")</f>
        <v/>
      </c>
      <c r="BD15">
        <f>IF(AND($G15=TRUE,$E15="DEF"),AY15,"")</f>
        <v/>
      </c>
      <c r="BE15">
        <f>IF(AND($G15=TRUE,$E15="MID"),AY15,"")</f>
        <v/>
      </c>
      <c r="BF15">
        <f>IF(AND($G15=TRUE,$E15="FWD"),AY15,"")</f>
        <v/>
      </c>
      <c r="BG15" t="n">
        <v>2</v>
      </c>
      <c r="BH15" t="n">
        <v>2</v>
      </c>
      <c r="BI15" t="n">
        <v>1</v>
      </c>
      <c r="BJ15" t="n">
        <v>5</v>
      </c>
    </row>
    <row r="16">
      <c r="A16" s="9" t="inlineStr">
        <is>
          <t>Harry Wilson</t>
        </is>
      </c>
      <c r="B16" t="inlineStr">
        <is>
          <t>LEE</t>
        </is>
      </c>
      <c r="C16" s="9" t="inlineStr">
        <is>
          <t>FUL</t>
        </is>
      </c>
      <c r="D16" t="b">
        <v>1</v>
      </c>
      <c r="E16" t="inlineStr">
        <is>
          <t>MID</t>
        </is>
      </c>
      <c r="F16" t="inlineStr">
        <is>
          <t>MID</t>
        </is>
      </c>
      <c r="G16" t="b">
        <v>1</v>
      </c>
      <c r="H16" s="2" t="n">
        <v>6.5</v>
      </c>
      <c r="I16" t="inlineStr">
        <is>
          <t>a</t>
        </is>
      </c>
      <c r="K16" s="2" t="n">
        <v>2674</v>
      </c>
      <c r="L16" t="n">
        <v>168</v>
      </c>
      <c r="M16" s="3" t="n">
        <v>2810</v>
      </c>
      <c r="N16" s="8" t="n">
        <v>2810</v>
      </c>
      <c r="O16" s="8" t="n">
        <v>0</v>
      </c>
      <c r="Q16" t="inlineStr">
        <is>
          <t>flat</t>
        </is>
      </c>
      <c r="R16" s="6" t="n">
        <v>2810</v>
      </c>
      <c r="S16" t="inlineStr">
        <is>
          <t>Solio</t>
        </is>
      </c>
      <c r="U16" s="6" t="n">
        <v>80.7</v>
      </c>
      <c r="V16" s="2" t="n">
        <v>32</v>
      </c>
      <c r="W16" s="7">
        <f>IF(N(U16)&lt;=0,0,MIN(Assumptions!$B$15,N(R16)/N(U16)))</f>
        <v/>
      </c>
      <c r="X16" s="6" t="n">
        <v>0.218</v>
      </c>
      <c r="Y16" s="10" t="n">
        <v>0.2446</v>
      </c>
      <c r="Z16" t="inlineStr">
        <is>
          <t>adjusted xGOT</t>
        </is>
      </c>
      <c r="AA16" s="3" t="n">
        <v>1</v>
      </c>
      <c r="AB16" s="3" t="n">
        <v>1.236</v>
      </c>
      <c r="AC16" s="3" t="n">
        <v>15.6</v>
      </c>
      <c r="AD16" s="10" t="n">
        <v>0.1729</v>
      </c>
      <c r="AE16" s="3" t="n">
        <v>6.513</v>
      </c>
      <c r="AF16" s="3" t="n">
        <v>0.01672141455125842</v>
      </c>
      <c r="AG16" s="3" t="n">
        <v>0.7068</v>
      </c>
      <c r="AH16" s="3" t="n">
        <v>66</v>
      </c>
      <c r="AI16" s="3" t="n">
        <v>3.0611</v>
      </c>
      <c r="AJ16" s="3" t="n">
        <v>1.5875</v>
      </c>
      <c r="AK16" s="3" t="n">
        <v>-0.2446193857303975</v>
      </c>
      <c r="AL16" s="6" t="n">
        <v>0</v>
      </c>
      <c r="AM16" s="3" t="n">
        <v>0</v>
      </c>
      <c r="AN16" s="10" t="n">
        <v>1.223</v>
      </c>
      <c r="AO16" s="10" t="n">
        <v>0.684684</v>
      </c>
      <c r="AP16" s="3">
        <f>N(X16)*N(BI16)</f>
        <v/>
      </c>
      <c r="AQ16" s="3" t="n">
        <v>0.7068</v>
      </c>
      <c r="AR16" s="3" t="n">
        <v>0</v>
      </c>
      <c r="AS16" s="3" t="n">
        <v>-0</v>
      </c>
      <c r="AT16" s="3" t="n">
        <v>-0.2446193857303975</v>
      </c>
      <c r="AU16" s="3">
        <f>SUM(AN16:AT16)</f>
        <v/>
      </c>
      <c r="AV16" s="7">
        <f>IF(OR(N(W16)&lt;=0,N(BG16)=0),0,N(W16)*IF(N(R16)/N(W16)&gt;=60,N(BG16),1))</f>
        <v/>
      </c>
      <c r="AW16" s="7">
        <f>N(W16)*N(AF16)*N(BH16)</f>
        <v/>
      </c>
      <c r="AX16" s="7">
        <f>N(AL16)*(Assumptions!$B$13*N(BJ16)-(1-Assumptions!$B$13)*Assumptions!$B$14)+N(AM16)</f>
        <v/>
      </c>
      <c r="AY16" s="7">
        <f>N(AU16)*N(R16)/90+N(AV16)+N(AW16)+N(AX16)</f>
        <v/>
      </c>
      <c r="AZ16" s="3">
        <f>IF(N(R16)&lt;=0,0,(N(AY16)-N(AX16))*90/N(R16))</f>
        <v/>
      </c>
      <c r="BA16" s="7">
        <f>IFERROR(AY16-VLOOKUP($E16,Assumptions!$A$40:$C$43,3,FALSE),"")</f>
        <v/>
      </c>
      <c r="BB16" s="3">
        <f>IFERROR(BA16/H16,"")</f>
        <v/>
      </c>
      <c r="BC16">
        <f>IF(AND($G16=TRUE,$E16="GKP"),AY16,"")</f>
        <v/>
      </c>
      <c r="BD16">
        <f>IF(AND($G16=TRUE,$E16="DEF"),AY16,"")</f>
        <v/>
      </c>
      <c r="BE16">
        <f>IF(AND($G16=TRUE,$E16="MID"),AY16,"")</f>
        <v/>
      </c>
      <c r="BF16">
        <f>IF(AND($G16=TRUE,$E16="FWD"),AY16,"")</f>
        <v/>
      </c>
      <c r="BG16" t="n">
        <v>2</v>
      </c>
      <c r="BH16" t="n">
        <v>2</v>
      </c>
      <c r="BI16" t="n">
        <v>1</v>
      </c>
      <c r="BJ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s="8" t="n">
        <v>2679</v>
      </c>
      <c r="O17" s="8" t="n">
        <v>0</v>
      </c>
      <c r="Q17" t="inlineStr">
        <is>
          <t>flat</t>
        </is>
      </c>
      <c r="R17" s="6" t="n">
        <v>2679</v>
      </c>
      <c r="S17" t="inlineStr">
        <is>
          <t>Solio</t>
        </is>
      </c>
      <c r="U17" s="6" t="n">
        <v>81.2</v>
      </c>
      <c r="V17" s="2" t="n">
        <v>33</v>
      </c>
      <c r="W17" s="7">
        <f>IF(N(U17)&lt;=0,0,MIN(Assumptions!$B$15,N(R17)/N(U17)))</f>
        <v/>
      </c>
      <c r="X17" s="6" t="n">
        <v>0.273</v>
      </c>
      <c r="Y17" s="3" t="n">
        <v>0.5014999999999999</v>
      </c>
      <c r="Z17" t="inlineStr">
        <is>
          <t>adjusted xGOT</t>
        </is>
      </c>
      <c r="AA17" s="3" t="n">
        <v>1</v>
      </c>
      <c r="AB17" s="3" t="n">
        <v>1.025</v>
      </c>
      <c r="AC17" s="3" t="n">
        <v>63.4</v>
      </c>
      <c r="AD17" s="3" t="n">
        <v>0.0635</v>
      </c>
      <c r="AE17" s="3" t="n">
        <v>3.352</v>
      </c>
      <c r="AF17" s="3" t="n">
        <v>7.692078045240525e-05</v>
      </c>
      <c r="AG17" s="3" t="n">
        <v>0.826</v>
      </c>
      <c r="AH17" s="3" t="n">
        <v>69</v>
      </c>
      <c r="AI17" s="3" t="n">
        <v>2.7451</v>
      </c>
      <c r="AJ17" s="3" t="n">
        <v>1.3575</v>
      </c>
      <c r="AK17" s="3" t="n">
        <v>-0.1306008267290482</v>
      </c>
      <c r="AL17" s="6" t="n">
        <v>0.7635839833842955</v>
      </c>
      <c r="AM17" s="3" t="n">
        <v>0</v>
      </c>
      <c r="AN17" s="3" t="n">
        <v>2.006</v>
      </c>
      <c r="AO17" s="3" t="n">
        <v>0.25146</v>
      </c>
      <c r="AP17" s="3">
        <f>N(X17)*N(BI17)</f>
        <v/>
      </c>
      <c r="AQ17" s="3" t="n">
        <v>0.826</v>
      </c>
      <c r="AR17" s="3" t="n">
        <v>0</v>
      </c>
      <c r="AS17" s="3" t="n">
        <v>-0</v>
      </c>
      <c r="AT17" s="3" t="n">
        <v>-0.1306008267290482</v>
      </c>
      <c r="AU17" s="3">
        <f>SUM(AN17:AT17)</f>
        <v/>
      </c>
      <c r="AV17" s="7">
        <f>IF(OR(N(W17)&lt;=0,N(BG17)=0),0,N(W17)*IF(N(R17)/N(W17)&gt;=60,N(BG17),1))</f>
        <v/>
      </c>
      <c r="AW17" s="7">
        <f>N(W17)*N(AF17)*N(BH17)</f>
        <v/>
      </c>
      <c r="AX17" s="7">
        <f>N(AL17)*(Assumptions!$B$13*N(BJ17)-(1-Assumptions!$B$13)*Assumptions!$B$14)+N(AM17)</f>
        <v/>
      </c>
      <c r="AY17" s="7">
        <f>N(AU17)*N(R17)/90+N(AV17)+N(AW17)+N(AX17)</f>
        <v/>
      </c>
      <c r="AZ17" s="3">
        <f>IF(N(R17)&lt;=0,0,(N(AY17)-N(AX17))*90/N(R17))</f>
        <v/>
      </c>
      <c r="BA17" s="7">
        <f>IFERROR(AY17-VLOOKUP($E17,Assumptions!$A$40:$C$43,3,FALSE),"")</f>
        <v/>
      </c>
      <c r="BB17" s="3">
        <f>IFERROR(BA17/H17,"")</f>
        <v/>
      </c>
      <c r="BC17">
        <f>IF(AND($G17=TRUE,$E17="GKP"),AY17,"")</f>
        <v/>
      </c>
      <c r="BD17">
        <f>IF(AND($G17=TRUE,$E17="DEF"),AY17,"")</f>
        <v/>
      </c>
      <c r="BE17">
        <f>IF(AND($G17=TRUE,$E17="MID"),AY17,"")</f>
        <v/>
      </c>
      <c r="BF17">
        <f>IF(AND($G17=TRUE,$E17="FWD"),AY17,"")</f>
        <v/>
      </c>
      <c r="BG17" t="n">
        <v>2</v>
      </c>
      <c r="BH17" t="n">
        <v>2</v>
      </c>
      <c r="BI17" t="n">
        <v>0</v>
      </c>
      <c r="BJ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s="8" t="n">
        <v>3266</v>
      </c>
      <c r="O18" s="8" t="n">
        <v>0</v>
      </c>
      <c r="Q18" t="inlineStr">
        <is>
          <t>flat</t>
        </is>
      </c>
      <c r="R18" s="6" t="n">
        <v>3266</v>
      </c>
      <c r="S18" t="inlineStr">
        <is>
          <t>Solio</t>
        </is>
      </c>
      <c r="U18" s="6" t="n">
        <v>88.2</v>
      </c>
      <c r="V18" s="2" t="n">
        <v>38</v>
      </c>
      <c r="W18" s="7">
        <f>IF(N(U18)&lt;=0,0,MIN(Assumptions!$B$15,N(R18)/N(U18)))</f>
        <v/>
      </c>
      <c r="X18" s="6" t="n">
        <v>0.23</v>
      </c>
      <c r="Y18" s="3" t="n">
        <v>0.0369</v>
      </c>
      <c r="Z18" t="inlineStr">
        <is>
          <t>adjusted xGOT</t>
        </is>
      </c>
      <c r="AA18" s="3" t="n">
        <v>1</v>
      </c>
      <c r="AB18" s="3" t="n">
        <v>1.027</v>
      </c>
      <c r="AC18" s="3" t="n">
        <v>1.4</v>
      </c>
      <c r="AD18" s="3" t="n">
        <v>0.09959999999999999</v>
      </c>
      <c r="AE18" s="3" t="n">
        <v>7.961</v>
      </c>
      <c r="AF18" s="3" t="n">
        <v>0.259105901528311</v>
      </c>
      <c r="AG18" s="3" t="n">
        <v>0.5062</v>
      </c>
      <c r="AH18" s="3" t="n">
        <v>76</v>
      </c>
      <c r="AI18" s="3" t="n">
        <v>3.0957</v>
      </c>
      <c r="AJ18" s="3" t="n">
        <v>1.53</v>
      </c>
      <c r="AK18" s="3" t="n">
        <v>-0.1693904092894715</v>
      </c>
      <c r="AL18" s="6" t="n">
        <v>0</v>
      </c>
      <c r="AM18" s="3" t="n">
        <v>0</v>
      </c>
      <c r="AN18" s="3" t="n">
        <v>0.2214</v>
      </c>
      <c r="AO18" s="3" t="n">
        <v>0.3944159999999999</v>
      </c>
      <c r="AP18" s="3">
        <f>N(X18)*N(BI18)</f>
        <v/>
      </c>
      <c r="AQ18" s="3" t="n">
        <v>0.5062</v>
      </c>
      <c r="AR18" s="3" t="n">
        <v>0</v>
      </c>
      <c r="AS18" s="3" t="n">
        <v>-0.5267219238049191</v>
      </c>
      <c r="AT18" s="3" t="n">
        <v>-0.1693904092894715</v>
      </c>
      <c r="AU18" s="3">
        <f>SUM(AN18:AT18)</f>
        <v/>
      </c>
      <c r="AV18" s="7">
        <f>IF(OR(N(W18)&lt;=0,N(BG18)=0),0,N(W18)*IF(N(R18)/N(W18)&gt;=60,N(BG18),1))</f>
        <v/>
      </c>
      <c r="AW18" s="7">
        <f>N(W18)*N(AF18)*N(BH18)</f>
        <v/>
      </c>
      <c r="AX18" s="7">
        <f>N(AL18)*(Assumptions!$B$13*N(BJ18)-(1-Assumptions!$B$13)*Assumptions!$B$14)+N(AM18)</f>
        <v/>
      </c>
      <c r="AY18" s="7">
        <f>N(AU18)*N(R18)/90+N(AV18)+N(AW18)+N(AX18)</f>
        <v/>
      </c>
      <c r="AZ18" s="3">
        <f>IF(N(R18)&lt;=0,0,(N(AY18)-N(AX18))*90/N(R18))</f>
        <v/>
      </c>
      <c r="BA18" s="7">
        <f>IFERROR(AY18-VLOOKUP($E18,Assumptions!$A$40:$C$43,3,FALSE),"")</f>
        <v/>
      </c>
      <c r="BB18" s="3">
        <f>IFERROR(BA18/H18,"")</f>
        <v/>
      </c>
      <c r="BC18">
        <f>IF(AND($G18=TRUE,$E18="GKP"),AY18,"")</f>
        <v/>
      </c>
      <c r="BD18">
        <f>IF(AND($G18=TRUE,$E18="DEF"),AY18,"")</f>
        <v/>
      </c>
      <c r="BE18">
        <f>IF(AND($G18=TRUE,$E18="MID"),AY18,"")</f>
        <v/>
      </c>
      <c r="BF18">
        <f>IF(AND($G18=TRUE,$E18="FWD"),AY18,"")</f>
        <v/>
      </c>
      <c r="BG18" t="n">
        <v>2</v>
      </c>
      <c r="BH18" t="n">
        <v>2</v>
      </c>
      <c r="BI18" t="n">
        <v>4</v>
      </c>
      <c r="BJ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s="8" t="n">
        <v>3385</v>
      </c>
      <c r="O19" s="8" t="n">
        <v>0</v>
      </c>
      <c r="Q19" t="inlineStr">
        <is>
          <t>flat</t>
        </is>
      </c>
      <c r="R19" s="6" t="n">
        <v>3385</v>
      </c>
      <c r="S19" t="inlineStr">
        <is>
          <t>Solio</t>
        </is>
      </c>
      <c r="U19" s="6" t="n">
        <v>90</v>
      </c>
      <c r="V19" s="2" t="n">
        <v>37</v>
      </c>
      <c r="W19" s="7">
        <f>IF(N(U19)&lt;=0,0,MIN(Assumptions!$B$15,N(R19)/N(U19)))</f>
        <v/>
      </c>
      <c r="X19" s="6" t="n">
        <v>0.391</v>
      </c>
      <c r="Y19" s="3" t="n">
        <v>0</v>
      </c>
      <c r="Z19" t="inlineStr">
        <is>
          <t>adjusted xGOT</t>
        </is>
      </c>
      <c r="AA19" s="3" t="n">
        <v>1</v>
      </c>
      <c r="AB19" s="3" t="n">
        <v>0.986</v>
      </c>
      <c r="AC19" s="3" t="n">
        <v>0.1</v>
      </c>
      <c r="AD19" s="3" t="n">
        <v>0.003</v>
      </c>
      <c r="AE19" s="3" t="n">
        <v>0</v>
      </c>
      <c r="AF19" s="3" t="n">
        <v>0</v>
      </c>
      <c r="AG19" s="3" t="n">
        <v>0.2973</v>
      </c>
      <c r="AH19" s="3" t="n">
        <v>74</v>
      </c>
      <c r="AI19" s="3" t="n">
        <v>2.067</v>
      </c>
      <c r="AJ19" s="3" t="n">
        <v>0.9838</v>
      </c>
      <c r="AK19" s="3" t="n">
        <v>-0.056840824704898</v>
      </c>
      <c r="AL19" s="6" t="n">
        <v>0</v>
      </c>
      <c r="AM19" s="3" t="n">
        <v>2.07881333697145</v>
      </c>
      <c r="AN19" s="3" t="n">
        <v>0</v>
      </c>
      <c r="AO19" s="3" t="n">
        <v>0.01188</v>
      </c>
      <c r="AP19" s="3">
        <f>N(X19)*N(BI19)</f>
        <v/>
      </c>
      <c r="AQ19" s="3" t="n">
        <v>0.2973</v>
      </c>
      <c r="AR19" s="3" t="n">
        <v>0.3608597487600056</v>
      </c>
      <c r="AS19" s="3" t="n">
        <v>-0.2768479886568037</v>
      </c>
      <c r="AT19" s="3" t="n">
        <v>-0.056840824704898</v>
      </c>
      <c r="AU19" s="3">
        <f>SUM(AN19:AT19)</f>
        <v/>
      </c>
      <c r="AV19" s="7">
        <f>IF(OR(N(W19)&lt;=0,N(BG19)=0),0,N(W19)*IF(N(R19)/N(W19)&gt;=60,N(BG19),1))</f>
        <v/>
      </c>
      <c r="AW19" s="7">
        <f>N(W19)*N(AF19)*N(BH19)</f>
        <v/>
      </c>
      <c r="AX19" s="7">
        <f>N(AL19)*(Assumptions!$B$13*N(BJ19)-(1-Assumptions!$B$13)*Assumptions!$B$14)+N(AM19)</f>
        <v/>
      </c>
      <c r="AY19" s="7">
        <f>N(AU19)*N(R19)/90+N(AV19)+N(AW19)+N(AX19)</f>
        <v/>
      </c>
      <c r="AZ19" s="3">
        <f>IF(N(R19)&lt;=0,0,(N(AY19)-N(AX19))*90/N(R19))</f>
        <v/>
      </c>
      <c r="BA19" s="7">
        <f>IFERROR(AY19-VLOOKUP($E19,Assumptions!$A$40:$C$43,3,FALSE),"")</f>
        <v/>
      </c>
      <c r="BB19" s="3">
        <f>IFERROR(BA19/H19,"")</f>
        <v/>
      </c>
      <c r="BC19">
        <f>IF(AND($G19=TRUE,$E19="GKP"),AY19,"")</f>
        <v/>
      </c>
      <c r="BD19">
        <f>IF(AND($G19=TRUE,$E19="DEF"),AY19,"")</f>
        <v/>
      </c>
      <c r="BE19">
        <f>IF(AND($G19=TRUE,$E19="MID"),AY19,"")</f>
        <v/>
      </c>
      <c r="BF19">
        <f>IF(AND($G19=TRUE,$E19="FWD"),AY19,"")</f>
        <v/>
      </c>
      <c r="BG19" t="n">
        <v>2</v>
      </c>
      <c r="BH19" t="n">
        <v>0</v>
      </c>
      <c r="BI19" t="n">
        <v>4</v>
      </c>
      <c r="BJ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s="8" t="n">
        <v>3344</v>
      </c>
      <c r="O20" s="8" t="n">
        <v>0</v>
      </c>
      <c r="Q20" t="inlineStr">
        <is>
          <t>flat</t>
        </is>
      </c>
      <c r="R20" s="6" t="n">
        <v>3344</v>
      </c>
      <c r="S20" t="inlineStr">
        <is>
          <t>Solio</t>
        </is>
      </c>
      <c r="U20" s="6" t="n">
        <v>87.59999999999999</v>
      </c>
      <c r="V20" s="2" t="n">
        <v>35</v>
      </c>
      <c r="W20" s="7">
        <f>IF(N(U20)&lt;=0,0,MIN(Assumptions!$B$15,N(R20)/N(U20)))</f>
        <v/>
      </c>
      <c r="X20" s="6" t="n">
        <v>0.342</v>
      </c>
      <c r="Y20" s="3" t="n">
        <v>0.0886</v>
      </c>
      <c r="Z20" t="inlineStr">
        <is>
          <t>adjusted xGOT</t>
        </is>
      </c>
      <c r="AA20" s="3" t="n">
        <v>0.839</v>
      </c>
      <c r="AB20" s="3" t="n">
        <v>0.797</v>
      </c>
      <c r="AC20" s="3" t="n">
        <v>15.3</v>
      </c>
      <c r="AD20" s="3" t="n">
        <v>0.2181</v>
      </c>
      <c r="AE20" s="3" t="n">
        <v>9.26</v>
      </c>
      <c r="AF20" s="3" t="n">
        <v>0.1982611837142924</v>
      </c>
      <c r="AG20" s="3" t="n">
        <v>0.5848</v>
      </c>
      <c r="AH20" s="3" t="n">
        <v>72</v>
      </c>
      <c r="AI20" s="3" t="n">
        <v>2.409</v>
      </c>
      <c r="AJ20" s="3" t="n">
        <v>1.1228</v>
      </c>
      <c r="AK20" s="3" t="n">
        <v>-0.2118356850631689</v>
      </c>
      <c r="AL20" s="6" t="n">
        <v>2.165971915184847</v>
      </c>
      <c r="AM20" s="3" t="n">
        <v>0</v>
      </c>
      <c r="AN20" s="3" t="n">
        <v>0.443</v>
      </c>
      <c r="AO20" s="3" t="n">
        <v>0.863676</v>
      </c>
      <c r="AP20" s="3">
        <f>N(X20)*N(BI20)</f>
        <v/>
      </c>
      <c r="AQ20" s="3" t="n">
        <v>0.5848</v>
      </c>
      <c r="AR20" s="3" t="n">
        <v>0</v>
      </c>
      <c r="AS20" s="3" t="n">
        <v>-0</v>
      </c>
      <c r="AT20" s="3" t="n">
        <v>-0.2118356850631689</v>
      </c>
      <c r="AU20" s="3">
        <f>SUM(AN20:AT20)</f>
        <v/>
      </c>
      <c r="AV20" s="7">
        <f>IF(OR(N(W20)&lt;=0,N(BG20)=0),0,N(W20)*IF(N(R20)/N(W20)&gt;=60,N(BG20),1))</f>
        <v/>
      </c>
      <c r="AW20" s="7">
        <f>N(W20)*N(AF20)*N(BH20)</f>
        <v/>
      </c>
      <c r="AX20" s="7">
        <f>N(AL20)*(Assumptions!$B$13*N(BJ20)-(1-Assumptions!$B$13)*Assumptions!$B$14)+N(AM20)</f>
        <v/>
      </c>
      <c r="AY20" s="7">
        <f>N(AU20)*N(R20)/90+N(AV20)+N(AW20)+N(AX20)</f>
        <v/>
      </c>
      <c r="AZ20" s="3">
        <f>IF(N(R20)&lt;=0,0,(N(AY20)-N(AX20))*90/N(R20))</f>
        <v/>
      </c>
      <c r="BA20" s="7">
        <f>IFERROR(AY20-VLOOKUP($E20,Assumptions!$A$40:$C$43,3,FALSE),"")</f>
        <v/>
      </c>
      <c r="BB20" s="3">
        <f>IFERROR(BA20/H20,"")</f>
        <v/>
      </c>
      <c r="BC20">
        <f>IF(AND($G20=TRUE,$E20="GKP"),AY20,"")</f>
        <v/>
      </c>
      <c r="BD20">
        <f>IF(AND($G20=TRUE,$E20="DEF"),AY20,"")</f>
        <v/>
      </c>
      <c r="BE20">
        <f>IF(AND($G20=TRUE,$E20="MID"),AY20,"")</f>
        <v/>
      </c>
      <c r="BF20">
        <f>IF(AND($G20=TRUE,$E20="FWD"),AY20,"")</f>
        <v/>
      </c>
      <c r="BG20" t="n">
        <v>2</v>
      </c>
      <c r="BH20" t="n">
        <v>2</v>
      </c>
      <c r="BI20" t="n">
        <v>1</v>
      </c>
      <c r="BJ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s="8" t="n">
        <v>2753</v>
      </c>
      <c r="O21" s="8" t="n">
        <v>0</v>
      </c>
      <c r="Q21" t="inlineStr">
        <is>
          <t>flat</t>
        </is>
      </c>
      <c r="R21" s="6" t="n">
        <v>2753</v>
      </c>
      <c r="S21" t="inlineStr">
        <is>
          <t>Solio</t>
        </is>
      </c>
      <c r="U21" s="6" t="n">
        <v>86.3</v>
      </c>
      <c r="V21" s="2" t="n">
        <v>29</v>
      </c>
      <c r="W21" s="7">
        <f>IF(N(U21)&lt;=0,0,MIN(Assumptions!$B$15,N(R21)/N(U21)))</f>
        <v/>
      </c>
      <c r="X21" s="6" t="n">
        <v>0.371</v>
      </c>
      <c r="Y21" s="3" t="n">
        <v>0.2165</v>
      </c>
      <c r="Z21" t="inlineStr">
        <is>
          <t>adjusted xGOT</t>
        </is>
      </c>
      <c r="AA21" s="3" t="n">
        <v>1</v>
      </c>
      <c r="AB21" s="3" t="n">
        <v>1.039</v>
      </c>
      <c r="AC21" s="3" t="n">
        <v>7.4</v>
      </c>
      <c r="AD21" s="3" t="n">
        <v>0.111</v>
      </c>
      <c r="AE21" s="3" t="n">
        <v>6.248</v>
      </c>
      <c r="AF21" s="3" t="n">
        <v>0.08331530663100983</v>
      </c>
      <c r="AG21" s="3" t="n">
        <v>0.3746</v>
      </c>
      <c r="AH21" s="3" t="n">
        <v>62</v>
      </c>
      <c r="AI21" s="3" t="n">
        <v>1.9737</v>
      </c>
      <c r="AJ21" s="3" t="n">
        <v>1.0365</v>
      </c>
      <c r="AK21" s="3" t="n">
        <v>-0.1835423809503319</v>
      </c>
      <c r="AL21" s="6" t="n">
        <v>0</v>
      </c>
      <c r="AM21" s="3" t="n">
        <v>0</v>
      </c>
      <c r="AN21" s="3" t="n">
        <v>1.299</v>
      </c>
      <c r="AO21" s="3" t="n">
        <v>0.4395600000000001</v>
      </c>
      <c r="AP21" s="3">
        <f>N(X21)*N(BI21)</f>
        <v/>
      </c>
      <c r="AQ21" s="3" t="n">
        <v>0.3746</v>
      </c>
      <c r="AR21" s="3" t="n">
        <v>0</v>
      </c>
      <c r="AS21" s="3" t="n">
        <v>-0.2997019479071323</v>
      </c>
      <c r="AT21" s="3" t="n">
        <v>-0.1835423809503319</v>
      </c>
      <c r="AU21" s="3">
        <f>SUM(AN21:AT21)</f>
        <v/>
      </c>
      <c r="AV21" s="7">
        <f>IF(OR(N(W21)&lt;=0,N(BG21)=0),0,N(W21)*IF(N(R21)/N(W21)&gt;=60,N(BG21),1))</f>
        <v/>
      </c>
      <c r="AW21" s="7">
        <f>N(W21)*N(AF21)*N(BH21)</f>
        <v/>
      </c>
      <c r="AX21" s="7">
        <f>N(AL21)*(Assumptions!$B$13*N(BJ21)-(1-Assumptions!$B$13)*Assumptions!$B$14)+N(AM21)</f>
        <v/>
      </c>
      <c r="AY21" s="7">
        <f>N(AU21)*N(R21)/90+N(AV21)+N(AW21)+N(AX21)</f>
        <v/>
      </c>
      <c r="AZ21" s="3">
        <f>IF(N(R21)&lt;=0,0,(N(AY21)-N(AX21))*90/N(R21))</f>
        <v/>
      </c>
      <c r="BA21" s="7">
        <f>IFERROR(AY21-VLOOKUP($E21,Assumptions!$A$40:$C$43,3,FALSE),"")</f>
        <v/>
      </c>
      <c r="BB21" s="3">
        <f>IFERROR(BA21/H21,"")</f>
        <v/>
      </c>
      <c r="BC21">
        <f>IF(AND($G21=TRUE,$E21="GKP"),AY21,"")</f>
        <v/>
      </c>
      <c r="BD21">
        <f>IF(AND($G21=TRUE,$E21="DEF"),AY21,"")</f>
        <v/>
      </c>
      <c r="BE21">
        <f>IF(AND($G21=TRUE,$E21="MID"),AY21,"")</f>
        <v/>
      </c>
      <c r="BF21">
        <f>IF(AND($G21=TRUE,$E21="FWD"),AY21,"")</f>
        <v/>
      </c>
      <c r="BG21" t="n">
        <v>2</v>
      </c>
      <c r="BH21" t="n">
        <v>2</v>
      </c>
      <c r="BI21" t="n">
        <v>4</v>
      </c>
      <c r="BJ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s="4" t="n">
        <v>2850</v>
      </c>
      <c r="O22" s="4" t="n">
        <v>-460</v>
      </c>
      <c r="P22" s="5" t="inlineStr">
        <is>
          <t>medium</t>
        </is>
      </c>
      <c r="Q22" t="inlineStr">
        <is>
          <t>flat</t>
        </is>
      </c>
      <c r="R22" s="6" t="n">
        <v>2850</v>
      </c>
      <c r="S22" t="inlineStr">
        <is>
          <t>research</t>
        </is>
      </c>
      <c r="T22" s="5" t="inlineStr">
        <is>
          <t>Solio's second-highest Everton projection for a player who has had groin surgery and has not played a minute of pre-season. Read Everton's injury tracker on 14 August: 'Still recovering from groin surgery and has missed every pre-season friendly so far. Now genuinely up against it to be involved for the start of the league season.' The official FPL game lists him status 'i' with a 0% chance of playing and an expected return of 22 August - the day of the Crystal Palace opener itself. He is still the closest thing Everton have to a nailed central midfielder, so the cut is a month of games plus a re-integration allowance, not a re-rating.</t>
        </is>
      </c>
      <c r="U22" s="6" t="n">
        <v>87.8</v>
      </c>
      <c r="V22" s="2" t="n">
        <v>38</v>
      </c>
      <c r="W22" s="7">
        <f>IF(N(U22)&lt;=0,0,MIN(Assumptions!$B$15,N(R22)/N(U22)))</f>
        <v/>
      </c>
      <c r="X22" s="6" t="n">
        <v>0.231</v>
      </c>
      <c r="Y22" s="3" t="n">
        <v>0.0507</v>
      </c>
      <c r="Z22" t="inlineStr">
        <is>
          <t>adjusted xGOT</t>
        </is>
      </c>
      <c r="AA22" s="3" t="n">
        <v>1</v>
      </c>
      <c r="AB22" s="3" t="n">
        <v>0.916</v>
      </c>
      <c r="AC22" s="3" t="n">
        <v>6.1</v>
      </c>
      <c r="AD22" s="3" t="n">
        <v>0.1615</v>
      </c>
      <c r="AE22" s="3" t="n">
        <v>11.468</v>
      </c>
      <c r="AF22" s="3" t="n">
        <v>0.4431252012309268</v>
      </c>
      <c r="AG22" s="3" t="n">
        <v>0.3164</v>
      </c>
      <c r="AH22" s="3" t="n">
        <v>76</v>
      </c>
      <c r="AI22" s="3" t="n">
        <v>3.0311</v>
      </c>
      <c r="AJ22" s="3" t="n">
        <v>1.5252</v>
      </c>
      <c r="AK22" s="3" t="n">
        <v>-0.2862280811763025</v>
      </c>
      <c r="AL22" s="6" t="n">
        <v>0.07930555085420241</v>
      </c>
      <c r="AM22" s="3" t="n">
        <v>0</v>
      </c>
      <c r="AN22" s="3" t="n">
        <v>0.2535</v>
      </c>
      <c r="AO22" s="3" t="n">
        <v>0.6395400000000001</v>
      </c>
      <c r="AP22" s="3">
        <f>N(X22)*N(BI22)</f>
        <v/>
      </c>
      <c r="AQ22" s="3" t="n">
        <v>0.3164</v>
      </c>
      <c r="AR22" s="3" t="n">
        <v>0</v>
      </c>
      <c r="AS22" s="3" t="n">
        <v>-0</v>
      </c>
      <c r="AT22" s="3" t="n">
        <v>-0.2862280811763025</v>
      </c>
      <c r="AU22" s="3">
        <f>SUM(AN22:AT22)</f>
        <v/>
      </c>
      <c r="AV22" s="7">
        <f>IF(OR(N(W22)&lt;=0,N(BG22)=0),0,N(W22)*IF(N(R22)/N(W22)&gt;=60,N(BG22),1))</f>
        <v/>
      </c>
      <c r="AW22" s="7">
        <f>N(W22)*N(AF22)*N(BH22)</f>
        <v/>
      </c>
      <c r="AX22" s="7">
        <f>N(AL22)*(Assumptions!$B$13*N(BJ22)-(1-Assumptions!$B$13)*Assumptions!$B$14)+N(AM22)</f>
        <v/>
      </c>
      <c r="AY22" s="7">
        <f>N(AU22)*N(R22)/90+N(AV22)+N(AW22)+N(AX22)</f>
        <v/>
      </c>
      <c r="AZ22" s="3">
        <f>IF(N(R22)&lt;=0,0,(N(AY22)-N(AX22))*90/N(R22))</f>
        <v/>
      </c>
      <c r="BA22" s="7">
        <f>IFERROR(AY22-VLOOKUP($E22,Assumptions!$A$40:$C$43,3,FALSE),"")</f>
        <v/>
      </c>
      <c r="BB22" s="3">
        <f>IFERROR(BA22/H22,"")</f>
        <v/>
      </c>
      <c r="BC22">
        <f>IF(AND($G22=TRUE,$E22="GKP"),AY22,"")</f>
        <v/>
      </c>
      <c r="BD22">
        <f>IF(AND($G22=TRUE,$E22="DEF"),AY22,"")</f>
        <v/>
      </c>
      <c r="BE22">
        <f>IF(AND($G22=TRUE,$E22="MID"),AY22,"")</f>
        <v/>
      </c>
      <c r="BF22">
        <f>IF(AND($G22=TRUE,$E22="FWD"),AY22,"")</f>
        <v/>
      </c>
      <c r="BG22" t="n">
        <v>2</v>
      </c>
      <c r="BH22" t="n">
        <v>2</v>
      </c>
      <c r="BI22" t="n">
        <v>1</v>
      </c>
      <c r="BJ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s="4" t="n">
        <v>2800</v>
      </c>
      <c r="O23" s="4" t="n">
        <v>-346</v>
      </c>
      <c r="P23" s="5" t="inlineStr">
        <is>
          <t>medium</t>
        </is>
      </c>
      <c r="Q23" t="inlineStr">
        <is>
          <t>flat</t>
        </is>
      </c>
      <c r="R23" s="6" t="n">
        <v>2800</v>
      </c>
      <c r="S23" t="inlineStr">
        <is>
          <t>research</t>
        </is>
      </c>
      <c r="T23" s="5" t="inlineStr">
        <is>
          <t>Trimmed from 92% of every available minute. He was a substitute, not a starter, in the final pre-season friendly - the XI Last Word on Football calls 'likely the strongest XI for the start of the league campaign' - with captain Reece James starting the pivot alongside Caicedo after Enzo's late return from the World Cup final. He also carries live exit interest (Real Madrid; Chelsea asking around EUR 140m, rated 'Low' likelihood). Still projected as a heavy-minutes starter, just not an ever-present.</t>
        </is>
      </c>
      <c r="U23" s="6" t="n">
        <v>86.2</v>
      </c>
      <c r="V23" s="2" t="n">
        <v>35</v>
      </c>
      <c r="W23" s="7">
        <f>IF(N(U23)&lt;=0,0,MIN(Assumptions!$B$15,N(R23)/N(U23)))</f>
        <v/>
      </c>
      <c r="X23" s="6" t="n">
        <v>0.322</v>
      </c>
      <c r="Y23" s="3" t="n">
        <v>0.3008</v>
      </c>
      <c r="Z23" t="inlineStr">
        <is>
          <t>adjusted xGOT</t>
        </is>
      </c>
      <c r="AA23" s="3" t="n">
        <v>0.872</v>
      </c>
      <c r="AB23" s="3" t="n">
        <v>1.06</v>
      </c>
      <c r="AC23" s="3" t="n">
        <v>24</v>
      </c>
      <c r="AD23" s="3" t="n">
        <v>0.233</v>
      </c>
      <c r="AE23" s="3" t="n">
        <v>7.338</v>
      </c>
      <c r="AF23" s="3" t="n">
        <v>0.05463250663240771</v>
      </c>
      <c r="AG23" s="3" t="n">
        <v>0.5491</v>
      </c>
      <c r="AH23" s="3" t="n">
        <v>71</v>
      </c>
      <c r="AI23" s="3" t="n">
        <v>2.4232</v>
      </c>
      <c r="AJ23" s="3" t="n">
        <v>1.1851</v>
      </c>
      <c r="AK23" s="3" t="n">
        <v>-0.2764082197869656</v>
      </c>
      <c r="AL23" s="6" t="n">
        <v>0.8435822915217317</v>
      </c>
      <c r="AM23" s="3" t="n">
        <v>0</v>
      </c>
      <c r="AN23" s="3" t="n">
        <v>1.504</v>
      </c>
      <c r="AO23" s="3" t="n">
        <v>0.9226800000000002</v>
      </c>
      <c r="AP23" s="3">
        <f>N(X23)*N(BI23)</f>
        <v/>
      </c>
      <c r="AQ23" s="3" t="n">
        <v>0.5491</v>
      </c>
      <c r="AR23" s="3" t="n">
        <v>0</v>
      </c>
      <c r="AS23" s="3" t="n">
        <v>-0</v>
      </c>
      <c r="AT23" s="3" t="n">
        <v>-0.2764082197869656</v>
      </c>
      <c r="AU23" s="3">
        <f>SUM(AN23:AT23)</f>
        <v/>
      </c>
      <c r="AV23" s="7">
        <f>IF(OR(N(W23)&lt;=0,N(BG23)=0),0,N(W23)*IF(N(R23)/N(W23)&gt;=60,N(BG23),1))</f>
        <v/>
      </c>
      <c r="AW23" s="7">
        <f>N(W23)*N(AF23)*N(BH23)</f>
        <v/>
      </c>
      <c r="AX23" s="7">
        <f>N(AL23)*(Assumptions!$B$13*N(BJ23)-(1-Assumptions!$B$13)*Assumptions!$B$14)+N(AM23)</f>
        <v/>
      </c>
      <c r="AY23" s="7">
        <f>N(AU23)*N(R23)/90+N(AV23)+N(AW23)+N(AX23)</f>
        <v/>
      </c>
      <c r="AZ23" s="3">
        <f>IF(N(R23)&lt;=0,0,(N(AY23)-N(AX23))*90/N(R23))</f>
        <v/>
      </c>
      <c r="BA23" s="7">
        <f>IFERROR(AY23-VLOOKUP($E23,Assumptions!$A$40:$C$43,3,FALSE),"")</f>
        <v/>
      </c>
      <c r="BB23" s="3">
        <f>IFERROR(BA23/H23,"")</f>
        <v/>
      </c>
      <c r="BC23">
        <f>IF(AND($G23=TRUE,$E23="GKP"),AY23,"")</f>
        <v/>
      </c>
      <c r="BD23">
        <f>IF(AND($G23=TRUE,$E23="DEF"),AY23,"")</f>
        <v/>
      </c>
      <c r="BE23">
        <f>IF(AND($G23=TRUE,$E23="MID"),AY23,"")</f>
        <v/>
      </c>
      <c r="BF23">
        <f>IF(AND($G23=TRUE,$E23="FWD"),AY23,"")</f>
        <v/>
      </c>
      <c r="BG23" t="n">
        <v>2</v>
      </c>
      <c r="BH23" t="n">
        <v>2</v>
      </c>
      <c r="BI23" t="n">
        <v>1</v>
      </c>
      <c r="BJ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s="8" t="n">
        <v>2827</v>
      </c>
      <c r="O24" s="8" t="n">
        <v>0</v>
      </c>
      <c r="Q24" t="inlineStr">
        <is>
          <t>flat</t>
        </is>
      </c>
      <c r="R24" s="6" t="n">
        <v>2827</v>
      </c>
      <c r="S24" t="inlineStr">
        <is>
          <t>Solio</t>
        </is>
      </c>
      <c r="U24" s="6" t="n">
        <v>81.7</v>
      </c>
      <c r="V24" s="2" t="n">
        <v>25</v>
      </c>
      <c r="W24" s="7">
        <f>IF(N(U24)&lt;=0,0,MIN(Assumptions!$B$15,N(R24)/N(U24)))</f>
        <v/>
      </c>
      <c r="X24" s="6" t="n">
        <v>0.391</v>
      </c>
      <c r="Y24" s="3" t="n">
        <v>0.2699</v>
      </c>
      <c r="Z24" t="inlineStr">
        <is>
          <t>adjusted xGOT</t>
        </is>
      </c>
      <c r="AA24" s="3" t="n">
        <v>0.913</v>
      </c>
      <c r="AB24" s="3" t="n">
        <v>0.963</v>
      </c>
      <c r="AC24" s="3" t="n">
        <v>41.3</v>
      </c>
      <c r="AD24" s="3" t="n">
        <v>0.3188</v>
      </c>
      <c r="AE24" s="3" t="n">
        <v>7.738</v>
      </c>
      <c r="AF24" s="3" t="n">
        <v>0.05445878206049681</v>
      </c>
      <c r="AG24" s="3" t="n">
        <v>0.6492</v>
      </c>
      <c r="AH24" s="3" t="n">
        <v>54</v>
      </c>
      <c r="AI24" s="3" t="n">
        <v>2.067</v>
      </c>
      <c r="AJ24" s="3" t="n">
        <v>0.9838</v>
      </c>
      <c r="AK24" s="3" t="n">
        <v>-0.1485443152936058</v>
      </c>
      <c r="AL24" s="6" t="n">
        <v>5.487350807519032</v>
      </c>
      <c r="AM24" s="3" t="n">
        <v>0</v>
      </c>
      <c r="AN24" s="3" t="n">
        <v>1.3495</v>
      </c>
      <c r="AO24" s="3" t="n">
        <v>1.262448</v>
      </c>
      <c r="AP24" s="3">
        <f>N(X24)*N(BI24)</f>
        <v/>
      </c>
      <c r="AQ24" s="3" t="n">
        <v>0.6492</v>
      </c>
      <c r="AR24" s="3" t="n">
        <v>0</v>
      </c>
      <c r="AS24" s="3" t="n">
        <v>-0</v>
      </c>
      <c r="AT24" s="3" t="n">
        <v>-0.1485443152936058</v>
      </c>
      <c r="AU24" s="3">
        <f>SUM(AN24:AT24)</f>
        <v/>
      </c>
      <c r="AV24" s="7">
        <f>IF(OR(N(W24)&lt;=0,N(BG24)=0),0,N(W24)*IF(N(R24)/N(W24)&gt;=60,N(BG24),1))</f>
        <v/>
      </c>
      <c r="AW24" s="7">
        <f>N(W24)*N(AF24)*N(BH24)</f>
        <v/>
      </c>
      <c r="AX24" s="7">
        <f>N(AL24)*(Assumptions!$B$13*N(BJ24)-(1-Assumptions!$B$13)*Assumptions!$B$14)+N(AM24)</f>
        <v/>
      </c>
      <c r="AY24" s="7">
        <f>N(AU24)*N(R24)/90+N(AV24)+N(AW24)+N(AX24)</f>
        <v/>
      </c>
      <c r="AZ24" s="3">
        <f>IF(N(R24)&lt;=0,0,(N(AY24)-N(AX24))*90/N(R24))</f>
        <v/>
      </c>
      <c r="BA24" s="7">
        <f>IFERROR(AY24-VLOOKUP($E24,Assumptions!$A$40:$C$43,3,FALSE),"")</f>
        <v/>
      </c>
      <c r="BB24" s="3">
        <f>IFERROR(BA24/H24,"")</f>
        <v/>
      </c>
      <c r="BC24">
        <f>IF(AND($G24=TRUE,$E24="GKP"),AY24,"")</f>
        <v/>
      </c>
      <c r="BD24">
        <f>IF(AND($G24=TRUE,$E24="DEF"),AY24,"")</f>
        <v/>
      </c>
      <c r="BE24">
        <f>IF(AND($G24=TRUE,$E24="MID"),AY24,"")</f>
        <v/>
      </c>
      <c r="BF24">
        <f>IF(AND($G24=TRUE,$E24="FWD"),AY24,"")</f>
        <v/>
      </c>
      <c r="BG24" t="n">
        <v>2</v>
      </c>
      <c r="BH24" t="n">
        <v>2</v>
      </c>
      <c r="BI24" t="n">
        <v>1</v>
      </c>
      <c r="BJ24" t="n">
        <v>5</v>
      </c>
    </row>
    <row r="25">
      <c r="A25" s="9" t="inlineStr">
        <is>
          <t>Maxence Lacroix</t>
        </is>
      </c>
      <c r="B25" t="inlineStr">
        <is>
          <t>CHE</t>
        </is>
      </c>
      <c r="C25" s="9" t="inlineStr">
        <is>
          <t>CRY</t>
        </is>
      </c>
      <c r="D25" t="b">
        <v>1</v>
      </c>
      <c r="E25" t="inlineStr">
        <is>
          <t>DEF</t>
        </is>
      </c>
      <c r="F25" t="inlineStr">
        <is>
          <t>DEF</t>
        </is>
      </c>
      <c r="G25" t="b">
        <v>1</v>
      </c>
      <c r="H25" s="2" t="n">
        <v>6</v>
      </c>
      <c r="I25" t="inlineStr">
        <is>
          <t>a</t>
        </is>
      </c>
      <c r="K25" s="2" t="n">
        <v>3085</v>
      </c>
      <c r="L25" t="n">
        <v>154</v>
      </c>
      <c r="M25" s="3" t="n">
        <v>2189</v>
      </c>
      <c r="N25" s="8" t="n">
        <v>2189</v>
      </c>
      <c r="O25" s="8" t="n">
        <v>0</v>
      </c>
      <c r="Q25" t="inlineStr">
        <is>
          <t>flat</t>
        </is>
      </c>
      <c r="R25" s="6" t="n">
        <v>2189</v>
      </c>
      <c r="S25" t="inlineStr">
        <is>
          <t>Solio</t>
        </is>
      </c>
      <c r="U25" s="6" t="n">
        <v>88.3</v>
      </c>
      <c r="V25" s="2" t="n">
        <v>34</v>
      </c>
      <c r="W25" s="7">
        <f>IF(N(U25)&lt;=0,0,MIN(Assumptions!$B$15,N(R25)/N(U25)))</f>
        <v/>
      </c>
      <c r="X25" s="6" t="n">
        <v>0.322</v>
      </c>
      <c r="Y25" s="10" t="n">
        <v>0.0574</v>
      </c>
      <c r="Z25" t="inlineStr">
        <is>
          <t>adjusted xGOT</t>
        </is>
      </c>
      <c r="AA25" s="3" t="n">
        <v>1</v>
      </c>
      <c r="AB25" s="3" t="n">
        <v>0.803</v>
      </c>
      <c r="AC25" s="3" t="n">
        <v>6</v>
      </c>
      <c r="AD25" s="10" t="n">
        <v>0.0309</v>
      </c>
      <c r="AE25" s="3" t="n">
        <v>10.206</v>
      </c>
      <c r="AF25" s="3" t="n">
        <v>0.543723143089231</v>
      </c>
      <c r="AG25" s="3" t="n">
        <v>0.3501</v>
      </c>
      <c r="AH25" s="3" t="n">
        <v>69</v>
      </c>
      <c r="AI25" s="3" t="n">
        <v>2.4232</v>
      </c>
      <c r="AJ25" s="3" t="n">
        <v>1.1851</v>
      </c>
      <c r="AK25" s="3" t="n">
        <v>-0.1610023163996321</v>
      </c>
      <c r="AL25" s="6" t="n">
        <v>0</v>
      </c>
      <c r="AM25" s="3" t="n">
        <v>0</v>
      </c>
      <c r="AN25" s="10" t="n">
        <v>0.3444</v>
      </c>
      <c r="AO25" s="10" t="n">
        <v>0.122364</v>
      </c>
      <c r="AP25" s="3">
        <f>N(X25)*N(BI25)</f>
        <v/>
      </c>
      <c r="AQ25" s="3" t="n">
        <v>0.3501</v>
      </c>
      <c r="AR25" s="3" t="n">
        <v>0</v>
      </c>
      <c r="AS25" s="3" t="n">
        <v>-0.365915508000572</v>
      </c>
      <c r="AT25" s="3" t="n">
        <v>-0.1610023163996321</v>
      </c>
      <c r="AU25" s="3">
        <f>SUM(AN25:AT25)</f>
        <v/>
      </c>
      <c r="AV25" s="7">
        <f>IF(OR(N(W25)&lt;=0,N(BG25)=0),0,N(W25)*IF(N(R25)/N(W25)&gt;=60,N(BG25),1))</f>
        <v/>
      </c>
      <c r="AW25" s="7">
        <f>N(W25)*N(AF25)*N(BH25)</f>
        <v/>
      </c>
      <c r="AX25" s="7">
        <f>N(AL25)*(Assumptions!$B$13*N(BJ25)-(1-Assumptions!$B$13)*Assumptions!$B$14)+N(AM25)</f>
        <v/>
      </c>
      <c r="AY25" s="7">
        <f>N(AU25)*N(R25)/90+N(AV25)+N(AW25)+N(AX25)</f>
        <v/>
      </c>
      <c r="AZ25" s="3">
        <f>IF(N(R25)&lt;=0,0,(N(AY25)-N(AX25))*90/N(R25))</f>
        <v/>
      </c>
      <c r="BA25" s="7">
        <f>IFERROR(AY25-VLOOKUP($E25,Assumptions!$A$40:$C$43,3,FALSE),"")</f>
        <v/>
      </c>
      <c r="BB25" s="3">
        <f>IFERROR(BA25/H25,"")</f>
        <v/>
      </c>
      <c r="BC25">
        <f>IF(AND($G25=TRUE,$E25="GKP"),AY25,"")</f>
        <v/>
      </c>
      <c r="BD25">
        <f>IF(AND($G25=TRUE,$E25="DEF"),AY25,"")</f>
        <v/>
      </c>
      <c r="BE25">
        <f>IF(AND($G25=TRUE,$E25="MID"),AY25,"")</f>
        <v/>
      </c>
      <c r="BF25">
        <f>IF(AND($G25=TRUE,$E25="FWD"),AY25,"")</f>
        <v/>
      </c>
      <c r="BG25" t="n">
        <v>2</v>
      </c>
      <c r="BH25" t="n">
        <v>2</v>
      </c>
      <c r="BI25" t="n">
        <v>4</v>
      </c>
      <c r="BJ25" t="n">
        <v>6</v>
      </c>
    </row>
    <row r="26">
      <c r="A26" s="9" t="inlineStr">
        <is>
          <t>Bruno Guimarães</t>
        </is>
      </c>
      <c r="B26" t="inlineStr">
        <is>
          <t>ARS</t>
        </is>
      </c>
      <c r="C26" s="9" t="inlineStr">
        <is>
          <t>NEW</t>
        </is>
      </c>
      <c r="D26" t="b">
        <v>1</v>
      </c>
      <c r="E26" t="inlineStr">
        <is>
          <t>MID</t>
        </is>
      </c>
      <c r="F26" t="inlineStr">
        <is>
          <t>MID</t>
        </is>
      </c>
      <c r="G26" t="b">
        <v>1</v>
      </c>
      <c r="H26" s="2" t="n">
        <v>7</v>
      </c>
      <c r="I26" t="inlineStr">
        <is>
          <t>a</t>
        </is>
      </c>
      <c r="K26" s="2" t="n">
        <v>2456</v>
      </c>
      <c r="L26" t="n">
        <v>154</v>
      </c>
      <c r="M26" s="3" t="n">
        <v>2816</v>
      </c>
      <c r="N26" s="8" t="n">
        <v>2816</v>
      </c>
      <c r="O26" s="8" t="n">
        <v>0</v>
      </c>
      <c r="Q26" t="inlineStr">
        <is>
          <t>flat</t>
        </is>
      </c>
      <c r="R26" s="6" t="n">
        <v>2816</v>
      </c>
      <c r="S26" t="inlineStr">
        <is>
          <t>Solio</t>
        </is>
      </c>
      <c r="U26" s="6" t="n">
        <v>86.09999999999999</v>
      </c>
      <c r="V26" s="2" t="n">
        <v>27</v>
      </c>
      <c r="W26" s="7">
        <f>IF(N(U26)&lt;=0,0,MIN(Assumptions!$B$15,N(R26)/N(U26)))</f>
        <v/>
      </c>
      <c r="X26" s="6" t="n">
        <v>0.391</v>
      </c>
      <c r="Y26" s="10" t="n">
        <v>0.1744</v>
      </c>
      <c r="Z26" t="inlineStr">
        <is>
          <t>adjusted xGOT</t>
        </is>
      </c>
      <c r="AA26" s="3" t="n">
        <v>0.769</v>
      </c>
      <c r="AB26" s="3" t="n">
        <v>1.107</v>
      </c>
      <c r="AC26" s="3" t="n">
        <v>17.7</v>
      </c>
      <c r="AD26" s="10" t="n">
        <v>0.1618</v>
      </c>
      <c r="AE26" s="3" t="n">
        <v>9.057</v>
      </c>
      <c r="AF26" s="3" t="n">
        <v>0.1657075948110678</v>
      </c>
      <c r="AG26" s="3" t="n">
        <v>0.8062</v>
      </c>
      <c r="AH26" s="3" t="n">
        <v>56</v>
      </c>
      <c r="AI26" s="3" t="n">
        <v>2.067</v>
      </c>
      <c r="AJ26" s="3" t="n">
        <v>0.9838</v>
      </c>
      <c r="AK26" s="3" t="n">
        <v>-0.2250178554833891</v>
      </c>
      <c r="AL26" s="6" t="n">
        <v>0</v>
      </c>
      <c r="AM26" s="3" t="n">
        <v>0</v>
      </c>
      <c r="AN26" s="10" t="n">
        <v>0.872</v>
      </c>
      <c r="AO26" s="10" t="n">
        <v>0.6407280000000001</v>
      </c>
      <c r="AP26" s="3">
        <f>N(X26)*N(BI26)</f>
        <v/>
      </c>
      <c r="AQ26" s="3" t="n">
        <v>0.8062</v>
      </c>
      <c r="AR26" s="3" t="n">
        <v>0</v>
      </c>
      <c r="AS26" s="3" t="n">
        <v>-0</v>
      </c>
      <c r="AT26" s="3" t="n">
        <v>-0.2250178554833891</v>
      </c>
      <c r="AU26" s="3">
        <f>SUM(AN26:AT26)</f>
        <v/>
      </c>
      <c r="AV26" s="7">
        <f>IF(OR(N(W26)&lt;=0,N(BG26)=0),0,N(W26)*IF(N(R26)/N(W26)&gt;=60,N(BG26),1))</f>
        <v/>
      </c>
      <c r="AW26" s="7">
        <f>N(W26)*N(AF26)*N(BH26)</f>
        <v/>
      </c>
      <c r="AX26" s="7">
        <f>N(AL26)*(Assumptions!$B$13*N(BJ26)-(1-Assumptions!$B$13)*Assumptions!$B$14)+N(AM26)</f>
        <v/>
      </c>
      <c r="AY26" s="7">
        <f>N(AU26)*N(R26)/90+N(AV26)+N(AW26)+N(AX26)</f>
        <v/>
      </c>
      <c r="AZ26" s="3">
        <f>IF(N(R26)&lt;=0,0,(N(AY26)-N(AX26))*90/N(R26))</f>
        <v/>
      </c>
      <c r="BA26" s="7">
        <f>IFERROR(AY26-VLOOKUP($E26,Assumptions!$A$40:$C$43,3,FALSE),"")</f>
        <v/>
      </c>
      <c r="BB26" s="3">
        <f>IFERROR(BA26/H26,"")</f>
        <v/>
      </c>
      <c r="BC26">
        <f>IF(AND($G26=TRUE,$E26="GKP"),AY26,"")</f>
        <v/>
      </c>
      <c r="BD26">
        <f>IF(AND($G26=TRUE,$E26="DEF"),AY26,"")</f>
        <v/>
      </c>
      <c r="BE26">
        <f>IF(AND($G26=TRUE,$E26="MID"),AY26,"")</f>
        <v/>
      </c>
      <c r="BF26">
        <f>IF(AND($G26=TRUE,$E26="FWD"),AY26,"")</f>
        <v/>
      </c>
      <c r="BG26" t="n">
        <v>2</v>
      </c>
      <c r="BH26" t="n">
        <v>2</v>
      </c>
      <c r="BI26" t="n">
        <v>1</v>
      </c>
      <c r="BJ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s="8" t="n">
        <v>2896</v>
      </c>
      <c r="O27" s="8" t="n">
        <v>0</v>
      </c>
      <c r="Q27" t="inlineStr">
        <is>
          <t>flat</t>
        </is>
      </c>
      <c r="R27" s="6" t="n">
        <v>2896</v>
      </c>
      <c r="S27" t="inlineStr">
        <is>
          <t>Solio</t>
        </is>
      </c>
      <c r="U27" s="6" t="n">
        <v>86.8</v>
      </c>
      <c r="V27" s="2" t="n">
        <v>32</v>
      </c>
      <c r="W27" s="7">
        <f>IF(N(U27)&lt;=0,0,MIN(Assumptions!$B$15,N(R27)/N(U27)))</f>
        <v/>
      </c>
      <c r="X27" s="6" t="n">
        <v>0.371</v>
      </c>
      <c r="Y27" s="3" t="n">
        <v>0.0105</v>
      </c>
      <c r="Z27" t="inlineStr">
        <is>
          <t>adjusted xGOT</t>
        </is>
      </c>
      <c r="AA27" s="3" t="n">
        <v>1</v>
      </c>
      <c r="AB27" s="3" t="n">
        <v>0.98</v>
      </c>
      <c r="AC27" s="3" t="n">
        <v>4.8</v>
      </c>
      <c r="AD27" s="3" t="n">
        <v>0.0838</v>
      </c>
      <c r="AE27" s="3" t="n">
        <v>6.446</v>
      </c>
      <c r="AF27" s="3" t="n">
        <v>0.09965671525463371</v>
      </c>
      <c r="AG27" s="3" t="n">
        <v>0.5033</v>
      </c>
      <c r="AH27" s="3" t="n">
        <v>64</v>
      </c>
      <c r="AI27" s="3" t="n">
        <v>1.9737</v>
      </c>
      <c r="AJ27" s="3" t="n">
        <v>1.0365</v>
      </c>
      <c r="AK27" s="3" t="n">
        <v>-0.1862247745547449</v>
      </c>
      <c r="AL27" s="6" t="n">
        <v>0.0076126736796148</v>
      </c>
      <c r="AM27" s="3" t="n">
        <v>0</v>
      </c>
      <c r="AN27" s="3" t="n">
        <v>0.063</v>
      </c>
      <c r="AO27" s="3" t="n">
        <v>0.331848</v>
      </c>
      <c r="AP27" s="3">
        <f>N(X27)*N(BI27)</f>
        <v/>
      </c>
      <c r="AQ27" s="3" t="n">
        <v>0.5033</v>
      </c>
      <c r="AR27" s="3" t="n">
        <v>0</v>
      </c>
      <c r="AS27" s="3" t="n">
        <v>-0.2997019479071323</v>
      </c>
      <c r="AT27" s="3" t="n">
        <v>-0.1862247745547449</v>
      </c>
      <c r="AU27" s="3">
        <f>SUM(AN27:AT27)</f>
        <v/>
      </c>
      <c r="AV27" s="7">
        <f>IF(OR(N(W27)&lt;=0,N(BG27)=0),0,N(W27)*IF(N(R27)/N(W27)&gt;=60,N(BG27),1))</f>
        <v/>
      </c>
      <c r="AW27" s="7">
        <f>N(W27)*N(AF27)*N(BH27)</f>
        <v/>
      </c>
      <c r="AX27" s="7">
        <f>N(AL27)*(Assumptions!$B$13*N(BJ27)-(1-Assumptions!$B$13)*Assumptions!$B$14)+N(AM27)</f>
        <v/>
      </c>
      <c r="AY27" s="7">
        <f>N(AU27)*N(R27)/90+N(AV27)+N(AW27)+N(AX27)</f>
        <v/>
      </c>
      <c r="AZ27" s="3">
        <f>IF(N(R27)&lt;=0,0,(N(AY27)-N(AX27))*90/N(R27))</f>
        <v/>
      </c>
      <c r="BA27" s="7">
        <f>IFERROR(AY27-VLOOKUP($E27,Assumptions!$A$40:$C$43,3,FALSE),"")</f>
        <v/>
      </c>
      <c r="BB27" s="3">
        <f>IFERROR(BA27/H27,"")</f>
        <v/>
      </c>
      <c r="BC27">
        <f>IF(AND($G27=TRUE,$E27="GKP"),AY27,"")</f>
        <v/>
      </c>
      <c r="BD27">
        <f>IF(AND($G27=TRUE,$E27="DEF"),AY27,"")</f>
        <v/>
      </c>
      <c r="BE27">
        <f>IF(AND($G27=TRUE,$E27="MID"),AY27,"")</f>
        <v/>
      </c>
      <c r="BF27">
        <f>IF(AND($G27=TRUE,$E27="FWD"),AY27,"")</f>
        <v/>
      </c>
      <c r="BG27" t="n">
        <v>2</v>
      </c>
      <c r="BH27" t="n">
        <v>2</v>
      </c>
      <c r="BI27" t="n">
        <v>4</v>
      </c>
      <c r="BJ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s="4" t="n">
        <v>2050</v>
      </c>
      <c r="O28" s="4" t="n">
        <v>-1262</v>
      </c>
      <c r="P28" s="5" t="inlineStr">
        <is>
          <t>medium</t>
        </is>
      </c>
      <c r="Q28" t="inlineStr">
        <is>
          <t>flat</t>
        </is>
      </c>
      <c r="R28" s="6" t="n">
        <v>2050</v>
      </c>
      <c r="S28" t="inlineStr">
        <is>
          <t>research</t>
        </is>
      </c>
      <c r="T28" s="5" t="inlineStr">
        <is>
          <t>Solio has Mukiele as Sunderland's highest-minute defender at essentially every available minute. Two things contradict that. First, he picked up a knock in the final game of the US tour, missed both the Lens and Rennes friendlies, and is flagged 75% by FPL as of 09 Aug; the 11 Aug preview says he 'might not be ready to start' at Portman Road, so he begins the season behind O'Nien. Second and larger: Solio's whole Sunderland allocation is shaped like a back five (16,463 minutes to FPL-classified defenders against the 13,680 a four-man defence can supply), whereas the confirmed 15 Aug XI and the opener preview both use a back four in a 4-2-3-1. Mukiele carries the biggest share of that structural correction because he is the one whose Solio number is furthest above what a rotating four-man defence with a Europa League schedule can pay out.</t>
        </is>
      </c>
      <c r="U28" s="6" t="n">
        <v>86.59999999999999</v>
      </c>
      <c r="V28" s="2" t="n">
        <v>32</v>
      </c>
      <c r="W28" s="7">
        <f>IF(N(U28)&lt;=0,0,MIN(Assumptions!$B$15,N(R28)/N(U28)))</f>
        <v/>
      </c>
      <c r="X28" s="6" t="n">
        <v>0.204</v>
      </c>
      <c r="Y28" s="3" t="n">
        <v>0.0506</v>
      </c>
      <c r="Z28" t="inlineStr">
        <is>
          <t>adjusted xGOT</t>
        </is>
      </c>
      <c r="AA28" s="3" t="n">
        <v>1</v>
      </c>
      <c r="AB28" s="3" t="n">
        <v>0.967</v>
      </c>
      <c r="AC28" s="3" t="n">
        <v>1.6</v>
      </c>
      <c r="AD28" s="3" t="n">
        <v>0.0873</v>
      </c>
      <c r="AE28" s="3" t="n">
        <v>8.590999999999999</v>
      </c>
      <c r="AF28" s="3" t="n">
        <v>0.3169374988913874</v>
      </c>
      <c r="AG28" s="3" t="n">
        <v>0.3556</v>
      </c>
      <c r="AH28" s="3" t="n">
        <v>63</v>
      </c>
      <c r="AI28" s="3" t="n">
        <v>3.3348</v>
      </c>
      <c r="AJ28" s="3" t="n">
        <v>1.6498</v>
      </c>
      <c r="AK28" s="3" t="n">
        <v>-0.1902298193445376</v>
      </c>
      <c r="AL28" s="6" t="n">
        <v>0</v>
      </c>
      <c r="AM28" s="3" t="n">
        <v>0</v>
      </c>
      <c r="AN28" s="3" t="n">
        <v>0.3036</v>
      </c>
      <c r="AO28" s="3" t="n">
        <v>0.3457080000000001</v>
      </c>
      <c r="AP28" s="3">
        <f>N(X28)*N(BI28)</f>
        <v/>
      </c>
      <c r="AQ28" s="3" t="n">
        <v>0.3556</v>
      </c>
      <c r="AR28" s="3" t="n">
        <v>0</v>
      </c>
      <c r="AS28" s="3" t="n">
        <v>-0.5841244809045405</v>
      </c>
      <c r="AT28" s="3" t="n">
        <v>-0.1902298193445376</v>
      </c>
      <c r="AU28" s="3">
        <f>SUM(AN28:AT28)</f>
        <v/>
      </c>
      <c r="AV28" s="7">
        <f>IF(OR(N(W28)&lt;=0,N(BG28)=0),0,N(W28)*IF(N(R28)/N(W28)&gt;=60,N(BG28),1))</f>
        <v/>
      </c>
      <c r="AW28" s="7">
        <f>N(W28)*N(AF28)*N(BH28)</f>
        <v/>
      </c>
      <c r="AX28" s="7">
        <f>N(AL28)*(Assumptions!$B$13*N(BJ28)-(1-Assumptions!$B$13)*Assumptions!$B$14)+N(AM28)</f>
        <v/>
      </c>
      <c r="AY28" s="7">
        <f>N(AU28)*N(R28)/90+N(AV28)+N(AW28)+N(AX28)</f>
        <v/>
      </c>
      <c r="AZ28" s="3">
        <f>IF(N(R28)&lt;=0,0,(N(AY28)-N(AX28))*90/N(R28))</f>
        <v/>
      </c>
      <c r="BA28" s="7">
        <f>IFERROR(AY28-VLOOKUP($E28,Assumptions!$A$40:$C$43,3,FALSE),"")</f>
        <v/>
      </c>
      <c r="BB28" s="3">
        <f>IFERROR(BA28/H28,"")</f>
        <v/>
      </c>
      <c r="BC28">
        <f>IF(AND($G28=TRUE,$E28="GKP"),AY28,"")</f>
        <v/>
      </c>
      <c r="BD28">
        <f>IF(AND($G28=TRUE,$E28="DEF"),AY28,"")</f>
        <v/>
      </c>
      <c r="BE28">
        <f>IF(AND($G28=TRUE,$E28="MID"),AY28,"")</f>
        <v/>
      </c>
      <c r="BF28">
        <f>IF(AND($G28=TRUE,$E28="FWD"),AY28,"")</f>
        <v/>
      </c>
      <c r="BG28" t="n">
        <v>2</v>
      </c>
      <c r="BH28" t="n">
        <v>2</v>
      </c>
      <c r="BI28" t="n">
        <v>4</v>
      </c>
      <c r="BJ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s="8" t="n">
        <v>3152</v>
      </c>
      <c r="O29" s="8" t="n">
        <v>0</v>
      </c>
      <c r="Q29" t="inlineStr">
        <is>
          <t>flat</t>
        </is>
      </c>
      <c r="R29" s="6" t="n">
        <v>3152</v>
      </c>
      <c r="S29" t="inlineStr">
        <is>
          <t>Solio</t>
        </is>
      </c>
      <c r="U29" s="6" t="n">
        <v>84.59999999999999</v>
      </c>
      <c r="V29" s="2" t="n">
        <v>30</v>
      </c>
      <c r="W29" s="7">
        <f>IF(N(U29)&lt;=0,0,MIN(Assumptions!$B$15,N(R29)/N(U29)))</f>
        <v/>
      </c>
      <c r="X29" s="6" t="n">
        <v>0.231</v>
      </c>
      <c r="Y29" s="3" t="n">
        <v>0.1525</v>
      </c>
      <c r="Z29" t="inlineStr">
        <is>
          <t>adjusted xGOT</t>
        </is>
      </c>
      <c r="AA29" s="3" t="n">
        <v>1</v>
      </c>
      <c r="AB29" s="3" t="n">
        <v>1.024</v>
      </c>
      <c r="AC29" s="3" t="n">
        <v>6.7</v>
      </c>
      <c r="AD29" s="3" t="n">
        <v>0.2039</v>
      </c>
      <c r="AE29" s="3" t="n">
        <v>8.025</v>
      </c>
      <c r="AF29" s="3" t="n">
        <v>0.08181281538052476</v>
      </c>
      <c r="AG29" s="3" t="n">
        <v>0.6162</v>
      </c>
      <c r="AH29" s="3" t="n">
        <v>60</v>
      </c>
      <c r="AI29" s="3" t="n">
        <v>3.0311</v>
      </c>
      <c r="AJ29" s="3" t="n">
        <v>1.5252</v>
      </c>
      <c r="AK29" s="3" t="n">
        <v>-0.2124929604617916</v>
      </c>
      <c r="AL29" s="6" t="n">
        <v>0</v>
      </c>
      <c r="AM29" s="3" t="n">
        <v>0</v>
      </c>
      <c r="AN29" s="3" t="n">
        <v>0.7625</v>
      </c>
      <c r="AO29" s="3" t="n">
        <v>0.8074440000000001</v>
      </c>
      <c r="AP29" s="3">
        <f>N(X29)*N(BI29)</f>
        <v/>
      </c>
      <c r="AQ29" s="3" t="n">
        <v>0.6162</v>
      </c>
      <c r="AR29" s="3" t="n">
        <v>0</v>
      </c>
      <c r="AS29" s="3" t="n">
        <v>-0</v>
      </c>
      <c r="AT29" s="3" t="n">
        <v>-0.2124929604617916</v>
      </c>
      <c r="AU29" s="3">
        <f>SUM(AN29:AT29)</f>
        <v/>
      </c>
      <c r="AV29" s="7">
        <f>IF(OR(N(W29)&lt;=0,N(BG29)=0),0,N(W29)*IF(N(R29)/N(W29)&gt;=60,N(BG29),1))</f>
        <v/>
      </c>
      <c r="AW29" s="7">
        <f>N(W29)*N(AF29)*N(BH29)</f>
        <v/>
      </c>
      <c r="AX29" s="7">
        <f>N(AL29)*(Assumptions!$B$13*N(BJ29)-(1-Assumptions!$B$13)*Assumptions!$B$14)+N(AM29)</f>
        <v/>
      </c>
      <c r="AY29" s="7">
        <f>N(AU29)*N(R29)/90+N(AV29)+N(AW29)+N(AX29)</f>
        <v/>
      </c>
      <c r="AZ29" s="3">
        <f>IF(N(R29)&lt;=0,0,(N(AY29)-N(AX29))*90/N(R29))</f>
        <v/>
      </c>
      <c r="BA29" s="7">
        <f>IFERROR(AY29-VLOOKUP($E29,Assumptions!$A$40:$C$43,3,FALSE),"")</f>
        <v/>
      </c>
      <c r="BB29" s="3">
        <f>IFERROR(BA29/H29,"")</f>
        <v/>
      </c>
      <c r="BC29">
        <f>IF(AND($G29=TRUE,$E29="GKP"),AY29,"")</f>
        <v/>
      </c>
      <c r="BD29">
        <f>IF(AND($G29=TRUE,$E29="DEF"),AY29,"")</f>
        <v/>
      </c>
      <c r="BE29">
        <f>IF(AND($G29=TRUE,$E29="MID"),AY29,"")</f>
        <v/>
      </c>
      <c r="BF29">
        <f>IF(AND($G29=TRUE,$E29="FWD"),AY29,"")</f>
        <v/>
      </c>
      <c r="BG29" t="n">
        <v>2</v>
      </c>
      <c r="BH29" t="n">
        <v>2</v>
      </c>
      <c r="BI29" t="n">
        <v>1</v>
      </c>
      <c r="BJ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s="4" t="n">
        <v>2200</v>
      </c>
      <c r="O30" s="4" t="n">
        <v>-678</v>
      </c>
      <c r="P30" s="5" t="inlineStr">
        <is>
          <t>high</t>
        </is>
      </c>
      <c r="Q30" t="inlineStr">
        <is>
          <t>flat</t>
        </is>
      </c>
      <c r="R30" s="6" t="n">
        <v>2200</v>
      </c>
      <c r="S30" t="inlineStr">
        <is>
          <t>research</t>
        </is>
      </c>
      <c r="T30" s="5" t="inlineStr">
        <is>
          <t>Groin surgery in June for an issue first seen in mid-March. Arteta on 14 August: 'he is on a good trajectory, but there is still a few weeks to go... He needs to start to train with the group in the next week or so.' He will miss the opener and Arseblog notes he has not played competitive football for close to six months bar a Champions League final cameo that caused a setback, so he must be eased back rather than thrown straight in. 2200 assumes he misses roughly the first five league matches and is then a regular starter with some further management.</t>
        </is>
      </c>
      <c r="U30" s="6" t="n">
        <v>85.3</v>
      </c>
      <c r="V30" s="2" t="n">
        <v>28</v>
      </c>
      <c r="W30" s="7">
        <f>IF(N(U30)&lt;=0,0,MIN(Assumptions!$B$15,N(R30)/N(U30)))</f>
        <v/>
      </c>
      <c r="X30" s="6" t="n">
        <v>0.391</v>
      </c>
      <c r="Y30" s="3" t="n">
        <v>0.1612</v>
      </c>
      <c r="Z30" t="inlineStr">
        <is>
          <t>adjusted xGOT</t>
        </is>
      </c>
      <c r="AA30" s="3" t="n">
        <v>1</v>
      </c>
      <c r="AB30" s="3" t="n">
        <v>0.9330000000000001</v>
      </c>
      <c r="AC30" s="3" t="n">
        <v>5.9</v>
      </c>
      <c r="AD30" s="3" t="n">
        <v>0.0756</v>
      </c>
      <c r="AE30" s="3" t="n">
        <v>5.944</v>
      </c>
      <c r="AF30" s="3" t="n">
        <v>0.0610028782740677</v>
      </c>
      <c r="AG30" s="3" t="n">
        <v>0.367</v>
      </c>
      <c r="AH30" s="3" t="n">
        <v>56</v>
      </c>
      <c r="AI30" s="3" t="n">
        <v>2.067</v>
      </c>
      <c r="AJ30" s="3" t="n">
        <v>0.9838</v>
      </c>
      <c r="AK30" s="3" t="n">
        <v>-0.2379965855651725</v>
      </c>
      <c r="AL30" s="6" t="n">
        <v>0</v>
      </c>
      <c r="AM30" s="3" t="n">
        <v>0</v>
      </c>
      <c r="AN30" s="3" t="n">
        <v>0.9672000000000001</v>
      </c>
      <c r="AO30" s="3" t="n">
        <v>0.299376</v>
      </c>
      <c r="AP30" s="3">
        <f>N(X30)*N(BI30)</f>
        <v/>
      </c>
      <c r="AQ30" s="3" t="n">
        <v>0.367</v>
      </c>
      <c r="AR30" s="3" t="n">
        <v>0</v>
      </c>
      <c r="AS30" s="3" t="n">
        <v>-0.2768479886568037</v>
      </c>
      <c r="AT30" s="3" t="n">
        <v>-0.2379965855651725</v>
      </c>
      <c r="AU30" s="3">
        <f>SUM(AN30:AT30)</f>
        <v/>
      </c>
      <c r="AV30" s="7">
        <f>IF(OR(N(W30)&lt;=0,N(BG30)=0),0,N(W30)*IF(N(R30)/N(W30)&gt;=60,N(BG30),1))</f>
        <v/>
      </c>
      <c r="AW30" s="7">
        <f>N(W30)*N(AF30)*N(BH30)</f>
        <v/>
      </c>
      <c r="AX30" s="7">
        <f>N(AL30)*(Assumptions!$B$13*N(BJ30)-(1-Assumptions!$B$13)*Assumptions!$B$14)+N(AM30)</f>
        <v/>
      </c>
      <c r="AY30" s="7">
        <f>N(AU30)*N(R30)/90+N(AV30)+N(AW30)+N(AX30)</f>
        <v/>
      </c>
      <c r="AZ30" s="3">
        <f>IF(N(R30)&lt;=0,0,(N(AY30)-N(AX30))*90/N(R30))</f>
        <v/>
      </c>
      <c r="BA30" s="7">
        <f>IFERROR(AY30-VLOOKUP($E30,Assumptions!$A$40:$C$43,3,FALSE),"")</f>
        <v/>
      </c>
      <c r="BB30" s="3">
        <f>IFERROR(BA30/H30,"")</f>
        <v/>
      </c>
      <c r="BC30">
        <f>IF(AND($G30=TRUE,$E30="GKP"),AY30,"")</f>
        <v/>
      </c>
      <c r="BD30">
        <f>IF(AND($G30=TRUE,$E30="DEF"),AY30,"")</f>
        <v/>
      </c>
      <c r="BE30">
        <f>IF(AND($G30=TRUE,$E30="MID"),AY30,"")</f>
        <v/>
      </c>
      <c r="BF30">
        <f>IF(AND($G30=TRUE,$E30="FWD"),AY30,"")</f>
        <v/>
      </c>
      <c r="BG30" t="n">
        <v>2</v>
      </c>
      <c r="BH30" t="n">
        <v>2</v>
      </c>
      <c r="BI30" t="n">
        <v>4</v>
      </c>
      <c r="BJ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s="8" t="n">
        <v>2822</v>
      </c>
      <c r="O31" s="8" t="n">
        <v>0</v>
      </c>
      <c r="Q31" t="inlineStr">
        <is>
          <t>flat</t>
        </is>
      </c>
      <c r="R31" s="6" t="n">
        <v>2822</v>
      </c>
      <c r="S31" t="inlineStr">
        <is>
          <t>Solio</t>
        </is>
      </c>
      <c r="U31" s="6" t="n">
        <v>82.40000000000001</v>
      </c>
      <c r="V31" s="2" t="n">
        <v>31</v>
      </c>
      <c r="W31" s="7">
        <f>IF(N(U31)&lt;=0,0,MIN(Assumptions!$B$15,N(R31)/N(U31)))</f>
        <v/>
      </c>
      <c r="X31" s="6" t="n">
        <v>0.334</v>
      </c>
      <c r="Y31" s="3" t="n">
        <v>0.4251</v>
      </c>
      <c r="Z31" t="inlineStr">
        <is>
          <t>adjusted xGOT</t>
        </is>
      </c>
      <c r="AA31" s="3" t="n">
        <v>1</v>
      </c>
      <c r="AB31" s="3" t="n">
        <v>1.029</v>
      </c>
      <c r="AC31" s="3" t="n">
        <v>43.7</v>
      </c>
      <c r="AD31" s="3" t="n">
        <v>0.1737</v>
      </c>
      <c r="AE31" s="3" t="n">
        <v>5.61</v>
      </c>
      <c r="AF31" s="3" t="n">
        <v>0.006671565669880364</v>
      </c>
      <c r="AG31" s="3" t="n">
        <v>0.586</v>
      </c>
      <c r="AH31" s="3" t="n">
        <v>64</v>
      </c>
      <c r="AI31" s="3" t="n">
        <v>2.2165</v>
      </c>
      <c r="AJ31" s="3" t="n">
        <v>1.1467</v>
      </c>
      <c r="AK31" s="3" t="n">
        <v>-0.1446565307742253</v>
      </c>
      <c r="AL31" s="6" t="n">
        <v>0.1129377635553132</v>
      </c>
      <c r="AM31" s="3" t="n">
        <v>0</v>
      </c>
      <c r="AN31" s="3" t="n">
        <v>2.1255</v>
      </c>
      <c r="AO31" s="3" t="n">
        <v>0.687852</v>
      </c>
      <c r="AP31" s="3">
        <f>N(X31)*N(BI31)</f>
        <v/>
      </c>
      <c r="AQ31" s="3" t="n">
        <v>0.586</v>
      </c>
      <c r="AR31" s="3" t="n">
        <v>0</v>
      </c>
      <c r="AS31" s="3" t="n">
        <v>-0</v>
      </c>
      <c r="AT31" s="3" t="n">
        <v>-0.1446565307742253</v>
      </c>
      <c r="AU31" s="3">
        <f>SUM(AN31:AT31)</f>
        <v/>
      </c>
      <c r="AV31" s="7">
        <f>IF(OR(N(W31)&lt;=0,N(BG31)=0),0,N(W31)*IF(N(R31)/N(W31)&gt;=60,N(BG31),1))</f>
        <v/>
      </c>
      <c r="AW31" s="7">
        <f>N(W31)*N(AF31)*N(BH31)</f>
        <v/>
      </c>
      <c r="AX31" s="7">
        <f>N(AL31)*(Assumptions!$B$13*N(BJ31)-(1-Assumptions!$B$13)*Assumptions!$B$14)+N(AM31)</f>
        <v/>
      </c>
      <c r="AY31" s="7">
        <f>N(AU31)*N(R31)/90+N(AV31)+N(AW31)+N(AX31)</f>
        <v/>
      </c>
      <c r="AZ31" s="3">
        <f>IF(N(R31)&lt;=0,0,(N(AY31)-N(AX31))*90/N(R31))</f>
        <v/>
      </c>
      <c r="BA31" s="7">
        <f>IFERROR(AY31-VLOOKUP($E31,Assumptions!$A$40:$C$43,3,FALSE),"")</f>
        <v/>
      </c>
      <c r="BB31" s="3">
        <f>IFERROR(BA31/H31,"")</f>
        <v/>
      </c>
      <c r="BC31">
        <f>IF(AND($G31=TRUE,$E31="GKP"),AY31,"")</f>
        <v/>
      </c>
      <c r="BD31">
        <f>IF(AND($G31=TRUE,$E31="DEF"),AY31,"")</f>
        <v/>
      </c>
      <c r="BE31">
        <f>IF(AND($G31=TRUE,$E31="MID"),AY31,"")</f>
        <v/>
      </c>
      <c r="BF31">
        <f>IF(AND($G31=TRUE,$E31="FWD"),AY31,"")</f>
        <v/>
      </c>
      <c r="BG31" t="n">
        <v>2</v>
      </c>
      <c r="BH31" t="n">
        <v>2</v>
      </c>
      <c r="BI31" t="n">
        <v>1</v>
      </c>
      <c r="BJ31" t="n">
        <v>5</v>
      </c>
    </row>
    <row r="32">
      <c r="A32" s="9" t="inlineStr">
        <is>
          <t>Jan Paul van Hecke</t>
        </is>
      </c>
      <c r="B32" t="inlineStr">
        <is>
          <t>TOT</t>
        </is>
      </c>
      <c r="C32" s="9" t="inlineStr">
        <is>
          <t>BHA</t>
        </is>
      </c>
      <c r="D32" t="b">
        <v>1</v>
      </c>
      <c r="E32" t="inlineStr">
        <is>
          <t>DEF</t>
        </is>
      </c>
      <c r="F32" t="inlineStr">
        <is>
          <t>DEF</t>
        </is>
      </c>
      <c r="G32" t="b">
        <v>1</v>
      </c>
      <c r="H32" s="2" t="n">
        <v>5</v>
      </c>
      <c r="I32" t="inlineStr">
        <is>
          <t>a</t>
        </is>
      </c>
      <c r="K32" s="2" t="n">
        <v>3210</v>
      </c>
      <c r="L32" t="n">
        <v>148</v>
      </c>
      <c r="M32" s="3" t="n">
        <v>3181</v>
      </c>
      <c r="N32" s="8" t="n">
        <v>3181</v>
      </c>
      <c r="O32" s="8" t="n">
        <v>0</v>
      </c>
      <c r="Q32" t="inlineStr">
        <is>
          <t>flat</t>
        </is>
      </c>
      <c r="R32" s="6" t="n">
        <v>3181</v>
      </c>
      <c r="S32" t="inlineStr">
        <is>
          <t>Solio</t>
        </is>
      </c>
      <c r="U32" s="6" t="n">
        <v>88.40000000000001</v>
      </c>
      <c r="V32" s="2" t="n">
        <v>36</v>
      </c>
      <c r="W32" s="7">
        <f>IF(N(U32)&lt;=0,0,MIN(Assumptions!$B$15,N(R32)/N(U32)))</f>
        <v/>
      </c>
      <c r="X32" s="6" t="n">
        <v>0.286</v>
      </c>
      <c r="Y32" s="10" t="n">
        <v>0.09030000000000001</v>
      </c>
      <c r="Z32" t="inlineStr">
        <is>
          <t>adjusted xGOT</t>
        </is>
      </c>
      <c r="AA32" s="3" t="n">
        <v>1</v>
      </c>
      <c r="AB32" s="3" t="n">
        <v>0.973</v>
      </c>
      <c r="AC32" s="3" t="n">
        <v>6.6</v>
      </c>
      <c r="AD32" s="10" t="n">
        <v>0.0364</v>
      </c>
      <c r="AE32" s="3" t="n">
        <v>8.667</v>
      </c>
      <c r="AF32" s="3" t="n">
        <v>0.3487048763704732</v>
      </c>
      <c r="AG32" s="3" t="n">
        <v>0.1963</v>
      </c>
      <c r="AH32" s="3" t="n">
        <v>72</v>
      </c>
      <c r="AI32" s="3" t="n">
        <v>2.5739</v>
      </c>
      <c r="AJ32" s="3" t="n">
        <v>1.3096</v>
      </c>
      <c r="AK32" s="3" t="n">
        <v>-0.2303329357267622</v>
      </c>
      <c r="AL32" s="6" t="n">
        <v>0</v>
      </c>
      <c r="AM32" s="3" t="n">
        <v>0</v>
      </c>
      <c r="AN32" s="10" t="n">
        <v>0.5418000000000001</v>
      </c>
      <c r="AO32" s="10" t="n">
        <v>0.144144</v>
      </c>
      <c r="AP32" s="3">
        <f>N(X32)*N(BI32)</f>
        <v/>
      </c>
      <c r="AQ32" s="3" t="n">
        <v>0.1963</v>
      </c>
      <c r="AR32" s="3" t="n">
        <v>0</v>
      </c>
      <c r="AS32" s="3" t="n">
        <v>-0.4230152821052008</v>
      </c>
      <c r="AT32" s="3" t="n">
        <v>-0.2303329357267622</v>
      </c>
      <c r="AU32" s="3">
        <f>SUM(AN32:AT32)</f>
        <v/>
      </c>
      <c r="AV32" s="7">
        <f>IF(OR(N(W32)&lt;=0,N(BG32)=0),0,N(W32)*IF(N(R32)/N(W32)&gt;=60,N(BG32),1))</f>
        <v/>
      </c>
      <c r="AW32" s="7">
        <f>N(W32)*N(AF32)*N(BH32)</f>
        <v/>
      </c>
      <c r="AX32" s="7">
        <f>N(AL32)*(Assumptions!$B$13*N(BJ32)-(1-Assumptions!$B$13)*Assumptions!$B$14)+N(AM32)</f>
        <v/>
      </c>
      <c r="AY32" s="7">
        <f>N(AU32)*N(R32)/90+N(AV32)+N(AW32)+N(AX32)</f>
        <v/>
      </c>
      <c r="AZ32" s="3">
        <f>IF(N(R32)&lt;=0,0,(N(AY32)-N(AX32))*90/N(R32))</f>
        <v/>
      </c>
      <c r="BA32" s="7">
        <f>IFERROR(AY32-VLOOKUP($E32,Assumptions!$A$40:$C$43,3,FALSE),"")</f>
        <v/>
      </c>
      <c r="BB32" s="3">
        <f>IFERROR(BA32/H32,"")</f>
        <v/>
      </c>
      <c r="BC32">
        <f>IF(AND($G32=TRUE,$E32="GKP"),AY32,"")</f>
        <v/>
      </c>
      <c r="BD32">
        <f>IF(AND($G32=TRUE,$E32="DEF"),AY32,"")</f>
        <v/>
      </c>
      <c r="BE32">
        <f>IF(AND($G32=TRUE,$E32="MID"),AY32,"")</f>
        <v/>
      </c>
      <c r="BF32">
        <f>IF(AND($G32=TRUE,$E32="FWD"),AY32,"")</f>
        <v/>
      </c>
      <c r="BG32" t="n">
        <v>2</v>
      </c>
      <c r="BH32" t="n">
        <v>2</v>
      </c>
      <c r="BI32" t="n">
        <v>4</v>
      </c>
      <c r="BJ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s="8" t="n">
        <v>3324</v>
      </c>
      <c r="O33" s="8" t="n">
        <v>0</v>
      </c>
      <c r="Q33" t="inlineStr">
        <is>
          <t>flat</t>
        </is>
      </c>
      <c r="R33" s="6" t="n">
        <v>3324</v>
      </c>
      <c r="S33" t="inlineStr">
        <is>
          <t>Solio</t>
        </is>
      </c>
      <c r="U33" s="6" t="n">
        <v>85.7</v>
      </c>
      <c r="V33" s="2" t="n">
        <v>33</v>
      </c>
      <c r="W33" s="7">
        <f>IF(N(U33)&lt;=0,0,MIN(Assumptions!$B$15,N(R33)/N(U33)))</f>
        <v/>
      </c>
      <c r="X33" s="6" t="n">
        <v>0.204</v>
      </c>
      <c r="Y33" s="3" t="n">
        <v>0.06610000000000001</v>
      </c>
      <c r="Z33" t="inlineStr">
        <is>
          <t>adjusted xGOT</t>
        </is>
      </c>
      <c r="AA33" s="3" t="n">
        <v>0.422</v>
      </c>
      <c r="AB33" s="3" t="n">
        <v>0.976</v>
      </c>
      <c r="AC33" s="3" t="n">
        <v>5.2</v>
      </c>
      <c r="AD33" s="3" t="n">
        <v>0.2073</v>
      </c>
      <c r="AE33" s="3" t="n">
        <v>9.558</v>
      </c>
      <c r="AF33" s="3" t="n">
        <v>0.2069328639438638</v>
      </c>
      <c r="AG33" s="3" t="n">
        <v>0.4608</v>
      </c>
      <c r="AH33" s="3" t="n">
        <v>69</v>
      </c>
      <c r="AI33" s="3" t="n">
        <v>3.3348</v>
      </c>
      <c r="AJ33" s="3" t="n">
        <v>1.6498</v>
      </c>
      <c r="AK33" s="3" t="n">
        <v>-0.185318592085168</v>
      </c>
      <c r="AL33" s="6" t="n">
        <v>2.083953488716728</v>
      </c>
      <c r="AM33" s="3" t="n">
        <v>0</v>
      </c>
      <c r="AN33" s="3" t="n">
        <v>0.3305</v>
      </c>
      <c r="AO33" s="3" t="n">
        <v>0.8209080000000001</v>
      </c>
      <c r="AP33" s="3">
        <f>N(X33)*N(BI33)</f>
        <v/>
      </c>
      <c r="AQ33" s="3" t="n">
        <v>0.4608</v>
      </c>
      <c r="AR33" s="3" t="n">
        <v>0</v>
      </c>
      <c r="AS33" s="3" t="n">
        <v>-0</v>
      </c>
      <c r="AT33" s="3" t="n">
        <v>-0.185318592085168</v>
      </c>
      <c r="AU33" s="3">
        <f>SUM(AN33:AT33)</f>
        <v/>
      </c>
      <c r="AV33" s="7">
        <f>IF(OR(N(W33)&lt;=0,N(BG33)=0),0,N(W33)*IF(N(R33)/N(W33)&gt;=60,N(BG33),1))</f>
        <v/>
      </c>
      <c r="AW33" s="7">
        <f>N(W33)*N(AF33)*N(BH33)</f>
        <v/>
      </c>
      <c r="AX33" s="7">
        <f>N(AL33)*(Assumptions!$B$13*N(BJ33)-(1-Assumptions!$B$13)*Assumptions!$B$14)+N(AM33)</f>
        <v/>
      </c>
      <c r="AY33" s="7">
        <f>N(AU33)*N(R33)/90+N(AV33)+N(AW33)+N(AX33)</f>
        <v/>
      </c>
      <c r="AZ33" s="3">
        <f>IF(N(R33)&lt;=0,0,(N(AY33)-N(AX33))*90/N(R33))</f>
        <v/>
      </c>
      <c r="BA33" s="7">
        <f>IFERROR(AY33-VLOOKUP($E33,Assumptions!$A$40:$C$43,3,FALSE),"")</f>
        <v/>
      </c>
      <c r="BB33" s="3">
        <f>IFERROR(BA33/H33,"")</f>
        <v/>
      </c>
      <c r="BC33">
        <f>IF(AND($G33=TRUE,$E33="GKP"),AY33,"")</f>
        <v/>
      </c>
      <c r="BD33">
        <f>IF(AND($G33=TRUE,$E33="DEF"),AY33,"")</f>
        <v/>
      </c>
      <c r="BE33">
        <f>IF(AND($G33=TRUE,$E33="MID"),AY33,"")</f>
        <v/>
      </c>
      <c r="BF33">
        <f>IF(AND($G33=TRUE,$E33="FWD"),AY33,"")</f>
        <v/>
      </c>
      <c r="BG33" t="n">
        <v>2</v>
      </c>
      <c r="BH33" t="n">
        <v>2</v>
      </c>
      <c r="BI33" t="n">
        <v>1</v>
      </c>
      <c r="BJ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s="8" t="n">
        <v>2964</v>
      </c>
      <c r="O34" s="8" t="n">
        <v>0</v>
      </c>
      <c r="Q34" t="inlineStr">
        <is>
          <t>flat</t>
        </is>
      </c>
      <c r="R34" s="6" t="n">
        <v>2964</v>
      </c>
      <c r="S34" t="inlineStr">
        <is>
          <t>Solio</t>
        </is>
      </c>
      <c r="U34" s="6" t="n">
        <v>84.90000000000001</v>
      </c>
      <c r="V34" s="2" t="n">
        <v>34</v>
      </c>
      <c r="W34" s="7">
        <f>IF(N(U34)&lt;=0,0,MIN(Assumptions!$B$15,N(R34)/N(U34)))</f>
        <v/>
      </c>
      <c r="X34" s="6" t="n">
        <v>0.342</v>
      </c>
      <c r="Y34" s="3" t="n">
        <v>0.056</v>
      </c>
      <c r="Z34" t="inlineStr">
        <is>
          <t>adjusted xGOT</t>
        </is>
      </c>
      <c r="AA34" s="3" t="n">
        <v>1</v>
      </c>
      <c r="AB34" s="3" t="n">
        <v>0.985</v>
      </c>
      <c r="AC34" s="3" t="n">
        <v>5.1</v>
      </c>
      <c r="AD34" s="3" t="n">
        <v>0.0696</v>
      </c>
      <c r="AE34" s="3" t="n">
        <v>8.891</v>
      </c>
      <c r="AF34" s="3" t="n">
        <v>0.1418750921518946</v>
      </c>
      <c r="AG34" s="3" t="n">
        <v>0.5115</v>
      </c>
      <c r="AH34" s="3" t="n">
        <v>69</v>
      </c>
      <c r="AI34" s="3" t="n">
        <v>2.409</v>
      </c>
      <c r="AJ34" s="3" t="n">
        <v>1.1228</v>
      </c>
      <c r="AK34" s="3" t="n">
        <v>-0.1653791475997056</v>
      </c>
      <c r="AL34" s="6" t="n">
        <v>0</v>
      </c>
      <c r="AM34" s="3" t="n">
        <v>0</v>
      </c>
      <c r="AN34" s="3" t="n">
        <v>0.28</v>
      </c>
      <c r="AO34" s="3" t="n">
        <v>0.275616</v>
      </c>
      <c r="AP34" s="3">
        <f>N(X34)*N(BI34)</f>
        <v/>
      </c>
      <c r="AQ34" s="3" t="n">
        <v>0.5115</v>
      </c>
      <c r="AR34" s="3" t="n">
        <v>0</v>
      </c>
      <c r="AS34" s="3" t="n">
        <v>-0</v>
      </c>
      <c r="AT34" s="3" t="n">
        <v>-0.1653791475997056</v>
      </c>
      <c r="AU34" s="3">
        <f>SUM(AN34:AT34)</f>
        <v/>
      </c>
      <c r="AV34" s="7">
        <f>IF(OR(N(W34)&lt;=0,N(BG34)=0),0,N(W34)*IF(N(R34)/N(W34)&gt;=60,N(BG34),1))</f>
        <v/>
      </c>
      <c r="AW34" s="7">
        <f>N(W34)*N(AF34)*N(BH34)</f>
        <v/>
      </c>
      <c r="AX34" s="7">
        <f>N(AL34)*(Assumptions!$B$13*N(BJ34)-(1-Assumptions!$B$13)*Assumptions!$B$14)+N(AM34)</f>
        <v/>
      </c>
      <c r="AY34" s="7">
        <f>N(AU34)*N(R34)/90+N(AV34)+N(AW34)+N(AX34)</f>
        <v/>
      </c>
      <c r="AZ34" s="3">
        <f>IF(N(R34)&lt;=0,0,(N(AY34)-N(AX34))*90/N(R34))</f>
        <v/>
      </c>
      <c r="BA34" s="7">
        <f>IFERROR(AY34-VLOOKUP($E34,Assumptions!$A$40:$C$43,3,FALSE),"")</f>
        <v/>
      </c>
      <c r="BB34" s="3">
        <f>IFERROR(BA34/H34,"")</f>
        <v/>
      </c>
      <c r="BC34">
        <f>IF(AND($G34=TRUE,$E34="GKP"),AY34,"")</f>
        <v/>
      </c>
      <c r="BD34">
        <f>IF(AND($G34=TRUE,$E34="DEF"),AY34,"")</f>
        <v/>
      </c>
      <c r="BE34">
        <f>IF(AND($G34=TRUE,$E34="MID"),AY34,"")</f>
        <v/>
      </c>
      <c r="BF34">
        <f>IF(AND($G34=TRUE,$E34="FWD"),AY34,"")</f>
        <v/>
      </c>
      <c r="BG34" t="n">
        <v>2</v>
      </c>
      <c r="BH34" t="n">
        <v>2</v>
      </c>
      <c r="BI34" t="n">
        <v>1</v>
      </c>
      <c r="BJ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s="8" t="n">
        <v>2616</v>
      </c>
      <c r="O35" s="8" t="n">
        <v>0</v>
      </c>
      <c r="Q35" t="inlineStr">
        <is>
          <t>flat</t>
        </is>
      </c>
      <c r="R35" s="6" t="n">
        <v>2616</v>
      </c>
      <c r="S35" t="inlineStr">
        <is>
          <t>Solio</t>
        </is>
      </c>
      <c r="U35" s="6" t="n">
        <v>82.09999999999999</v>
      </c>
      <c r="V35" s="2" t="n">
        <v>29</v>
      </c>
      <c r="W35" s="7">
        <f>IF(N(U35)&lt;=0,0,MIN(Assumptions!$B$15,N(R35)/N(U35)))</f>
        <v/>
      </c>
      <c r="X35" s="6" t="n">
        <v>0.334</v>
      </c>
      <c r="Y35" s="3" t="n">
        <v>0.2624</v>
      </c>
      <c r="Z35" t="inlineStr">
        <is>
          <t>adjusted xGOT</t>
        </is>
      </c>
      <c r="AA35" s="3" t="n">
        <v>1</v>
      </c>
      <c r="AB35" s="3" t="n">
        <v>1.053</v>
      </c>
      <c r="AC35" s="3" t="n">
        <v>26.8</v>
      </c>
      <c r="AD35" s="3" t="n">
        <v>0.1274</v>
      </c>
      <c r="AE35" s="3" t="n">
        <v>7.832</v>
      </c>
      <c r="AF35" s="3" t="n">
        <v>0.06014974171423693</v>
      </c>
      <c r="AG35" s="3" t="n">
        <v>0.5415</v>
      </c>
      <c r="AH35" s="3" t="n">
        <v>61</v>
      </c>
      <c r="AI35" s="3" t="n">
        <v>2.2165</v>
      </c>
      <c r="AJ35" s="3" t="n">
        <v>1.1467</v>
      </c>
      <c r="AK35" s="3" t="n">
        <v>-0.2002389947220909</v>
      </c>
      <c r="AL35" s="6" t="n">
        <v>0</v>
      </c>
      <c r="AM35" s="3" t="n">
        <v>0</v>
      </c>
      <c r="AN35" s="3" t="n">
        <v>1.312</v>
      </c>
      <c r="AO35" s="3" t="n">
        <v>0.5045040000000001</v>
      </c>
      <c r="AP35" s="3">
        <f>N(X35)*N(BI35)</f>
        <v/>
      </c>
      <c r="AQ35" s="3" t="n">
        <v>0.5415</v>
      </c>
      <c r="AR35" s="3" t="n">
        <v>0</v>
      </c>
      <c r="AS35" s="3" t="n">
        <v>-0</v>
      </c>
      <c r="AT35" s="3" t="n">
        <v>-0.2002389947220909</v>
      </c>
      <c r="AU35" s="3">
        <f>SUM(AN35:AT35)</f>
        <v/>
      </c>
      <c r="AV35" s="7">
        <f>IF(OR(N(W35)&lt;=0,N(BG35)=0),0,N(W35)*IF(N(R35)/N(W35)&gt;=60,N(BG35),1))</f>
        <v/>
      </c>
      <c r="AW35" s="7">
        <f>N(W35)*N(AF35)*N(BH35)</f>
        <v/>
      </c>
      <c r="AX35" s="7">
        <f>N(AL35)*(Assumptions!$B$13*N(BJ35)-(1-Assumptions!$B$13)*Assumptions!$B$14)+N(AM35)</f>
        <v/>
      </c>
      <c r="AY35" s="7">
        <f>N(AU35)*N(R35)/90+N(AV35)+N(AW35)+N(AX35)</f>
        <v/>
      </c>
      <c r="AZ35" s="3">
        <f>IF(N(R35)&lt;=0,0,(N(AY35)-N(AX35))*90/N(R35))</f>
        <v/>
      </c>
      <c r="BA35" s="7">
        <f>IFERROR(AY35-VLOOKUP($E35,Assumptions!$A$40:$C$43,3,FALSE),"")</f>
        <v/>
      </c>
      <c r="BB35" s="3">
        <f>IFERROR(BA35/H35,"")</f>
        <v/>
      </c>
      <c r="BC35">
        <f>IF(AND($G35=TRUE,$E35="GKP"),AY35,"")</f>
        <v/>
      </c>
      <c r="BD35">
        <f>IF(AND($G35=TRUE,$E35="DEF"),AY35,"")</f>
        <v/>
      </c>
      <c r="BE35">
        <f>IF(AND($G35=TRUE,$E35="MID"),AY35,"")</f>
        <v/>
      </c>
      <c r="BF35">
        <f>IF(AND($G35=TRUE,$E35="FWD"),AY35,"")</f>
        <v/>
      </c>
      <c r="BG35" t="n">
        <v>2</v>
      </c>
      <c r="BH35" t="n">
        <v>2</v>
      </c>
      <c r="BI35" t="n">
        <v>1</v>
      </c>
      <c r="BJ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s="8" t="n">
        <v>3385</v>
      </c>
      <c r="O36" s="8" t="n">
        <v>0</v>
      </c>
      <c r="Q36" t="inlineStr">
        <is>
          <t>flat</t>
        </is>
      </c>
      <c r="R36" s="6" t="n">
        <v>3385</v>
      </c>
      <c r="S36" t="inlineStr">
        <is>
          <t>Solio</t>
        </is>
      </c>
      <c r="U36" s="6" t="n">
        <v>90</v>
      </c>
      <c r="V36" s="2" t="n">
        <v>37</v>
      </c>
      <c r="W36" s="7">
        <f>IF(N(U36)&lt;=0,0,MIN(Assumptions!$B$15,N(R36)/N(U36)))</f>
        <v/>
      </c>
      <c r="X36" s="6" t="n">
        <v>0.228</v>
      </c>
      <c r="Y36" s="3" t="n">
        <v>0</v>
      </c>
      <c r="Z36" t="inlineStr">
        <is>
          <t>blended xG</t>
        </is>
      </c>
      <c r="AA36" s="3" t="n">
        <v>1</v>
      </c>
      <c r="AB36" s="3" t="n">
        <v>1</v>
      </c>
      <c r="AC36" s="3" t="n">
        <v>0</v>
      </c>
      <c r="AD36" s="3" t="n">
        <v>0.0044</v>
      </c>
      <c r="AE36" s="3" t="n">
        <v>0</v>
      </c>
      <c r="AF36" s="3" t="n">
        <v>0</v>
      </c>
      <c r="AG36" s="3" t="n">
        <v>0.3784</v>
      </c>
      <c r="AH36" s="3" t="n">
        <v>74</v>
      </c>
      <c r="AI36" s="3" t="n">
        <v>3.2371</v>
      </c>
      <c r="AJ36" s="3" t="n">
        <v>1.5396</v>
      </c>
      <c r="AK36" s="3" t="n">
        <v>-0.0374651075801383</v>
      </c>
      <c r="AL36" s="6" t="n">
        <v>0</v>
      </c>
      <c r="AM36" s="3" t="n">
        <v>3.253202468356684</v>
      </c>
      <c r="AN36" s="3" t="n">
        <v>0</v>
      </c>
      <c r="AO36" s="3" t="n">
        <v>0.017424</v>
      </c>
      <c r="AP36" s="3">
        <f>N(X36)*N(BI36)</f>
        <v/>
      </c>
      <c r="AQ36" s="3" t="n">
        <v>0.3784</v>
      </c>
      <c r="AR36" s="3" t="n">
        <v>0.7437492341118994</v>
      </c>
      <c r="AS36" s="3" t="n">
        <v>-0.5312990096912251</v>
      </c>
      <c r="AT36" s="3" t="n">
        <v>-0.0374651075801383</v>
      </c>
      <c r="AU36" s="3">
        <f>SUM(AN36:AT36)</f>
        <v/>
      </c>
      <c r="AV36" s="7">
        <f>IF(OR(N(W36)&lt;=0,N(BG36)=0),0,N(W36)*IF(N(R36)/N(W36)&gt;=60,N(BG36),1))</f>
        <v/>
      </c>
      <c r="AW36" s="7">
        <f>N(W36)*N(AF36)*N(BH36)</f>
        <v/>
      </c>
      <c r="AX36" s="7">
        <f>N(AL36)*(Assumptions!$B$13*N(BJ36)-(1-Assumptions!$B$13)*Assumptions!$B$14)+N(AM36)</f>
        <v/>
      </c>
      <c r="AY36" s="7">
        <f>N(AU36)*N(R36)/90+N(AV36)+N(AW36)+N(AX36)</f>
        <v/>
      </c>
      <c r="AZ36" s="3">
        <f>IF(N(R36)&lt;=0,0,(N(AY36)-N(AX36))*90/N(R36))</f>
        <v/>
      </c>
      <c r="BA36" s="7">
        <f>IFERROR(AY36-VLOOKUP($E36,Assumptions!$A$40:$C$43,3,FALSE),"")</f>
        <v/>
      </c>
      <c r="BB36" s="3">
        <f>IFERROR(BA36/H36,"")</f>
        <v/>
      </c>
      <c r="BC36">
        <f>IF(AND($G36=TRUE,$E36="GKP"),AY36,"")</f>
        <v/>
      </c>
      <c r="BD36">
        <f>IF(AND($G36=TRUE,$E36="DEF"),AY36,"")</f>
        <v/>
      </c>
      <c r="BE36">
        <f>IF(AND($G36=TRUE,$E36="MID"),AY36,"")</f>
        <v/>
      </c>
      <c r="BF36">
        <f>IF(AND($G36=TRUE,$E36="FWD"),AY36,"")</f>
        <v/>
      </c>
      <c r="BG36" t="n">
        <v>2</v>
      </c>
      <c r="BH36" t="n">
        <v>0</v>
      </c>
      <c r="BI36" t="n">
        <v>4</v>
      </c>
      <c r="BJ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s="8" t="n">
        <v>3084</v>
      </c>
      <c r="O37" s="8" t="n">
        <v>0</v>
      </c>
      <c r="Q37" t="inlineStr">
        <is>
          <t>flat</t>
        </is>
      </c>
      <c r="R37" s="6" t="n">
        <v>3084</v>
      </c>
      <c r="S37" t="inlineStr">
        <is>
          <t>Solio</t>
        </is>
      </c>
      <c r="U37" s="6" t="n">
        <v>84.59999999999999</v>
      </c>
      <c r="V37" s="2" t="n">
        <v>30</v>
      </c>
      <c r="W37" s="7">
        <f>IF(N(U37)&lt;=0,0,MIN(Assumptions!$B$15,N(R37)/N(U37)))</f>
        <v/>
      </c>
      <c r="X37" s="6" t="n">
        <v>0.218</v>
      </c>
      <c r="Y37" s="3" t="n">
        <v>0.3558</v>
      </c>
      <c r="Z37" t="inlineStr">
        <is>
          <t>adjusted xGOT</t>
        </is>
      </c>
      <c r="AA37" s="3" t="n">
        <v>0.796</v>
      </c>
      <c r="AB37" s="3" t="n">
        <v>0.868</v>
      </c>
      <c r="AC37" s="3" t="n">
        <v>40.9</v>
      </c>
      <c r="AD37" s="3" t="n">
        <v>0.0431</v>
      </c>
      <c r="AE37" s="3" t="n">
        <v>3.749</v>
      </c>
      <c r="AF37" s="3" t="n">
        <v>0.0003070250262409147</v>
      </c>
      <c r="AG37" s="3" t="n">
        <v>0.6615</v>
      </c>
      <c r="AH37" s="3" t="n">
        <v>65</v>
      </c>
      <c r="AI37" s="3" t="n">
        <v>3.0611</v>
      </c>
      <c r="AJ37" s="3" t="n">
        <v>1.5875</v>
      </c>
      <c r="AK37" s="3" t="n">
        <v>-0.1259791020661446</v>
      </c>
      <c r="AL37" s="6" t="n">
        <v>3.856888360752881</v>
      </c>
      <c r="AM37" s="3" t="n">
        <v>0</v>
      </c>
      <c r="AN37" s="3" t="n">
        <v>1.4232</v>
      </c>
      <c r="AO37" s="3" t="n">
        <v>0.170676</v>
      </c>
      <c r="AP37" s="3">
        <f>N(X37)*N(BI37)</f>
        <v/>
      </c>
      <c r="AQ37" s="3" t="n">
        <v>0.6615</v>
      </c>
      <c r="AR37" s="3" t="n">
        <v>0</v>
      </c>
      <c r="AS37" s="3" t="n">
        <v>-0</v>
      </c>
      <c r="AT37" s="3" t="n">
        <v>-0.1259791020661446</v>
      </c>
      <c r="AU37" s="3">
        <f>SUM(AN37:AT37)</f>
        <v/>
      </c>
      <c r="AV37" s="7">
        <f>IF(OR(N(W37)&lt;=0,N(BG37)=0),0,N(W37)*IF(N(R37)/N(W37)&gt;=60,N(BG37),1))</f>
        <v/>
      </c>
      <c r="AW37" s="7">
        <f>N(W37)*N(AF37)*N(BH37)</f>
        <v/>
      </c>
      <c r="AX37" s="7">
        <f>N(AL37)*(Assumptions!$B$13*N(BJ37)-(1-Assumptions!$B$13)*Assumptions!$B$14)+N(AM37)</f>
        <v/>
      </c>
      <c r="AY37" s="7">
        <f>N(AU37)*N(R37)/90+N(AV37)+N(AW37)+N(AX37)</f>
        <v/>
      </c>
      <c r="AZ37" s="3">
        <f>IF(N(R37)&lt;=0,0,(N(AY37)-N(AX37))*90/N(R37))</f>
        <v/>
      </c>
      <c r="BA37" s="7">
        <f>IFERROR(AY37-VLOOKUP($E37,Assumptions!$A$40:$C$43,3,FALSE),"")</f>
        <v/>
      </c>
      <c r="BB37" s="3">
        <f>IFERROR(BA37/H37,"")</f>
        <v/>
      </c>
      <c r="BC37">
        <f>IF(AND($G37=TRUE,$E37="GKP"),AY37,"")</f>
        <v/>
      </c>
      <c r="BD37">
        <f>IF(AND($G37=TRUE,$E37="DEF"),AY37,"")</f>
        <v/>
      </c>
      <c r="BE37">
        <f>IF(AND($G37=TRUE,$E37="MID"),AY37,"")</f>
        <v/>
      </c>
      <c r="BF37">
        <f>IF(AND($G37=TRUE,$E37="FWD"),AY37,"")</f>
        <v/>
      </c>
      <c r="BG37" t="n">
        <v>2</v>
      </c>
      <c r="BH37" t="n">
        <v>2</v>
      </c>
      <c r="BI37" t="n">
        <v>0</v>
      </c>
      <c r="BJ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s="8" t="n">
        <v>3061</v>
      </c>
      <c r="O38" s="8" t="n">
        <v>0</v>
      </c>
      <c r="Q38" t="inlineStr">
        <is>
          <t>flat</t>
        </is>
      </c>
      <c r="R38" s="6" t="n">
        <v>3061</v>
      </c>
      <c r="S38" t="inlineStr">
        <is>
          <t>Solio</t>
        </is>
      </c>
      <c r="U38" s="6" t="n">
        <v>84.5</v>
      </c>
      <c r="V38" s="2" t="n">
        <v>31</v>
      </c>
      <c r="W38" s="7">
        <f>IF(N(U38)&lt;=0,0,MIN(Assumptions!$B$15,N(R38)/N(U38)))</f>
        <v/>
      </c>
      <c r="X38" s="6" t="n">
        <v>0.23</v>
      </c>
      <c r="Y38" s="3" t="n">
        <v>0.2232</v>
      </c>
      <c r="Z38" t="inlineStr">
        <is>
          <t>adjusted xGOT</t>
        </is>
      </c>
      <c r="AA38" s="3" t="n">
        <v>0.838</v>
      </c>
      <c r="AB38" s="3" t="n">
        <v>0.892</v>
      </c>
      <c r="AC38" s="3" t="n">
        <v>21.6</v>
      </c>
      <c r="AD38" s="3" t="n">
        <v>0.1772</v>
      </c>
      <c r="AE38" s="3" t="n">
        <v>8.333</v>
      </c>
      <c r="AF38" s="3" t="n">
        <v>0.09962347267701688</v>
      </c>
      <c r="AG38" s="3" t="n">
        <v>0.4612</v>
      </c>
      <c r="AH38" s="3" t="n">
        <v>65</v>
      </c>
      <c r="AI38" s="3" t="n">
        <v>3.0957</v>
      </c>
      <c r="AJ38" s="3" t="n">
        <v>1.53</v>
      </c>
      <c r="AK38" s="3" t="n">
        <v>-0.220433198522874</v>
      </c>
      <c r="AL38" s="6" t="n">
        <v>0.7071243305185803</v>
      </c>
      <c r="AM38" s="3" t="n">
        <v>0</v>
      </c>
      <c r="AN38" s="3" t="n">
        <v>1.116</v>
      </c>
      <c r="AO38" s="3" t="n">
        <v>0.701712</v>
      </c>
      <c r="AP38" s="3">
        <f>N(X38)*N(BI38)</f>
        <v/>
      </c>
      <c r="AQ38" s="3" t="n">
        <v>0.4612</v>
      </c>
      <c r="AR38" s="3" t="n">
        <v>0</v>
      </c>
      <c r="AS38" s="3" t="n">
        <v>-0</v>
      </c>
      <c r="AT38" s="3" t="n">
        <v>-0.220433198522874</v>
      </c>
      <c r="AU38" s="3">
        <f>SUM(AN38:AT38)</f>
        <v/>
      </c>
      <c r="AV38" s="7">
        <f>IF(OR(N(W38)&lt;=0,N(BG38)=0),0,N(W38)*IF(N(R38)/N(W38)&gt;=60,N(BG38),1))</f>
        <v/>
      </c>
      <c r="AW38" s="7">
        <f>N(W38)*N(AF38)*N(BH38)</f>
        <v/>
      </c>
      <c r="AX38" s="7">
        <f>N(AL38)*(Assumptions!$B$13*N(BJ38)-(1-Assumptions!$B$13)*Assumptions!$B$14)+N(AM38)</f>
        <v/>
      </c>
      <c r="AY38" s="7">
        <f>N(AU38)*N(R38)/90+N(AV38)+N(AW38)+N(AX38)</f>
        <v/>
      </c>
      <c r="AZ38" s="3">
        <f>IF(N(R38)&lt;=0,0,(N(AY38)-N(AX38))*90/N(R38))</f>
        <v/>
      </c>
      <c r="BA38" s="7">
        <f>IFERROR(AY38-VLOOKUP($E38,Assumptions!$A$40:$C$43,3,FALSE),"")</f>
        <v/>
      </c>
      <c r="BB38" s="3">
        <f>IFERROR(BA38/H38,"")</f>
        <v/>
      </c>
      <c r="BC38">
        <f>IF(AND($G38=TRUE,$E38="GKP"),AY38,"")</f>
        <v/>
      </c>
      <c r="BD38">
        <f>IF(AND($G38=TRUE,$E38="DEF"),AY38,"")</f>
        <v/>
      </c>
      <c r="BE38">
        <f>IF(AND($G38=TRUE,$E38="MID"),AY38,"")</f>
        <v/>
      </c>
      <c r="BF38">
        <f>IF(AND($G38=TRUE,$E38="FWD"),AY38,"")</f>
        <v/>
      </c>
      <c r="BG38" t="n">
        <v>2</v>
      </c>
      <c r="BH38" t="n">
        <v>2</v>
      </c>
      <c r="BI38" t="n">
        <v>1</v>
      </c>
      <c r="BJ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s="4" t="n">
        <v>1700</v>
      </c>
      <c r="O39" s="4" t="n">
        <v>-1578</v>
      </c>
      <c r="P39" s="5" t="inlineStr">
        <is>
          <t>high</t>
        </is>
      </c>
      <c r="Q39" t="inlineStr">
        <is>
          <t>ramp-up (injury / late WC return)</t>
        </is>
      </c>
      <c r="R39" s="6" t="n">
        <v>1700</v>
      </c>
      <c r="S39" t="inlineStr">
        <is>
          <t>research</t>
        </is>
      </c>
      <c r="T39" s="5" t="inlineStr">
        <is>
          <t>Long-term back injury aggravated in France's World Cup semi-final. Arteta on 10 August: Saliba is 'in rest mode... for two weeks. He had to do almost nothing... It's going to take some time to heal.' Arsenal.com on 14 August: 'it's more a long-term injury'. Arseblog's own estimate is that a return 'could be November or December all going well', and adds that he historically needs time to find rhythm after a layoff. Sports Mole on 13 August reports the club line of an 'extended period' and suggests he may not play again in 2026. A December return leaves roughly 22 league matches; 1700 assumes he starts most of them but not at full load immediately. Solio's 3278 implies a near ever-present season, which is not compatible with any of the reporting.</t>
        </is>
      </c>
      <c r="U39" s="6" t="n">
        <v>85.59999999999999</v>
      </c>
      <c r="V39" s="2" t="n">
        <v>30</v>
      </c>
      <c r="W39" s="7">
        <f>IF(N(U39)&lt;=0,0,MIN(Assumptions!$B$15,N(R39)/N(U39)))</f>
        <v/>
      </c>
      <c r="X39" s="6" t="n">
        <v>0.391</v>
      </c>
      <c r="Y39" s="3" t="n">
        <v>0.0287</v>
      </c>
      <c r="Z39" t="inlineStr">
        <is>
          <t>adjusted xGOT</t>
        </is>
      </c>
      <c r="AA39" s="3" t="n">
        <v>1</v>
      </c>
      <c r="AB39" s="3" t="n">
        <v>0.949</v>
      </c>
      <c r="AC39" s="3" t="n">
        <v>5.9</v>
      </c>
      <c r="AD39" s="3" t="n">
        <v>0.0433</v>
      </c>
      <c r="AE39" s="3" t="n">
        <v>6.87</v>
      </c>
      <c r="AF39" s="3" t="n">
        <v>0.1255641554707737</v>
      </c>
      <c r="AG39" s="3" t="n">
        <v>0.3787</v>
      </c>
      <c r="AH39" s="3" t="n">
        <v>59</v>
      </c>
      <c r="AI39" s="3" t="n">
        <v>2.067</v>
      </c>
      <c r="AJ39" s="3" t="n">
        <v>0.9838</v>
      </c>
      <c r="AK39" s="3" t="n">
        <v>-0.1172580621154681</v>
      </c>
      <c r="AL39" s="6" t="n">
        <v>0</v>
      </c>
      <c r="AM39" s="3" t="n">
        <v>0</v>
      </c>
      <c r="AN39" s="3" t="n">
        <v>0.1722</v>
      </c>
      <c r="AO39" s="3" t="n">
        <v>0.171468</v>
      </c>
      <c r="AP39" s="3">
        <f>N(X39)*N(BI39)</f>
        <v/>
      </c>
      <c r="AQ39" s="3" t="n">
        <v>0.3787</v>
      </c>
      <c r="AR39" s="3" t="n">
        <v>0</v>
      </c>
      <c r="AS39" s="3" t="n">
        <v>-0.2768479886568037</v>
      </c>
      <c r="AT39" s="3" t="n">
        <v>-0.1172580621154681</v>
      </c>
      <c r="AU39" s="3">
        <f>SUM(AN39:AT39)</f>
        <v/>
      </c>
      <c r="AV39" s="7">
        <f>IF(OR(N(W39)&lt;=0,N(BG39)=0),0,N(W39)*IF(N(R39)/N(W39)&gt;=60,N(BG39),1))</f>
        <v/>
      </c>
      <c r="AW39" s="7">
        <f>N(W39)*N(AF39)*N(BH39)</f>
        <v/>
      </c>
      <c r="AX39" s="7">
        <f>N(AL39)*(Assumptions!$B$13*N(BJ39)-(1-Assumptions!$B$13)*Assumptions!$B$14)+N(AM39)</f>
        <v/>
      </c>
      <c r="AY39" s="7">
        <f>N(AU39)*N(R39)/90+N(AV39)+N(AW39)+N(AX39)</f>
        <v/>
      </c>
      <c r="AZ39" s="3">
        <f>IF(N(R39)&lt;=0,0,(N(AY39)-N(AX39))*90/N(R39))</f>
        <v/>
      </c>
      <c r="BA39" s="7">
        <f>IFERROR(AY39-VLOOKUP($E39,Assumptions!$A$40:$C$43,3,FALSE),"")</f>
        <v/>
      </c>
      <c r="BB39" s="3">
        <f>IFERROR(BA39/H39,"")</f>
        <v/>
      </c>
      <c r="BC39">
        <f>IF(AND($G39=TRUE,$E39="GKP"),AY39,"")</f>
        <v/>
      </c>
      <c r="BD39">
        <f>IF(AND($G39=TRUE,$E39="DEF"),AY39,"")</f>
        <v/>
      </c>
      <c r="BE39">
        <f>IF(AND($G39=TRUE,$E39="MID"),AY39,"")</f>
        <v/>
      </c>
      <c r="BF39">
        <f>IF(AND($G39=TRUE,$E39="FWD"),AY39,"")</f>
        <v/>
      </c>
      <c r="BG39" t="n">
        <v>2</v>
      </c>
      <c r="BH39" t="n">
        <v>2</v>
      </c>
      <c r="BI39" t="n">
        <v>4</v>
      </c>
      <c r="BJ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s="8" t="n">
        <v>2964</v>
      </c>
      <c r="O40" s="8" t="n">
        <v>0</v>
      </c>
      <c r="Q40" t="inlineStr">
        <is>
          <t>flat</t>
        </is>
      </c>
      <c r="R40" s="6" t="n">
        <v>2964</v>
      </c>
      <c r="S40" t="inlineStr">
        <is>
          <t>Solio</t>
        </is>
      </c>
      <c r="U40" s="6" t="n">
        <v>82.59999999999999</v>
      </c>
      <c r="V40" s="2" t="n">
        <v>28</v>
      </c>
      <c r="W40" s="7">
        <f>IF(N(U40)&lt;=0,0,MIN(Assumptions!$B$15,N(R40)/N(U40)))</f>
        <v/>
      </c>
      <c r="X40" s="6" t="n">
        <v>0.218</v>
      </c>
      <c r="Y40" s="3" t="n">
        <v>0.1096</v>
      </c>
      <c r="Z40" t="inlineStr">
        <is>
          <t>adjusted xGOT</t>
        </is>
      </c>
      <c r="AA40" s="3" t="n">
        <v>1</v>
      </c>
      <c r="AB40" s="3" t="n">
        <v>1.002</v>
      </c>
      <c r="AC40" s="3" t="n">
        <v>2.9</v>
      </c>
      <c r="AD40" s="3" t="n">
        <v>0.1981</v>
      </c>
      <c r="AE40" s="3" t="n">
        <v>9.749000000000001</v>
      </c>
      <c r="AF40" s="3" t="n">
        <v>0.1919198811033382</v>
      </c>
      <c r="AG40" s="3" t="n">
        <v>0.5319</v>
      </c>
      <c r="AH40" s="3" t="n">
        <v>56</v>
      </c>
      <c r="AI40" s="3" t="n">
        <v>3.0611</v>
      </c>
      <c r="AJ40" s="3" t="n">
        <v>1.5875</v>
      </c>
      <c r="AK40" s="3" t="n">
        <v>-0.162906319216979</v>
      </c>
      <c r="AL40" s="6" t="n">
        <v>0</v>
      </c>
      <c r="AM40" s="3" t="n">
        <v>0</v>
      </c>
      <c r="AN40" s="3" t="n">
        <v>0.548</v>
      </c>
      <c r="AO40" s="3" t="n">
        <v>0.7844760000000001</v>
      </c>
      <c r="AP40" s="3">
        <f>N(X40)*N(BI40)</f>
        <v/>
      </c>
      <c r="AQ40" s="3" t="n">
        <v>0.5319</v>
      </c>
      <c r="AR40" s="3" t="n">
        <v>0</v>
      </c>
      <c r="AS40" s="3" t="n">
        <v>-0</v>
      </c>
      <c r="AT40" s="3" t="n">
        <v>-0.162906319216979</v>
      </c>
      <c r="AU40" s="3">
        <f>SUM(AN40:AT40)</f>
        <v/>
      </c>
      <c r="AV40" s="7">
        <f>IF(OR(N(W40)&lt;=0,N(BG40)=0),0,N(W40)*IF(N(R40)/N(W40)&gt;=60,N(BG40),1))</f>
        <v/>
      </c>
      <c r="AW40" s="7">
        <f>N(W40)*N(AF40)*N(BH40)</f>
        <v/>
      </c>
      <c r="AX40" s="7">
        <f>N(AL40)*(Assumptions!$B$13*N(BJ40)-(1-Assumptions!$B$13)*Assumptions!$B$14)+N(AM40)</f>
        <v/>
      </c>
      <c r="AY40" s="7">
        <f>N(AU40)*N(R40)/90+N(AV40)+N(AW40)+N(AX40)</f>
        <v/>
      </c>
      <c r="AZ40" s="3">
        <f>IF(N(R40)&lt;=0,0,(N(AY40)-N(AX40))*90/N(R40))</f>
        <v/>
      </c>
      <c r="BA40" s="7">
        <f>IFERROR(AY40-VLOOKUP($E40,Assumptions!$A$40:$C$43,3,FALSE),"")</f>
        <v/>
      </c>
      <c r="BB40" s="3">
        <f>IFERROR(BA40/H40,"")</f>
        <v/>
      </c>
      <c r="BC40">
        <f>IF(AND($G40=TRUE,$E40="GKP"),AY40,"")</f>
        <v/>
      </c>
      <c r="BD40">
        <f>IF(AND($G40=TRUE,$E40="DEF"),AY40,"")</f>
        <v/>
      </c>
      <c r="BE40">
        <f>IF(AND($G40=TRUE,$E40="MID"),AY40,"")</f>
        <v/>
      </c>
      <c r="BF40">
        <f>IF(AND($G40=TRUE,$E40="FWD"),AY40,"")</f>
        <v/>
      </c>
      <c r="BG40" t="n">
        <v>2</v>
      </c>
      <c r="BH40" t="n">
        <v>2</v>
      </c>
      <c r="BI40" t="n">
        <v>1</v>
      </c>
      <c r="BJ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s="4" t="n">
        <v>2600</v>
      </c>
      <c r="O41" s="4" t="n">
        <v>-455</v>
      </c>
      <c r="P41" s="5" t="inlineStr">
        <is>
          <t>medium</t>
        </is>
      </c>
      <c r="Q41" t="inlineStr">
        <is>
          <t>flat</t>
        </is>
      </c>
      <c r="R41" s="6" t="n">
        <v>2600</v>
      </c>
      <c r="S41" t="inlineStr">
        <is>
          <t>research</t>
        </is>
      </c>
      <c r="T41" s="5" t="inlineStr">
        <is>
          <t>Still the first-choice right wing-back, but Palace added two players who can fill that slot after Solio's cut-off: Mingueza on 9 July and Khalaili on 15 August, the latter explicitly as competition on the right. Combined with the Europa League league phase, 34 full matches is too high a ceiling.</t>
        </is>
      </c>
      <c r="U41" s="6" t="n">
        <v>83.5</v>
      </c>
      <c r="V41" s="2" t="n">
        <v>29</v>
      </c>
      <c r="W41" s="7">
        <f>IF(N(U41)&lt;=0,0,MIN(Assumptions!$B$15,N(R41)/N(U41)))</f>
        <v/>
      </c>
      <c r="X41" s="6" t="n">
        <v>0.216</v>
      </c>
      <c r="Y41" s="3" t="n">
        <v>0.08119999999999999</v>
      </c>
      <c r="Z41" t="inlineStr">
        <is>
          <t>adjusted xGOT</t>
        </is>
      </c>
      <c r="AA41" s="3" t="n">
        <v>1</v>
      </c>
      <c r="AB41" s="3" t="n">
        <v>0.884</v>
      </c>
      <c r="AC41" s="3" t="n">
        <v>8.6</v>
      </c>
      <c r="AD41" s="3" t="n">
        <v>0.1689</v>
      </c>
      <c r="AE41" s="3" t="n">
        <v>7.427</v>
      </c>
      <c r="AF41" s="3" t="n">
        <v>0.1585865234751795</v>
      </c>
      <c r="AG41" s="3" t="n">
        <v>0.3375</v>
      </c>
      <c r="AH41" s="3" t="n">
        <v>55</v>
      </c>
      <c r="AI41" s="3" t="n">
        <v>3.2035</v>
      </c>
      <c r="AJ41" s="3" t="n">
        <v>1.5923</v>
      </c>
      <c r="AK41" s="3" t="n">
        <v>-0.269567792305615</v>
      </c>
      <c r="AL41" s="6" t="n">
        <v>0</v>
      </c>
      <c r="AM41" s="3" t="n">
        <v>0</v>
      </c>
      <c r="AN41" s="3" t="n">
        <v>0.4872</v>
      </c>
      <c r="AO41" s="3" t="n">
        <v>0.6688439999999999</v>
      </c>
      <c r="AP41" s="3">
        <f>N(X41)*N(BI41)</f>
        <v/>
      </c>
      <c r="AQ41" s="3" t="n">
        <v>0.3375</v>
      </c>
      <c r="AR41" s="3" t="n">
        <v>0</v>
      </c>
      <c r="AS41" s="3" t="n">
        <v>-0.5564987001023466</v>
      </c>
      <c r="AT41" s="3" t="n">
        <v>-0.269567792305615</v>
      </c>
      <c r="AU41" s="3">
        <f>SUM(AN41:AT41)</f>
        <v/>
      </c>
      <c r="AV41" s="7">
        <f>IF(OR(N(W41)&lt;=0,N(BG41)=0),0,N(W41)*IF(N(R41)/N(W41)&gt;=60,N(BG41),1))</f>
        <v/>
      </c>
      <c r="AW41" s="7">
        <f>N(W41)*N(AF41)*N(BH41)</f>
        <v/>
      </c>
      <c r="AX41" s="7">
        <f>N(AL41)*(Assumptions!$B$13*N(BJ41)-(1-Assumptions!$B$13)*Assumptions!$B$14)+N(AM41)</f>
        <v/>
      </c>
      <c r="AY41" s="7">
        <f>N(AU41)*N(R41)/90+N(AV41)+N(AW41)+N(AX41)</f>
        <v/>
      </c>
      <c r="AZ41" s="3">
        <f>IF(N(R41)&lt;=0,0,(N(AY41)-N(AX41))*90/N(R41))</f>
        <v/>
      </c>
      <c r="BA41" s="7">
        <f>IFERROR(AY41-VLOOKUP($E41,Assumptions!$A$40:$C$43,3,FALSE),"")</f>
        <v/>
      </c>
      <c r="BB41" s="3">
        <f>IFERROR(BA41/H41,"")</f>
        <v/>
      </c>
      <c r="BC41">
        <f>IF(AND($G41=TRUE,$E41="GKP"),AY41,"")</f>
        <v/>
      </c>
      <c r="BD41">
        <f>IF(AND($G41=TRUE,$E41="DEF"),AY41,"")</f>
        <v/>
      </c>
      <c r="BE41">
        <f>IF(AND($G41=TRUE,$E41="MID"),AY41,"")</f>
        <v/>
      </c>
      <c r="BF41">
        <f>IF(AND($G41=TRUE,$E41="FWD"),AY41,"")</f>
        <v/>
      </c>
      <c r="BG41" t="n">
        <v>2</v>
      </c>
      <c r="BH41" t="n">
        <v>2</v>
      </c>
      <c r="BI41" t="n">
        <v>4</v>
      </c>
      <c r="BJ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N42" s="4" t="n">
        <v>0</v>
      </c>
      <c r="O42" s="4" t="n">
        <v>-2780</v>
      </c>
      <c r="P42" s="5" t="inlineStr">
        <is>
          <t>high</t>
        </is>
      </c>
      <c r="R42" s="6" t="n">
        <v>0</v>
      </c>
      <c r="S42" t="inlineStr">
        <is>
          <t>research</t>
        </is>
      </c>
      <c r="T42" s="5" t="inlineStr">
        <is>
          <t>Left the club. Permanent transfer to Como on 9 August 2026 for GBP 25.7m. The official FPL game flagged him unavailable on 2026-08-10 with the note 'Has joined Como permanently'. He cannot play a single Premier League minute for Chelsea, so Solio's 2,780 is pure error and is on its own 89% of the club's over-allocation.</t>
        </is>
      </c>
      <c r="U42" s="6" t="n">
        <v>88.3</v>
      </c>
      <c r="V42" s="2" t="n">
        <v>30</v>
      </c>
      <c r="W42" s="7">
        <f>IF(N(U42)&lt;=0,0,MIN(Assumptions!$B$15,N(R42)/N(U42)))</f>
        <v/>
      </c>
      <c r="X42" s="6" t="n">
        <v>0.322</v>
      </c>
      <c r="Y42" s="3" t="n">
        <v>0.0555</v>
      </c>
      <c r="Z42" t="inlineStr">
        <is>
          <t>adjusted xGOT</t>
        </is>
      </c>
      <c r="AA42" s="3" t="n">
        <v>1</v>
      </c>
      <c r="AB42" s="3" t="n">
        <v>1.19</v>
      </c>
      <c r="AC42" s="3" t="n">
        <v>4.4</v>
      </c>
      <c r="AD42" s="3" t="n">
        <v>0.0269</v>
      </c>
      <c r="AE42" s="3" t="n">
        <v>8.395</v>
      </c>
      <c r="AF42" s="3" t="n">
        <v>0.3131100739185544</v>
      </c>
      <c r="AG42" s="3" t="n">
        <v>0.1942</v>
      </c>
      <c r="AH42" s="3" t="n">
        <v>64</v>
      </c>
      <c r="AI42" s="3" t="n">
        <v>2.4232</v>
      </c>
      <c r="AJ42" s="3" t="n">
        <v>1.1851</v>
      </c>
      <c r="AK42" s="3" t="n">
        <v>-0.1478183144863072</v>
      </c>
      <c r="AL42" s="6" t="n">
        <v>0</v>
      </c>
      <c r="AM42" s="3" t="n">
        <v>0</v>
      </c>
      <c r="AN42" s="3" t="n">
        <v>0.333</v>
      </c>
      <c r="AO42" s="3" t="n">
        <v>0.106524</v>
      </c>
      <c r="AP42" s="3">
        <f>N(X42)*N(BI42)</f>
        <v/>
      </c>
      <c r="AQ42" s="3" t="n">
        <v>0.1942</v>
      </c>
      <c r="AR42" s="3" t="n">
        <v>0</v>
      </c>
      <c r="AS42" s="3" t="n">
        <v>-0.365915508000572</v>
      </c>
      <c r="AT42" s="3" t="n">
        <v>-0.1478183144863072</v>
      </c>
      <c r="AU42" s="3">
        <f>SUM(AN42:AT42)</f>
        <v/>
      </c>
      <c r="AV42" s="7">
        <f>IF(OR(N(W42)&lt;=0,N(BG42)=0),0,N(W42)*IF(N(R42)/N(W42)&gt;=60,N(BG42),1))</f>
        <v/>
      </c>
      <c r="AW42" s="7">
        <f>N(W42)*N(AF42)*N(BH42)</f>
        <v/>
      </c>
      <c r="AX42" s="7">
        <f>N(AL42)*(Assumptions!$B$13*N(BJ42)-(1-Assumptions!$B$13)*Assumptions!$B$14)+N(AM42)</f>
        <v/>
      </c>
      <c r="AY42" s="7">
        <f>N(AU42)*N(R42)/90+N(AV42)+N(AW42)+N(AX42)</f>
        <v/>
      </c>
      <c r="AZ42" s="3">
        <f>IF(N(R42)&lt;=0,0,(N(AY42)-N(AX42))*90/N(R42))</f>
        <v/>
      </c>
      <c r="BA42" s="7">
        <f>IFERROR(AY42-VLOOKUP($E42,Assumptions!$A$40:$C$43,3,FALSE),"")</f>
        <v/>
      </c>
      <c r="BB42" s="3">
        <f>IFERROR(BA42/H42,"")</f>
        <v/>
      </c>
      <c r="BC42">
        <f>IF(AND($G42=TRUE,$E42="GKP"),AY42,"")</f>
        <v/>
      </c>
      <c r="BD42">
        <f>IF(AND($G42=TRUE,$E42="DEF"),AY42,"")</f>
        <v/>
      </c>
      <c r="BE42">
        <f>IF(AND($G42=TRUE,$E42="MID"),AY42,"")</f>
        <v/>
      </c>
      <c r="BF42">
        <f>IF(AND($G42=TRUE,$E42="FWD"),AY42,"")</f>
        <v/>
      </c>
      <c r="BG42" t="n">
        <v>2</v>
      </c>
      <c r="BH42" t="n">
        <v>2</v>
      </c>
      <c r="BI42" t="n">
        <v>4</v>
      </c>
      <c r="BJ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s="8" t="n">
        <v>3420</v>
      </c>
      <c r="O43" s="8" t="n">
        <v>0</v>
      </c>
      <c r="Q43" t="inlineStr">
        <is>
          <t>flat</t>
        </is>
      </c>
      <c r="R43" s="6" t="n">
        <v>3420</v>
      </c>
      <c r="S43" t="inlineStr">
        <is>
          <t>Solio</t>
        </is>
      </c>
      <c r="U43" s="6" t="n">
        <v>90</v>
      </c>
      <c r="V43" s="2" t="n">
        <v>35</v>
      </c>
      <c r="W43" s="7">
        <f>IF(N(U43)&lt;=0,0,MIN(Assumptions!$B$15,N(R43)/N(U43)))</f>
        <v/>
      </c>
      <c r="X43" s="6" t="n">
        <v>0.204</v>
      </c>
      <c r="Y43" s="3" t="n">
        <v>0</v>
      </c>
      <c r="Z43" t="inlineStr">
        <is>
          <t>blended xG</t>
        </is>
      </c>
      <c r="AA43" s="3" t="n">
        <v>1</v>
      </c>
      <c r="AB43" s="3" t="n">
        <v>1</v>
      </c>
      <c r="AC43" s="3" t="n">
        <v>0</v>
      </c>
      <c r="AD43" s="3" t="n">
        <v>0.0115</v>
      </c>
      <c r="AE43" s="3" t="n">
        <v>0</v>
      </c>
      <c r="AF43" s="3" t="n">
        <v>0</v>
      </c>
      <c r="AG43" s="3" t="n">
        <v>0.3429</v>
      </c>
      <c r="AH43" s="3" t="n">
        <v>70</v>
      </c>
      <c r="AI43" s="3" t="n">
        <v>3.3348</v>
      </c>
      <c r="AJ43" s="3" t="n">
        <v>1.6498</v>
      </c>
      <c r="AK43" s="3" t="n">
        <v>-0.1044073085244976</v>
      </c>
      <c r="AL43" s="6" t="n">
        <v>0</v>
      </c>
      <c r="AM43" s="3" t="n">
        <v>3.522067439248842</v>
      </c>
      <c r="AN43" s="3" t="n">
        <v>0</v>
      </c>
      <c r="AO43" s="3" t="n">
        <v>0.04554</v>
      </c>
      <c r="AP43" s="3">
        <f>N(X43)*N(BI43)</f>
        <v/>
      </c>
      <c r="AQ43" s="3" t="n">
        <v>0.3429</v>
      </c>
      <c r="AR43" s="3" t="n">
        <v>0.7764218657798218</v>
      </c>
      <c r="AS43" s="3" t="n">
        <v>-0.5841244809045405</v>
      </c>
      <c r="AT43" s="3" t="n">
        <v>-0.1044073085244976</v>
      </c>
      <c r="AU43" s="3">
        <f>SUM(AN43:AT43)</f>
        <v/>
      </c>
      <c r="AV43" s="7">
        <f>IF(OR(N(W43)&lt;=0,N(BG43)=0),0,N(W43)*IF(N(R43)/N(W43)&gt;=60,N(BG43),1))</f>
        <v/>
      </c>
      <c r="AW43" s="7">
        <f>N(W43)*N(AF43)*N(BH43)</f>
        <v/>
      </c>
      <c r="AX43" s="7">
        <f>N(AL43)*(Assumptions!$B$13*N(BJ43)-(1-Assumptions!$B$13)*Assumptions!$B$14)+N(AM43)</f>
        <v/>
      </c>
      <c r="AY43" s="7">
        <f>N(AU43)*N(R43)/90+N(AV43)+N(AW43)+N(AX43)</f>
        <v/>
      </c>
      <c r="AZ43" s="3">
        <f>IF(N(R43)&lt;=0,0,(N(AY43)-N(AX43))*90/N(R43))</f>
        <v/>
      </c>
      <c r="BA43" s="7">
        <f>IFERROR(AY43-VLOOKUP($E43,Assumptions!$A$40:$C$43,3,FALSE),"")</f>
        <v/>
      </c>
      <c r="BB43" s="3">
        <f>IFERROR(BA43/H43,"")</f>
        <v/>
      </c>
      <c r="BC43">
        <f>IF(AND($G43=TRUE,$E43="GKP"),AY43,"")</f>
        <v/>
      </c>
      <c r="BD43">
        <f>IF(AND($G43=TRUE,$E43="DEF"),AY43,"")</f>
        <v/>
      </c>
      <c r="BE43">
        <f>IF(AND($G43=TRUE,$E43="MID"),AY43,"")</f>
        <v/>
      </c>
      <c r="BF43">
        <f>IF(AND($G43=TRUE,$E43="FWD"),AY43,"")</f>
        <v/>
      </c>
      <c r="BG43" t="n">
        <v>2</v>
      </c>
      <c r="BH43" t="n">
        <v>0</v>
      </c>
      <c r="BI43" t="n">
        <v>4</v>
      </c>
      <c r="BJ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s="8" t="n">
        <v>2878</v>
      </c>
      <c r="O44" s="8" t="n">
        <v>0</v>
      </c>
      <c r="Q44" t="inlineStr">
        <is>
          <t>flat</t>
        </is>
      </c>
      <c r="R44" s="6" t="n">
        <v>2878</v>
      </c>
      <c r="S44" t="inlineStr">
        <is>
          <t>Solio</t>
        </is>
      </c>
      <c r="U44" s="6" t="n">
        <v>83.09999999999999</v>
      </c>
      <c r="V44" s="2" t="n">
        <v>25</v>
      </c>
      <c r="W44" s="7">
        <f>IF(N(U44)&lt;=0,0,MIN(Assumptions!$B$15,N(R44)/N(U44)))</f>
        <v/>
      </c>
      <c r="X44" s="6" t="n">
        <v>0.228</v>
      </c>
      <c r="Y44" s="3" t="n">
        <v>0.2639</v>
      </c>
      <c r="Z44" t="inlineStr">
        <is>
          <t>adjusted xGOT</t>
        </is>
      </c>
      <c r="AA44" s="3" t="n">
        <v>1</v>
      </c>
      <c r="AB44" s="3" t="n">
        <v>0.838</v>
      </c>
      <c r="AC44" s="3" t="n">
        <v>22.5</v>
      </c>
      <c r="AD44" s="3" t="n">
        <v>0.1978</v>
      </c>
      <c r="AE44" s="3" t="n">
        <v>7.631</v>
      </c>
      <c r="AF44" s="3" t="n">
        <v>0.05545287080309569</v>
      </c>
      <c r="AG44" s="3" t="n">
        <v>0.6341</v>
      </c>
      <c r="AH44" s="3" t="n">
        <v>56</v>
      </c>
      <c r="AI44" s="3" t="n">
        <v>3.2371</v>
      </c>
      <c r="AJ44" s="3" t="n">
        <v>1.5396</v>
      </c>
      <c r="AK44" s="3" t="n">
        <v>-0.203302718715831</v>
      </c>
      <c r="AL44" s="6" t="n">
        <v>0</v>
      </c>
      <c r="AM44" s="3" t="n">
        <v>0</v>
      </c>
      <c r="AN44" s="3" t="n">
        <v>1.3195</v>
      </c>
      <c r="AO44" s="3" t="n">
        <v>0.7832880000000001</v>
      </c>
      <c r="AP44" s="3">
        <f>N(X44)*N(BI44)</f>
        <v/>
      </c>
      <c r="AQ44" s="3" t="n">
        <v>0.6341</v>
      </c>
      <c r="AR44" s="3" t="n">
        <v>0</v>
      </c>
      <c r="AS44" s="3" t="n">
        <v>-0</v>
      </c>
      <c r="AT44" s="3" t="n">
        <v>-0.203302718715831</v>
      </c>
      <c r="AU44" s="3">
        <f>SUM(AN44:AT44)</f>
        <v/>
      </c>
      <c r="AV44" s="7">
        <f>IF(OR(N(W44)&lt;=0,N(BG44)=0),0,N(W44)*IF(N(R44)/N(W44)&gt;=60,N(BG44),1))</f>
        <v/>
      </c>
      <c r="AW44" s="7">
        <f>N(W44)*N(AF44)*N(BH44)</f>
        <v/>
      </c>
      <c r="AX44" s="7">
        <f>N(AL44)*(Assumptions!$B$13*N(BJ44)-(1-Assumptions!$B$13)*Assumptions!$B$14)+N(AM44)</f>
        <v/>
      </c>
      <c r="AY44" s="7">
        <f>N(AU44)*N(R44)/90+N(AV44)+N(AW44)+N(AX44)</f>
        <v/>
      </c>
      <c r="AZ44" s="3">
        <f>IF(N(R44)&lt;=0,0,(N(AY44)-N(AX44))*90/N(R44))</f>
        <v/>
      </c>
      <c r="BA44" s="7">
        <f>IFERROR(AY44-VLOOKUP($E44,Assumptions!$A$40:$C$43,3,FALSE),"")</f>
        <v/>
      </c>
      <c r="BB44" s="3">
        <f>IFERROR(BA44/H44,"")</f>
        <v/>
      </c>
      <c r="BC44">
        <f>IF(AND($G44=TRUE,$E44="GKP"),AY44,"")</f>
        <v/>
      </c>
      <c r="BD44">
        <f>IF(AND($G44=TRUE,$E44="DEF"),AY44,"")</f>
        <v/>
      </c>
      <c r="BE44">
        <f>IF(AND($G44=TRUE,$E44="MID"),AY44,"")</f>
        <v/>
      </c>
      <c r="BF44">
        <f>IF(AND($G44=TRUE,$E44="FWD"),AY44,"")</f>
        <v/>
      </c>
      <c r="BG44" t="n">
        <v>2</v>
      </c>
      <c r="BH44" t="n">
        <v>2</v>
      </c>
      <c r="BI44" t="n">
        <v>1</v>
      </c>
      <c r="BJ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s="4" t="n">
        <v>2800</v>
      </c>
      <c r="O45" s="4" t="n">
        <v>-375</v>
      </c>
      <c r="P45" s="5" t="inlineStr">
        <is>
          <t>low</t>
        </is>
      </c>
      <c r="Q45" t="inlineStr">
        <is>
          <t>flat</t>
        </is>
      </c>
      <c r="R45" s="6" t="n">
        <v>2800</v>
      </c>
      <c r="S45" t="inlineStr">
        <is>
          <t>research</t>
        </is>
      </c>
      <c r="T45" s="5" t="inlineStr">
        <is>
          <t>A trim, not a demotion - Scott is a first-choice midfielder and started vs Betis. But he was missing from both the XI and the bench for the 15 Aug Mainz friendly with no explanation given, Chelsea had a reported GBP 64m bid rejected in late July with two years left on his contract, and 3175 minutes is 93% of a midfield slot for a club playing European football for the first time.</t>
        </is>
      </c>
      <c r="U45" s="6" t="n">
        <v>80.3</v>
      </c>
      <c r="V45" s="2" t="n">
        <v>34</v>
      </c>
      <c r="W45" s="7">
        <f>IF(N(U45)&lt;=0,0,MIN(Assumptions!$B$15,N(R45)/N(U45)))</f>
        <v/>
      </c>
      <c r="X45" s="6" t="n">
        <v>0.23</v>
      </c>
      <c r="Y45" s="3" t="n">
        <v>0.116</v>
      </c>
      <c r="Z45" t="inlineStr">
        <is>
          <t>adjusted xGOT</t>
        </is>
      </c>
      <c r="AA45" s="3" t="n">
        <v>1</v>
      </c>
      <c r="AB45" s="3" t="n">
        <v>0.966</v>
      </c>
      <c r="AC45" s="3" t="n">
        <v>5.4</v>
      </c>
      <c r="AD45" s="3" t="n">
        <v>0.0921</v>
      </c>
      <c r="AE45" s="3" t="n">
        <v>11.467</v>
      </c>
      <c r="AF45" s="3" t="n">
        <v>0.3297899588476669</v>
      </c>
      <c r="AG45" s="3" t="n">
        <v>0.2844</v>
      </c>
      <c r="AH45" s="3" t="n">
        <v>70</v>
      </c>
      <c r="AI45" s="3" t="n">
        <v>3.0957</v>
      </c>
      <c r="AJ45" s="3" t="n">
        <v>1.53</v>
      </c>
      <c r="AK45" s="3" t="n">
        <v>-0.2127229798922649</v>
      </c>
      <c r="AL45" s="6" t="n">
        <v>0</v>
      </c>
      <c r="AM45" s="3" t="n">
        <v>0</v>
      </c>
      <c r="AN45" s="3" t="n">
        <v>0.5800000000000001</v>
      </c>
      <c r="AO45" s="3" t="n">
        <v>0.364716</v>
      </c>
      <c r="AP45" s="3">
        <f>N(X45)*N(BI45)</f>
        <v/>
      </c>
      <c r="AQ45" s="3" t="n">
        <v>0.2844</v>
      </c>
      <c r="AR45" s="3" t="n">
        <v>0</v>
      </c>
      <c r="AS45" s="3" t="n">
        <v>-0</v>
      </c>
      <c r="AT45" s="3" t="n">
        <v>-0.2127229798922649</v>
      </c>
      <c r="AU45" s="3">
        <f>SUM(AN45:AT45)</f>
        <v/>
      </c>
      <c r="AV45" s="7">
        <f>IF(OR(N(W45)&lt;=0,N(BG45)=0),0,N(W45)*IF(N(R45)/N(W45)&gt;=60,N(BG45),1))</f>
        <v/>
      </c>
      <c r="AW45" s="7">
        <f>N(W45)*N(AF45)*N(BH45)</f>
        <v/>
      </c>
      <c r="AX45" s="7">
        <f>N(AL45)*(Assumptions!$B$13*N(BJ45)-(1-Assumptions!$B$13)*Assumptions!$B$14)+N(AM45)</f>
        <v/>
      </c>
      <c r="AY45" s="7">
        <f>N(AU45)*N(R45)/90+N(AV45)+N(AW45)+N(AX45)</f>
        <v/>
      </c>
      <c r="AZ45" s="3">
        <f>IF(N(R45)&lt;=0,0,(N(AY45)-N(AX45))*90/N(R45))</f>
        <v/>
      </c>
      <c r="BA45" s="7">
        <f>IFERROR(AY45-VLOOKUP($E45,Assumptions!$A$40:$C$43,3,FALSE),"")</f>
        <v/>
      </c>
      <c r="BB45" s="3">
        <f>IFERROR(BA45/H45,"")</f>
        <v/>
      </c>
      <c r="BC45">
        <f>IF(AND($G45=TRUE,$E45="GKP"),AY45,"")</f>
        <v/>
      </c>
      <c r="BD45">
        <f>IF(AND($G45=TRUE,$E45="DEF"),AY45,"")</f>
        <v/>
      </c>
      <c r="BE45">
        <f>IF(AND($G45=TRUE,$E45="MID"),AY45,"")</f>
        <v/>
      </c>
      <c r="BF45">
        <f>IF(AND($G45=TRUE,$E45="FWD"),AY45,"")</f>
        <v/>
      </c>
      <c r="BG45" t="n">
        <v>2</v>
      </c>
      <c r="BH45" t="n">
        <v>2</v>
      </c>
      <c r="BI45" t="n">
        <v>1</v>
      </c>
      <c r="BJ45" t="n">
        <v>5</v>
      </c>
    </row>
    <row r="46">
      <c r="A46" s="9" t="inlineStr">
        <is>
          <t>Mateus Fernandes</t>
        </is>
      </c>
      <c r="B46" t="inlineStr">
        <is>
          <t>TOT</t>
        </is>
      </c>
      <c r="C46" s="9" t="inlineStr">
        <is>
          <t>WHU</t>
        </is>
      </c>
      <c r="D46" t="b">
        <v>1</v>
      </c>
      <c r="E46" t="inlineStr">
        <is>
          <t>MID</t>
        </is>
      </c>
      <c r="F46" t="inlineStr">
        <is>
          <t>MID</t>
        </is>
      </c>
      <c r="G46" t="b">
        <v>1</v>
      </c>
      <c r="H46" s="2" t="n">
        <v>6</v>
      </c>
      <c r="I46" t="inlineStr">
        <is>
          <t>a</t>
        </is>
      </c>
      <c r="K46" s="2" t="n">
        <v>3017</v>
      </c>
      <c r="L46" t="n">
        <v>135</v>
      </c>
      <c r="M46" s="3" t="n">
        <v>3089</v>
      </c>
      <c r="N46" s="8" t="n">
        <v>3089</v>
      </c>
      <c r="O46" s="8" t="n">
        <v>0</v>
      </c>
      <c r="Q46" t="inlineStr">
        <is>
          <t>flat</t>
        </is>
      </c>
      <c r="R46" s="6" t="n">
        <v>3089</v>
      </c>
      <c r="S46" t="inlineStr">
        <is>
          <t>Solio</t>
        </is>
      </c>
      <c r="U46" s="6" t="n">
        <v>84.3</v>
      </c>
      <c r="V46" s="2" t="n">
        <v>35</v>
      </c>
      <c r="W46" s="7">
        <f>IF(N(U46)&lt;=0,0,MIN(Assumptions!$B$15,N(R46)/N(U46)))</f>
        <v/>
      </c>
      <c r="X46" s="6" t="n">
        <v>0.286</v>
      </c>
      <c r="Y46" s="10" t="n">
        <v>0.0501</v>
      </c>
      <c r="Z46" t="inlineStr">
        <is>
          <t>adjusted xGOT</t>
        </is>
      </c>
      <c r="AA46" s="3" t="n">
        <v>1</v>
      </c>
      <c r="AB46" s="3" t="n">
        <v>0.843</v>
      </c>
      <c r="AC46" s="3" t="n">
        <v>6.1</v>
      </c>
      <c r="AD46" s="10" t="n">
        <v>0.0939</v>
      </c>
      <c r="AE46" s="3" t="n">
        <v>10.539</v>
      </c>
      <c r="AF46" s="3" t="n">
        <v>0.2887100025918433</v>
      </c>
      <c r="AG46" s="3" t="n">
        <v>0.179</v>
      </c>
      <c r="AH46" s="3" t="n">
        <v>70</v>
      </c>
      <c r="AI46" s="3" t="n">
        <v>2.5739</v>
      </c>
      <c r="AJ46" s="3" t="n">
        <v>1.3096</v>
      </c>
      <c r="AK46" s="3" t="n">
        <v>-0.2341130422141206</v>
      </c>
      <c r="AL46" s="6" t="n">
        <v>0</v>
      </c>
      <c r="AM46" s="3" t="n">
        <v>0</v>
      </c>
      <c r="AN46" s="10" t="n">
        <v>0.2505</v>
      </c>
      <c r="AO46" s="10" t="n">
        <v>0.371844</v>
      </c>
      <c r="AP46" s="3">
        <f>N(X46)*N(BI46)</f>
        <v/>
      </c>
      <c r="AQ46" s="3" t="n">
        <v>0.179</v>
      </c>
      <c r="AR46" s="3" t="n">
        <v>0</v>
      </c>
      <c r="AS46" s="3" t="n">
        <v>-0</v>
      </c>
      <c r="AT46" s="3" t="n">
        <v>-0.2341130422141206</v>
      </c>
      <c r="AU46" s="3">
        <f>SUM(AN46:AT46)</f>
        <v/>
      </c>
      <c r="AV46" s="7">
        <f>IF(OR(N(W46)&lt;=0,N(BG46)=0),0,N(W46)*IF(N(R46)/N(W46)&gt;=60,N(BG46),1))</f>
        <v/>
      </c>
      <c r="AW46" s="7">
        <f>N(W46)*N(AF46)*N(BH46)</f>
        <v/>
      </c>
      <c r="AX46" s="7">
        <f>N(AL46)*(Assumptions!$B$13*N(BJ46)-(1-Assumptions!$B$13)*Assumptions!$B$14)+N(AM46)</f>
        <v/>
      </c>
      <c r="AY46" s="7">
        <f>N(AU46)*N(R46)/90+N(AV46)+N(AW46)+N(AX46)</f>
        <v/>
      </c>
      <c r="AZ46" s="3">
        <f>IF(N(R46)&lt;=0,0,(N(AY46)-N(AX46))*90/N(R46))</f>
        <v/>
      </c>
      <c r="BA46" s="7">
        <f>IFERROR(AY46-VLOOKUP($E46,Assumptions!$A$40:$C$43,3,FALSE),"")</f>
        <v/>
      </c>
      <c r="BB46" s="3">
        <f>IFERROR(BA46/H46,"")</f>
        <v/>
      </c>
      <c r="BC46">
        <f>IF(AND($G46=TRUE,$E46="GKP"),AY46,"")</f>
        <v/>
      </c>
      <c r="BD46">
        <f>IF(AND($G46=TRUE,$E46="DEF"),AY46,"")</f>
        <v/>
      </c>
      <c r="BE46">
        <f>IF(AND($G46=TRUE,$E46="MID"),AY46,"")</f>
        <v/>
      </c>
      <c r="BF46">
        <f>IF(AND($G46=TRUE,$E46="FWD"),AY46,"")</f>
        <v/>
      </c>
      <c r="BG46" t="n">
        <v>2</v>
      </c>
      <c r="BH46" t="n">
        <v>2</v>
      </c>
      <c r="BI46" t="n">
        <v>1</v>
      </c>
      <c r="BJ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s="8" t="n">
        <v>1796</v>
      </c>
      <c r="O47" s="8" t="n">
        <v>0</v>
      </c>
      <c r="Q47" t="inlineStr">
        <is>
          <t>flat</t>
        </is>
      </c>
      <c r="R47" s="6" t="n">
        <v>1796</v>
      </c>
      <c r="S47" t="inlineStr">
        <is>
          <t>Solio</t>
        </is>
      </c>
      <c r="U47" s="6" t="n">
        <v>78.09999999999999</v>
      </c>
      <c r="V47" s="2" t="n">
        <v>19</v>
      </c>
      <c r="W47" s="7">
        <f>IF(N(U47)&lt;=0,0,MIN(Assumptions!$B$15,N(R47)/N(U47)))</f>
        <v/>
      </c>
      <c r="X47" s="6" t="n">
        <v>0.371</v>
      </c>
      <c r="Y47" s="3" t="n">
        <v>0.2231</v>
      </c>
      <c r="Z47" t="inlineStr">
        <is>
          <t>adjusted xGOT</t>
        </is>
      </c>
      <c r="AA47" s="3" t="n">
        <v>1</v>
      </c>
      <c r="AB47" s="3" t="n">
        <v>1.026</v>
      </c>
      <c r="AC47" s="3" t="n">
        <v>4.3</v>
      </c>
      <c r="AD47" s="3" t="n">
        <v>0.4991</v>
      </c>
      <c r="AE47" s="3" t="n">
        <v>7.354</v>
      </c>
      <c r="AF47" s="3" t="n">
        <v>0.03013623829695611</v>
      </c>
      <c r="AG47" s="3" t="n">
        <v>0.8126</v>
      </c>
      <c r="AH47" s="3" t="n">
        <v>49</v>
      </c>
      <c r="AI47" s="3" t="n">
        <v>1.9737</v>
      </c>
      <c r="AJ47" s="3" t="n">
        <v>1.0365</v>
      </c>
      <c r="AK47" s="3" t="n">
        <v>-0.1340533133526679</v>
      </c>
      <c r="AL47" s="6" t="n">
        <v>0</v>
      </c>
      <c r="AM47" s="3" t="n">
        <v>0</v>
      </c>
      <c r="AN47" s="3" t="n">
        <v>1.1155</v>
      </c>
      <c r="AO47" s="3" t="n">
        <v>1.976436</v>
      </c>
      <c r="AP47" s="3">
        <f>N(X47)*N(BI47)</f>
        <v/>
      </c>
      <c r="AQ47" s="3" t="n">
        <v>0.8126</v>
      </c>
      <c r="AR47" s="3" t="n">
        <v>0</v>
      </c>
      <c r="AS47" s="3" t="n">
        <v>-0</v>
      </c>
      <c r="AT47" s="3" t="n">
        <v>-0.1340533133526679</v>
      </c>
      <c r="AU47" s="3">
        <f>SUM(AN47:AT47)</f>
        <v/>
      </c>
      <c r="AV47" s="7">
        <f>IF(OR(N(W47)&lt;=0,N(BG47)=0),0,N(W47)*IF(N(R47)/N(W47)&gt;=60,N(BG47),1))</f>
        <v/>
      </c>
      <c r="AW47" s="7">
        <f>N(W47)*N(AF47)*N(BH47)</f>
        <v/>
      </c>
      <c r="AX47" s="7">
        <f>N(AL47)*(Assumptions!$B$13*N(BJ47)-(1-Assumptions!$B$13)*Assumptions!$B$14)+N(AM47)</f>
        <v/>
      </c>
      <c r="AY47" s="7">
        <f>N(AU47)*N(R47)/90+N(AV47)+N(AW47)+N(AX47)</f>
        <v/>
      </c>
      <c r="AZ47" s="3">
        <f>IF(N(R47)&lt;=0,0,(N(AY47)-N(AX47))*90/N(R47))</f>
        <v/>
      </c>
      <c r="BA47" s="7">
        <f>IFERROR(AY47-VLOOKUP($E47,Assumptions!$A$40:$C$43,3,FALSE),"")</f>
        <v/>
      </c>
      <c r="BB47" s="3">
        <f>IFERROR(BA47/H47,"")</f>
        <v/>
      </c>
      <c r="BC47">
        <f>IF(AND($G47=TRUE,$E47="GKP"),AY47,"")</f>
        <v/>
      </c>
      <c r="BD47">
        <f>IF(AND($G47=TRUE,$E47="DEF"),AY47,"")</f>
        <v/>
      </c>
      <c r="BE47">
        <f>IF(AND($G47=TRUE,$E47="MID"),AY47,"")</f>
        <v/>
      </c>
      <c r="BF47">
        <f>IF(AND($G47=TRUE,$E47="FWD"),AY47,"")</f>
        <v/>
      </c>
      <c r="BG47" t="n">
        <v>2</v>
      </c>
      <c r="BH47" t="n">
        <v>2</v>
      </c>
      <c r="BI47" t="n">
        <v>1</v>
      </c>
      <c r="BJ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s="8" t="n">
        <v>3385</v>
      </c>
      <c r="O48" s="8" t="n">
        <v>0</v>
      </c>
      <c r="Q48" t="inlineStr">
        <is>
          <t>flat</t>
        </is>
      </c>
      <c r="R48" s="6" t="n">
        <v>3385</v>
      </c>
      <c r="S48" t="inlineStr">
        <is>
          <t>Solio</t>
        </is>
      </c>
      <c r="U48" s="6" t="n">
        <v>90</v>
      </c>
      <c r="V48" s="2" t="n">
        <v>38</v>
      </c>
      <c r="W48" s="7">
        <f>IF(N(U48)&lt;=0,0,MIN(Assumptions!$B$15,N(R48)/N(U48)))</f>
        <v/>
      </c>
      <c r="X48" s="6" t="n">
        <v>0.231</v>
      </c>
      <c r="Y48" s="3" t="n">
        <v>0</v>
      </c>
      <c r="Z48" t="inlineStr">
        <is>
          <t>blended xG</t>
        </is>
      </c>
      <c r="AA48" s="3" t="n">
        <v>1</v>
      </c>
      <c r="AB48" s="3" t="n">
        <v>1</v>
      </c>
      <c r="AC48" s="3" t="n">
        <v>0</v>
      </c>
      <c r="AD48" s="3" t="n">
        <v>0.0057</v>
      </c>
      <c r="AE48" s="3" t="n">
        <v>0</v>
      </c>
      <c r="AF48" s="3" t="n">
        <v>0</v>
      </c>
      <c r="AG48" s="3" t="n">
        <v>0.3947</v>
      </c>
      <c r="AH48" s="3" t="n">
        <v>76</v>
      </c>
      <c r="AI48" s="3" t="n">
        <v>3.0311</v>
      </c>
      <c r="AJ48" s="3" t="n">
        <v>1.5252</v>
      </c>
      <c r="AK48" s="3" t="n">
        <v>-0.1265887351193527</v>
      </c>
      <c r="AL48" s="6" t="n">
        <v>0</v>
      </c>
      <c r="AM48" s="3" t="n">
        <v>3.222841840244168</v>
      </c>
      <c r="AN48" s="3" t="n">
        <v>0</v>
      </c>
      <c r="AO48" s="3" t="n">
        <v>0.022572</v>
      </c>
      <c r="AP48" s="3">
        <f>N(X48)*N(BI48)</f>
        <v/>
      </c>
      <c r="AQ48" s="3" t="n">
        <v>0.3947</v>
      </c>
      <c r="AR48" s="3" t="n">
        <v>0.67496810501903</v>
      </c>
      <c r="AS48" s="3" t="n">
        <v>-0.524434996152324</v>
      </c>
      <c r="AT48" s="3" t="n">
        <v>-0.1265887351193527</v>
      </c>
      <c r="AU48" s="3">
        <f>SUM(AN48:AT48)</f>
        <v/>
      </c>
      <c r="AV48" s="7">
        <f>IF(OR(N(W48)&lt;=0,N(BG48)=0),0,N(W48)*IF(N(R48)/N(W48)&gt;=60,N(BG48),1))</f>
        <v/>
      </c>
      <c r="AW48" s="7">
        <f>N(W48)*N(AF48)*N(BH48)</f>
        <v/>
      </c>
      <c r="AX48" s="7">
        <f>N(AL48)*(Assumptions!$B$13*N(BJ48)-(1-Assumptions!$B$13)*Assumptions!$B$14)+N(AM48)</f>
        <v/>
      </c>
      <c r="AY48" s="7">
        <f>N(AU48)*N(R48)/90+N(AV48)+N(AW48)+N(AX48)</f>
        <v/>
      </c>
      <c r="AZ48" s="3">
        <f>IF(N(R48)&lt;=0,0,(N(AY48)-N(AX48))*90/N(R48))</f>
        <v/>
      </c>
      <c r="BA48" s="7">
        <f>IFERROR(AY48-VLOOKUP($E48,Assumptions!$A$40:$C$43,3,FALSE),"")</f>
        <v/>
      </c>
      <c r="BB48" s="3">
        <f>IFERROR(BA48/H48,"")</f>
        <v/>
      </c>
      <c r="BC48">
        <f>IF(AND($G48=TRUE,$E48="GKP"),AY48,"")</f>
        <v/>
      </c>
      <c r="BD48">
        <f>IF(AND($G48=TRUE,$E48="DEF"),AY48,"")</f>
        <v/>
      </c>
      <c r="BE48">
        <f>IF(AND($G48=TRUE,$E48="MID"),AY48,"")</f>
        <v/>
      </c>
      <c r="BF48">
        <f>IF(AND($G48=TRUE,$E48="FWD"),AY48,"")</f>
        <v/>
      </c>
      <c r="BG48" t="n">
        <v>2</v>
      </c>
      <c r="BH48" t="n">
        <v>0</v>
      </c>
      <c r="BI48" t="n">
        <v>4</v>
      </c>
      <c r="BJ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s="8" t="n">
        <v>3420</v>
      </c>
      <c r="O49" s="8" t="n">
        <v>0</v>
      </c>
      <c r="Q49" t="inlineStr">
        <is>
          <t>flat</t>
        </is>
      </c>
      <c r="R49" s="6" t="n">
        <v>3420</v>
      </c>
      <c r="S49" t="inlineStr">
        <is>
          <t>Solio</t>
        </is>
      </c>
      <c r="U49" s="6" t="n">
        <v>90</v>
      </c>
      <c r="V49" s="2" t="n">
        <v>34</v>
      </c>
      <c r="W49" s="7">
        <f>IF(N(U49)&lt;=0,0,MIN(Assumptions!$B$15,N(R49)/N(U49)))</f>
        <v/>
      </c>
      <c r="X49" s="6" t="n">
        <v>0.371</v>
      </c>
      <c r="Y49" s="3" t="n">
        <v>0</v>
      </c>
      <c r="Z49" t="inlineStr">
        <is>
          <t>blended xG</t>
        </is>
      </c>
      <c r="AA49" s="3" t="n">
        <v>1</v>
      </c>
      <c r="AB49" s="3" t="n">
        <v>1</v>
      </c>
      <c r="AC49" s="3" t="n">
        <v>0</v>
      </c>
      <c r="AD49" s="3" t="n">
        <v>0.0019</v>
      </c>
      <c r="AE49" s="3" t="n">
        <v>0</v>
      </c>
      <c r="AF49" s="3" t="n">
        <v>0</v>
      </c>
      <c r="AG49" s="3" t="n">
        <v>0.1765</v>
      </c>
      <c r="AH49" s="3" t="n">
        <v>68</v>
      </c>
      <c r="AI49" s="3" t="n">
        <v>1.9737</v>
      </c>
      <c r="AJ49" s="3" t="n">
        <v>1.0365</v>
      </c>
      <c r="AK49" s="3" t="n">
        <v>-0.1864362396236553</v>
      </c>
      <c r="AL49" s="6" t="n">
        <v>0</v>
      </c>
      <c r="AM49" s="3" t="n">
        <v>2.212837240750548</v>
      </c>
      <c r="AN49" s="3" t="n">
        <v>0</v>
      </c>
      <c r="AO49" s="3" t="n">
        <v>0.007524</v>
      </c>
      <c r="AP49" s="3">
        <f>N(X49)*N(BI49)</f>
        <v/>
      </c>
      <c r="AQ49" s="3" t="n">
        <v>0.1765</v>
      </c>
      <c r="AR49" s="3" t="n">
        <v>0.3320553475083804</v>
      </c>
      <c r="AS49" s="3" t="n">
        <v>-0.2997019479071323</v>
      </c>
      <c r="AT49" s="3" t="n">
        <v>-0.1864362396236553</v>
      </c>
      <c r="AU49" s="3">
        <f>SUM(AN49:AT49)</f>
        <v/>
      </c>
      <c r="AV49" s="7">
        <f>IF(OR(N(W49)&lt;=0,N(BG49)=0),0,N(W49)*IF(N(R49)/N(W49)&gt;=60,N(BG49),1))</f>
        <v/>
      </c>
      <c r="AW49" s="7">
        <f>N(W49)*N(AF49)*N(BH49)</f>
        <v/>
      </c>
      <c r="AX49" s="7">
        <f>N(AL49)*(Assumptions!$B$13*N(BJ49)-(1-Assumptions!$B$13)*Assumptions!$B$14)+N(AM49)</f>
        <v/>
      </c>
      <c r="AY49" s="7">
        <f>N(AU49)*N(R49)/90+N(AV49)+N(AW49)+N(AX49)</f>
        <v/>
      </c>
      <c r="AZ49" s="3">
        <f>IF(N(R49)&lt;=0,0,(N(AY49)-N(AX49))*90/N(R49))</f>
        <v/>
      </c>
      <c r="BA49" s="7">
        <f>IFERROR(AY49-VLOOKUP($E49,Assumptions!$A$40:$C$43,3,FALSE),"")</f>
        <v/>
      </c>
      <c r="BB49" s="3">
        <f>IFERROR(BA49/H49,"")</f>
        <v/>
      </c>
      <c r="BC49">
        <f>IF(AND($G49=TRUE,$E49="GKP"),AY49,"")</f>
        <v/>
      </c>
      <c r="BD49">
        <f>IF(AND($G49=TRUE,$E49="DEF"),AY49,"")</f>
        <v/>
      </c>
      <c r="BE49">
        <f>IF(AND($G49=TRUE,$E49="MID"),AY49,"")</f>
        <v/>
      </c>
      <c r="BF49">
        <f>IF(AND($G49=TRUE,$E49="FWD"),AY49,"")</f>
        <v/>
      </c>
      <c r="BG49" t="n">
        <v>2</v>
      </c>
      <c r="BH49" t="n">
        <v>0</v>
      </c>
      <c r="BI49" t="n">
        <v>4</v>
      </c>
      <c r="BJ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s="8" t="n">
        <v>2554</v>
      </c>
      <c r="O50" s="8" t="n">
        <v>0</v>
      </c>
      <c r="Q50" t="inlineStr">
        <is>
          <t>flat</t>
        </is>
      </c>
      <c r="R50" s="6" t="n">
        <v>2554</v>
      </c>
      <c r="S50" t="inlineStr">
        <is>
          <t>Solio</t>
        </is>
      </c>
      <c r="U50" s="6" t="n">
        <v>87.3</v>
      </c>
      <c r="V50" s="2" t="n">
        <v>36</v>
      </c>
      <c r="W50" s="7">
        <f>IF(N(U50)&lt;=0,0,MIN(Assumptions!$B$15,N(R50)/N(U50)))</f>
        <v/>
      </c>
      <c r="X50" s="6" t="n">
        <v>0.216</v>
      </c>
      <c r="Y50" s="3" t="n">
        <v>0.0427</v>
      </c>
      <c r="Z50" t="inlineStr">
        <is>
          <t>adjusted xGOT</t>
        </is>
      </c>
      <c r="AA50" s="3" t="n">
        <v>1</v>
      </c>
      <c r="AB50" s="3" t="n">
        <v>0.97</v>
      </c>
      <c r="AC50" s="3" t="n">
        <v>4.8</v>
      </c>
      <c r="AD50" s="3" t="n">
        <v>0.077</v>
      </c>
      <c r="AE50" s="3" t="n">
        <v>6.943</v>
      </c>
      <c r="AF50" s="3" t="n">
        <v>0.1436523826451379</v>
      </c>
      <c r="AG50" s="3" t="n">
        <v>0.2213</v>
      </c>
      <c r="AH50" s="3" t="n">
        <v>73</v>
      </c>
      <c r="AI50" s="3" t="n">
        <v>3.2035</v>
      </c>
      <c r="AJ50" s="3" t="n">
        <v>1.5923</v>
      </c>
      <c r="AK50" s="3" t="n">
        <v>-0.1652843226846004</v>
      </c>
      <c r="AL50" s="6" t="n">
        <v>0</v>
      </c>
      <c r="AM50" s="3" t="n">
        <v>0</v>
      </c>
      <c r="AN50" s="3" t="n">
        <v>0.2562</v>
      </c>
      <c r="AO50" s="3" t="n">
        <v>0.30492</v>
      </c>
      <c r="AP50" s="3">
        <f>N(X50)*N(BI50)</f>
        <v/>
      </c>
      <c r="AQ50" s="3" t="n">
        <v>0.2213</v>
      </c>
      <c r="AR50" s="3" t="n">
        <v>0</v>
      </c>
      <c r="AS50" s="3" t="n">
        <v>-0.5564987001023466</v>
      </c>
      <c r="AT50" s="3" t="n">
        <v>-0.1652843226846004</v>
      </c>
      <c r="AU50" s="3">
        <f>SUM(AN50:AT50)</f>
        <v/>
      </c>
      <c r="AV50" s="7">
        <f>IF(OR(N(W50)&lt;=0,N(BG50)=0),0,N(W50)*IF(N(R50)/N(W50)&gt;=60,N(BG50),1))</f>
        <v/>
      </c>
      <c r="AW50" s="7">
        <f>N(W50)*N(AF50)*N(BH50)</f>
        <v/>
      </c>
      <c r="AX50" s="7">
        <f>N(AL50)*(Assumptions!$B$13*N(BJ50)-(1-Assumptions!$B$13)*Assumptions!$B$14)+N(AM50)</f>
        <v/>
      </c>
      <c r="AY50" s="7">
        <f>N(AU50)*N(R50)/90+N(AV50)+N(AW50)+N(AX50)</f>
        <v/>
      </c>
      <c r="AZ50" s="3">
        <f>IF(N(R50)&lt;=0,0,(N(AY50)-N(AX50))*90/N(R50))</f>
        <v/>
      </c>
      <c r="BA50" s="7">
        <f>IFERROR(AY50-VLOOKUP($E50,Assumptions!$A$40:$C$43,3,FALSE),"")</f>
        <v/>
      </c>
      <c r="BB50" s="3">
        <f>IFERROR(BA50/H50,"")</f>
        <v/>
      </c>
      <c r="BC50">
        <f>IF(AND($G50=TRUE,$E50="GKP"),AY50,"")</f>
        <v/>
      </c>
      <c r="BD50">
        <f>IF(AND($G50=TRUE,$E50="DEF"),AY50,"")</f>
        <v/>
      </c>
      <c r="BE50">
        <f>IF(AND($G50=TRUE,$E50="MID"),AY50,"")</f>
        <v/>
      </c>
      <c r="BF50">
        <f>IF(AND($G50=TRUE,$E50="FWD"),AY50,"")</f>
        <v/>
      </c>
      <c r="BG50" t="n">
        <v>2</v>
      </c>
      <c r="BH50" t="n">
        <v>2</v>
      </c>
      <c r="BI50" t="n">
        <v>4</v>
      </c>
      <c r="BJ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s="8" t="n">
        <v>3207</v>
      </c>
      <c r="O51" s="8" t="n">
        <v>0</v>
      </c>
      <c r="Q51" t="inlineStr">
        <is>
          <t>flat</t>
        </is>
      </c>
      <c r="R51" s="6" t="n">
        <v>3207</v>
      </c>
      <c r="S51" t="inlineStr">
        <is>
          <t>Solio</t>
        </is>
      </c>
      <c r="U51" s="6" t="n">
        <v>87.09999999999999</v>
      </c>
      <c r="V51" s="2" t="n">
        <v>35</v>
      </c>
      <c r="W51" s="7">
        <f>IF(N(U51)&lt;=0,0,MIN(Assumptions!$B$15,N(R51)/N(U51)))</f>
        <v/>
      </c>
      <c r="X51" s="6" t="n">
        <v>0.218</v>
      </c>
      <c r="Y51" s="3" t="n">
        <v>0.0688</v>
      </c>
      <c r="Z51" t="inlineStr">
        <is>
          <t>adjusted xGOT</t>
        </is>
      </c>
      <c r="AA51" s="3" t="n">
        <v>1</v>
      </c>
      <c r="AB51" s="3" t="n">
        <v>0.965</v>
      </c>
      <c r="AC51" s="3" t="n">
        <v>2.5</v>
      </c>
      <c r="AD51" s="3" t="n">
        <v>0.0487</v>
      </c>
      <c r="AE51" s="3" t="n">
        <v>11.361</v>
      </c>
      <c r="AF51" s="3" t="n">
        <v>0.4201271946959066</v>
      </c>
      <c r="AG51" s="3" t="n">
        <v>0.3174</v>
      </c>
      <c r="AH51" s="3" t="n">
        <v>70</v>
      </c>
      <c r="AI51" s="3" t="n">
        <v>3.0611</v>
      </c>
      <c r="AJ51" s="3" t="n">
        <v>1.5875</v>
      </c>
      <c r="AK51" s="3" t="n">
        <v>-0.2770314124491431</v>
      </c>
      <c r="AL51" s="6" t="n">
        <v>0</v>
      </c>
      <c r="AM51" s="3" t="n">
        <v>0</v>
      </c>
      <c r="AN51" s="3" t="n">
        <v>0.344</v>
      </c>
      <c r="AO51" s="3" t="n">
        <v>0.192852</v>
      </c>
      <c r="AP51" s="3">
        <f>N(X51)*N(BI51)</f>
        <v/>
      </c>
      <c r="AQ51" s="3" t="n">
        <v>0.3174</v>
      </c>
      <c r="AR51" s="3" t="n">
        <v>0</v>
      </c>
      <c r="AS51" s="3" t="n">
        <v>-0</v>
      </c>
      <c r="AT51" s="3" t="n">
        <v>-0.2770314124491431</v>
      </c>
      <c r="AU51" s="3">
        <f>SUM(AN51:AT51)</f>
        <v/>
      </c>
      <c r="AV51" s="7">
        <f>IF(OR(N(W51)&lt;=0,N(BG51)=0),0,N(W51)*IF(N(R51)/N(W51)&gt;=60,N(BG51),1))</f>
        <v/>
      </c>
      <c r="AW51" s="7">
        <f>N(W51)*N(AF51)*N(BH51)</f>
        <v/>
      </c>
      <c r="AX51" s="7">
        <f>N(AL51)*(Assumptions!$B$13*N(BJ51)-(1-Assumptions!$B$13)*Assumptions!$B$14)+N(AM51)</f>
        <v/>
      </c>
      <c r="AY51" s="7">
        <f>N(AU51)*N(R51)/90+N(AV51)+N(AW51)+N(AX51)</f>
        <v/>
      </c>
      <c r="AZ51" s="3">
        <f>IF(N(R51)&lt;=0,0,(N(AY51)-N(AX51))*90/N(R51))</f>
        <v/>
      </c>
      <c r="BA51" s="7">
        <f>IFERROR(AY51-VLOOKUP($E51,Assumptions!$A$40:$C$43,3,FALSE),"")</f>
        <v/>
      </c>
      <c r="BB51" s="3">
        <f>IFERROR(BA51/H51,"")</f>
        <v/>
      </c>
      <c r="BC51">
        <f>IF(AND($G51=TRUE,$E51="GKP"),AY51,"")</f>
        <v/>
      </c>
      <c r="BD51">
        <f>IF(AND($G51=TRUE,$E51="DEF"),AY51,"")</f>
        <v/>
      </c>
      <c r="BE51">
        <f>IF(AND($G51=TRUE,$E51="MID"),AY51,"")</f>
        <v/>
      </c>
      <c r="BF51">
        <f>IF(AND($G51=TRUE,$E51="FWD"),AY51,"")</f>
        <v/>
      </c>
      <c r="BG51" t="n">
        <v>2</v>
      </c>
      <c r="BH51" t="n">
        <v>2</v>
      </c>
      <c r="BI51" t="n">
        <v>1</v>
      </c>
      <c r="BJ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s="8" t="n">
        <v>891</v>
      </c>
      <c r="O52" s="8" t="n">
        <v>0</v>
      </c>
      <c r="Q52" t="inlineStr">
        <is>
          <t>fade (losing his place)</t>
        </is>
      </c>
      <c r="R52" s="6" t="n">
        <v>891</v>
      </c>
      <c r="S52" t="inlineStr">
        <is>
          <t>Solio</t>
        </is>
      </c>
      <c r="U52" s="6" t="n">
        <v>83.3</v>
      </c>
      <c r="V52" s="2" t="n">
        <v>34</v>
      </c>
      <c r="W52" s="7">
        <f>IF(N(U52)&lt;=0,0,MIN(Assumptions!$B$15,N(R52)/N(U52)))</f>
        <v/>
      </c>
      <c r="X52" s="6" t="n">
        <v>0.391</v>
      </c>
      <c r="Y52" s="3" t="n">
        <v>0.0914</v>
      </c>
      <c r="Z52" t="inlineStr">
        <is>
          <t>adjusted xGOT</t>
        </is>
      </c>
      <c r="AA52" s="3" t="n">
        <v>1</v>
      </c>
      <c r="AB52" s="3" t="n">
        <v>1.07</v>
      </c>
      <c r="AC52" s="3" t="n">
        <v>2.8</v>
      </c>
      <c r="AD52" s="3" t="n">
        <v>0.0505</v>
      </c>
      <c r="AE52" s="3" t="n">
        <v>9.109999999999999</v>
      </c>
      <c r="AF52" s="3" t="n">
        <v>0.1455800552768788</v>
      </c>
      <c r="AG52" s="3" t="n">
        <v>0.2708</v>
      </c>
      <c r="AH52" s="3" t="n">
        <v>70</v>
      </c>
      <c r="AI52" s="3" t="n">
        <v>2.067</v>
      </c>
      <c r="AJ52" s="3" t="n">
        <v>0.9838</v>
      </c>
      <c r="AK52" s="3" t="n">
        <v>-0.1626849391306963</v>
      </c>
      <c r="AL52" s="6" t="n">
        <v>0</v>
      </c>
      <c r="AM52" s="3" t="n">
        <v>0</v>
      </c>
      <c r="AN52" s="3" t="n">
        <v>0.457</v>
      </c>
      <c r="AO52" s="3" t="n">
        <v>0.19998</v>
      </c>
      <c r="AP52" s="3">
        <f>N(X52)*N(BI52)</f>
        <v/>
      </c>
      <c r="AQ52" s="3" t="n">
        <v>0.2708</v>
      </c>
      <c r="AR52" s="3" t="n">
        <v>0</v>
      </c>
      <c r="AS52" s="3" t="n">
        <v>-0</v>
      </c>
      <c r="AT52" s="3" t="n">
        <v>-0.1626849391306963</v>
      </c>
      <c r="AU52" s="3">
        <f>SUM(AN52:AT52)</f>
        <v/>
      </c>
      <c r="AV52" s="7">
        <f>IF(OR(N(W52)&lt;=0,N(BG52)=0),0,N(W52)*IF(N(R52)/N(W52)&gt;=60,N(BG52),1))</f>
        <v/>
      </c>
      <c r="AW52" s="7">
        <f>N(W52)*N(AF52)*N(BH52)</f>
        <v/>
      </c>
      <c r="AX52" s="7">
        <f>N(AL52)*(Assumptions!$B$13*N(BJ52)-(1-Assumptions!$B$13)*Assumptions!$B$14)+N(AM52)</f>
        <v/>
      </c>
      <c r="AY52" s="7">
        <f>N(AU52)*N(R52)/90+N(AV52)+N(AW52)+N(AX52)</f>
        <v/>
      </c>
      <c r="AZ52" s="3">
        <f>IF(N(R52)&lt;=0,0,(N(AY52)-N(AX52))*90/N(R52))</f>
        <v/>
      </c>
      <c r="BA52" s="7">
        <f>IFERROR(AY52-VLOOKUP($E52,Assumptions!$A$40:$C$43,3,FALSE),"")</f>
        <v/>
      </c>
      <c r="BB52" s="3">
        <f>IFERROR(BA52/H52,"")</f>
        <v/>
      </c>
      <c r="BC52">
        <f>IF(AND($G52=TRUE,$E52="GKP"),AY52,"")</f>
        <v/>
      </c>
      <c r="BD52">
        <f>IF(AND($G52=TRUE,$E52="DEF"),AY52,"")</f>
        <v/>
      </c>
      <c r="BE52">
        <f>IF(AND($G52=TRUE,$E52="MID"),AY52,"")</f>
        <v/>
      </c>
      <c r="BF52">
        <f>IF(AND($G52=TRUE,$E52="FWD"),AY52,"")</f>
        <v/>
      </c>
      <c r="BG52" t="n">
        <v>2</v>
      </c>
      <c r="BH52" t="n">
        <v>2</v>
      </c>
      <c r="BI52" t="n">
        <v>1</v>
      </c>
      <c r="BJ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s="4" t="n">
        <v>1450</v>
      </c>
      <c r="O53" s="4" t="n">
        <v>-1007</v>
      </c>
      <c r="P53" s="5" t="inlineStr">
        <is>
          <t>medium</t>
        </is>
      </c>
      <c r="Q53" t="inlineStr">
        <is>
          <t>flat</t>
        </is>
      </c>
      <c r="R53" s="6" t="n">
        <v>1450</v>
      </c>
      <c r="S53" t="inlineStr">
        <is>
          <t>research</t>
        </is>
      </c>
      <c r="T53" s="5" t="inlineStr">
        <is>
          <t>Two compounding problems with Solio's 2457. First, Sky's Florian Plettenberg reports Liverpool and Tottenham are 'in very concrete talks' over a move for Gakpo before the 31 August deadline. Second, even if he stays, This Is Anfield's Newcastle dress-rehearsal XI picks Ngumoha and Munoz wide with Gakpo the odd man out, and describes the forward line as 'unsettled'. Set as a probability-weighted figure across both branches.</t>
        </is>
      </c>
      <c r="U53" s="6" t="n">
        <v>81.7</v>
      </c>
      <c r="V53" s="2" t="n">
        <v>32</v>
      </c>
      <c r="W53" s="7">
        <f>IF(N(U53)&lt;=0,0,MIN(Assumptions!$B$15,N(R53)/N(U53)))</f>
        <v/>
      </c>
      <c r="X53" s="6" t="n">
        <v>0.342</v>
      </c>
      <c r="Y53" s="3" t="n">
        <v>0.2404</v>
      </c>
      <c r="Z53" t="inlineStr">
        <is>
          <t>adjusted xGOT</t>
        </is>
      </c>
      <c r="AA53" s="3" t="n">
        <v>1</v>
      </c>
      <c r="AB53" s="3" t="n">
        <v>0.875</v>
      </c>
      <c r="AC53" s="3" t="n">
        <v>31</v>
      </c>
      <c r="AD53" s="3" t="n">
        <v>0.1852</v>
      </c>
      <c r="AE53" s="3" t="n">
        <v>5.745</v>
      </c>
      <c r="AF53" s="3" t="n">
        <v>0.007469567247092468</v>
      </c>
      <c r="AG53" s="3" t="n">
        <v>0.1645</v>
      </c>
      <c r="AH53" s="3" t="n">
        <v>67</v>
      </c>
      <c r="AI53" s="3" t="n">
        <v>2.409</v>
      </c>
      <c r="AJ53" s="3" t="n">
        <v>1.1228</v>
      </c>
      <c r="AK53" s="3" t="n">
        <v>-0.1609305038523113</v>
      </c>
      <c r="AL53" s="6" t="n">
        <v>0.0353654505290349</v>
      </c>
      <c r="AM53" s="3" t="n">
        <v>0</v>
      </c>
      <c r="AN53" s="3" t="n">
        <v>1.202</v>
      </c>
      <c r="AO53" s="3" t="n">
        <v>0.733392</v>
      </c>
      <c r="AP53" s="3">
        <f>N(X53)*N(BI53)</f>
        <v/>
      </c>
      <c r="AQ53" s="3" t="n">
        <v>0.1645</v>
      </c>
      <c r="AR53" s="3" t="n">
        <v>0</v>
      </c>
      <c r="AS53" s="3" t="n">
        <v>-0</v>
      </c>
      <c r="AT53" s="3" t="n">
        <v>-0.1609305038523113</v>
      </c>
      <c r="AU53" s="3">
        <f>SUM(AN53:AT53)</f>
        <v/>
      </c>
      <c r="AV53" s="7">
        <f>IF(OR(N(W53)&lt;=0,N(BG53)=0),0,N(W53)*IF(N(R53)/N(W53)&gt;=60,N(BG53),1))</f>
        <v/>
      </c>
      <c r="AW53" s="7">
        <f>N(W53)*N(AF53)*N(BH53)</f>
        <v/>
      </c>
      <c r="AX53" s="7">
        <f>N(AL53)*(Assumptions!$B$13*N(BJ53)-(1-Assumptions!$B$13)*Assumptions!$B$14)+N(AM53)</f>
        <v/>
      </c>
      <c r="AY53" s="7">
        <f>N(AU53)*N(R53)/90+N(AV53)+N(AW53)+N(AX53)</f>
        <v/>
      </c>
      <c r="AZ53" s="3">
        <f>IF(N(R53)&lt;=0,0,(N(AY53)-N(AX53))*90/N(R53))</f>
        <v/>
      </c>
      <c r="BA53" s="7">
        <f>IFERROR(AY53-VLOOKUP($E53,Assumptions!$A$40:$C$43,3,FALSE),"")</f>
        <v/>
      </c>
      <c r="BB53" s="3">
        <f>IFERROR(BA53/H53,"")</f>
        <v/>
      </c>
      <c r="BC53">
        <f>IF(AND($G53=TRUE,$E53="GKP"),AY53,"")</f>
        <v/>
      </c>
      <c r="BD53">
        <f>IF(AND($G53=TRUE,$E53="DEF"),AY53,"")</f>
        <v/>
      </c>
      <c r="BE53">
        <f>IF(AND($G53=TRUE,$E53="MID"),AY53,"")</f>
        <v/>
      </c>
      <c r="BF53">
        <f>IF(AND($G53=TRUE,$E53="FWD"),AY53,"")</f>
        <v/>
      </c>
      <c r="BG53" t="n">
        <v>2</v>
      </c>
      <c r="BH53" t="n">
        <v>2</v>
      </c>
      <c r="BI53" t="n">
        <v>1</v>
      </c>
      <c r="BJ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s="8" t="n">
        <v>3385</v>
      </c>
      <c r="O54" s="8" t="n">
        <v>0</v>
      </c>
      <c r="Q54" t="inlineStr">
        <is>
          <t>flat</t>
        </is>
      </c>
      <c r="R54" s="6" t="n">
        <v>3385</v>
      </c>
      <c r="S54" t="inlineStr">
        <is>
          <t>Solio</t>
        </is>
      </c>
      <c r="U54" s="6" t="n">
        <v>90</v>
      </c>
      <c r="V54" s="2" t="n">
        <v>37</v>
      </c>
      <c r="W54" s="7">
        <f>IF(N(U54)&lt;=0,0,MIN(Assumptions!$B$15,N(R54)/N(U54)))</f>
        <v/>
      </c>
      <c r="X54" s="6" t="n">
        <v>0.216</v>
      </c>
      <c r="Y54" s="3" t="n">
        <v>0</v>
      </c>
      <c r="Z54" t="inlineStr">
        <is>
          <t>adjusted xGOT</t>
        </is>
      </c>
      <c r="AA54" s="3" t="n">
        <v>1</v>
      </c>
      <c r="AB54" s="3" t="n">
        <v>0.999</v>
      </c>
      <c r="AC54" s="3" t="n">
        <v>0</v>
      </c>
      <c r="AD54" s="3" t="n">
        <v>0.0017</v>
      </c>
      <c r="AE54" s="3" t="n">
        <v>0</v>
      </c>
      <c r="AF54" s="3" t="n">
        <v>0</v>
      </c>
      <c r="AG54" s="3" t="n">
        <v>0.1892</v>
      </c>
      <c r="AH54" s="3" t="n">
        <v>74</v>
      </c>
      <c r="AI54" s="3" t="n">
        <v>3.2035</v>
      </c>
      <c r="AJ54" s="3" t="n">
        <v>1.5923</v>
      </c>
      <c r="AK54" s="3" t="n">
        <v>-0.1086688776973607</v>
      </c>
      <c r="AL54" s="6" t="n">
        <v>0</v>
      </c>
      <c r="AM54" s="3" t="n">
        <v>3.364580376981904</v>
      </c>
      <c r="AN54" s="3" t="n">
        <v>0</v>
      </c>
      <c r="AO54" s="3" t="n">
        <v>0.006731999999999999</v>
      </c>
      <c r="AP54" s="3">
        <f>N(X54)*N(BI54)</f>
        <v/>
      </c>
      <c r="AQ54" s="3" t="n">
        <v>0.1892</v>
      </c>
      <c r="AR54" s="3" t="n">
        <v>0.7325188478059661</v>
      </c>
      <c r="AS54" s="3" t="n">
        <v>-0.5564987001023466</v>
      </c>
      <c r="AT54" s="3" t="n">
        <v>-0.1086688776973607</v>
      </c>
      <c r="AU54" s="3">
        <f>SUM(AN54:AT54)</f>
        <v/>
      </c>
      <c r="AV54" s="7">
        <f>IF(OR(N(W54)&lt;=0,N(BG54)=0),0,N(W54)*IF(N(R54)/N(W54)&gt;=60,N(BG54),1))</f>
        <v/>
      </c>
      <c r="AW54" s="7">
        <f>N(W54)*N(AF54)*N(BH54)</f>
        <v/>
      </c>
      <c r="AX54" s="7">
        <f>N(AL54)*(Assumptions!$B$13*N(BJ54)-(1-Assumptions!$B$13)*Assumptions!$B$14)+N(AM54)</f>
        <v/>
      </c>
      <c r="AY54" s="7">
        <f>N(AU54)*N(R54)/90+N(AV54)+N(AW54)+N(AX54)</f>
        <v/>
      </c>
      <c r="AZ54" s="3">
        <f>IF(N(R54)&lt;=0,0,(N(AY54)-N(AX54))*90/N(R54))</f>
        <v/>
      </c>
      <c r="BA54" s="7">
        <f>IFERROR(AY54-VLOOKUP($E54,Assumptions!$A$40:$C$43,3,FALSE),"")</f>
        <v/>
      </c>
      <c r="BB54" s="3">
        <f>IFERROR(BA54/H54,"")</f>
        <v/>
      </c>
      <c r="BC54">
        <f>IF(AND($G54=TRUE,$E54="GKP"),AY54,"")</f>
        <v/>
      </c>
      <c r="BD54">
        <f>IF(AND($G54=TRUE,$E54="DEF"),AY54,"")</f>
        <v/>
      </c>
      <c r="BE54">
        <f>IF(AND($G54=TRUE,$E54="MID"),AY54,"")</f>
        <v/>
      </c>
      <c r="BF54">
        <f>IF(AND($G54=TRUE,$E54="FWD"),AY54,"")</f>
        <v/>
      </c>
      <c r="BG54" t="n">
        <v>2</v>
      </c>
      <c r="BH54" t="n">
        <v>0</v>
      </c>
      <c r="BI54" t="n">
        <v>4</v>
      </c>
      <c r="BJ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s="4" t="n">
        <v>850</v>
      </c>
      <c r="O55" s="4" t="n">
        <v>227</v>
      </c>
      <c r="P55" s="5" t="inlineStr">
        <is>
          <t>low</t>
        </is>
      </c>
      <c r="Q55" t="inlineStr">
        <is>
          <t>flat</t>
        </is>
      </c>
      <c r="R55" s="6" t="n">
        <v>850</v>
      </c>
      <c r="S55" t="inlineStr">
        <is>
          <t>research</t>
        </is>
      </c>
      <c r="T55" s="5" t="inlineStr">
        <is>
          <t>Third-choice centre-back rather than a spare part. He started at centre-back alongside captain Tarkowski against Newcastle on 12 August and was a substitute against Lille. With Branthwaite's workload being managed after two hamstring operations and Jake O'Brien frequently pulled out to right-back, Keane is the first-call cover for two positions. 623 minutes assumes almost nothing goes wrong in a back line where something has gone wrong every season.</t>
        </is>
      </c>
      <c r="U55" s="6" t="n">
        <v>88.09999999999999</v>
      </c>
      <c r="V55" s="2" t="n">
        <v>28</v>
      </c>
      <c r="W55" s="7">
        <f>IF(N(U55)&lt;=0,0,MIN(Assumptions!$B$15,N(R55)/N(U55)))</f>
        <v/>
      </c>
      <c r="X55" s="6" t="n">
        <v>0.231</v>
      </c>
      <c r="Y55" s="3" t="n">
        <v>0.08400000000000001</v>
      </c>
      <c r="Z55" t="inlineStr">
        <is>
          <t>adjusted xGOT</t>
        </is>
      </c>
      <c r="AA55" s="3" t="n">
        <v>1</v>
      </c>
      <c r="AB55" s="3" t="n">
        <v>1.05</v>
      </c>
      <c r="AC55" s="3" t="n">
        <v>4.8</v>
      </c>
      <c r="AD55" s="3" t="n">
        <v>0.0108</v>
      </c>
      <c r="AE55" s="3" t="n">
        <v>9.888999999999999</v>
      </c>
      <c r="AF55" s="3" t="n">
        <v>0.5014814077861949</v>
      </c>
      <c r="AG55" s="3" t="n">
        <v>0.313</v>
      </c>
      <c r="AH55" s="3" t="n">
        <v>62</v>
      </c>
      <c r="AI55" s="3" t="n">
        <v>3.0311</v>
      </c>
      <c r="AJ55" s="3" t="n">
        <v>1.5252</v>
      </c>
      <c r="AK55" s="3" t="n">
        <v>-0.1652835914547465</v>
      </c>
      <c r="AL55" s="6" t="n">
        <v>0</v>
      </c>
      <c r="AM55" s="3" t="n">
        <v>0</v>
      </c>
      <c r="AN55" s="3" t="n">
        <v>0.504</v>
      </c>
      <c r="AO55" s="3" t="n">
        <v>0.042768</v>
      </c>
      <c r="AP55" s="3">
        <f>N(X55)*N(BI55)</f>
        <v/>
      </c>
      <c r="AQ55" s="3" t="n">
        <v>0.313</v>
      </c>
      <c r="AR55" s="3" t="n">
        <v>0</v>
      </c>
      <c r="AS55" s="3" t="n">
        <v>-0.524434996152324</v>
      </c>
      <c r="AT55" s="3" t="n">
        <v>-0.1652835914547465</v>
      </c>
      <c r="AU55" s="3">
        <f>SUM(AN55:AT55)</f>
        <v/>
      </c>
      <c r="AV55" s="7">
        <f>IF(OR(N(W55)&lt;=0,N(BG55)=0),0,N(W55)*IF(N(R55)/N(W55)&gt;=60,N(BG55),1))</f>
        <v/>
      </c>
      <c r="AW55" s="7">
        <f>N(W55)*N(AF55)*N(BH55)</f>
        <v/>
      </c>
      <c r="AX55" s="7">
        <f>N(AL55)*(Assumptions!$B$13*N(BJ55)-(1-Assumptions!$B$13)*Assumptions!$B$14)+N(AM55)</f>
        <v/>
      </c>
      <c r="AY55" s="7">
        <f>N(AU55)*N(R55)/90+N(AV55)+N(AW55)+N(AX55)</f>
        <v/>
      </c>
      <c r="AZ55" s="3">
        <f>IF(N(R55)&lt;=0,0,(N(AY55)-N(AX55))*90/N(R55))</f>
        <v/>
      </c>
      <c r="BA55" s="7">
        <f>IFERROR(AY55-VLOOKUP($E55,Assumptions!$A$40:$C$43,3,FALSE),"")</f>
        <v/>
      </c>
      <c r="BB55" s="3">
        <f>IFERROR(BA55/H55,"")</f>
        <v/>
      </c>
      <c r="BC55">
        <f>IF(AND($G55=TRUE,$E55="GKP"),AY55,"")</f>
        <v/>
      </c>
      <c r="BD55">
        <f>IF(AND($G55=TRUE,$E55="DEF"),AY55,"")</f>
        <v/>
      </c>
      <c r="BE55">
        <f>IF(AND($G55=TRUE,$E55="MID"),AY55,"")</f>
        <v/>
      </c>
      <c r="BF55">
        <f>IF(AND($G55=TRUE,$E55="FWD"),AY55,"")</f>
        <v/>
      </c>
      <c r="BG55" t="n">
        <v>2</v>
      </c>
      <c r="BH55" t="n">
        <v>2</v>
      </c>
      <c r="BI55" t="n">
        <v>4</v>
      </c>
      <c r="BJ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s="8" t="n">
        <v>2063</v>
      </c>
      <c r="O56" s="8" t="n">
        <v>0</v>
      </c>
      <c r="Q56" t="inlineStr">
        <is>
          <t>flat</t>
        </is>
      </c>
      <c r="R56" s="6" t="n">
        <v>2063</v>
      </c>
      <c r="S56" t="inlineStr">
        <is>
          <t>Solio</t>
        </is>
      </c>
      <c r="U56" s="6" t="n">
        <v>82.3</v>
      </c>
      <c r="V56" s="2" t="n">
        <v>23</v>
      </c>
      <c r="W56" s="7">
        <f>IF(N(U56)&lt;=0,0,MIN(Assumptions!$B$15,N(R56)/N(U56)))</f>
        <v/>
      </c>
      <c r="X56" s="6" t="n">
        <v>0.371</v>
      </c>
      <c r="Y56" s="3" t="n">
        <v>0.3272</v>
      </c>
      <c r="Z56" t="inlineStr">
        <is>
          <t>adjusted xGOT</t>
        </is>
      </c>
      <c r="AA56" s="3" t="n">
        <v>1</v>
      </c>
      <c r="AB56" s="3" t="n">
        <v>1.253</v>
      </c>
      <c r="AC56" s="3" t="n">
        <v>27.1</v>
      </c>
      <c r="AD56" s="3" t="n">
        <v>0.2353</v>
      </c>
      <c r="AE56" s="3" t="n">
        <v>7.354</v>
      </c>
      <c r="AF56" s="3" t="n">
        <v>0.04187947256430979</v>
      </c>
      <c r="AG56" s="3" t="n">
        <v>0.5629999999999999</v>
      </c>
      <c r="AH56" s="3" t="n">
        <v>55</v>
      </c>
      <c r="AI56" s="3" t="n">
        <v>1.9737</v>
      </c>
      <c r="AJ56" s="3" t="n">
        <v>1.0365</v>
      </c>
      <c r="AK56" s="3" t="n">
        <v>-0.1611249062197476</v>
      </c>
      <c r="AL56" s="6" t="n">
        <v>0</v>
      </c>
      <c r="AM56" s="3" t="n">
        <v>0</v>
      </c>
      <c r="AN56" s="3" t="n">
        <v>1.636</v>
      </c>
      <c r="AO56" s="3" t="n">
        <v>0.9317880000000001</v>
      </c>
      <c r="AP56" s="3">
        <f>N(X56)*N(BI56)</f>
        <v/>
      </c>
      <c r="AQ56" s="3" t="n">
        <v>0.5629999999999999</v>
      </c>
      <c r="AR56" s="3" t="n">
        <v>0</v>
      </c>
      <c r="AS56" s="3" t="n">
        <v>-0</v>
      </c>
      <c r="AT56" s="3" t="n">
        <v>-0.1611249062197476</v>
      </c>
      <c r="AU56" s="3">
        <f>SUM(AN56:AT56)</f>
        <v/>
      </c>
      <c r="AV56" s="7">
        <f>IF(OR(N(W56)&lt;=0,N(BG56)=0),0,N(W56)*IF(N(R56)/N(W56)&gt;=60,N(BG56),1))</f>
        <v/>
      </c>
      <c r="AW56" s="7">
        <f>N(W56)*N(AF56)*N(BH56)</f>
        <v/>
      </c>
      <c r="AX56" s="7">
        <f>N(AL56)*(Assumptions!$B$13*N(BJ56)-(1-Assumptions!$B$13)*Assumptions!$B$14)+N(AM56)</f>
        <v/>
      </c>
      <c r="AY56" s="7">
        <f>N(AU56)*N(R56)/90+N(AV56)+N(AW56)+N(AX56)</f>
        <v/>
      </c>
      <c r="AZ56" s="3">
        <f>IF(N(R56)&lt;=0,0,(N(AY56)-N(AX56))*90/N(R56))</f>
        <v/>
      </c>
      <c r="BA56" s="7">
        <f>IFERROR(AY56-VLOOKUP($E56,Assumptions!$A$40:$C$43,3,FALSE),"")</f>
        <v/>
      </c>
      <c r="BB56" s="3">
        <f>IFERROR(BA56/H56,"")</f>
        <v/>
      </c>
      <c r="BC56">
        <f>IF(AND($G56=TRUE,$E56="GKP"),AY56,"")</f>
        <v/>
      </c>
      <c r="BD56">
        <f>IF(AND($G56=TRUE,$E56="DEF"),AY56,"")</f>
        <v/>
      </c>
      <c r="BE56">
        <f>IF(AND($G56=TRUE,$E56="MID"),AY56,"")</f>
        <v/>
      </c>
      <c r="BF56">
        <f>IF(AND($G56=TRUE,$E56="FWD"),AY56,"")</f>
        <v/>
      </c>
      <c r="BG56" t="n">
        <v>2</v>
      </c>
      <c r="BH56" t="n">
        <v>2</v>
      </c>
      <c r="BI56" t="n">
        <v>1</v>
      </c>
      <c r="BJ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s="8" t="n">
        <v>3385</v>
      </c>
      <c r="O57" s="8" t="n">
        <v>0</v>
      </c>
      <c r="Q57" t="inlineStr">
        <is>
          <t>flat</t>
        </is>
      </c>
      <c r="R57" s="6" t="n">
        <v>3385</v>
      </c>
      <c r="S57" t="inlineStr">
        <is>
          <t>Solio</t>
        </is>
      </c>
      <c r="U57" s="6" t="n">
        <v>90</v>
      </c>
      <c r="V57" s="2" t="n">
        <v>38</v>
      </c>
      <c r="W57" s="7">
        <f>IF(N(U57)&lt;=0,0,MIN(Assumptions!$B$15,N(R57)/N(U57)))</f>
        <v/>
      </c>
      <c r="X57" s="6" t="n">
        <v>0.252</v>
      </c>
      <c r="Y57" s="3" t="n">
        <v>0</v>
      </c>
      <c r="Z57" t="inlineStr">
        <is>
          <t>blended xG</t>
        </is>
      </c>
      <c r="AA57" s="3" t="n">
        <v>1</v>
      </c>
      <c r="AB57" s="3" t="n">
        <v>1</v>
      </c>
      <c r="AC57" s="3" t="n">
        <v>0</v>
      </c>
      <c r="AD57" s="3" t="n">
        <v>0.0018</v>
      </c>
      <c r="AE57" s="3" t="n">
        <v>0</v>
      </c>
      <c r="AF57" s="3" t="n">
        <v>0</v>
      </c>
      <c r="AG57" s="3" t="n">
        <v>0.2895</v>
      </c>
      <c r="AH57" s="3" t="n">
        <v>76</v>
      </c>
      <c r="AI57" s="3" t="n">
        <v>2.8404</v>
      </c>
      <c r="AJ57" s="3" t="n">
        <v>1.439</v>
      </c>
      <c r="AK57" s="3" t="n">
        <v>-0.1026485428862804</v>
      </c>
      <c r="AL57" s="6" t="n">
        <v>0</v>
      </c>
      <c r="AM57" s="3" t="n">
        <v>3.040566860477085</v>
      </c>
      <c r="AN57" s="3" t="n">
        <v>0</v>
      </c>
      <c r="AO57" s="3" t="n">
        <v>0.007128000000000001</v>
      </c>
      <c r="AP57" s="3">
        <f>N(X57)*N(BI57)</f>
        <v/>
      </c>
      <c r="AQ57" s="3" t="n">
        <v>0.2895</v>
      </c>
      <c r="AR57" s="3" t="n">
        <v>0.6115252178851747</v>
      </c>
      <c r="AS57" s="3" t="n">
        <v>-0.4835617861760246</v>
      </c>
      <c r="AT57" s="3" t="n">
        <v>-0.1026485428862804</v>
      </c>
      <c r="AU57" s="3">
        <f>SUM(AN57:AT57)</f>
        <v/>
      </c>
      <c r="AV57" s="7">
        <f>IF(OR(N(W57)&lt;=0,N(BG57)=0),0,N(W57)*IF(N(R57)/N(W57)&gt;=60,N(BG57),1))</f>
        <v/>
      </c>
      <c r="AW57" s="7">
        <f>N(W57)*N(AF57)*N(BH57)</f>
        <v/>
      </c>
      <c r="AX57" s="7">
        <f>N(AL57)*(Assumptions!$B$13*N(BJ57)-(1-Assumptions!$B$13)*Assumptions!$B$14)+N(AM57)</f>
        <v/>
      </c>
      <c r="AY57" s="7">
        <f>N(AU57)*N(R57)/90+N(AV57)+N(AW57)+N(AX57)</f>
        <v/>
      </c>
      <c r="AZ57" s="3">
        <f>IF(N(R57)&lt;=0,0,(N(AY57)-N(AX57))*90/N(R57))</f>
        <v/>
      </c>
      <c r="BA57" s="7">
        <f>IFERROR(AY57-VLOOKUP($E57,Assumptions!$A$40:$C$43,3,FALSE),"")</f>
        <v/>
      </c>
      <c r="BB57" s="3">
        <f>IFERROR(BA57/H57,"")</f>
        <v/>
      </c>
      <c r="BC57">
        <f>IF(AND($G57=TRUE,$E57="GKP"),AY57,"")</f>
        <v/>
      </c>
      <c r="BD57">
        <f>IF(AND($G57=TRUE,$E57="DEF"),AY57,"")</f>
        <v/>
      </c>
      <c r="BE57">
        <f>IF(AND($G57=TRUE,$E57="MID"),AY57,"")</f>
        <v/>
      </c>
      <c r="BF57">
        <f>IF(AND($G57=TRUE,$E57="FWD"),AY57,"")</f>
        <v/>
      </c>
      <c r="BG57" t="n">
        <v>2</v>
      </c>
      <c r="BH57" t="n">
        <v>0</v>
      </c>
      <c r="BI57" t="n">
        <v>4</v>
      </c>
      <c r="BJ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s="8" t="n">
        <v>3044</v>
      </c>
      <c r="O58" s="8" t="n">
        <v>0</v>
      </c>
      <c r="Q58" t="inlineStr">
        <is>
          <t>flat</t>
        </is>
      </c>
      <c r="R58" s="6" t="n">
        <v>3044</v>
      </c>
      <c r="S58" t="inlineStr">
        <is>
          <t>Solio</t>
        </is>
      </c>
      <c r="U58" s="6" t="n">
        <v>88.90000000000001</v>
      </c>
      <c r="V58" s="2" t="n">
        <v>32</v>
      </c>
      <c r="W58" s="7">
        <f>IF(N(U58)&lt;=0,0,MIN(Assumptions!$B$15,N(R58)/N(U58)))</f>
        <v/>
      </c>
      <c r="X58" s="6" t="n">
        <v>0.228</v>
      </c>
      <c r="Y58" s="3" t="n">
        <v>0.06320000000000001</v>
      </c>
      <c r="Z58" t="inlineStr">
        <is>
          <t>adjusted xGOT</t>
        </is>
      </c>
      <c r="AA58" s="3" t="n">
        <v>1</v>
      </c>
      <c r="AB58" s="3" t="n">
        <v>0.931</v>
      </c>
      <c r="AC58" s="3" t="n">
        <v>6.5</v>
      </c>
      <c r="AD58" s="3" t="n">
        <v>0.06270000000000001</v>
      </c>
      <c r="AE58" s="3" t="n">
        <v>9.276999999999999</v>
      </c>
      <c r="AF58" s="3" t="n">
        <v>0.4341382956531085</v>
      </c>
      <c r="AG58" s="3" t="n">
        <v>0.1818</v>
      </c>
      <c r="AH58" s="3" t="n">
        <v>67</v>
      </c>
      <c r="AI58" s="3" t="n">
        <v>3.2371</v>
      </c>
      <c r="AJ58" s="3" t="n">
        <v>1.5396</v>
      </c>
      <c r="AK58" s="3" t="n">
        <v>-0.1902876584699316</v>
      </c>
      <c r="AL58" s="6" t="n">
        <v>0</v>
      </c>
      <c r="AM58" s="3" t="n">
        <v>0</v>
      </c>
      <c r="AN58" s="3" t="n">
        <v>0.3792</v>
      </c>
      <c r="AO58" s="3" t="n">
        <v>0.248292</v>
      </c>
      <c r="AP58" s="3">
        <f>N(X58)*N(BI58)</f>
        <v/>
      </c>
      <c r="AQ58" s="3" t="n">
        <v>0.1818</v>
      </c>
      <c r="AR58" s="3" t="n">
        <v>0</v>
      </c>
      <c r="AS58" s="3" t="n">
        <v>-0.5312990096912251</v>
      </c>
      <c r="AT58" s="3" t="n">
        <v>-0.1902876584699316</v>
      </c>
      <c r="AU58" s="3">
        <f>SUM(AN58:AT58)</f>
        <v/>
      </c>
      <c r="AV58" s="7">
        <f>IF(OR(N(W58)&lt;=0,N(BG58)=0),0,N(W58)*IF(N(R58)/N(W58)&gt;=60,N(BG58),1))</f>
        <v/>
      </c>
      <c r="AW58" s="7">
        <f>N(W58)*N(AF58)*N(BH58)</f>
        <v/>
      </c>
      <c r="AX58" s="7">
        <f>N(AL58)*(Assumptions!$B$13*N(BJ58)-(1-Assumptions!$B$13)*Assumptions!$B$14)+N(AM58)</f>
        <v/>
      </c>
      <c r="AY58" s="7">
        <f>N(AU58)*N(R58)/90+N(AV58)+N(AW58)+N(AX58)</f>
        <v/>
      </c>
      <c r="AZ58" s="3">
        <f>IF(N(R58)&lt;=0,0,(N(AY58)-N(AX58))*90/N(R58))</f>
        <v/>
      </c>
      <c r="BA58" s="7">
        <f>IFERROR(AY58-VLOOKUP($E58,Assumptions!$A$40:$C$43,3,FALSE),"")</f>
        <v/>
      </c>
      <c r="BB58" s="3">
        <f>IFERROR(BA58/H58,"")</f>
        <v/>
      </c>
      <c r="BC58">
        <f>IF(AND($G58=TRUE,$E58="GKP"),AY58,"")</f>
        <v/>
      </c>
      <c r="BD58">
        <f>IF(AND($G58=TRUE,$E58="DEF"),AY58,"")</f>
        <v/>
      </c>
      <c r="BE58">
        <f>IF(AND($G58=TRUE,$E58="MID"),AY58,"")</f>
        <v/>
      </c>
      <c r="BF58">
        <f>IF(AND($G58=TRUE,$E58="FWD"),AY58,"")</f>
        <v/>
      </c>
      <c r="BG58" t="n">
        <v>2</v>
      </c>
      <c r="BH58" t="n">
        <v>2</v>
      </c>
      <c r="BI58" t="n">
        <v>4</v>
      </c>
      <c r="BJ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s="4" t="n">
        <v>3200</v>
      </c>
      <c r="O59" s="4" t="n">
        <v>-131</v>
      </c>
      <c r="P59" s="5" t="inlineStr">
        <is>
          <t>low</t>
        </is>
      </c>
      <c r="Q59" t="inlineStr">
        <is>
          <t>flat</t>
        </is>
      </c>
      <c r="R59" s="6" t="n">
        <v>3200</v>
      </c>
      <c r="S59" t="inlineStr">
        <is>
          <t>research</t>
        </is>
      </c>
      <c r="T59" s="5" t="inlineStr">
        <is>
          <t>Genuinely nailed at right wing-back, but Solio projects him above his own 2025-26 total of 3,203, which was already a near-ever-present season. A small allowance for suspensions and cup rotation.</t>
        </is>
      </c>
      <c r="U59" s="6" t="n">
        <v>88.2</v>
      </c>
      <c r="V59" s="2" t="n">
        <v>35</v>
      </c>
      <c r="W59" s="7">
        <f>IF(N(U59)&lt;=0,0,MIN(Assumptions!$B$15,N(R59)/N(U59)))</f>
        <v/>
      </c>
      <c r="X59" s="6" t="n">
        <v>0.224</v>
      </c>
      <c r="Y59" s="3" t="n">
        <v>0.0581</v>
      </c>
      <c r="Z59" t="inlineStr">
        <is>
          <t>adjusted xGOT</t>
        </is>
      </c>
      <c r="AA59" s="3" t="n">
        <v>1</v>
      </c>
      <c r="AB59" s="3" t="n">
        <v>1.029</v>
      </c>
      <c r="AC59" s="3" t="n">
        <v>6.3</v>
      </c>
      <c r="AD59" s="3" t="n">
        <v>0.1175</v>
      </c>
      <c r="AE59" s="3" t="n">
        <v>7.077</v>
      </c>
      <c r="AF59" s="3" t="n">
        <v>0.1630202047218356</v>
      </c>
      <c r="AG59" s="3" t="n">
        <v>0.4215</v>
      </c>
      <c r="AH59" s="3" t="n">
        <v>71</v>
      </c>
      <c r="AI59" s="3" t="n">
        <v>3.1134</v>
      </c>
      <c r="AJ59" s="3" t="n">
        <v>1.5588</v>
      </c>
      <c r="AK59" s="3" t="n">
        <v>-0.2148358336121983</v>
      </c>
      <c r="AL59" s="6" t="n">
        <v>0</v>
      </c>
      <c r="AM59" s="3" t="n">
        <v>0</v>
      </c>
      <c r="AN59" s="3" t="n">
        <v>0.3486</v>
      </c>
      <c r="AO59" s="3" t="n">
        <v>0.4653</v>
      </c>
      <c r="AP59" s="3">
        <f>N(X59)*N(BI59)</f>
        <v/>
      </c>
      <c r="AQ59" s="3" t="n">
        <v>0.4215</v>
      </c>
      <c r="AR59" s="3" t="n">
        <v>0</v>
      </c>
      <c r="AS59" s="3" t="n">
        <v>-0.5404658182244797</v>
      </c>
      <c r="AT59" s="3" t="n">
        <v>-0.2148358336121983</v>
      </c>
      <c r="AU59" s="3">
        <f>SUM(AN59:AT59)</f>
        <v/>
      </c>
      <c r="AV59" s="7">
        <f>IF(OR(N(W59)&lt;=0,N(BG59)=0),0,N(W59)*IF(N(R59)/N(W59)&gt;=60,N(BG59),1))</f>
        <v/>
      </c>
      <c r="AW59" s="7">
        <f>N(W59)*N(AF59)*N(BH59)</f>
        <v/>
      </c>
      <c r="AX59" s="7">
        <f>N(AL59)*(Assumptions!$B$13*N(BJ59)-(1-Assumptions!$B$13)*Assumptions!$B$14)+N(AM59)</f>
        <v/>
      </c>
      <c r="AY59" s="7">
        <f>N(AU59)*N(R59)/90+N(AV59)+N(AW59)+N(AX59)</f>
        <v/>
      </c>
      <c r="AZ59" s="3">
        <f>IF(N(R59)&lt;=0,0,(N(AY59)-N(AX59))*90/N(R59))</f>
        <v/>
      </c>
      <c r="BA59" s="7">
        <f>IFERROR(AY59-VLOOKUP($E59,Assumptions!$A$40:$C$43,3,FALSE),"")</f>
        <v/>
      </c>
      <c r="BB59" s="3">
        <f>IFERROR(BA59/H59,"")</f>
        <v/>
      </c>
      <c r="BC59">
        <f>IF(AND($G59=TRUE,$E59="GKP"),AY59,"")</f>
        <v/>
      </c>
      <c r="BD59">
        <f>IF(AND($G59=TRUE,$E59="DEF"),AY59,"")</f>
        <v/>
      </c>
      <c r="BE59">
        <f>IF(AND($G59=TRUE,$E59="MID"),AY59,"")</f>
        <v/>
      </c>
      <c r="BF59">
        <f>IF(AND($G59=TRUE,$E59="FWD"),AY59,"")</f>
        <v/>
      </c>
      <c r="BG59" t="n">
        <v>2</v>
      </c>
      <c r="BH59" t="n">
        <v>2</v>
      </c>
      <c r="BI59" t="n">
        <v>4</v>
      </c>
      <c r="BJ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s="8" t="n">
        <v>1459</v>
      </c>
      <c r="O60" s="8" t="n">
        <v>0</v>
      </c>
      <c r="Q60" t="inlineStr">
        <is>
          <t>flat</t>
        </is>
      </c>
      <c r="R60" s="6" t="n">
        <v>1459</v>
      </c>
      <c r="S60" t="inlineStr">
        <is>
          <t>Solio</t>
        </is>
      </c>
      <c r="U60" s="6" t="n">
        <v>76.5</v>
      </c>
      <c r="V60" s="2" t="n">
        <v>26</v>
      </c>
      <c r="W60" s="7">
        <f>IF(N(U60)&lt;=0,0,MIN(Assumptions!$B$15,N(R60)/N(U60)))</f>
        <v/>
      </c>
      <c r="X60" s="6" t="n">
        <v>0.391</v>
      </c>
      <c r="Y60" s="3" t="n">
        <v>0.3571</v>
      </c>
      <c r="Z60" t="inlineStr">
        <is>
          <t>adjusted xGOT</t>
        </is>
      </c>
      <c r="AA60" s="3" t="n">
        <v>0.835</v>
      </c>
      <c r="AB60" s="3" t="n">
        <v>0.859</v>
      </c>
      <c r="AC60" s="3" t="n">
        <v>12.3</v>
      </c>
      <c r="AD60" s="3" t="n">
        <v>0.09320000000000001</v>
      </c>
      <c r="AE60" s="3" t="n">
        <v>3.78</v>
      </c>
      <c r="AF60" s="3" t="n">
        <v>0.0001341086208062059</v>
      </c>
      <c r="AG60" s="3" t="n">
        <v>0.6495</v>
      </c>
      <c r="AH60" s="3" t="n">
        <v>58</v>
      </c>
      <c r="AI60" s="3" t="n">
        <v>2.067</v>
      </c>
      <c r="AJ60" s="3" t="n">
        <v>0.9838</v>
      </c>
      <c r="AK60" s="3" t="n">
        <v>-0.1988872775556141</v>
      </c>
      <c r="AL60" s="6" t="n">
        <v>0.4910444381460489</v>
      </c>
      <c r="AM60" s="3" t="n">
        <v>0</v>
      </c>
      <c r="AN60" s="3" t="n">
        <v>1.4284</v>
      </c>
      <c r="AO60" s="3" t="n">
        <v>0.369072</v>
      </c>
      <c r="AP60" s="3">
        <f>N(X60)*N(BI60)</f>
        <v/>
      </c>
      <c r="AQ60" s="3" t="n">
        <v>0.6495</v>
      </c>
      <c r="AR60" s="3" t="n">
        <v>0</v>
      </c>
      <c r="AS60" s="3" t="n">
        <v>-0</v>
      </c>
      <c r="AT60" s="3" t="n">
        <v>-0.1988872775556141</v>
      </c>
      <c r="AU60" s="3">
        <f>SUM(AN60:AT60)</f>
        <v/>
      </c>
      <c r="AV60" s="7">
        <f>IF(OR(N(W60)&lt;=0,N(BG60)=0),0,N(W60)*IF(N(R60)/N(W60)&gt;=60,N(BG60),1))</f>
        <v/>
      </c>
      <c r="AW60" s="7">
        <f>N(W60)*N(AF60)*N(BH60)</f>
        <v/>
      </c>
      <c r="AX60" s="7">
        <f>N(AL60)*(Assumptions!$B$13*N(BJ60)-(1-Assumptions!$B$13)*Assumptions!$B$14)+N(AM60)</f>
        <v/>
      </c>
      <c r="AY60" s="7">
        <f>N(AU60)*N(R60)/90+N(AV60)+N(AW60)+N(AX60)</f>
        <v/>
      </c>
      <c r="AZ60" s="3">
        <f>IF(N(R60)&lt;=0,0,(N(AY60)-N(AX60))*90/N(R60))</f>
        <v/>
      </c>
      <c r="BA60" s="7">
        <f>IFERROR(AY60-VLOOKUP($E60,Assumptions!$A$40:$C$43,3,FALSE),"")</f>
        <v/>
      </c>
      <c r="BB60" s="3">
        <f>IFERROR(BA60/H60,"")</f>
        <v/>
      </c>
      <c r="BC60">
        <f>IF(AND($G60=TRUE,$E60="GKP"),AY60,"")</f>
        <v/>
      </c>
      <c r="BD60">
        <f>IF(AND($G60=TRUE,$E60="DEF"),AY60,"")</f>
        <v/>
      </c>
      <c r="BE60">
        <f>IF(AND($G60=TRUE,$E60="MID"),AY60,"")</f>
        <v/>
      </c>
      <c r="BF60">
        <f>IF(AND($G60=TRUE,$E60="FWD"),AY60,"")</f>
        <v/>
      </c>
      <c r="BG60" t="n">
        <v>2</v>
      </c>
      <c r="BH60" t="n">
        <v>2</v>
      </c>
      <c r="BI60" t="n">
        <v>0</v>
      </c>
      <c r="BJ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s="8" t="n">
        <v>3186</v>
      </c>
      <c r="O61" s="8" t="n">
        <v>0</v>
      </c>
      <c r="Q61" t="inlineStr">
        <is>
          <t>flat</t>
        </is>
      </c>
      <c r="R61" s="6" t="n">
        <v>3186</v>
      </c>
      <c r="S61" t="inlineStr">
        <is>
          <t>Solio</t>
        </is>
      </c>
      <c r="U61" s="6" t="n">
        <v>85.3</v>
      </c>
      <c r="V61" s="2" t="n">
        <v>32</v>
      </c>
      <c r="W61" s="7">
        <f>IF(N(U61)&lt;=0,0,MIN(Assumptions!$B$15,N(R61)/N(U61)))</f>
        <v/>
      </c>
      <c r="X61" s="6" t="n">
        <v>0.231</v>
      </c>
      <c r="Y61" s="3" t="n">
        <v>0.1929</v>
      </c>
      <c r="Z61" t="inlineStr">
        <is>
          <t>adjusted xGOT</t>
        </is>
      </c>
      <c r="AA61" s="3" t="n">
        <v>0.752</v>
      </c>
      <c r="AB61" s="3" t="n">
        <v>1.186</v>
      </c>
      <c r="AC61" s="3" t="n">
        <v>12.9</v>
      </c>
      <c r="AD61" s="3" t="n">
        <v>0.1435</v>
      </c>
      <c r="AE61" s="3" t="n">
        <v>9.039</v>
      </c>
      <c r="AF61" s="3" t="n">
        <v>0.1571058944797701</v>
      </c>
      <c r="AG61" s="3" t="n">
        <v>0.2589</v>
      </c>
      <c r="AH61" s="3" t="n">
        <v>64</v>
      </c>
      <c r="AI61" s="3" t="n">
        <v>3.0311</v>
      </c>
      <c r="AJ61" s="3" t="n">
        <v>1.5252</v>
      </c>
      <c r="AK61" s="3" t="n">
        <v>-0.1274666475742953</v>
      </c>
      <c r="AL61" s="6" t="n">
        <v>4.211429362823602</v>
      </c>
      <c r="AM61" s="3" t="n">
        <v>0</v>
      </c>
      <c r="AN61" s="3" t="n">
        <v>0.9644999999999999</v>
      </c>
      <c r="AO61" s="3" t="n">
        <v>0.56826</v>
      </c>
      <c r="AP61" s="3">
        <f>N(X61)*N(BI61)</f>
        <v/>
      </c>
      <c r="AQ61" s="3" t="n">
        <v>0.2589</v>
      </c>
      <c r="AR61" s="3" t="n">
        <v>0</v>
      </c>
      <c r="AS61" s="3" t="n">
        <v>-0</v>
      </c>
      <c r="AT61" s="3" t="n">
        <v>-0.1274666475742953</v>
      </c>
      <c r="AU61" s="3">
        <f>SUM(AN61:AT61)</f>
        <v/>
      </c>
      <c r="AV61" s="7">
        <f>IF(OR(N(W61)&lt;=0,N(BG61)=0),0,N(W61)*IF(N(R61)/N(W61)&gt;=60,N(BG61),1))</f>
        <v/>
      </c>
      <c r="AW61" s="7">
        <f>N(W61)*N(AF61)*N(BH61)</f>
        <v/>
      </c>
      <c r="AX61" s="7">
        <f>N(AL61)*(Assumptions!$B$13*N(BJ61)-(1-Assumptions!$B$13)*Assumptions!$B$14)+N(AM61)</f>
        <v/>
      </c>
      <c r="AY61" s="7">
        <f>N(AU61)*N(R61)/90+N(AV61)+N(AW61)+N(AX61)</f>
        <v/>
      </c>
      <c r="AZ61" s="3">
        <f>IF(N(R61)&lt;=0,0,(N(AY61)-N(AX61))*90/N(R61))</f>
        <v/>
      </c>
      <c r="BA61" s="7">
        <f>IFERROR(AY61-VLOOKUP($E61,Assumptions!$A$40:$C$43,3,FALSE),"")</f>
        <v/>
      </c>
      <c r="BB61" s="3">
        <f>IFERROR(BA61/H61,"")</f>
        <v/>
      </c>
      <c r="BC61">
        <f>IF(AND($G61=TRUE,$E61="GKP"),AY61,"")</f>
        <v/>
      </c>
      <c r="BD61">
        <f>IF(AND($G61=TRUE,$E61="DEF"),AY61,"")</f>
        <v/>
      </c>
      <c r="BE61">
        <f>IF(AND($G61=TRUE,$E61="MID"),AY61,"")</f>
        <v/>
      </c>
      <c r="BF61">
        <f>IF(AND($G61=TRUE,$E61="FWD"),AY61,"")</f>
        <v/>
      </c>
      <c r="BG61" t="n">
        <v>2</v>
      </c>
      <c r="BH61" t="n">
        <v>2</v>
      </c>
      <c r="BI61" t="n">
        <v>1</v>
      </c>
      <c r="BJ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s="4" t="n">
        <v>3050</v>
      </c>
      <c r="O62" s="4" t="n">
        <v>-233</v>
      </c>
      <c r="P62" s="5" t="inlineStr">
        <is>
          <t>low</t>
        </is>
      </c>
      <c r="Q62" t="inlineStr">
        <is>
          <t>flat</t>
        </is>
      </c>
      <c r="R62" s="6" t="n">
        <v>3050</v>
      </c>
      <c r="S62" t="inlineStr">
        <is>
          <t>research</t>
        </is>
      </c>
      <c r="T62" s="5" t="inlineStr">
        <is>
          <t>Rotation haircut only; he is a nailed starter and started at Freiburg. Solio projects 458 minutes above his 2825 last season, in a season where Palace enter the Europa League league phase as Conference League holders and so play a Thursday-Sunday schedule. Palace played 60 matches in 2025/26 on the same pattern.</t>
        </is>
      </c>
      <c r="U62" s="6" t="n">
        <v>88.7</v>
      </c>
      <c r="V62" s="2" t="n">
        <v>31</v>
      </c>
      <c r="W62" s="7">
        <f>IF(N(U62)&lt;=0,0,MIN(Assumptions!$B$15,N(R62)/N(U62)))</f>
        <v/>
      </c>
      <c r="X62" s="6" t="n">
        <v>0.216</v>
      </c>
      <c r="Y62" s="3" t="n">
        <v>0.07199999999999999</v>
      </c>
      <c r="Z62" t="inlineStr">
        <is>
          <t>adjusted xGOT</t>
        </is>
      </c>
      <c r="AA62" s="3" t="n">
        <v>1</v>
      </c>
      <c r="AB62" s="3" t="n">
        <v>0.9340000000000001</v>
      </c>
      <c r="AC62" s="3" t="n">
        <v>5.1</v>
      </c>
      <c r="AD62" s="3" t="n">
        <v>0.0326</v>
      </c>
      <c r="AE62" s="3" t="n">
        <v>9.456</v>
      </c>
      <c r="AF62" s="3" t="n">
        <v>0.4545982629616002</v>
      </c>
      <c r="AG62" s="3" t="n">
        <v>0.1593</v>
      </c>
      <c r="AH62" s="3" t="n">
        <v>64</v>
      </c>
      <c r="AI62" s="3" t="n">
        <v>3.2035</v>
      </c>
      <c r="AJ62" s="3" t="n">
        <v>1.5923</v>
      </c>
      <c r="AK62" s="3" t="n">
        <v>-0.1555108452468891</v>
      </c>
      <c r="AL62" s="6" t="n">
        <v>0</v>
      </c>
      <c r="AM62" s="3" t="n">
        <v>0</v>
      </c>
      <c r="AN62" s="3" t="n">
        <v>0.4319999999999999</v>
      </c>
      <c r="AO62" s="3" t="n">
        <v>0.129096</v>
      </c>
      <c r="AP62" s="3">
        <f>N(X62)*N(BI62)</f>
        <v/>
      </c>
      <c r="AQ62" s="3" t="n">
        <v>0.1593</v>
      </c>
      <c r="AR62" s="3" t="n">
        <v>0</v>
      </c>
      <c r="AS62" s="3" t="n">
        <v>-0.5564987001023466</v>
      </c>
      <c r="AT62" s="3" t="n">
        <v>-0.1555108452468891</v>
      </c>
      <c r="AU62" s="3">
        <f>SUM(AN62:AT62)</f>
        <v/>
      </c>
      <c r="AV62" s="7">
        <f>IF(OR(N(W62)&lt;=0,N(BG62)=0),0,N(W62)*IF(N(R62)/N(W62)&gt;=60,N(BG62),1))</f>
        <v/>
      </c>
      <c r="AW62" s="7">
        <f>N(W62)*N(AF62)*N(BH62)</f>
        <v/>
      </c>
      <c r="AX62" s="7">
        <f>N(AL62)*(Assumptions!$B$13*N(BJ62)-(1-Assumptions!$B$13)*Assumptions!$B$14)+N(AM62)</f>
        <v/>
      </c>
      <c r="AY62" s="7">
        <f>N(AU62)*N(R62)/90+N(AV62)+N(AW62)+N(AX62)</f>
        <v/>
      </c>
      <c r="AZ62" s="3">
        <f>IF(N(R62)&lt;=0,0,(N(AY62)-N(AX62))*90/N(R62))</f>
        <v/>
      </c>
      <c r="BA62" s="7">
        <f>IFERROR(AY62-VLOOKUP($E62,Assumptions!$A$40:$C$43,3,FALSE),"")</f>
        <v/>
      </c>
      <c r="BB62" s="3">
        <f>IFERROR(BA62/H62,"")</f>
        <v/>
      </c>
      <c r="BC62">
        <f>IF(AND($G62=TRUE,$E62="GKP"),AY62,"")</f>
        <v/>
      </c>
      <c r="BD62">
        <f>IF(AND($G62=TRUE,$E62="DEF"),AY62,"")</f>
        <v/>
      </c>
      <c r="BE62">
        <f>IF(AND($G62=TRUE,$E62="MID"),AY62,"")</f>
        <v/>
      </c>
      <c r="BF62">
        <f>IF(AND($G62=TRUE,$E62="FWD"),AY62,"")</f>
        <v/>
      </c>
      <c r="BG62" t="n">
        <v>2</v>
      </c>
      <c r="BH62" t="n">
        <v>2</v>
      </c>
      <c r="BI62" t="n">
        <v>4</v>
      </c>
      <c r="BJ62" t="n">
        <v>6</v>
      </c>
    </row>
    <row r="63">
      <c r="A63" s="9" t="inlineStr">
        <is>
          <t>Jaidon Anthony</t>
        </is>
      </c>
      <c r="B63" t="inlineStr">
        <is>
          <t>BRE</t>
        </is>
      </c>
      <c r="C63" s="9" t="inlineStr">
        <is>
          <t>BUR</t>
        </is>
      </c>
      <c r="D63" t="b">
        <v>1</v>
      </c>
      <c r="E63" t="inlineStr">
        <is>
          <t>MID</t>
        </is>
      </c>
      <c r="F63" t="inlineStr">
        <is>
          <t>MID</t>
        </is>
      </c>
      <c r="G63" t="b">
        <v>1</v>
      </c>
      <c r="H63" s="2" t="n">
        <v>6</v>
      </c>
      <c r="I63" t="inlineStr">
        <is>
          <t>a</t>
        </is>
      </c>
      <c r="K63" s="2" t="n">
        <v>2717</v>
      </c>
      <c r="L63" t="n">
        <v>127</v>
      </c>
      <c r="M63" s="3" t="n">
        <v>716</v>
      </c>
      <c r="N63" s="4" t="n">
        <v>1450</v>
      </c>
      <c r="O63" s="4" t="n">
        <v>734</v>
      </c>
      <c r="P63" s="5" t="inlineStr">
        <is>
          <t>medium</t>
        </is>
      </c>
      <c r="Q63" t="inlineStr">
        <is>
          <t>flat</t>
        </is>
      </c>
      <c r="R63" s="6" t="n">
        <v>1450</v>
      </c>
      <c r="S63" t="inlineStr">
        <is>
          <t>research</t>
        </is>
      </c>
      <c r="T63" s="5" t="inlineStr">
        <is>
          <t>Solio has him at 716 minutes despite a permanent transfer from Burnley on 7 July for a reported 15m plus 2m in add-ons, and an FPL price of 6.0m - joint third-highest at the club, level with Schade. He played 2717 minutes for Burnley in 2025/26, started and scored against AFC Wimbledon, started the full Rennes friendly as the left-sided attacker, and was on the bench for the Frankfurt match. A club does not pay that fee for a 26-year-old to play eight games. He is behind Schade at left wing, so this is a heavy-rotation number rather than a starter's number.</t>
        </is>
      </c>
      <c r="U63" s="6" t="n">
        <v>81.8</v>
      </c>
      <c r="V63" s="2" t="n">
        <v>32</v>
      </c>
      <c r="W63" s="7">
        <f>IF(N(U63)&lt;=0,0,MIN(Assumptions!$B$15,N(R63)/N(U63)))</f>
        <v/>
      </c>
      <c r="X63" s="6" t="n">
        <v>0.228</v>
      </c>
      <c r="Y63" s="10" t="n">
        <v>0.2106</v>
      </c>
      <c r="Z63" t="inlineStr">
        <is>
          <t>adjusted xGOT</t>
        </is>
      </c>
      <c r="AA63" s="3" t="n">
        <v>1</v>
      </c>
      <c r="AB63" s="3" t="n">
        <v>1.244</v>
      </c>
      <c r="AC63" s="3" t="n">
        <v>6.9</v>
      </c>
      <c r="AD63" s="10" t="n">
        <v>0.1197</v>
      </c>
      <c r="AE63" s="3" t="n">
        <v>7.872</v>
      </c>
      <c r="AF63" s="3" t="n">
        <v>0.0606527788067327</v>
      </c>
      <c r="AG63" s="3" t="n">
        <v>0.1987</v>
      </c>
      <c r="AH63" s="3" t="n">
        <v>67</v>
      </c>
      <c r="AI63" s="3" t="n">
        <v>3.2371</v>
      </c>
      <c r="AJ63" s="3" t="n">
        <v>1.5396</v>
      </c>
      <c r="AK63" s="3" t="n">
        <v>-0.1786180559706048</v>
      </c>
      <c r="AL63" s="6" t="n">
        <v>0</v>
      </c>
      <c r="AM63" s="3" t="n">
        <v>0</v>
      </c>
      <c r="AN63" s="10" t="n">
        <v>1.053</v>
      </c>
      <c r="AO63" s="10" t="n">
        <v>0.474012</v>
      </c>
      <c r="AP63" s="3">
        <f>N(X63)*N(BI63)</f>
        <v/>
      </c>
      <c r="AQ63" s="3" t="n">
        <v>0.1987</v>
      </c>
      <c r="AR63" s="3" t="n">
        <v>0</v>
      </c>
      <c r="AS63" s="3" t="n">
        <v>-0</v>
      </c>
      <c r="AT63" s="3" t="n">
        <v>-0.1786180559706048</v>
      </c>
      <c r="AU63" s="3">
        <f>SUM(AN63:AT63)</f>
        <v/>
      </c>
      <c r="AV63" s="7">
        <f>IF(OR(N(W63)&lt;=0,N(BG63)=0),0,N(W63)*IF(N(R63)/N(W63)&gt;=60,N(BG63),1))</f>
        <v/>
      </c>
      <c r="AW63" s="7">
        <f>N(W63)*N(AF63)*N(BH63)</f>
        <v/>
      </c>
      <c r="AX63" s="7">
        <f>N(AL63)*(Assumptions!$B$13*N(BJ63)-(1-Assumptions!$B$13)*Assumptions!$B$14)+N(AM63)</f>
        <v/>
      </c>
      <c r="AY63" s="7">
        <f>N(AU63)*N(R63)/90+N(AV63)+N(AW63)+N(AX63)</f>
        <v/>
      </c>
      <c r="AZ63" s="3">
        <f>IF(N(R63)&lt;=0,0,(N(AY63)-N(AX63))*90/N(R63))</f>
        <v/>
      </c>
      <c r="BA63" s="7">
        <f>IFERROR(AY63-VLOOKUP($E63,Assumptions!$A$40:$C$43,3,FALSE),"")</f>
        <v/>
      </c>
      <c r="BB63" s="3">
        <f>IFERROR(BA63/H63,"")</f>
        <v/>
      </c>
      <c r="BC63">
        <f>IF(AND($G63=TRUE,$E63="GKP"),AY63,"")</f>
        <v/>
      </c>
      <c r="BD63">
        <f>IF(AND($G63=TRUE,$E63="DEF"),AY63,"")</f>
        <v/>
      </c>
      <c r="BE63">
        <f>IF(AND($G63=TRUE,$E63="MID"),AY63,"")</f>
        <v/>
      </c>
      <c r="BF63">
        <f>IF(AND($G63=TRUE,$E63="FWD"),AY63,"")</f>
        <v/>
      </c>
      <c r="BG63" t="n">
        <v>2</v>
      </c>
      <c r="BH63" t="n">
        <v>2</v>
      </c>
      <c r="BI63" t="n">
        <v>1</v>
      </c>
      <c r="BJ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s="8" t="n">
        <v>3243</v>
      </c>
      <c r="O64" s="8" t="n">
        <v>0</v>
      </c>
      <c r="Q64" t="inlineStr">
        <is>
          <t>flat</t>
        </is>
      </c>
      <c r="R64" s="6" t="n">
        <v>3243</v>
      </c>
      <c r="S64" t="inlineStr">
        <is>
          <t>Solio</t>
        </is>
      </c>
      <c r="U64" s="6" t="n">
        <v>87.7</v>
      </c>
      <c r="V64" s="2" t="n">
        <v>33</v>
      </c>
      <c r="W64" s="7">
        <f>IF(N(U64)&lt;=0,0,MIN(Assumptions!$B$15,N(R64)/N(U64)))</f>
        <v/>
      </c>
      <c r="X64" s="6" t="n">
        <v>0.248</v>
      </c>
      <c r="Y64" s="3" t="n">
        <v>0.1515</v>
      </c>
      <c r="Z64" t="inlineStr">
        <is>
          <t>adjusted xGOT</t>
        </is>
      </c>
      <c r="AA64" s="3" t="n">
        <v>1</v>
      </c>
      <c r="AB64" s="3" t="n">
        <v>1.039</v>
      </c>
      <c r="AC64" s="3" t="n">
        <v>4.8</v>
      </c>
      <c r="AD64" s="3" t="n">
        <v>0.0271</v>
      </c>
      <c r="AE64" s="3" t="n">
        <v>8.638</v>
      </c>
      <c r="AF64" s="3" t="n">
        <v>0.3363075002268741</v>
      </c>
      <c r="AG64" s="3" t="n">
        <v>0.2734</v>
      </c>
      <c r="AH64" s="3" t="n">
        <v>67</v>
      </c>
      <c r="AI64" s="3" t="n">
        <v>3.0912</v>
      </c>
      <c r="AJ64" s="3" t="n">
        <v>1.4534</v>
      </c>
      <c r="AK64" s="3" t="n">
        <v>-0.1629174169121166</v>
      </c>
      <c r="AL64" s="6" t="n">
        <v>0</v>
      </c>
      <c r="AM64" s="3" t="n">
        <v>0</v>
      </c>
      <c r="AN64" s="3" t="n">
        <v>0.909</v>
      </c>
      <c r="AO64" s="3" t="n">
        <v>0.107316</v>
      </c>
      <c r="AP64" s="3">
        <f>N(X64)*N(BI64)</f>
        <v/>
      </c>
      <c r="AQ64" s="3" t="n">
        <v>0.2734</v>
      </c>
      <c r="AR64" s="3" t="n">
        <v>0</v>
      </c>
      <c r="AS64" s="3" t="n">
        <v>-0.4903625828545308</v>
      </c>
      <c r="AT64" s="3" t="n">
        <v>-0.1629174169121166</v>
      </c>
      <c r="AU64" s="3">
        <f>SUM(AN64:AT64)</f>
        <v/>
      </c>
      <c r="AV64" s="7">
        <f>IF(OR(N(W64)&lt;=0,N(BG64)=0),0,N(W64)*IF(N(R64)/N(W64)&gt;=60,N(BG64),1))</f>
        <v/>
      </c>
      <c r="AW64" s="7">
        <f>N(W64)*N(AF64)*N(BH64)</f>
        <v/>
      </c>
      <c r="AX64" s="7">
        <f>N(AL64)*(Assumptions!$B$13*N(BJ64)-(1-Assumptions!$B$13)*Assumptions!$B$14)+N(AM64)</f>
        <v/>
      </c>
      <c r="AY64" s="7">
        <f>N(AU64)*N(R64)/90+N(AV64)+N(AW64)+N(AX64)</f>
        <v/>
      </c>
      <c r="AZ64" s="3">
        <f>IF(N(R64)&lt;=0,0,(N(AY64)-N(AX64))*90/N(R64))</f>
        <v/>
      </c>
      <c r="BA64" s="7">
        <f>IFERROR(AY64-VLOOKUP($E64,Assumptions!$A$40:$C$43,3,FALSE),"")</f>
        <v/>
      </c>
      <c r="BB64" s="3">
        <f>IFERROR(BA64/H64,"")</f>
        <v/>
      </c>
      <c r="BC64">
        <f>IF(AND($G64=TRUE,$E64="GKP"),AY64,"")</f>
        <v/>
      </c>
      <c r="BD64">
        <f>IF(AND($G64=TRUE,$E64="DEF"),AY64,"")</f>
        <v/>
      </c>
      <c r="BE64">
        <f>IF(AND($G64=TRUE,$E64="MID"),AY64,"")</f>
        <v/>
      </c>
      <c r="BF64">
        <f>IF(AND($G64=TRUE,$E64="FWD"),AY64,"")</f>
        <v/>
      </c>
      <c r="BG64" t="n">
        <v>2</v>
      </c>
      <c r="BH64" t="n">
        <v>2</v>
      </c>
      <c r="BI64" t="n">
        <v>4</v>
      </c>
      <c r="BJ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s="4" t="n">
        <v>1620</v>
      </c>
      <c r="O65" s="4" t="n">
        <v>585</v>
      </c>
      <c r="P65" s="5" t="inlineStr">
        <is>
          <t>medium</t>
        </is>
      </c>
      <c r="Q65" t="inlineStr">
        <is>
          <t>flat</t>
        </is>
      </c>
      <c r="R65" s="6" t="n">
        <v>1620</v>
      </c>
      <c r="S65" t="inlineStr">
        <is>
          <t>research</t>
        </is>
      </c>
      <c r="T65" s="5" t="inlineStr">
        <is>
          <t>Solio has him at 42% of last season's 2449 minutes, which inverts the current evidence. He started the final pre-season friendly (15 Aug) as one of the two No.10s in what Farke picked as his strongest available XI, six days before the opener, with 2 goals and 1 assist from three pre-season appearances. His direct competitor Okafor is short of match fitness by Farke's own admission and the other cover, Gnonto, has an untimed hamstring injury. I have deliberately NOT taken him all the way back to last season's level, because Okafor should regain fitness within a few weeks and Leeds are still hunting a wide forward (Paixao) before the 1 Sep deadline.</t>
        </is>
      </c>
      <c r="U65" s="6" t="n">
        <v>77.8</v>
      </c>
      <c r="V65" s="2" t="n">
        <v>30</v>
      </c>
      <c r="W65" s="7">
        <f>IF(N(U65)&lt;=0,0,MIN(Assumptions!$B$15,N(R65)/N(U65)))</f>
        <v/>
      </c>
      <c r="X65" s="6" t="n">
        <v>0.218</v>
      </c>
      <c r="Y65" s="3" t="n">
        <v>0.1593</v>
      </c>
      <c r="Z65" t="inlineStr">
        <is>
          <t>adjusted xGOT</t>
        </is>
      </c>
      <c r="AA65" s="3" t="n">
        <v>1</v>
      </c>
      <c r="AB65" s="3" t="n">
        <v>0.957</v>
      </c>
      <c r="AC65" s="3" t="n">
        <v>8.5</v>
      </c>
      <c r="AD65" s="3" t="n">
        <v>0.1702</v>
      </c>
      <c r="AE65" s="3" t="n">
        <v>8.083</v>
      </c>
      <c r="AF65" s="3" t="n">
        <v>0.05277822862255732</v>
      </c>
      <c r="AG65" s="3" t="n">
        <v>0.2205</v>
      </c>
      <c r="AH65" s="3" t="n">
        <v>65</v>
      </c>
      <c r="AI65" s="3" t="n">
        <v>3.0611</v>
      </c>
      <c r="AJ65" s="3" t="n">
        <v>1.5875</v>
      </c>
      <c r="AK65" s="3" t="n">
        <v>-0.1598973894162195</v>
      </c>
      <c r="AL65" s="6" t="n">
        <v>0</v>
      </c>
      <c r="AM65" s="3" t="n">
        <v>0</v>
      </c>
      <c r="AN65" s="3" t="n">
        <v>0.7965</v>
      </c>
      <c r="AO65" s="3" t="n">
        <v>0.6739919999999999</v>
      </c>
      <c r="AP65" s="3">
        <f>N(X65)*N(BI65)</f>
        <v/>
      </c>
      <c r="AQ65" s="3" t="n">
        <v>0.2205</v>
      </c>
      <c r="AR65" s="3" t="n">
        <v>0</v>
      </c>
      <c r="AS65" s="3" t="n">
        <v>-0</v>
      </c>
      <c r="AT65" s="3" t="n">
        <v>-0.1598973894162195</v>
      </c>
      <c r="AU65" s="3">
        <f>SUM(AN65:AT65)</f>
        <v/>
      </c>
      <c r="AV65" s="7">
        <f>IF(OR(N(W65)&lt;=0,N(BG65)=0),0,N(W65)*IF(N(R65)/N(W65)&gt;=60,N(BG65),1))</f>
        <v/>
      </c>
      <c r="AW65" s="7">
        <f>N(W65)*N(AF65)*N(BH65)</f>
        <v/>
      </c>
      <c r="AX65" s="7">
        <f>N(AL65)*(Assumptions!$B$13*N(BJ65)-(1-Assumptions!$B$13)*Assumptions!$B$14)+N(AM65)</f>
        <v/>
      </c>
      <c r="AY65" s="7">
        <f>N(AU65)*N(R65)/90+N(AV65)+N(AW65)+N(AX65)</f>
        <v/>
      </c>
      <c r="AZ65" s="3">
        <f>IF(N(R65)&lt;=0,0,(N(AY65)-N(AX65))*90/N(R65))</f>
        <v/>
      </c>
      <c r="BA65" s="7">
        <f>IFERROR(AY65-VLOOKUP($E65,Assumptions!$A$40:$C$43,3,FALSE),"")</f>
        <v/>
      </c>
      <c r="BB65" s="3">
        <f>IFERROR(BA65/H65,"")</f>
        <v/>
      </c>
      <c r="BC65">
        <f>IF(AND($G65=TRUE,$E65="GKP"),AY65,"")</f>
        <v/>
      </c>
      <c r="BD65">
        <f>IF(AND($G65=TRUE,$E65="DEF"),AY65,"")</f>
        <v/>
      </c>
      <c r="BE65">
        <f>IF(AND($G65=TRUE,$E65="MID"),AY65,"")</f>
        <v/>
      </c>
      <c r="BF65">
        <f>IF(AND($G65=TRUE,$E65="FWD"),AY65,"")</f>
        <v/>
      </c>
      <c r="BG65" t="n">
        <v>2</v>
      </c>
      <c r="BH65" t="n">
        <v>2</v>
      </c>
      <c r="BI65" t="n">
        <v>1</v>
      </c>
      <c r="BJ65" t="n">
        <v>5</v>
      </c>
    </row>
    <row r="66">
      <c r="A66" s="9" t="inlineStr">
        <is>
          <t>Danny Welbeck</t>
        </is>
      </c>
      <c r="B66" t="inlineStr">
        <is>
          <t>CHE</t>
        </is>
      </c>
      <c r="C66" s="9" t="inlineStr">
        <is>
          <t>BHA</t>
        </is>
      </c>
      <c r="D66" t="b">
        <v>1</v>
      </c>
      <c r="E66" t="inlineStr">
        <is>
          <t>FWD</t>
        </is>
      </c>
      <c r="F66" t="inlineStr">
        <is>
          <t>FWD</t>
        </is>
      </c>
      <c r="G66" t="b">
        <v>1</v>
      </c>
      <c r="H66" s="2" t="n">
        <v>6</v>
      </c>
      <c r="I66" t="inlineStr">
        <is>
          <t>a</t>
        </is>
      </c>
      <c r="K66" s="2" t="n">
        <v>2249</v>
      </c>
      <c r="L66" t="n">
        <v>126</v>
      </c>
      <c r="M66" s="3" t="n">
        <v>586</v>
      </c>
      <c r="N66" s="8" t="n">
        <v>586</v>
      </c>
      <c r="O66" s="8" t="n">
        <v>0</v>
      </c>
      <c r="Q66" t="inlineStr">
        <is>
          <t>flat</t>
        </is>
      </c>
      <c r="R66" s="6" t="n">
        <v>586</v>
      </c>
      <c r="S66" t="inlineStr">
        <is>
          <t>Solio</t>
        </is>
      </c>
      <c r="U66" s="6" t="n">
        <v>79.2</v>
      </c>
      <c r="V66" s="2" t="n">
        <v>26</v>
      </c>
      <c r="W66" s="7">
        <f>IF(N(U66)&lt;=0,0,MIN(Assumptions!$B$15,N(R66)/N(U66)))</f>
        <v/>
      </c>
      <c r="X66" s="6" t="n">
        <v>0.322</v>
      </c>
      <c r="Y66" s="10" t="n">
        <v>0.4</v>
      </c>
      <c r="Z66" t="inlineStr">
        <is>
          <t>adjusted xGOT</t>
        </is>
      </c>
      <c r="AA66" s="3" t="n">
        <v>0.82</v>
      </c>
      <c r="AB66" s="3" t="n">
        <v>0.986</v>
      </c>
      <c r="AC66" s="3" t="n">
        <v>35.6</v>
      </c>
      <c r="AD66" s="10" t="n">
        <v>0.0733</v>
      </c>
      <c r="AE66" s="3" t="n">
        <v>4.557</v>
      </c>
      <c r="AF66" s="3" t="n">
        <v>0.0009349570724563883</v>
      </c>
      <c r="AG66" s="3" t="n">
        <v>0.7203000000000001</v>
      </c>
      <c r="AH66" s="3" t="n">
        <v>62</v>
      </c>
      <c r="AI66" s="3" t="n">
        <v>2.4232</v>
      </c>
      <c r="AJ66" s="3" t="n">
        <v>1.1851</v>
      </c>
      <c r="AK66" s="3" t="n">
        <v>-0.206825124339262</v>
      </c>
      <c r="AL66" s="6" t="n">
        <v>0</v>
      </c>
      <c r="AM66" s="3" t="n">
        <v>0</v>
      </c>
      <c r="AN66" s="10" t="n">
        <v>1.6</v>
      </c>
      <c r="AO66" s="10" t="n">
        <v>0.290268</v>
      </c>
      <c r="AP66" s="3">
        <f>N(X66)*N(BI66)</f>
        <v/>
      </c>
      <c r="AQ66" s="3" t="n">
        <v>0.7203000000000001</v>
      </c>
      <c r="AR66" s="3" t="n">
        <v>0</v>
      </c>
      <c r="AS66" s="3" t="n">
        <v>-0</v>
      </c>
      <c r="AT66" s="3" t="n">
        <v>-0.206825124339262</v>
      </c>
      <c r="AU66" s="3">
        <f>SUM(AN66:AT66)</f>
        <v/>
      </c>
      <c r="AV66" s="7">
        <f>IF(OR(N(W66)&lt;=0,N(BG66)=0),0,N(W66)*IF(N(R66)/N(W66)&gt;=60,N(BG66),1))</f>
        <v/>
      </c>
      <c r="AW66" s="7">
        <f>N(W66)*N(AF66)*N(BH66)</f>
        <v/>
      </c>
      <c r="AX66" s="7">
        <f>N(AL66)*(Assumptions!$B$13*N(BJ66)-(1-Assumptions!$B$13)*Assumptions!$B$14)+N(AM66)</f>
        <v/>
      </c>
      <c r="AY66" s="7">
        <f>N(AU66)*N(R66)/90+N(AV66)+N(AW66)+N(AX66)</f>
        <v/>
      </c>
      <c r="AZ66" s="3">
        <f>IF(N(R66)&lt;=0,0,(N(AY66)-N(AX66))*90/N(R66))</f>
        <v/>
      </c>
      <c r="BA66" s="7">
        <f>IFERROR(AY66-VLOOKUP($E66,Assumptions!$A$40:$C$43,3,FALSE),"")</f>
        <v/>
      </c>
      <c r="BB66" s="3">
        <f>IFERROR(BA66/H66,"")</f>
        <v/>
      </c>
      <c r="BC66">
        <f>IF(AND($G66=TRUE,$E66="GKP"),AY66,"")</f>
        <v/>
      </c>
      <c r="BD66">
        <f>IF(AND($G66=TRUE,$E66="DEF"),AY66,"")</f>
        <v/>
      </c>
      <c r="BE66">
        <f>IF(AND($G66=TRUE,$E66="MID"),AY66,"")</f>
        <v/>
      </c>
      <c r="BF66">
        <f>IF(AND($G66=TRUE,$E66="FWD"),AY66,"")</f>
        <v/>
      </c>
      <c r="BG66" t="n">
        <v>2</v>
      </c>
      <c r="BH66" t="n">
        <v>2</v>
      </c>
      <c r="BI66" t="n">
        <v>0</v>
      </c>
      <c r="BJ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s="8" t="n">
        <v>2902</v>
      </c>
      <c r="O67" s="8" t="n">
        <v>0</v>
      </c>
      <c r="Q67" t="inlineStr">
        <is>
          <t>flat</t>
        </is>
      </c>
      <c r="R67" s="6" t="n">
        <v>2902</v>
      </c>
      <c r="S67" t="inlineStr">
        <is>
          <t>Solio</t>
        </is>
      </c>
      <c r="U67" s="6" t="n">
        <v>81.59999999999999</v>
      </c>
      <c r="V67" s="2" t="n">
        <v>27</v>
      </c>
      <c r="W67" s="7">
        <f>IF(N(U67)&lt;=0,0,MIN(Assumptions!$B$15,N(R67)/N(U67)))</f>
        <v/>
      </c>
      <c r="X67" s="6" t="n">
        <v>0.342</v>
      </c>
      <c r="Y67" s="3" t="n">
        <v>0.2532</v>
      </c>
      <c r="Z67" t="inlineStr">
        <is>
          <t>adjusted xGOT</t>
        </is>
      </c>
      <c r="AA67" s="3" t="n">
        <v>1</v>
      </c>
      <c r="AB67" s="3" t="n">
        <v>0.978</v>
      </c>
      <c r="AC67" s="3" t="n">
        <v>6.8</v>
      </c>
      <c r="AD67" s="3" t="n">
        <v>0.1995</v>
      </c>
      <c r="AE67" s="3" t="n">
        <v>7.116</v>
      </c>
      <c r="AF67" s="3" t="n">
        <v>0.0323185689960912</v>
      </c>
      <c r="AG67" s="3" t="n">
        <v>0.6445</v>
      </c>
      <c r="AH67" s="3" t="n">
        <v>60</v>
      </c>
      <c r="AI67" s="3" t="n">
        <v>2.409</v>
      </c>
      <c r="AJ67" s="3" t="n">
        <v>1.1228</v>
      </c>
      <c r="AK67" s="3" t="n">
        <v>-0.1155200166475775</v>
      </c>
      <c r="AL67" s="6" t="n">
        <v>0.0117617414321838</v>
      </c>
      <c r="AM67" s="3" t="n">
        <v>0</v>
      </c>
      <c r="AN67" s="3" t="n">
        <v>1.266</v>
      </c>
      <c r="AO67" s="3" t="n">
        <v>0.7900200000000001</v>
      </c>
      <c r="AP67" s="3">
        <f>N(X67)*N(BI67)</f>
        <v/>
      </c>
      <c r="AQ67" s="3" t="n">
        <v>0.6445</v>
      </c>
      <c r="AR67" s="3" t="n">
        <v>0</v>
      </c>
      <c r="AS67" s="3" t="n">
        <v>-0</v>
      </c>
      <c r="AT67" s="3" t="n">
        <v>-0.1155200166475775</v>
      </c>
      <c r="AU67" s="3">
        <f>SUM(AN67:AT67)</f>
        <v/>
      </c>
      <c r="AV67" s="7">
        <f>IF(OR(N(W67)&lt;=0,N(BG67)=0),0,N(W67)*IF(N(R67)/N(W67)&gt;=60,N(BG67),1))</f>
        <v/>
      </c>
      <c r="AW67" s="7">
        <f>N(W67)*N(AF67)*N(BH67)</f>
        <v/>
      </c>
      <c r="AX67" s="7">
        <f>N(AL67)*(Assumptions!$B$13*N(BJ67)-(1-Assumptions!$B$13)*Assumptions!$B$14)+N(AM67)</f>
        <v/>
      </c>
      <c r="AY67" s="7">
        <f>N(AU67)*N(R67)/90+N(AV67)+N(AW67)+N(AX67)</f>
        <v/>
      </c>
      <c r="AZ67" s="3">
        <f>IF(N(R67)&lt;=0,0,(N(AY67)-N(AX67))*90/N(R67))</f>
        <v/>
      </c>
      <c r="BA67" s="7">
        <f>IFERROR(AY67-VLOOKUP($E67,Assumptions!$A$40:$C$43,3,FALSE),"")</f>
        <v/>
      </c>
      <c r="BB67" s="3">
        <f>IFERROR(BA67/H67,"")</f>
        <v/>
      </c>
      <c r="BC67">
        <f>IF(AND($G67=TRUE,$E67="GKP"),AY67,"")</f>
        <v/>
      </c>
      <c r="BD67">
        <f>IF(AND($G67=TRUE,$E67="DEF"),AY67,"")</f>
        <v/>
      </c>
      <c r="BE67">
        <f>IF(AND($G67=TRUE,$E67="MID"),AY67,"")</f>
        <v/>
      </c>
      <c r="BF67">
        <f>IF(AND($G67=TRUE,$E67="FWD"),AY67,"")</f>
        <v/>
      </c>
      <c r="BG67" t="n">
        <v>2</v>
      </c>
      <c r="BH67" t="n">
        <v>2</v>
      </c>
      <c r="BI67" t="n">
        <v>1</v>
      </c>
      <c r="BJ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s="8" t="n">
        <v>1773</v>
      </c>
      <c r="O68" s="8" t="n">
        <v>0</v>
      </c>
      <c r="Q68" t="inlineStr">
        <is>
          <t>flat</t>
        </is>
      </c>
      <c r="R68" s="6" t="n">
        <v>1773</v>
      </c>
      <c r="S68" t="inlineStr">
        <is>
          <t>Solio</t>
        </is>
      </c>
      <c r="U68" s="6" t="n">
        <v>81.59999999999999</v>
      </c>
      <c r="V68" s="2" t="n">
        <v>29</v>
      </c>
      <c r="W68" s="7">
        <f>IF(N(U68)&lt;=0,0,MIN(Assumptions!$B$15,N(R68)/N(U68)))</f>
        <v/>
      </c>
      <c r="X68" s="6" t="n">
        <v>0.322</v>
      </c>
      <c r="Y68" s="3" t="n">
        <v>0.1289</v>
      </c>
      <c r="Z68" t="inlineStr">
        <is>
          <t>adjusted xGOT</t>
        </is>
      </c>
      <c r="AA68" s="3" t="n">
        <v>1</v>
      </c>
      <c r="AB68" s="3" t="n">
        <v>0.82</v>
      </c>
      <c r="AC68" s="3" t="n">
        <v>12.4</v>
      </c>
      <c r="AD68" s="3" t="n">
        <v>0.2529</v>
      </c>
      <c r="AE68" s="3" t="n">
        <v>5.123</v>
      </c>
      <c r="AF68" s="3" t="n">
        <v>0.003090020413393013</v>
      </c>
      <c r="AG68" s="3" t="n">
        <v>0.3423</v>
      </c>
      <c r="AH68" s="3" t="n">
        <v>64</v>
      </c>
      <c r="AI68" s="3" t="n">
        <v>2.4232</v>
      </c>
      <c r="AJ68" s="3" t="n">
        <v>1.1851</v>
      </c>
      <c r="AK68" s="3" t="n">
        <v>-0.1895532824458867</v>
      </c>
      <c r="AL68" s="6" t="n">
        <v>0</v>
      </c>
      <c r="AM68" s="3" t="n">
        <v>0</v>
      </c>
      <c r="AN68" s="3" t="n">
        <v>0.6445</v>
      </c>
      <c r="AO68" s="3" t="n">
        <v>1.001484</v>
      </c>
      <c r="AP68" s="3">
        <f>N(X68)*N(BI68)</f>
        <v/>
      </c>
      <c r="AQ68" s="3" t="n">
        <v>0.3423</v>
      </c>
      <c r="AR68" s="3" t="n">
        <v>0</v>
      </c>
      <c r="AS68" s="3" t="n">
        <v>-0</v>
      </c>
      <c r="AT68" s="3" t="n">
        <v>-0.1895532824458867</v>
      </c>
      <c r="AU68" s="3">
        <f>SUM(AN68:AT68)</f>
        <v/>
      </c>
      <c r="AV68" s="7">
        <f>IF(OR(N(W68)&lt;=0,N(BG68)=0),0,N(W68)*IF(N(R68)/N(W68)&gt;=60,N(BG68),1))</f>
        <v/>
      </c>
      <c r="AW68" s="7">
        <f>N(W68)*N(AF68)*N(BH68)</f>
        <v/>
      </c>
      <c r="AX68" s="7">
        <f>N(AL68)*(Assumptions!$B$13*N(BJ68)-(1-Assumptions!$B$13)*Assumptions!$B$14)+N(AM68)</f>
        <v/>
      </c>
      <c r="AY68" s="7">
        <f>N(AU68)*N(R68)/90+N(AV68)+N(AW68)+N(AX68)</f>
        <v/>
      </c>
      <c r="AZ68" s="3">
        <f>IF(N(R68)&lt;=0,0,(N(AY68)-N(AX68))*90/N(R68))</f>
        <v/>
      </c>
      <c r="BA68" s="7">
        <f>IFERROR(AY68-VLOOKUP($E68,Assumptions!$A$40:$C$43,3,FALSE),"")</f>
        <v/>
      </c>
      <c r="BB68" s="3">
        <f>IFERROR(BA68/H68,"")</f>
        <v/>
      </c>
      <c r="BC68">
        <f>IF(AND($G68=TRUE,$E68="GKP"),AY68,"")</f>
        <v/>
      </c>
      <c r="BD68">
        <f>IF(AND($G68=TRUE,$E68="DEF"),AY68,"")</f>
        <v/>
      </c>
      <c r="BE68">
        <f>IF(AND($G68=TRUE,$E68="MID"),AY68,"")</f>
        <v/>
      </c>
      <c r="BF68">
        <f>IF(AND($G68=TRUE,$E68="FWD"),AY68,"")</f>
        <v/>
      </c>
      <c r="BG68" t="n">
        <v>2</v>
      </c>
      <c r="BH68" t="n">
        <v>2</v>
      </c>
      <c r="BI68" t="n">
        <v>1</v>
      </c>
      <c r="BJ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s="4" t="n">
        <v>780</v>
      </c>
      <c r="O69" s="4" t="n">
        <v>-162</v>
      </c>
      <c r="P69" s="5" t="inlineStr">
        <is>
          <t>medium</t>
        </is>
      </c>
      <c r="Q69" t="inlineStr">
        <is>
          <t>flat</t>
        </is>
      </c>
      <c r="R69" s="6" t="n">
        <v>780</v>
      </c>
      <c r="S69" t="inlineStr">
        <is>
          <t>research</t>
        </is>
      </c>
      <c r="T69" s="5" t="inlineStr">
        <is>
          <t>This Is Anfield states Ekitike is 'not expected to return from his Achilles injury until early 2027', and Opta's audit says the same. Solio's 942 is about ten-and-a-half full matches, which is generous for a striker rebuilding from a ruptured Achilles with at most fifteen or sixteen league games left after he is available.</t>
        </is>
      </c>
      <c r="U69" s="6" t="n">
        <v>77.7</v>
      </c>
      <c r="V69" s="2" t="n">
        <v>21</v>
      </c>
      <c r="W69" s="7">
        <f>IF(N(U69)&lt;=0,0,MIN(Assumptions!$B$15,N(R69)/N(U69)))</f>
        <v/>
      </c>
      <c r="X69" s="6" t="n">
        <v>0.342</v>
      </c>
      <c r="Y69" s="3" t="n">
        <v>0.4807</v>
      </c>
      <c r="Z69" t="inlineStr">
        <is>
          <t>adjusted xGOT</t>
        </is>
      </c>
      <c r="AA69" s="3" t="n">
        <v>1</v>
      </c>
      <c r="AB69" s="3" t="n">
        <v>0.95</v>
      </c>
      <c r="AC69" s="3" t="n">
        <v>10.1</v>
      </c>
      <c r="AD69" s="3" t="n">
        <v>0.1237</v>
      </c>
      <c r="AE69" s="3" t="n">
        <v>4.41</v>
      </c>
      <c r="AF69" s="3" t="n">
        <v>0.0006016810455743427</v>
      </c>
      <c r="AG69" s="3" t="n">
        <v>1.1018</v>
      </c>
      <c r="AH69" s="3" t="n">
        <v>47</v>
      </c>
      <c r="AI69" s="3" t="n">
        <v>2.409</v>
      </c>
      <c r="AJ69" s="3" t="n">
        <v>1.1228</v>
      </c>
      <c r="AK69" s="3" t="n">
        <v>-0.0841667484869951</v>
      </c>
      <c r="AL69" s="6" t="n">
        <v>0</v>
      </c>
      <c r="AM69" s="3" t="n">
        <v>0</v>
      </c>
      <c r="AN69" s="3" t="n">
        <v>1.9228</v>
      </c>
      <c r="AO69" s="3" t="n">
        <v>0.489852</v>
      </c>
      <c r="AP69" s="3">
        <f>N(X69)*N(BI69)</f>
        <v/>
      </c>
      <c r="AQ69" s="3" t="n">
        <v>1.1018</v>
      </c>
      <c r="AR69" s="3" t="n">
        <v>0</v>
      </c>
      <c r="AS69" s="3" t="n">
        <v>-0</v>
      </c>
      <c r="AT69" s="3" t="n">
        <v>-0.0841667484869951</v>
      </c>
      <c r="AU69" s="3">
        <f>SUM(AN69:AT69)</f>
        <v/>
      </c>
      <c r="AV69" s="7">
        <f>IF(OR(N(W69)&lt;=0,N(BG69)=0),0,N(W69)*IF(N(R69)/N(W69)&gt;=60,N(BG69),1))</f>
        <v/>
      </c>
      <c r="AW69" s="7">
        <f>N(W69)*N(AF69)*N(BH69)</f>
        <v/>
      </c>
      <c r="AX69" s="7">
        <f>N(AL69)*(Assumptions!$B$13*N(BJ69)-(1-Assumptions!$B$13)*Assumptions!$B$14)+N(AM69)</f>
        <v/>
      </c>
      <c r="AY69" s="7">
        <f>N(AU69)*N(R69)/90+N(AV69)+N(AW69)+N(AX69)</f>
        <v/>
      </c>
      <c r="AZ69" s="3">
        <f>IF(N(R69)&lt;=0,0,(N(AY69)-N(AX69))*90/N(R69))</f>
        <v/>
      </c>
      <c r="BA69" s="7">
        <f>IFERROR(AY69-VLOOKUP($E69,Assumptions!$A$40:$C$43,3,FALSE),"")</f>
        <v/>
      </c>
      <c r="BB69" s="3">
        <f>IFERROR(BA69/H69,"")</f>
        <v/>
      </c>
      <c r="BC69">
        <f>IF(AND($G69=TRUE,$E69="GKP"),AY69,"")</f>
        <v/>
      </c>
      <c r="BD69">
        <f>IF(AND($G69=TRUE,$E69="DEF"),AY69,"")</f>
        <v/>
      </c>
      <c r="BE69">
        <f>IF(AND($G69=TRUE,$E69="MID"),AY69,"")</f>
        <v/>
      </c>
      <c r="BF69">
        <f>IF(AND($G69=TRUE,$E69="FWD"),AY69,"")</f>
        <v/>
      </c>
      <c r="BG69" t="n">
        <v>2</v>
      </c>
      <c r="BH69" t="n">
        <v>2</v>
      </c>
      <c r="BI69" t="n">
        <v>0</v>
      </c>
      <c r="BJ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s="4" t="n">
        <v>1950</v>
      </c>
      <c r="O70" s="4" t="n">
        <v>-1117</v>
      </c>
      <c r="P70" s="5" t="inlineStr">
        <is>
          <t>medium</t>
        </is>
      </c>
      <c r="Q70" t="inlineStr">
        <is>
          <t>flat</t>
        </is>
      </c>
      <c r="R70" s="6" t="n">
        <v>1950</v>
      </c>
      <c r="S70" t="inlineStr">
        <is>
          <t>research</t>
        </is>
      </c>
      <c r="T70" s="5" t="inlineStr">
        <is>
          <t>Same two forces as Mukiele. Alderete is carrying knee stiffness that dates back to the end of last season and Paraguay's World Cup campaign; Le Bris said on 08-09 Aug that he 'should train next week with the group', which puts him at best on the bench for the opener. He missed both August friendlies while O'Nien started them. Layered on top is the back-five-to-back-four correction: with Ballard, O'Nien, Mukiele, Alderete and the incoming Methalie all competing for two centre-back slots across an eight-fixture Europa League league phase plus two domestic cups, no Sunderland centre-back can plausibly hold a 3,067-minute Premier League share.</t>
        </is>
      </c>
      <c r="U70" s="6" t="n">
        <v>86.09999999999999</v>
      </c>
      <c r="V70" s="2" t="n">
        <v>32</v>
      </c>
      <c r="W70" s="7">
        <f>IF(N(U70)&lt;=0,0,MIN(Assumptions!$B$15,N(R70)/N(U70)))</f>
        <v/>
      </c>
      <c r="X70" s="6" t="n">
        <v>0.204</v>
      </c>
      <c r="Y70" s="3" t="n">
        <v>0.0515</v>
      </c>
      <c r="Z70" t="inlineStr">
        <is>
          <t>adjusted xGOT</t>
        </is>
      </c>
      <c r="AA70" s="3" t="n">
        <v>1</v>
      </c>
      <c r="AB70" s="3" t="n">
        <v>0.988</v>
      </c>
      <c r="AC70" s="3" t="n">
        <v>1.6</v>
      </c>
      <c r="AD70" s="3" t="n">
        <v>0.0244</v>
      </c>
      <c r="AE70" s="3" t="n">
        <v>9.557</v>
      </c>
      <c r="AF70" s="3" t="n">
        <v>0.4314077495043477</v>
      </c>
      <c r="AG70" s="3" t="n">
        <v>0.1609</v>
      </c>
      <c r="AH70" s="3" t="n">
        <v>64</v>
      </c>
      <c r="AI70" s="3" t="n">
        <v>3.3348</v>
      </c>
      <c r="AJ70" s="3" t="n">
        <v>1.6498</v>
      </c>
      <c r="AK70" s="3" t="n">
        <v>-0.2109526420927542</v>
      </c>
      <c r="AL70" s="6" t="n">
        <v>0</v>
      </c>
      <c r="AM70" s="3" t="n">
        <v>0</v>
      </c>
      <c r="AN70" s="3" t="n">
        <v>0.309</v>
      </c>
      <c r="AO70" s="3" t="n">
        <v>0.096624</v>
      </c>
      <c r="AP70" s="3">
        <f>N(X70)*N(BI70)</f>
        <v/>
      </c>
      <c r="AQ70" s="3" t="n">
        <v>0.1609</v>
      </c>
      <c r="AR70" s="3" t="n">
        <v>0</v>
      </c>
      <c r="AS70" s="3" t="n">
        <v>-0.5841244809045405</v>
      </c>
      <c r="AT70" s="3" t="n">
        <v>-0.2109526420927542</v>
      </c>
      <c r="AU70" s="3">
        <f>SUM(AN70:AT70)</f>
        <v/>
      </c>
      <c r="AV70" s="7">
        <f>IF(OR(N(W70)&lt;=0,N(BG70)=0),0,N(W70)*IF(N(R70)/N(W70)&gt;=60,N(BG70),1))</f>
        <v/>
      </c>
      <c r="AW70" s="7">
        <f>N(W70)*N(AF70)*N(BH70)</f>
        <v/>
      </c>
      <c r="AX70" s="7">
        <f>N(AL70)*(Assumptions!$B$13*N(BJ70)-(1-Assumptions!$B$13)*Assumptions!$B$14)+N(AM70)</f>
        <v/>
      </c>
      <c r="AY70" s="7">
        <f>N(AU70)*N(R70)/90+N(AV70)+N(AW70)+N(AX70)</f>
        <v/>
      </c>
      <c r="AZ70" s="3">
        <f>IF(N(R70)&lt;=0,0,(N(AY70)-N(AX70))*90/N(R70))</f>
        <v/>
      </c>
      <c r="BA70" s="7">
        <f>IFERROR(AY70-VLOOKUP($E70,Assumptions!$A$40:$C$43,3,FALSE),"")</f>
        <v/>
      </c>
      <c r="BB70" s="3">
        <f>IFERROR(BA70/H70,"")</f>
        <v/>
      </c>
      <c r="BC70">
        <f>IF(AND($G70=TRUE,$E70="GKP"),AY70,"")</f>
        <v/>
      </c>
      <c r="BD70">
        <f>IF(AND($G70=TRUE,$E70="DEF"),AY70,"")</f>
        <v/>
      </c>
      <c r="BE70">
        <f>IF(AND($G70=TRUE,$E70="MID"),AY70,"")</f>
        <v/>
      </c>
      <c r="BF70">
        <f>IF(AND($G70=TRUE,$E70="FWD"),AY70,"")</f>
        <v/>
      </c>
      <c r="BG70" t="n">
        <v>2</v>
      </c>
      <c r="BH70" t="n">
        <v>2</v>
      </c>
      <c r="BI70" t="n">
        <v>4</v>
      </c>
      <c r="BJ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s="8" t="n">
        <v>2804</v>
      </c>
      <c r="O71" s="8" t="n">
        <v>0</v>
      </c>
      <c r="Q71" t="inlineStr">
        <is>
          <t>flat</t>
        </is>
      </c>
      <c r="R71" s="6" t="n">
        <v>2804</v>
      </c>
      <c r="S71" t="inlineStr">
        <is>
          <t>Solio</t>
        </is>
      </c>
      <c r="U71" s="6" t="n">
        <v>82.59999999999999</v>
      </c>
      <c r="V71" s="2" t="n">
        <v>31</v>
      </c>
      <c r="W71" s="7">
        <f>IF(N(U71)&lt;=0,0,MIN(Assumptions!$B$15,N(R71)/N(U71)))</f>
        <v/>
      </c>
      <c r="X71" s="6" t="n">
        <v>0.228</v>
      </c>
      <c r="Y71" s="3" t="n">
        <v>0.3534</v>
      </c>
      <c r="Z71" t="inlineStr">
        <is>
          <t>adjusted xGOT</t>
        </is>
      </c>
      <c r="AA71" s="3" t="n">
        <v>0.9360000000000001</v>
      </c>
      <c r="AB71" s="3" t="n">
        <v>0.953</v>
      </c>
      <c r="AC71" s="3" t="n">
        <v>23.9</v>
      </c>
      <c r="AD71" s="3" t="n">
        <v>0.1085</v>
      </c>
      <c r="AE71" s="3" t="n">
        <v>6.719</v>
      </c>
      <c r="AF71" s="3" t="n">
        <v>0.02411120064753136</v>
      </c>
      <c r="AG71" s="3" t="n">
        <v>0.164</v>
      </c>
      <c r="AH71" s="3" t="n">
        <v>65</v>
      </c>
      <c r="AI71" s="3" t="n">
        <v>3.2371</v>
      </c>
      <c r="AJ71" s="3" t="n">
        <v>1.5396</v>
      </c>
      <c r="AK71" s="3" t="n">
        <v>-0.1906764063256734</v>
      </c>
      <c r="AL71" s="6" t="n">
        <v>0.2258328851256484</v>
      </c>
      <c r="AM71" s="3" t="n">
        <v>0</v>
      </c>
      <c r="AN71" s="3" t="n">
        <v>1.767</v>
      </c>
      <c r="AO71" s="3" t="n">
        <v>0.42966</v>
      </c>
      <c r="AP71" s="3">
        <f>N(X71)*N(BI71)</f>
        <v/>
      </c>
      <c r="AQ71" s="3" t="n">
        <v>0.164</v>
      </c>
      <c r="AR71" s="3" t="n">
        <v>0</v>
      </c>
      <c r="AS71" s="3" t="n">
        <v>-0</v>
      </c>
      <c r="AT71" s="3" t="n">
        <v>-0.1906764063256734</v>
      </c>
      <c r="AU71" s="3">
        <f>SUM(AN71:AT71)</f>
        <v/>
      </c>
      <c r="AV71" s="7">
        <f>IF(OR(N(W71)&lt;=0,N(BG71)=0),0,N(W71)*IF(N(R71)/N(W71)&gt;=60,N(BG71),1))</f>
        <v/>
      </c>
      <c r="AW71" s="7">
        <f>N(W71)*N(AF71)*N(BH71)</f>
        <v/>
      </c>
      <c r="AX71" s="7">
        <f>N(AL71)*(Assumptions!$B$13*N(BJ71)-(1-Assumptions!$B$13)*Assumptions!$B$14)+N(AM71)</f>
        <v/>
      </c>
      <c r="AY71" s="7">
        <f>N(AU71)*N(R71)/90+N(AV71)+N(AW71)+N(AX71)</f>
        <v/>
      </c>
      <c r="AZ71" s="3">
        <f>IF(N(R71)&lt;=0,0,(N(AY71)-N(AX71))*90/N(R71))</f>
        <v/>
      </c>
      <c r="BA71" s="7">
        <f>IFERROR(AY71-VLOOKUP($E71,Assumptions!$A$40:$C$43,3,FALSE),"")</f>
        <v/>
      </c>
      <c r="BB71" s="3">
        <f>IFERROR(BA71/H71,"")</f>
        <v/>
      </c>
      <c r="BC71">
        <f>IF(AND($G71=TRUE,$E71="GKP"),AY71,"")</f>
        <v/>
      </c>
      <c r="BD71">
        <f>IF(AND($G71=TRUE,$E71="DEF"),AY71,"")</f>
        <v/>
      </c>
      <c r="BE71">
        <f>IF(AND($G71=TRUE,$E71="MID"),AY71,"")</f>
        <v/>
      </c>
      <c r="BF71">
        <f>IF(AND($G71=TRUE,$E71="FWD"),AY71,"")</f>
        <v/>
      </c>
      <c r="BG71" t="n">
        <v>2</v>
      </c>
      <c r="BH71" t="n">
        <v>2</v>
      </c>
      <c r="BI71" t="n">
        <v>1</v>
      </c>
      <c r="BJ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s="8" t="n">
        <v>3385</v>
      </c>
      <c r="O72" s="8" t="n">
        <v>0</v>
      </c>
      <c r="Q72" t="inlineStr">
        <is>
          <t>flat</t>
        </is>
      </c>
      <c r="R72" s="6" t="n">
        <v>3385</v>
      </c>
      <c r="S72" t="inlineStr">
        <is>
          <t>Solio</t>
        </is>
      </c>
      <c r="U72" s="6" t="n">
        <v>90</v>
      </c>
      <c r="V72" s="2" t="n">
        <v>38</v>
      </c>
      <c r="W72" s="7">
        <f>IF(N(U72)&lt;=0,0,MIN(Assumptions!$B$15,N(R72)/N(U72)))</f>
        <v/>
      </c>
      <c r="X72" s="6" t="n">
        <v>0.23</v>
      </c>
      <c r="Y72" s="3" t="n">
        <v>0</v>
      </c>
      <c r="Z72" t="inlineStr">
        <is>
          <t>blended xG</t>
        </is>
      </c>
      <c r="AA72" s="3" t="n">
        <v>1</v>
      </c>
      <c r="AB72" s="3" t="n">
        <v>1</v>
      </c>
      <c r="AC72" s="3" t="n">
        <v>0</v>
      </c>
      <c r="AD72" s="3" t="n">
        <v>0</v>
      </c>
      <c r="AE72" s="3" t="n">
        <v>0</v>
      </c>
      <c r="AF72" s="3" t="n">
        <v>0</v>
      </c>
      <c r="AG72" s="3" t="n">
        <v>0.1842</v>
      </c>
      <c r="AH72" s="3" t="n">
        <v>76</v>
      </c>
      <c r="AI72" s="3" t="n">
        <v>3.0957</v>
      </c>
      <c r="AJ72" s="3" t="n">
        <v>1.53</v>
      </c>
      <c r="AK72" s="3" t="n">
        <v>-0.0821273649235542</v>
      </c>
      <c r="AL72" s="6" t="n">
        <v>0</v>
      </c>
      <c r="AM72" s="3" t="n">
        <v>3.232962049615007</v>
      </c>
      <c r="AN72" s="3" t="n">
        <v>0</v>
      </c>
      <c r="AO72" s="3" t="n">
        <v>0</v>
      </c>
      <c r="AP72" s="3">
        <f>N(X72)*N(BI72)</f>
        <v/>
      </c>
      <c r="AQ72" s="3" t="n">
        <v>0.1842</v>
      </c>
      <c r="AR72" s="3" t="n">
        <v>0.6965164635997099</v>
      </c>
      <c r="AS72" s="3" t="n">
        <v>-0.5267219238049191</v>
      </c>
      <c r="AT72" s="3" t="n">
        <v>-0.0821273649235542</v>
      </c>
      <c r="AU72" s="3">
        <f>SUM(AN72:AT72)</f>
        <v/>
      </c>
      <c r="AV72" s="7">
        <f>IF(OR(N(W72)&lt;=0,N(BG72)=0),0,N(W72)*IF(N(R72)/N(W72)&gt;=60,N(BG72),1))</f>
        <v/>
      </c>
      <c r="AW72" s="7">
        <f>N(W72)*N(AF72)*N(BH72)</f>
        <v/>
      </c>
      <c r="AX72" s="7">
        <f>N(AL72)*(Assumptions!$B$13*N(BJ72)-(1-Assumptions!$B$13)*Assumptions!$B$14)+N(AM72)</f>
        <v/>
      </c>
      <c r="AY72" s="7">
        <f>N(AU72)*N(R72)/90+N(AV72)+N(AW72)+N(AX72)</f>
        <v/>
      </c>
      <c r="AZ72" s="3">
        <f>IF(N(R72)&lt;=0,0,(N(AY72)-N(AX72))*90/N(R72))</f>
        <v/>
      </c>
      <c r="BA72" s="7">
        <f>IFERROR(AY72-VLOOKUP($E72,Assumptions!$A$40:$C$43,3,FALSE),"")</f>
        <v/>
      </c>
      <c r="BB72" s="3">
        <f>IFERROR(BA72/H72,"")</f>
        <v/>
      </c>
      <c r="BC72">
        <f>IF(AND($G72=TRUE,$E72="GKP"),AY72,"")</f>
        <v/>
      </c>
      <c r="BD72">
        <f>IF(AND($G72=TRUE,$E72="DEF"),AY72,"")</f>
        <v/>
      </c>
      <c r="BE72">
        <f>IF(AND($G72=TRUE,$E72="MID"),AY72,"")</f>
        <v/>
      </c>
      <c r="BF72">
        <f>IF(AND($G72=TRUE,$E72="FWD"),AY72,"")</f>
        <v/>
      </c>
      <c r="BG72" t="n">
        <v>2</v>
      </c>
      <c r="BH72" t="n">
        <v>0</v>
      </c>
      <c r="BI72" t="n">
        <v>4</v>
      </c>
      <c r="BJ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s="8" t="n">
        <v>3295</v>
      </c>
      <c r="O73" s="8" t="n">
        <v>0</v>
      </c>
      <c r="Q73" t="inlineStr">
        <is>
          <t>flat</t>
        </is>
      </c>
      <c r="R73" s="6" t="n">
        <v>3295</v>
      </c>
      <c r="S73" t="inlineStr">
        <is>
          <t>Solio</t>
        </is>
      </c>
      <c r="U73" s="6" t="n">
        <v>86.90000000000001</v>
      </c>
      <c r="V73" s="2" t="n">
        <v>32</v>
      </c>
      <c r="W73" s="7">
        <f>IF(N(U73)&lt;=0,0,MIN(Assumptions!$B$15,N(R73)/N(U73)))</f>
        <v/>
      </c>
      <c r="X73" s="6" t="n">
        <v>0.204</v>
      </c>
      <c r="Y73" s="3" t="n">
        <v>0.0342</v>
      </c>
      <c r="Z73" t="inlineStr">
        <is>
          <t>adjusted xGOT</t>
        </is>
      </c>
      <c r="AA73" s="3" t="n">
        <v>1</v>
      </c>
      <c r="AB73" s="3" t="n">
        <v>1.091</v>
      </c>
      <c r="AC73" s="3" t="n">
        <v>5.7</v>
      </c>
      <c r="AD73" s="3" t="n">
        <v>0.1153</v>
      </c>
      <c r="AE73" s="3" t="n">
        <v>10.703</v>
      </c>
      <c r="AF73" s="3" t="n">
        <v>0.3418149888913986</v>
      </c>
      <c r="AG73" s="3" t="n">
        <v>0.2482</v>
      </c>
      <c r="AH73" s="3" t="n">
        <v>66</v>
      </c>
      <c r="AI73" s="3" t="n">
        <v>3.3348</v>
      </c>
      <c r="AJ73" s="3" t="n">
        <v>1.6498</v>
      </c>
      <c r="AK73" s="3" t="n">
        <v>-0.2486431330461034</v>
      </c>
      <c r="AL73" s="6" t="n">
        <v>0</v>
      </c>
      <c r="AM73" s="3" t="n">
        <v>0</v>
      </c>
      <c r="AN73" s="3" t="n">
        <v>0.171</v>
      </c>
      <c r="AO73" s="3" t="n">
        <v>0.456588</v>
      </c>
      <c r="AP73" s="3">
        <f>N(X73)*N(BI73)</f>
        <v/>
      </c>
      <c r="AQ73" s="3" t="n">
        <v>0.2482</v>
      </c>
      <c r="AR73" s="3" t="n">
        <v>0</v>
      </c>
      <c r="AS73" s="3" t="n">
        <v>-0</v>
      </c>
      <c r="AT73" s="3" t="n">
        <v>-0.2486431330461034</v>
      </c>
      <c r="AU73" s="3">
        <f>SUM(AN73:AT73)</f>
        <v/>
      </c>
      <c r="AV73" s="7">
        <f>IF(OR(N(W73)&lt;=0,N(BG73)=0),0,N(W73)*IF(N(R73)/N(W73)&gt;=60,N(BG73),1))</f>
        <v/>
      </c>
      <c r="AW73" s="7">
        <f>N(W73)*N(AF73)*N(BH73)</f>
        <v/>
      </c>
      <c r="AX73" s="7">
        <f>N(AL73)*(Assumptions!$B$13*N(BJ73)-(1-Assumptions!$B$13)*Assumptions!$B$14)+N(AM73)</f>
        <v/>
      </c>
      <c r="AY73" s="7">
        <f>N(AU73)*N(R73)/90+N(AV73)+N(AW73)+N(AX73)</f>
        <v/>
      </c>
      <c r="AZ73" s="3">
        <f>IF(N(R73)&lt;=0,0,(N(AY73)-N(AX73))*90/N(R73))</f>
        <v/>
      </c>
      <c r="BA73" s="7">
        <f>IFERROR(AY73-VLOOKUP($E73,Assumptions!$A$40:$C$43,3,FALSE),"")</f>
        <v/>
      </c>
      <c r="BB73" s="3">
        <f>IFERROR(BA73/H73,"")</f>
        <v/>
      </c>
      <c r="BC73">
        <f>IF(AND($G73=TRUE,$E73="GKP"),AY73,"")</f>
        <v/>
      </c>
      <c r="BD73">
        <f>IF(AND($G73=TRUE,$E73="DEF"),AY73,"")</f>
        <v/>
      </c>
      <c r="BE73">
        <f>IF(AND($G73=TRUE,$E73="MID"),AY73,"")</f>
        <v/>
      </c>
      <c r="BF73">
        <f>IF(AND($G73=TRUE,$E73="FWD"),AY73,"")</f>
        <v/>
      </c>
      <c r="BG73" t="n">
        <v>2</v>
      </c>
      <c r="BH73" t="n">
        <v>2</v>
      </c>
      <c r="BI73" t="n">
        <v>1</v>
      </c>
      <c r="BJ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s="4" t="n">
        <v>2850</v>
      </c>
      <c r="O74" s="4" t="n">
        <v>-182</v>
      </c>
      <c r="P74" s="5" t="inlineStr">
        <is>
          <t>high</t>
        </is>
      </c>
      <c r="Q74" t="inlineStr">
        <is>
          <t>flat</t>
        </is>
      </c>
      <c r="R74" s="6" t="n">
        <v>2850</v>
      </c>
      <c r="S74" t="inlineStr">
        <is>
          <t>research</t>
        </is>
      </c>
      <c r="T74" s="5" t="inlineStr">
        <is>
          <t>Carrying a suspension into the new season: FPL lists him status 's', chance_of_playing_next_round 0, news 'Suspended until 30 Aug' (news added 2026-07-23), so he misses the opener v Chelsea on 24 Aug. Solio's 3032 is above his 2882 minutes from 2025/26 and applies no discount for the ban.</t>
        </is>
      </c>
      <c r="U74" s="6" t="n">
        <v>87.8</v>
      </c>
      <c r="V74" s="2" t="n">
        <v>32</v>
      </c>
      <c r="W74" s="7">
        <f>IF(N(U74)&lt;=0,0,MIN(Assumptions!$B$15,N(R74)/N(U74)))</f>
        <v/>
      </c>
      <c r="X74" s="6" t="n">
        <v>0.214</v>
      </c>
      <c r="Y74" s="3" t="n">
        <v>0.0428</v>
      </c>
      <c r="Z74" t="inlineStr">
        <is>
          <t>adjusted xGOT</t>
        </is>
      </c>
      <c r="AA74" s="3" t="n">
        <v>1</v>
      </c>
      <c r="AB74" s="3" t="n">
        <v>0.958</v>
      </c>
      <c r="AC74" s="3" t="n">
        <v>6.1</v>
      </c>
      <c r="AD74" s="3" t="n">
        <v>0.0376</v>
      </c>
      <c r="AE74" s="3" t="n">
        <v>9.757</v>
      </c>
      <c r="AF74" s="3" t="n">
        <v>0.4805772633744689</v>
      </c>
      <c r="AG74" s="3" t="n">
        <v>0.1874</v>
      </c>
      <c r="AH74" s="3" t="n">
        <v>64</v>
      </c>
      <c r="AI74" s="3" t="n">
        <v>3.22</v>
      </c>
      <c r="AJ74" s="3" t="n">
        <v>1.6019</v>
      </c>
      <c r="AK74" s="3" t="n">
        <v>-0.2301875536518244</v>
      </c>
      <c r="AL74" s="6" t="n">
        <v>0</v>
      </c>
      <c r="AM74" s="3" t="n">
        <v>0</v>
      </c>
      <c r="AN74" s="3" t="n">
        <v>0.2568</v>
      </c>
      <c r="AO74" s="3" t="n">
        <v>0.148896</v>
      </c>
      <c r="AP74" s="3">
        <f>N(X74)*N(BI74)</f>
        <v/>
      </c>
      <c r="AQ74" s="3" t="n">
        <v>0.1874</v>
      </c>
      <c r="AR74" s="3" t="n">
        <v>0</v>
      </c>
      <c r="AS74" s="3" t="n">
        <v>-0.5611019003833156</v>
      </c>
      <c r="AT74" s="3" t="n">
        <v>-0.2301875536518244</v>
      </c>
      <c r="AU74" s="3">
        <f>SUM(AN74:AT74)</f>
        <v/>
      </c>
      <c r="AV74" s="7">
        <f>IF(OR(N(W74)&lt;=0,N(BG74)=0),0,N(W74)*IF(N(R74)/N(W74)&gt;=60,N(BG74),1))</f>
        <v/>
      </c>
      <c r="AW74" s="7">
        <f>N(W74)*N(AF74)*N(BH74)</f>
        <v/>
      </c>
      <c r="AX74" s="7">
        <f>N(AL74)*(Assumptions!$B$13*N(BJ74)-(1-Assumptions!$B$13)*Assumptions!$B$14)+N(AM74)</f>
        <v/>
      </c>
      <c r="AY74" s="7">
        <f>N(AU74)*N(R74)/90+N(AV74)+N(AW74)+N(AX74)</f>
        <v/>
      </c>
      <c r="AZ74" s="3">
        <f>IF(N(R74)&lt;=0,0,(N(AY74)-N(AX74))*90/N(R74))</f>
        <v/>
      </c>
      <c r="BA74" s="7">
        <f>IFERROR(AY74-VLOOKUP($E74,Assumptions!$A$40:$C$43,3,FALSE),"")</f>
        <v/>
      </c>
      <c r="BB74" s="3">
        <f>IFERROR(BA74/H74,"")</f>
        <v/>
      </c>
      <c r="BC74">
        <f>IF(AND($G74=TRUE,$E74="GKP"),AY74,"")</f>
        <v/>
      </c>
      <c r="BD74">
        <f>IF(AND($G74=TRUE,$E74="DEF"),AY74,"")</f>
        <v/>
      </c>
      <c r="BE74">
        <f>IF(AND($G74=TRUE,$E74="MID"),AY74,"")</f>
        <v/>
      </c>
      <c r="BF74">
        <f>IF(AND($G74=TRUE,$E74="FWD"),AY74,"")</f>
        <v/>
      </c>
      <c r="BG74" t="n">
        <v>2</v>
      </c>
      <c r="BH74" t="n">
        <v>2</v>
      </c>
      <c r="BI74" t="n">
        <v>4</v>
      </c>
      <c r="BJ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s="8" t="n">
        <v>3420</v>
      </c>
      <c r="O75" s="8" t="n">
        <v>0</v>
      </c>
      <c r="Q75" t="inlineStr">
        <is>
          <t>flat</t>
        </is>
      </c>
      <c r="R75" s="6" t="n">
        <v>3420</v>
      </c>
      <c r="S75" t="inlineStr">
        <is>
          <t>Solio</t>
        </is>
      </c>
      <c r="U75" s="6" t="n">
        <v>90</v>
      </c>
      <c r="V75" s="2" t="n">
        <v>38</v>
      </c>
      <c r="W75" s="7">
        <f>IF(N(U75)&lt;=0,0,MIN(Assumptions!$B$15,N(R75)/N(U75)))</f>
        <v/>
      </c>
      <c r="X75" s="6" t="n">
        <v>0.214</v>
      </c>
      <c r="Y75" s="3" t="n">
        <v>0</v>
      </c>
      <c r="Z75" t="inlineStr">
        <is>
          <t>blended xG</t>
        </is>
      </c>
      <c r="AA75" s="3" t="n">
        <v>1</v>
      </c>
      <c r="AB75" s="3" t="n">
        <v>1</v>
      </c>
      <c r="AC75" s="3" t="n">
        <v>0</v>
      </c>
      <c r="AD75" s="3" t="n">
        <v>0.0003</v>
      </c>
      <c r="AE75" s="3" t="n">
        <v>0</v>
      </c>
      <c r="AF75" s="3" t="n">
        <v>0</v>
      </c>
      <c r="AG75" s="3" t="n">
        <v>0.2632</v>
      </c>
      <c r="AH75" s="3" t="n">
        <v>76</v>
      </c>
      <c r="AI75" s="3" t="n">
        <v>3.22</v>
      </c>
      <c r="AJ75" s="3" t="n">
        <v>1.6019</v>
      </c>
      <c r="AK75" s="3" t="n">
        <v>-0.0939800394671787</v>
      </c>
      <c r="AL75" s="6" t="n">
        <v>0</v>
      </c>
      <c r="AM75" s="3" t="n">
        <v>3.419818942799009</v>
      </c>
      <c r="AN75" s="3" t="n">
        <v>0</v>
      </c>
      <c r="AO75" s="3" t="n">
        <v>0.001188</v>
      </c>
      <c r="AP75" s="3">
        <f>N(X75)*N(BI75)</f>
        <v/>
      </c>
      <c r="AQ75" s="3" t="n">
        <v>0.2632</v>
      </c>
      <c r="AR75" s="3" t="n">
        <v>0.7380333201454712</v>
      </c>
      <c r="AS75" s="3" t="n">
        <v>-0.5611019003833156</v>
      </c>
      <c r="AT75" s="3" t="n">
        <v>-0.0939800394671787</v>
      </c>
      <c r="AU75" s="3">
        <f>SUM(AN75:AT75)</f>
        <v/>
      </c>
      <c r="AV75" s="7">
        <f>IF(OR(N(W75)&lt;=0,N(BG75)=0),0,N(W75)*IF(N(R75)/N(W75)&gt;=60,N(BG75),1))</f>
        <v/>
      </c>
      <c r="AW75" s="7">
        <f>N(W75)*N(AF75)*N(BH75)</f>
        <v/>
      </c>
      <c r="AX75" s="7">
        <f>N(AL75)*(Assumptions!$B$13*N(BJ75)-(1-Assumptions!$B$13)*Assumptions!$B$14)+N(AM75)</f>
        <v/>
      </c>
      <c r="AY75" s="7">
        <f>N(AU75)*N(R75)/90+N(AV75)+N(AW75)+N(AX75)</f>
        <v/>
      </c>
      <c r="AZ75" s="3">
        <f>IF(N(R75)&lt;=0,0,(N(AY75)-N(AX75))*90/N(R75))</f>
        <v/>
      </c>
      <c r="BA75" s="7">
        <f>IFERROR(AY75-VLOOKUP($E75,Assumptions!$A$40:$C$43,3,FALSE),"")</f>
        <v/>
      </c>
      <c r="BB75" s="3">
        <f>IFERROR(BA75/H75,"")</f>
        <v/>
      </c>
      <c r="BC75">
        <f>IF(AND($G75=TRUE,$E75="GKP"),AY75,"")</f>
        <v/>
      </c>
      <c r="BD75">
        <f>IF(AND($G75=TRUE,$E75="DEF"),AY75,"")</f>
        <v/>
      </c>
      <c r="BE75">
        <f>IF(AND($G75=TRUE,$E75="MID"),AY75,"")</f>
        <v/>
      </c>
      <c r="BF75">
        <f>IF(AND($G75=TRUE,$E75="FWD"),AY75,"")</f>
        <v/>
      </c>
      <c r="BG75" t="n">
        <v>2</v>
      </c>
      <c r="BH75" t="n">
        <v>0</v>
      </c>
      <c r="BI75" t="n">
        <v>4</v>
      </c>
      <c r="BJ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s="4" t="n">
        <v>3100</v>
      </c>
      <c r="O76" s="4" t="n">
        <v>-285</v>
      </c>
      <c r="P76" s="5" t="inlineStr">
        <is>
          <t>low</t>
        </is>
      </c>
      <c r="Q76" t="inlineStr">
        <is>
          <t>flat</t>
        </is>
      </c>
      <c r="R76" s="6" t="n">
        <v>3100</v>
      </c>
      <c r="S76" t="inlineStr">
        <is>
          <t>research</t>
        </is>
      </c>
      <c r="T76" s="5" t="inlineStr">
        <is>
          <t>Same post-World Cup rest as Konsa and Watkins (played to the final, given four weeks plus one), no pre-season minutes, and Bizot started both August fixtures. On top of that Villa have submitted an offer for Parma goalkeeper Zion Suzuki and Juventus are monitoring Martinez, so a mid-window exit is live. A modest hedge, not a call that he loses the shirt.</t>
        </is>
      </c>
      <c r="U76" s="6" t="n">
        <v>88.90000000000001</v>
      </c>
      <c r="V76" s="2" t="n">
        <v>32</v>
      </c>
      <c r="W76" s="7">
        <f>IF(N(U76)&lt;=0,0,MIN(Assumptions!$B$15,N(R76)/N(U76)))</f>
        <v/>
      </c>
      <c r="X76" s="6" t="n">
        <v>0.273</v>
      </c>
      <c r="Y76" s="3" t="n">
        <v>0</v>
      </c>
      <c r="Z76" t="inlineStr">
        <is>
          <t>blended xG</t>
        </is>
      </c>
      <c r="AA76" s="3" t="n">
        <v>1</v>
      </c>
      <c r="AB76" s="3" t="n">
        <v>1</v>
      </c>
      <c r="AC76" s="3" t="n">
        <v>0</v>
      </c>
      <c r="AD76" s="3" t="n">
        <v>0.0069</v>
      </c>
      <c r="AE76" s="3" t="n">
        <v>0</v>
      </c>
      <c r="AF76" s="3" t="n">
        <v>0</v>
      </c>
      <c r="AG76" s="3" t="n">
        <v>0.3175</v>
      </c>
      <c r="AH76" s="3" t="n">
        <v>63</v>
      </c>
      <c r="AI76" s="3" t="n">
        <v>2.7451</v>
      </c>
      <c r="AJ76" s="3" t="n">
        <v>1.3575</v>
      </c>
      <c r="AK76" s="3" t="n">
        <v>-0.0975322171049593</v>
      </c>
      <c r="AL76" s="6" t="n">
        <v>0</v>
      </c>
      <c r="AM76" s="3" t="n">
        <v>2.868467695626834</v>
      </c>
      <c r="AN76" s="3" t="n">
        <v>0</v>
      </c>
      <c r="AO76" s="3" t="n">
        <v>0.027324</v>
      </c>
      <c r="AP76" s="3">
        <f>N(X76)*N(BI76)</f>
        <v/>
      </c>
      <c r="AQ76" s="3" t="n">
        <v>0.3175</v>
      </c>
      <c r="AR76" s="3" t="n">
        <v>0.5799503685565225</v>
      </c>
      <c r="AS76" s="3" t="n">
        <v>-0.4453012382517575</v>
      </c>
      <c r="AT76" s="3" t="n">
        <v>-0.0975322171049593</v>
      </c>
      <c r="AU76" s="3">
        <f>SUM(AN76:AT76)</f>
        <v/>
      </c>
      <c r="AV76" s="7">
        <f>IF(OR(N(W76)&lt;=0,N(BG76)=0),0,N(W76)*IF(N(R76)/N(W76)&gt;=60,N(BG76),1))</f>
        <v/>
      </c>
      <c r="AW76" s="7">
        <f>N(W76)*N(AF76)*N(BH76)</f>
        <v/>
      </c>
      <c r="AX76" s="7">
        <f>N(AL76)*(Assumptions!$B$13*N(BJ76)-(1-Assumptions!$B$13)*Assumptions!$B$14)+N(AM76)</f>
        <v/>
      </c>
      <c r="AY76" s="7">
        <f>N(AU76)*N(R76)/90+N(AV76)+N(AW76)+N(AX76)</f>
        <v/>
      </c>
      <c r="AZ76" s="3">
        <f>IF(N(R76)&lt;=0,0,(N(AY76)-N(AX76))*90/N(R76))</f>
        <v/>
      </c>
      <c r="BA76" s="7">
        <f>IFERROR(AY76-VLOOKUP($E76,Assumptions!$A$40:$C$43,3,FALSE),"")</f>
        <v/>
      </c>
      <c r="BB76" s="3">
        <f>IFERROR(BA76/H76,"")</f>
        <v/>
      </c>
      <c r="BC76">
        <f>IF(AND($G76=TRUE,$E76="GKP"),AY76,"")</f>
        <v/>
      </c>
      <c r="BD76">
        <f>IF(AND($G76=TRUE,$E76="DEF"),AY76,"")</f>
        <v/>
      </c>
      <c r="BE76">
        <f>IF(AND($G76=TRUE,$E76="MID"),AY76,"")</f>
        <v/>
      </c>
      <c r="BF76">
        <f>IF(AND($G76=TRUE,$E76="FWD"),AY76,"")</f>
        <v/>
      </c>
      <c r="BG76" t="n">
        <v>2</v>
      </c>
      <c r="BH76" t="n">
        <v>0</v>
      </c>
      <c r="BI76" t="n">
        <v>4</v>
      </c>
      <c r="BJ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s="4" t="n">
        <v>2650</v>
      </c>
      <c r="O77" s="4" t="n">
        <v>148</v>
      </c>
      <c r="P77" s="5" t="inlineStr">
        <is>
          <t>low</t>
        </is>
      </c>
      <c r="Q77" t="inlineStr">
        <is>
          <t>flat</t>
        </is>
      </c>
      <c r="R77" s="6" t="n">
        <v>2650</v>
      </c>
      <c r="S77" t="inlineStr">
        <is>
          <t>research</t>
        </is>
      </c>
      <c r="T77" s="5" t="inlineStr">
        <is>
          <t>Signed a new contract running to 2031 this month, and Maresca's structure leans on isolating wingers one-v-one, which is his whole game. Both of the players directly behind him on the left — Savinho and Marmoush — are exit-linked. Kept to a small raise because his ceiling is limited by his own record: 19 starts last season and no 2,500-minute league campaign yet.</t>
        </is>
      </c>
      <c r="U77" s="6" t="n">
        <v>79.8</v>
      </c>
      <c r="V77" s="2" t="n">
        <v>19</v>
      </c>
      <c r="W77" s="7">
        <f>IF(N(U77)&lt;=0,0,MIN(Assumptions!$B$15,N(R77)/N(U77)))</f>
        <v/>
      </c>
      <c r="X77" s="6" t="n">
        <v>0.371</v>
      </c>
      <c r="Y77" s="3" t="n">
        <v>0.1865</v>
      </c>
      <c r="Z77" t="inlineStr">
        <is>
          <t>adjusted xGOT</t>
        </is>
      </c>
      <c r="AA77" s="3" t="n">
        <v>1</v>
      </c>
      <c r="AB77" s="3" t="n">
        <v>1.28</v>
      </c>
      <c r="AC77" s="3" t="n">
        <v>6.8</v>
      </c>
      <c r="AD77" s="3" t="n">
        <v>0.3404</v>
      </c>
      <c r="AE77" s="3" t="n">
        <v>7.026</v>
      </c>
      <c r="AF77" s="3" t="n">
        <v>0.02578014090274339</v>
      </c>
      <c r="AG77" s="3" t="n">
        <v>0.7614</v>
      </c>
      <c r="AH77" s="3" t="n">
        <v>48</v>
      </c>
      <c r="AI77" s="3" t="n">
        <v>1.9737</v>
      </c>
      <c r="AJ77" s="3" t="n">
        <v>1.0365</v>
      </c>
      <c r="AK77" s="3" t="n">
        <v>-0.1111803607058527</v>
      </c>
      <c r="AL77" s="6" t="n">
        <v>0.0245024429491342</v>
      </c>
      <c r="AM77" s="3" t="n">
        <v>0</v>
      </c>
      <c r="AN77" s="3" t="n">
        <v>0.9325</v>
      </c>
      <c r="AO77" s="3" t="n">
        <v>1.347984</v>
      </c>
      <c r="AP77" s="3">
        <f>N(X77)*N(BI77)</f>
        <v/>
      </c>
      <c r="AQ77" s="3" t="n">
        <v>0.7614</v>
      </c>
      <c r="AR77" s="3" t="n">
        <v>0</v>
      </c>
      <c r="AS77" s="3" t="n">
        <v>-0</v>
      </c>
      <c r="AT77" s="3" t="n">
        <v>-0.1111803607058527</v>
      </c>
      <c r="AU77" s="3">
        <f>SUM(AN77:AT77)</f>
        <v/>
      </c>
      <c r="AV77" s="7">
        <f>IF(OR(N(W77)&lt;=0,N(BG77)=0),0,N(W77)*IF(N(R77)/N(W77)&gt;=60,N(BG77),1))</f>
        <v/>
      </c>
      <c r="AW77" s="7">
        <f>N(W77)*N(AF77)*N(BH77)</f>
        <v/>
      </c>
      <c r="AX77" s="7">
        <f>N(AL77)*(Assumptions!$B$13*N(BJ77)-(1-Assumptions!$B$13)*Assumptions!$B$14)+N(AM77)</f>
        <v/>
      </c>
      <c r="AY77" s="7">
        <f>N(AU77)*N(R77)/90+N(AV77)+N(AW77)+N(AX77)</f>
        <v/>
      </c>
      <c r="AZ77" s="3">
        <f>IF(N(R77)&lt;=0,0,(N(AY77)-N(AX77))*90/N(R77))</f>
        <v/>
      </c>
      <c r="BA77" s="7">
        <f>IFERROR(AY77-VLOOKUP($E77,Assumptions!$A$40:$C$43,3,FALSE),"")</f>
        <v/>
      </c>
      <c r="BB77" s="3">
        <f>IFERROR(BA77/H77,"")</f>
        <v/>
      </c>
      <c r="BC77">
        <f>IF(AND($G77=TRUE,$E77="GKP"),AY77,"")</f>
        <v/>
      </c>
      <c r="BD77">
        <f>IF(AND($G77=TRUE,$E77="DEF"),AY77,"")</f>
        <v/>
      </c>
      <c r="BE77">
        <f>IF(AND($G77=TRUE,$E77="MID"),AY77,"")</f>
        <v/>
      </c>
      <c r="BF77">
        <f>IF(AND($G77=TRUE,$E77="FWD"),AY77,"")</f>
        <v/>
      </c>
      <c r="BG77" t="n">
        <v>2</v>
      </c>
      <c r="BH77" t="n">
        <v>2</v>
      </c>
      <c r="BI77" t="n">
        <v>1</v>
      </c>
      <c r="BJ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s="4" t="n">
        <v>3230</v>
      </c>
      <c r="O78" s="4" t="n">
        <v>-82</v>
      </c>
      <c r="P78" s="5" t="inlineStr">
        <is>
          <t>low</t>
        </is>
      </c>
      <c r="Q78" t="inlineStr">
        <is>
          <t>flat</t>
        </is>
      </c>
      <c r="R78" s="6" t="n">
        <v>3230</v>
      </c>
      <c r="S78" t="inlineStr">
        <is>
          <t>research</t>
        </is>
      </c>
      <c r="T78" s="5" t="inlineStr">
        <is>
          <t>Token trim only. He played 3,375 league minutes in 2025-26 and is the one Forest player for whom a near-ever-present projection is fully supported by evidence.</t>
        </is>
      </c>
      <c r="U78" s="6" t="n">
        <v>89</v>
      </c>
      <c r="V78" s="2" t="n">
        <v>37</v>
      </c>
      <c r="W78" s="7">
        <f>IF(N(U78)&lt;=0,0,MIN(Assumptions!$B$15,N(R78)/N(U78)))</f>
        <v/>
      </c>
      <c r="X78" s="6" t="n">
        <v>0.224</v>
      </c>
      <c r="Y78" s="3" t="n">
        <v>0.022</v>
      </c>
      <c r="Z78" t="inlineStr">
        <is>
          <t>adjusted xGOT</t>
        </is>
      </c>
      <c r="AA78" s="3" t="n">
        <v>1</v>
      </c>
      <c r="AB78" s="3" t="n">
        <v>0.994</v>
      </c>
      <c r="AC78" s="3" t="n">
        <v>4.9</v>
      </c>
      <c r="AD78" s="3" t="n">
        <v>0.0126</v>
      </c>
      <c r="AE78" s="3" t="n">
        <v>8.186</v>
      </c>
      <c r="AF78" s="3" t="n">
        <v>0.2952363900242757</v>
      </c>
      <c r="AG78" s="3" t="n">
        <v>0.0267</v>
      </c>
      <c r="AH78" s="3" t="n">
        <v>75</v>
      </c>
      <c r="AI78" s="3" t="n">
        <v>3.1134</v>
      </c>
      <c r="AJ78" s="3" t="n">
        <v>1.5588</v>
      </c>
      <c r="AK78" s="3" t="n">
        <v>-0.1709107727150983</v>
      </c>
      <c r="AL78" s="6" t="n">
        <v>0</v>
      </c>
      <c r="AM78" s="3" t="n">
        <v>0</v>
      </c>
      <c r="AN78" s="3" t="n">
        <v>0.132</v>
      </c>
      <c r="AO78" s="3" t="n">
        <v>0.049896</v>
      </c>
      <c r="AP78" s="3">
        <f>N(X78)*N(BI78)</f>
        <v/>
      </c>
      <c r="AQ78" s="3" t="n">
        <v>0.0267</v>
      </c>
      <c r="AR78" s="3" t="n">
        <v>0</v>
      </c>
      <c r="AS78" s="3" t="n">
        <v>-0.5404658182244797</v>
      </c>
      <c r="AT78" s="3" t="n">
        <v>-0.1709107727150983</v>
      </c>
      <c r="AU78" s="3">
        <f>SUM(AN78:AT78)</f>
        <v/>
      </c>
      <c r="AV78" s="7">
        <f>IF(OR(N(W78)&lt;=0,N(BG78)=0),0,N(W78)*IF(N(R78)/N(W78)&gt;=60,N(BG78),1))</f>
        <v/>
      </c>
      <c r="AW78" s="7">
        <f>N(W78)*N(AF78)*N(BH78)</f>
        <v/>
      </c>
      <c r="AX78" s="7">
        <f>N(AL78)*(Assumptions!$B$13*N(BJ78)-(1-Assumptions!$B$13)*Assumptions!$B$14)+N(AM78)</f>
        <v/>
      </c>
      <c r="AY78" s="7">
        <f>N(AU78)*N(R78)/90+N(AV78)+N(AW78)+N(AX78)</f>
        <v/>
      </c>
      <c r="AZ78" s="3">
        <f>IF(N(R78)&lt;=0,0,(N(AY78)-N(AX78))*90/N(R78))</f>
        <v/>
      </c>
      <c r="BA78" s="7">
        <f>IFERROR(AY78-VLOOKUP($E78,Assumptions!$A$40:$C$43,3,FALSE),"")</f>
        <v/>
      </c>
      <c r="BB78" s="3">
        <f>IFERROR(BA78/H78,"")</f>
        <v/>
      </c>
      <c r="BC78">
        <f>IF(AND($G78=TRUE,$E78="GKP"),AY78,"")</f>
        <v/>
      </c>
      <c r="BD78">
        <f>IF(AND($G78=TRUE,$E78="DEF"),AY78,"")</f>
        <v/>
      </c>
      <c r="BE78">
        <f>IF(AND($G78=TRUE,$E78="MID"),AY78,"")</f>
        <v/>
      </c>
      <c r="BF78">
        <f>IF(AND($G78=TRUE,$E78="FWD"),AY78,"")</f>
        <v/>
      </c>
      <c r="BG78" t="n">
        <v>2</v>
      </c>
      <c r="BH78" t="n">
        <v>2</v>
      </c>
      <c r="BI78" t="n">
        <v>4</v>
      </c>
      <c r="BJ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s="4" t="n">
        <v>1300</v>
      </c>
      <c r="O79" s="4" t="n">
        <v>603</v>
      </c>
      <c r="P79" s="5" t="inlineStr">
        <is>
          <t>medium</t>
        </is>
      </c>
      <c r="Q79" t="inlineStr">
        <is>
          <t>fade (losing his place)</t>
        </is>
      </c>
      <c r="R79" s="6" t="n">
        <v>1300</v>
      </c>
      <c r="S79" t="inlineStr">
        <is>
          <t>research</t>
        </is>
      </c>
      <c r="T79" s="5" t="inlineStr">
        <is>
          <t>Solio flags Richarlison as fading. He has instead led the line in both August friendlies while Solanke has been managed, and is the only other senior centre-forward in the squad (Dane Scarlett aside). With Solanke doubtful for the opener and no No.9 signed, he starts the season in the XI. Held well short of a starter's allocation because a striker signing is actively being pursued.</t>
        </is>
      </c>
      <c r="U79" s="6" t="n">
        <v>81.7</v>
      </c>
      <c r="V79" s="2" t="n">
        <v>20</v>
      </c>
      <c r="W79" s="7">
        <f>IF(N(U79)&lt;=0,0,MIN(Assumptions!$B$15,N(R79)/N(U79)))</f>
        <v/>
      </c>
      <c r="X79" s="6" t="n">
        <v>0.286</v>
      </c>
      <c r="Y79" s="3" t="n">
        <v>0.4198</v>
      </c>
      <c r="Z79" t="inlineStr">
        <is>
          <t>adjusted xGOT</t>
        </is>
      </c>
      <c r="AA79" s="3" t="n">
        <v>1</v>
      </c>
      <c r="AB79" s="3" t="n">
        <v>1.055</v>
      </c>
      <c r="AC79" s="3" t="n">
        <v>25.3</v>
      </c>
      <c r="AD79" s="3" t="n">
        <v>0.1121</v>
      </c>
      <c r="AE79" s="3" t="n">
        <v>6.238</v>
      </c>
      <c r="AF79" s="3" t="n">
        <v>0.01350435535675565</v>
      </c>
      <c r="AG79" s="3" t="n">
        <v>0.783</v>
      </c>
      <c r="AH79" s="3" t="n">
        <v>51</v>
      </c>
      <c r="AI79" s="3" t="n">
        <v>2.5739</v>
      </c>
      <c r="AJ79" s="3" t="n">
        <v>1.3096</v>
      </c>
      <c r="AK79" s="3" t="n">
        <v>-0.2218707428614252</v>
      </c>
      <c r="AL79" s="6" t="n">
        <v>0.0361982866880706</v>
      </c>
      <c r="AM79" s="3" t="n">
        <v>0</v>
      </c>
      <c r="AN79" s="3" t="n">
        <v>1.6792</v>
      </c>
      <c r="AO79" s="3" t="n">
        <v>0.4439160000000001</v>
      </c>
      <c r="AP79" s="3">
        <f>N(X79)*N(BI79)</f>
        <v/>
      </c>
      <c r="AQ79" s="3" t="n">
        <v>0.783</v>
      </c>
      <c r="AR79" s="3" t="n">
        <v>0</v>
      </c>
      <c r="AS79" s="3" t="n">
        <v>-0</v>
      </c>
      <c r="AT79" s="3" t="n">
        <v>-0.2218707428614252</v>
      </c>
      <c r="AU79" s="3">
        <f>SUM(AN79:AT79)</f>
        <v/>
      </c>
      <c r="AV79" s="7">
        <f>IF(OR(N(W79)&lt;=0,N(BG79)=0),0,N(W79)*IF(N(R79)/N(W79)&gt;=60,N(BG79),1))</f>
        <v/>
      </c>
      <c r="AW79" s="7">
        <f>N(W79)*N(AF79)*N(BH79)</f>
        <v/>
      </c>
      <c r="AX79" s="7">
        <f>N(AL79)*(Assumptions!$B$13*N(BJ79)-(1-Assumptions!$B$13)*Assumptions!$B$14)+N(AM79)</f>
        <v/>
      </c>
      <c r="AY79" s="7">
        <f>N(AU79)*N(R79)/90+N(AV79)+N(AW79)+N(AX79)</f>
        <v/>
      </c>
      <c r="AZ79" s="3">
        <f>IF(N(R79)&lt;=0,0,(N(AY79)-N(AX79))*90/N(R79))</f>
        <v/>
      </c>
      <c r="BA79" s="7">
        <f>IFERROR(AY79-VLOOKUP($E79,Assumptions!$A$40:$C$43,3,FALSE),"")</f>
        <v/>
      </c>
      <c r="BB79" s="3">
        <f>IFERROR(BA79/H79,"")</f>
        <v/>
      </c>
      <c r="BC79">
        <f>IF(AND($G79=TRUE,$E79="GKP"),AY79,"")</f>
        <v/>
      </c>
      <c r="BD79">
        <f>IF(AND($G79=TRUE,$E79="DEF"),AY79,"")</f>
        <v/>
      </c>
      <c r="BE79">
        <f>IF(AND($G79=TRUE,$E79="MID"),AY79,"")</f>
        <v/>
      </c>
      <c r="BF79">
        <f>IF(AND($G79=TRUE,$E79="FWD"),AY79,"")</f>
        <v/>
      </c>
      <c r="BG79" t="n">
        <v>2</v>
      </c>
      <c r="BH79" t="n">
        <v>2</v>
      </c>
      <c r="BI79" t="n">
        <v>0</v>
      </c>
      <c r="BJ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s="4" t="n">
        <v>2850</v>
      </c>
      <c r="O80" s="4" t="n">
        <v>-348</v>
      </c>
      <c r="P80" s="5" t="inlineStr">
        <is>
          <t>low</t>
        </is>
      </c>
      <c r="Q80" t="inlineStr">
        <is>
          <t>flat</t>
        </is>
      </c>
      <c r="R80" s="6" t="n">
        <v>2850</v>
      </c>
      <c r="S80" t="inlineStr">
        <is>
          <t>research</t>
        </is>
      </c>
      <c r="T80" s="5" t="inlineStr">
        <is>
          <t>Solio extrapolates his 3130 minutes from 2025/26 slightly upward to 3198, i.e. 94% of everything available. But 2025/26 had no European football; 2026/27 is Brighton's first Conference League campaign since 2023/24, and they signed Costinha (GBP 11m, Olympiacos) as a full-back in June. Kadioglu was substituted on 78' against Bologna with Costinha replacing him. A modest haircut, not a demotion.</t>
        </is>
      </c>
      <c r="U80" s="6" t="n">
        <v>88.09999999999999</v>
      </c>
      <c r="V80" s="2" t="n">
        <v>34</v>
      </c>
      <c r="W80" s="7">
        <f>IF(N(U80)&lt;=0,0,MIN(Assumptions!$B$15,N(R80)/N(U80)))</f>
        <v/>
      </c>
      <c r="X80" s="6" t="n">
        <v>0.252</v>
      </c>
      <c r="Y80" s="3" t="n">
        <v>0.0626</v>
      </c>
      <c r="Z80" t="inlineStr">
        <is>
          <t>adjusted xGOT</t>
        </is>
      </c>
      <c r="AA80" s="3" t="n">
        <v>1</v>
      </c>
      <c r="AB80" s="3" t="n">
        <v>1.057</v>
      </c>
      <c r="AC80" s="3" t="n">
        <v>2.5</v>
      </c>
      <c r="AD80" s="3" t="n">
        <v>0.0799</v>
      </c>
      <c r="AE80" s="3" t="n">
        <v>5.411</v>
      </c>
      <c r="AF80" s="3" t="n">
        <v>0.04390974784713242</v>
      </c>
      <c r="AG80" s="3" t="n">
        <v>0.23</v>
      </c>
      <c r="AH80" s="3" t="n">
        <v>72</v>
      </c>
      <c r="AI80" s="3" t="n">
        <v>2.8404</v>
      </c>
      <c r="AJ80" s="3" t="n">
        <v>1.439</v>
      </c>
      <c r="AK80" s="3" t="n">
        <v>-0.1999088956728618</v>
      </c>
      <c r="AL80" s="6" t="n">
        <v>0</v>
      </c>
      <c r="AM80" s="3" t="n">
        <v>0</v>
      </c>
      <c r="AN80" s="3" t="n">
        <v>0.3756</v>
      </c>
      <c r="AO80" s="3" t="n">
        <v>0.316404</v>
      </c>
      <c r="AP80" s="3">
        <f>N(X80)*N(BI80)</f>
        <v/>
      </c>
      <c r="AQ80" s="3" t="n">
        <v>0.23</v>
      </c>
      <c r="AR80" s="3" t="n">
        <v>0</v>
      </c>
      <c r="AS80" s="3" t="n">
        <v>-0.4835617861760246</v>
      </c>
      <c r="AT80" s="3" t="n">
        <v>-0.1999088956728618</v>
      </c>
      <c r="AU80" s="3">
        <f>SUM(AN80:AT80)</f>
        <v/>
      </c>
      <c r="AV80" s="7">
        <f>IF(OR(N(W80)&lt;=0,N(BG80)=0),0,N(W80)*IF(N(R80)/N(W80)&gt;=60,N(BG80),1))</f>
        <v/>
      </c>
      <c r="AW80" s="7">
        <f>N(W80)*N(AF80)*N(BH80)</f>
        <v/>
      </c>
      <c r="AX80" s="7">
        <f>N(AL80)*(Assumptions!$B$13*N(BJ80)-(1-Assumptions!$B$13)*Assumptions!$B$14)+N(AM80)</f>
        <v/>
      </c>
      <c r="AY80" s="7">
        <f>N(AU80)*N(R80)/90+N(AV80)+N(AW80)+N(AX80)</f>
        <v/>
      </c>
      <c r="AZ80" s="3">
        <f>IF(N(R80)&lt;=0,0,(N(AY80)-N(AX80))*90/N(R80))</f>
        <v/>
      </c>
      <c r="BA80" s="7">
        <f>IFERROR(AY80-VLOOKUP($E80,Assumptions!$A$40:$C$43,3,FALSE),"")</f>
        <v/>
      </c>
      <c r="BB80" s="3">
        <f>IFERROR(BA80/H80,"")</f>
        <v/>
      </c>
      <c r="BC80">
        <f>IF(AND($G80=TRUE,$E80="GKP"),AY80,"")</f>
        <v/>
      </c>
      <c r="BD80">
        <f>IF(AND($G80=TRUE,$E80="DEF"),AY80,"")</f>
        <v/>
      </c>
      <c r="BE80">
        <f>IF(AND($G80=TRUE,$E80="MID"),AY80,"")</f>
        <v/>
      </c>
      <c r="BF80">
        <f>IF(AND($G80=TRUE,$E80="FWD"),AY80,"")</f>
        <v/>
      </c>
      <c r="BG80" t="n">
        <v>2</v>
      </c>
      <c r="BH80" t="n">
        <v>2</v>
      </c>
      <c r="BI80" t="n">
        <v>4</v>
      </c>
      <c r="BJ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s="4" t="n">
        <v>2250</v>
      </c>
      <c r="O81" s="4" t="n">
        <v>-885</v>
      </c>
      <c r="P81" s="5" t="inlineStr">
        <is>
          <t>medium</t>
        </is>
      </c>
      <c r="Q81" t="inlineStr">
        <is>
          <t>flat</t>
        </is>
      </c>
      <c r="R81" s="6" t="n">
        <v>2250</v>
      </c>
      <c r="S81" t="inlineStr">
        <is>
          <t>research</t>
        </is>
      </c>
      <c r="T81" s="5" t="inlineStr">
        <is>
          <t>Solio projects a 962-minute jump on his 2173 last season, and that projection predates three August arrivals who all land in the wide and attacking areas: McNeil on 11 August, Guessand on 12 August and Khalaili on 15 August. Palace also play in the Europa League league phase this season, which forces domestic rotation. Proposed figure still sits slightly above his 2025/26 total.</t>
        </is>
      </c>
      <c r="U81" s="6" t="n">
        <v>83.59999999999999</v>
      </c>
      <c r="V81" s="2" t="n">
        <v>24</v>
      </c>
      <c r="W81" s="7">
        <f>IF(N(U81)&lt;=0,0,MIN(Assumptions!$B$15,N(R81)/N(U81)))</f>
        <v/>
      </c>
      <c r="X81" s="6" t="n">
        <v>0.216</v>
      </c>
      <c r="Y81" s="3" t="n">
        <v>0.3601</v>
      </c>
      <c r="Z81" t="inlineStr">
        <is>
          <t>adjusted xGOT</t>
        </is>
      </c>
      <c r="AA81" s="3" t="n">
        <v>0.802</v>
      </c>
      <c r="AB81" s="3" t="n">
        <v>0.992</v>
      </c>
      <c r="AC81" s="3" t="n">
        <v>21.8</v>
      </c>
      <c r="AD81" s="3" t="n">
        <v>0.0698</v>
      </c>
      <c r="AE81" s="3" t="n">
        <v>6.397</v>
      </c>
      <c r="AF81" s="3" t="n">
        <v>0.01881876944529104</v>
      </c>
      <c r="AG81" s="3" t="n">
        <v>0.4142</v>
      </c>
      <c r="AH81" s="3" t="n">
        <v>50</v>
      </c>
      <c r="AI81" s="3" t="n">
        <v>3.2035</v>
      </c>
      <c r="AJ81" s="3" t="n">
        <v>1.5923</v>
      </c>
      <c r="AK81" s="3" t="n">
        <v>-0.1470613343008995</v>
      </c>
      <c r="AL81" s="6" t="n">
        <v>1.139107750193497</v>
      </c>
      <c r="AM81" s="3" t="n">
        <v>0</v>
      </c>
      <c r="AN81" s="3" t="n">
        <v>1.8005</v>
      </c>
      <c r="AO81" s="3" t="n">
        <v>0.276408</v>
      </c>
      <c r="AP81" s="3">
        <f>N(X81)*N(BI81)</f>
        <v/>
      </c>
      <c r="AQ81" s="3" t="n">
        <v>0.4142</v>
      </c>
      <c r="AR81" s="3" t="n">
        <v>0</v>
      </c>
      <c r="AS81" s="3" t="n">
        <v>-0</v>
      </c>
      <c r="AT81" s="3" t="n">
        <v>-0.1470613343008995</v>
      </c>
      <c r="AU81" s="3">
        <f>SUM(AN81:AT81)</f>
        <v/>
      </c>
      <c r="AV81" s="7">
        <f>IF(OR(N(W81)&lt;=0,N(BG81)=0),0,N(W81)*IF(N(R81)/N(W81)&gt;=60,N(BG81),1))</f>
        <v/>
      </c>
      <c r="AW81" s="7">
        <f>N(W81)*N(AF81)*N(BH81)</f>
        <v/>
      </c>
      <c r="AX81" s="7">
        <f>N(AL81)*(Assumptions!$B$13*N(BJ81)-(1-Assumptions!$B$13)*Assumptions!$B$14)+N(AM81)</f>
        <v/>
      </c>
      <c r="AY81" s="7">
        <f>N(AU81)*N(R81)/90+N(AV81)+N(AW81)+N(AX81)</f>
        <v/>
      </c>
      <c r="AZ81" s="3">
        <f>IF(N(R81)&lt;=0,0,(N(AY81)-N(AX81))*90/N(R81))</f>
        <v/>
      </c>
      <c r="BA81" s="7">
        <f>IFERROR(AY81-VLOOKUP($E81,Assumptions!$A$40:$C$43,3,FALSE),"")</f>
        <v/>
      </c>
      <c r="BB81" s="3">
        <f>IFERROR(BA81/H81,"")</f>
        <v/>
      </c>
      <c r="BC81">
        <f>IF(AND($G81=TRUE,$E81="GKP"),AY81,"")</f>
        <v/>
      </c>
      <c r="BD81">
        <f>IF(AND($G81=TRUE,$E81="DEF"),AY81,"")</f>
        <v/>
      </c>
      <c r="BE81">
        <f>IF(AND($G81=TRUE,$E81="MID"),AY81,"")</f>
        <v/>
      </c>
      <c r="BF81">
        <f>IF(AND($G81=TRUE,$E81="FWD"),AY81,"")</f>
        <v/>
      </c>
      <c r="BG81" t="n">
        <v>2</v>
      </c>
      <c r="BH81" t="n">
        <v>2</v>
      </c>
      <c r="BI81" t="n">
        <v>1</v>
      </c>
      <c r="BJ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s="4" t="n">
        <v>1550</v>
      </c>
      <c r="O82" s="4" t="n">
        <v>-1163</v>
      </c>
      <c r="P82" s="5" t="inlineStr">
        <is>
          <t>high</t>
        </is>
      </c>
      <c r="Q82" t="inlineStr">
        <is>
          <t>ramp-up (injury / late WC return)</t>
        </is>
      </c>
      <c r="R82" s="6" t="n">
        <v>1550</v>
      </c>
      <c r="S82" t="inlineStr">
        <is>
          <t>research</t>
        </is>
      </c>
      <c r="T82" s="5" t="inlineStr">
        <is>
          <t>Suffered a right-leg injury in the Roma friendly on 8 Aug 2026. Hurzeler said Brighton expect to be without him for two to three months; FPL's flag (added 2026-08-14) says 'Expected back 28 Nov', which is roughly Gameweek 14. Solio projects 2713, an INCREASE on his 2389 minutes last season, so it clearly predates the injury. Allowing ~24 gameweeks from a late-November return, at his 83.2 mins/start with a fitness ramp and no guarantee against setbacks, lands near 1550.</t>
        </is>
      </c>
      <c r="U82" s="6" t="n">
        <v>82.3</v>
      </c>
      <c r="V82" s="2" t="n">
        <v>26</v>
      </c>
      <c r="W82" s="7">
        <f>IF(N(U82)&lt;=0,0,MIN(Assumptions!$B$15,N(R82)/N(U82)))</f>
        <v/>
      </c>
      <c r="X82" s="6" t="n">
        <v>0.252</v>
      </c>
      <c r="Y82" s="3" t="n">
        <v>0.1513</v>
      </c>
      <c r="Z82" t="inlineStr">
        <is>
          <t>adjusted xGOT</t>
        </is>
      </c>
      <c r="AA82" s="3" t="n">
        <v>1</v>
      </c>
      <c r="AB82" s="3" t="n">
        <v>1.054</v>
      </c>
      <c r="AC82" s="3" t="n">
        <v>7.9</v>
      </c>
      <c r="AD82" s="3" t="n">
        <v>0.2053</v>
      </c>
      <c r="AE82" s="3" t="n">
        <v>7.342</v>
      </c>
      <c r="AF82" s="3" t="n">
        <v>0.04146106156218199</v>
      </c>
      <c r="AG82" s="3" t="n">
        <v>0.3767</v>
      </c>
      <c r="AH82" s="3" t="n">
        <v>59</v>
      </c>
      <c r="AI82" s="3" t="n">
        <v>2.8404</v>
      </c>
      <c r="AJ82" s="3" t="n">
        <v>1.439</v>
      </c>
      <c r="AK82" s="3" t="n">
        <v>-0.1954537232895024</v>
      </c>
      <c r="AL82" s="6" t="n">
        <v>0</v>
      </c>
      <c r="AM82" s="3" t="n">
        <v>0</v>
      </c>
      <c r="AN82" s="3" t="n">
        <v>0.7565</v>
      </c>
      <c r="AO82" s="3" t="n">
        <v>0.812988</v>
      </c>
      <c r="AP82" s="3">
        <f>N(X82)*N(BI82)</f>
        <v/>
      </c>
      <c r="AQ82" s="3" t="n">
        <v>0.3767</v>
      </c>
      <c r="AR82" s="3" t="n">
        <v>0</v>
      </c>
      <c r="AS82" s="3" t="n">
        <v>-0</v>
      </c>
      <c r="AT82" s="3" t="n">
        <v>-0.1954537232895024</v>
      </c>
      <c r="AU82" s="3">
        <f>SUM(AN82:AT82)</f>
        <v/>
      </c>
      <c r="AV82" s="7">
        <f>IF(OR(N(W82)&lt;=0,N(BG82)=0),0,N(W82)*IF(N(R82)/N(W82)&gt;=60,N(BG82),1))</f>
        <v/>
      </c>
      <c r="AW82" s="7">
        <f>N(W82)*N(AF82)*N(BH82)</f>
        <v/>
      </c>
      <c r="AX82" s="7">
        <f>N(AL82)*(Assumptions!$B$13*N(BJ82)-(1-Assumptions!$B$13)*Assumptions!$B$14)+N(AM82)</f>
        <v/>
      </c>
      <c r="AY82" s="7">
        <f>N(AU82)*N(R82)/90+N(AV82)+N(AW82)+N(AX82)</f>
        <v/>
      </c>
      <c r="AZ82" s="3">
        <f>IF(N(R82)&lt;=0,0,(N(AY82)-N(AX82))*90/N(R82))</f>
        <v/>
      </c>
      <c r="BA82" s="7">
        <f>IFERROR(AY82-VLOOKUP($E82,Assumptions!$A$40:$C$43,3,FALSE),"")</f>
        <v/>
      </c>
      <c r="BB82" s="3">
        <f>IFERROR(BA82/H82,"")</f>
        <v/>
      </c>
      <c r="BC82">
        <f>IF(AND($G82=TRUE,$E82="GKP"),AY82,"")</f>
        <v/>
      </c>
      <c r="BD82">
        <f>IF(AND($G82=TRUE,$E82="DEF"),AY82,"")</f>
        <v/>
      </c>
      <c r="BE82">
        <f>IF(AND($G82=TRUE,$E82="MID"),AY82,"")</f>
        <v/>
      </c>
      <c r="BF82">
        <f>IF(AND($G82=TRUE,$E82="FWD"),AY82,"")</f>
        <v/>
      </c>
      <c r="BG82" t="n">
        <v>2</v>
      </c>
      <c r="BH82" t="n">
        <v>2</v>
      </c>
      <c r="BI82" t="n">
        <v>1</v>
      </c>
      <c r="BJ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s="8" t="n">
        <v>3084</v>
      </c>
      <c r="O83" s="8" t="n">
        <v>0</v>
      </c>
      <c r="Q83" t="inlineStr">
        <is>
          <t>flat</t>
        </is>
      </c>
      <c r="R83" s="6" t="n">
        <v>3084</v>
      </c>
      <c r="S83" t="inlineStr">
        <is>
          <t>Solio</t>
        </is>
      </c>
      <c r="U83" s="6" t="n">
        <v>85.90000000000001</v>
      </c>
      <c r="V83" s="2" t="n">
        <v>32</v>
      </c>
      <c r="W83" s="7">
        <f>IF(N(U83)&lt;=0,0,MIN(Assumptions!$B$15,N(R83)/N(U83)))</f>
        <v/>
      </c>
      <c r="X83" s="6" t="n">
        <v>0.286</v>
      </c>
      <c r="Y83" s="3" t="n">
        <v>0.0338</v>
      </c>
      <c r="Z83" t="inlineStr">
        <is>
          <t>adjusted xGOT</t>
        </is>
      </c>
      <c r="AA83" s="3" t="n">
        <v>1</v>
      </c>
      <c r="AB83" s="3" t="n">
        <v>0.999</v>
      </c>
      <c r="AC83" s="3" t="n">
        <v>7.4</v>
      </c>
      <c r="AD83" s="3" t="n">
        <v>0.1388</v>
      </c>
      <c r="AE83" s="3" t="n">
        <v>7.16</v>
      </c>
      <c r="AF83" s="3" t="n">
        <v>0.1530605475256215</v>
      </c>
      <c r="AG83" s="3" t="n">
        <v>0.29</v>
      </c>
      <c r="AH83" s="3" t="n">
        <v>65</v>
      </c>
      <c r="AI83" s="3" t="n">
        <v>2.5739</v>
      </c>
      <c r="AJ83" s="3" t="n">
        <v>1.3096</v>
      </c>
      <c r="AK83" s="3" t="n">
        <v>-0.240461622393701</v>
      </c>
      <c r="AL83" s="6" t="n">
        <v>0</v>
      </c>
      <c r="AM83" s="3" t="n">
        <v>0</v>
      </c>
      <c r="AN83" s="3" t="n">
        <v>0.2028</v>
      </c>
      <c r="AO83" s="3" t="n">
        <v>0.549648</v>
      </c>
      <c r="AP83" s="3">
        <f>N(X83)*N(BI83)</f>
        <v/>
      </c>
      <c r="AQ83" s="3" t="n">
        <v>0.29</v>
      </c>
      <c r="AR83" s="3" t="n">
        <v>0</v>
      </c>
      <c r="AS83" s="3" t="n">
        <v>-0.4230152821052008</v>
      </c>
      <c r="AT83" s="3" t="n">
        <v>-0.240461622393701</v>
      </c>
      <c r="AU83" s="3">
        <f>SUM(AN83:AT83)</f>
        <v/>
      </c>
      <c r="AV83" s="7">
        <f>IF(OR(N(W83)&lt;=0,N(BG83)=0),0,N(W83)*IF(N(R83)/N(W83)&gt;=60,N(BG83),1))</f>
        <v/>
      </c>
      <c r="AW83" s="7">
        <f>N(W83)*N(AF83)*N(BH83)</f>
        <v/>
      </c>
      <c r="AX83" s="7">
        <f>N(AL83)*(Assumptions!$B$13*N(BJ83)-(1-Assumptions!$B$13)*Assumptions!$B$14)+N(AM83)</f>
        <v/>
      </c>
      <c r="AY83" s="7">
        <f>N(AU83)*N(R83)/90+N(AV83)+N(AW83)+N(AX83)</f>
        <v/>
      </c>
      <c r="AZ83" s="3">
        <f>IF(N(R83)&lt;=0,0,(N(AY83)-N(AX83))*90/N(R83))</f>
        <v/>
      </c>
      <c r="BA83" s="7">
        <f>IFERROR(AY83-VLOOKUP($E83,Assumptions!$A$40:$C$43,3,FALSE),"")</f>
        <v/>
      </c>
      <c r="BB83" s="3">
        <f>IFERROR(BA83/H83,"")</f>
        <v/>
      </c>
      <c r="BC83">
        <f>IF(AND($G83=TRUE,$E83="GKP"),AY83,"")</f>
        <v/>
      </c>
      <c r="BD83">
        <f>IF(AND($G83=TRUE,$E83="DEF"),AY83,"")</f>
        <v/>
      </c>
      <c r="BE83">
        <f>IF(AND($G83=TRUE,$E83="MID"),AY83,"")</f>
        <v/>
      </c>
      <c r="BF83">
        <f>IF(AND($G83=TRUE,$E83="FWD"),AY83,"")</f>
        <v/>
      </c>
      <c r="BG83" t="n">
        <v>2</v>
      </c>
      <c r="BH83" t="n">
        <v>2</v>
      </c>
      <c r="BI83" t="n">
        <v>4</v>
      </c>
      <c r="BJ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s="4" t="n">
        <v>3000</v>
      </c>
      <c r="O84" s="4" t="n">
        <v>-342</v>
      </c>
      <c r="P84" s="5" t="inlineStr">
        <is>
          <t>medium</t>
        </is>
      </c>
      <c r="Q84" t="inlineStr">
        <is>
          <t>flat</t>
        </is>
      </c>
      <c r="R84" s="6" t="n">
        <v>3000</v>
      </c>
      <c r="S84" t="inlineStr">
        <is>
          <t>research</t>
        </is>
      </c>
      <c r="T84" s="5" t="inlineStr">
        <is>
          <t>Solio's 3,342 is 97.7% of every available minute, above his 3,016 in 2025/26 in a season with the same four-competition load. Nedeljkovic is back from RB Leipzig and started at right-back against Monchengladbach, and Villa are in concrete pursuit of Aaron Wan-Bissaka because Emery 'wants more certainty in the position'. Anchored to last season's actual rather than raised above it.</t>
        </is>
      </c>
      <c r="U84" s="6" t="n">
        <v>87</v>
      </c>
      <c r="V84" s="2" t="n">
        <v>34</v>
      </c>
      <c r="W84" s="7">
        <f>IF(N(U84)&lt;=0,0,MIN(Assumptions!$B$15,N(R84)/N(U84)))</f>
        <v/>
      </c>
      <c r="X84" s="6" t="n">
        <v>0.273</v>
      </c>
      <c r="Y84" s="3" t="n">
        <v>0.0354</v>
      </c>
      <c r="Z84" t="inlineStr">
        <is>
          <t>adjusted xGOT</t>
        </is>
      </c>
      <c r="AA84" s="3" t="n">
        <v>1</v>
      </c>
      <c r="AB84" s="3" t="n">
        <v>1.04</v>
      </c>
      <c r="AC84" s="3" t="n">
        <v>6.2</v>
      </c>
      <c r="AD84" s="3" t="n">
        <v>0.09180000000000001</v>
      </c>
      <c r="AE84" s="3" t="n">
        <v>5.962</v>
      </c>
      <c r="AF84" s="3" t="n">
        <v>0.06859062568190599</v>
      </c>
      <c r="AG84" s="3" t="n">
        <v>0.2089</v>
      </c>
      <c r="AH84" s="3" t="n">
        <v>68</v>
      </c>
      <c r="AI84" s="3" t="n">
        <v>2.7451</v>
      </c>
      <c r="AJ84" s="3" t="n">
        <v>1.3575</v>
      </c>
      <c r="AK84" s="3" t="n">
        <v>-0.2867403568316323</v>
      </c>
      <c r="AL84" s="6" t="n">
        <v>0</v>
      </c>
      <c r="AM84" s="3" t="n">
        <v>0</v>
      </c>
      <c r="AN84" s="3" t="n">
        <v>0.2124</v>
      </c>
      <c r="AO84" s="3" t="n">
        <v>0.3635280000000001</v>
      </c>
      <c r="AP84" s="3">
        <f>N(X84)*N(BI84)</f>
        <v/>
      </c>
      <c r="AQ84" s="3" t="n">
        <v>0.2089</v>
      </c>
      <c r="AR84" s="3" t="n">
        <v>0</v>
      </c>
      <c r="AS84" s="3" t="n">
        <v>-0.4453012382517575</v>
      </c>
      <c r="AT84" s="3" t="n">
        <v>-0.2867403568316323</v>
      </c>
      <c r="AU84" s="3">
        <f>SUM(AN84:AT84)</f>
        <v/>
      </c>
      <c r="AV84" s="7">
        <f>IF(OR(N(W84)&lt;=0,N(BG84)=0),0,N(W84)*IF(N(R84)/N(W84)&gt;=60,N(BG84),1))</f>
        <v/>
      </c>
      <c r="AW84" s="7">
        <f>N(W84)*N(AF84)*N(BH84)</f>
        <v/>
      </c>
      <c r="AX84" s="7">
        <f>N(AL84)*(Assumptions!$B$13*N(BJ84)-(1-Assumptions!$B$13)*Assumptions!$B$14)+N(AM84)</f>
        <v/>
      </c>
      <c r="AY84" s="7">
        <f>N(AU84)*N(R84)/90+N(AV84)+N(AW84)+N(AX84)</f>
        <v/>
      </c>
      <c r="AZ84" s="3">
        <f>IF(N(R84)&lt;=0,0,(N(AY84)-N(AX84))*90/N(R84))</f>
        <v/>
      </c>
      <c r="BA84" s="7">
        <f>IFERROR(AY84-VLOOKUP($E84,Assumptions!$A$40:$C$43,3,FALSE),"")</f>
        <v/>
      </c>
      <c r="BB84" s="3">
        <f>IFERROR(BA84/H84,"")</f>
        <v/>
      </c>
      <c r="BC84">
        <f>IF(AND($G84=TRUE,$E84="GKP"),AY84,"")</f>
        <v/>
      </c>
      <c r="BD84">
        <f>IF(AND($G84=TRUE,$E84="DEF"),AY84,"")</f>
        <v/>
      </c>
      <c r="BE84">
        <f>IF(AND($G84=TRUE,$E84="MID"),AY84,"")</f>
        <v/>
      </c>
      <c r="BF84">
        <f>IF(AND($G84=TRUE,$E84="FWD"),AY84,"")</f>
        <v/>
      </c>
      <c r="BG84" t="n">
        <v>2</v>
      </c>
      <c r="BH84" t="n">
        <v>2</v>
      </c>
      <c r="BI84" t="n">
        <v>4</v>
      </c>
      <c r="BJ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s="4" t="n">
        <v>2500</v>
      </c>
      <c r="O85" s="4" t="n">
        <v>-367</v>
      </c>
      <c r="P85" s="5" t="inlineStr">
        <is>
          <t>medium</t>
        </is>
      </c>
      <c r="Q85" t="inlineStr">
        <is>
          <t>flat</t>
        </is>
      </c>
      <c r="R85" s="6" t="n">
        <v>2500</v>
      </c>
      <c r="S85" t="inlineStr">
        <is>
          <t>research</t>
        </is>
      </c>
      <c r="T85" s="5" t="inlineStr">
        <is>
          <t>A smaller trim from the same back-four correction. Ballard is the most secure centre-back — he started both August friendlies and is 'poised to start' the opener — but he managed only 2,144 Premier League minutes last season and now faces the same five-into-two competition plus eight guaranteed Europa League fixtures. Reduced least of the centre-backs precisely because his claim is the strongest.</t>
        </is>
      </c>
      <c r="U85" s="6" t="n">
        <v>85</v>
      </c>
      <c r="V85" s="2" t="n">
        <v>23</v>
      </c>
      <c r="W85" s="7">
        <f>IF(N(U85)&lt;=0,0,MIN(Assumptions!$B$15,N(R85)/N(U85)))</f>
        <v/>
      </c>
      <c r="X85" s="6" t="n">
        <v>0.204</v>
      </c>
      <c r="Y85" s="3" t="n">
        <v>0.1017</v>
      </c>
      <c r="Z85" t="inlineStr">
        <is>
          <t>adjusted xGOT</t>
        </is>
      </c>
      <c r="AA85" s="3" t="n">
        <v>1</v>
      </c>
      <c r="AB85" s="3" t="n">
        <v>0.985</v>
      </c>
      <c r="AC85" s="3" t="n">
        <v>2.5</v>
      </c>
      <c r="AD85" s="3" t="n">
        <v>0.0464</v>
      </c>
      <c r="AE85" s="3" t="n">
        <v>10.228</v>
      </c>
      <c r="AF85" s="3" t="n">
        <v>0.4988497195487406</v>
      </c>
      <c r="AG85" s="3" t="n">
        <v>0.3358</v>
      </c>
      <c r="AH85" s="3" t="n">
        <v>51</v>
      </c>
      <c r="AI85" s="3" t="n">
        <v>3.3348</v>
      </c>
      <c r="AJ85" s="3" t="n">
        <v>1.6498</v>
      </c>
      <c r="AK85" s="3" t="n">
        <v>-0.1953022783528675</v>
      </c>
      <c r="AL85" s="6" t="n">
        <v>0</v>
      </c>
      <c r="AM85" s="3" t="n">
        <v>0</v>
      </c>
      <c r="AN85" s="3" t="n">
        <v>0.6102</v>
      </c>
      <c r="AO85" s="3" t="n">
        <v>0.183744</v>
      </c>
      <c r="AP85" s="3">
        <f>N(X85)*N(BI85)</f>
        <v/>
      </c>
      <c r="AQ85" s="3" t="n">
        <v>0.3358</v>
      </c>
      <c r="AR85" s="3" t="n">
        <v>0</v>
      </c>
      <c r="AS85" s="3" t="n">
        <v>-0.5841244809045405</v>
      </c>
      <c r="AT85" s="3" t="n">
        <v>-0.1953022783528675</v>
      </c>
      <c r="AU85" s="3">
        <f>SUM(AN85:AT85)</f>
        <v/>
      </c>
      <c r="AV85" s="7">
        <f>IF(OR(N(W85)&lt;=0,N(BG85)=0),0,N(W85)*IF(N(R85)/N(W85)&gt;=60,N(BG85),1))</f>
        <v/>
      </c>
      <c r="AW85" s="7">
        <f>N(W85)*N(AF85)*N(BH85)</f>
        <v/>
      </c>
      <c r="AX85" s="7">
        <f>N(AL85)*(Assumptions!$B$13*N(BJ85)-(1-Assumptions!$B$13)*Assumptions!$B$14)+N(AM85)</f>
        <v/>
      </c>
      <c r="AY85" s="7">
        <f>N(AU85)*N(R85)/90+N(AV85)+N(AW85)+N(AX85)</f>
        <v/>
      </c>
      <c r="AZ85" s="3">
        <f>IF(N(R85)&lt;=0,0,(N(AY85)-N(AX85))*90/N(R85))</f>
        <v/>
      </c>
      <c r="BA85" s="7">
        <f>IFERROR(AY85-VLOOKUP($E85,Assumptions!$A$40:$C$43,3,FALSE),"")</f>
        <v/>
      </c>
      <c r="BB85" s="3">
        <f>IFERROR(BA85/H85,"")</f>
        <v/>
      </c>
      <c r="BC85">
        <f>IF(AND($G85=TRUE,$E85="GKP"),AY85,"")</f>
        <v/>
      </c>
      <c r="BD85">
        <f>IF(AND($G85=TRUE,$E85="DEF"),AY85,"")</f>
        <v/>
      </c>
      <c r="BE85">
        <f>IF(AND($G85=TRUE,$E85="MID"),AY85,"")</f>
        <v/>
      </c>
      <c r="BF85">
        <f>IF(AND($G85=TRUE,$E85="FWD"),AY85,"")</f>
        <v/>
      </c>
      <c r="BG85" t="n">
        <v>2</v>
      </c>
      <c r="BH85" t="n">
        <v>2</v>
      </c>
      <c r="BI85" t="n">
        <v>4</v>
      </c>
      <c r="BJ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s="8" t="n">
        <v>3164</v>
      </c>
      <c r="O86" s="8" t="n">
        <v>0</v>
      </c>
      <c r="Q86" t="inlineStr">
        <is>
          <t>flat</t>
        </is>
      </c>
      <c r="R86" s="6" t="n">
        <v>3164</v>
      </c>
      <c r="S86" t="inlineStr">
        <is>
          <t>Solio</t>
        </is>
      </c>
      <c r="U86" s="6" t="n">
        <v>86.90000000000001</v>
      </c>
      <c r="V86" s="2" t="n">
        <v>34</v>
      </c>
      <c r="W86" s="7">
        <f>IF(N(U86)&lt;=0,0,MIN(Assumptions!$B$15,N(R86)/N(U86)))</f>
        <v/>
      </c>
      <c r="X86" s="6" t="n">
        <v>0.231</v>
      </c>
      <c r="Y86" s="3" t="n">
        <v>0.0554</v>
      </c>
      <c r="Z86" t="inlineStr">
        <is>
          <t>adjusted xGOT</t>
        </is>
      </c>
      <c r="AA86" s="3" t="n">
        <v>1</v>
      </c>
      <c r="AB86" s="3" t="n">
        <v>1.149</v>
      </c>
      <c r="AC86" s="3" t="n">
        <v>2.4</v>
      </c>
      <c r="AD86" s="3" t="n">
        <v>0.0249</v>
      </c>
      <c r="AE86" s="3" t="n">
        <v>6.859</v>
      </c>
      <c r="AF86" s="3" t="n">
        <v>0.1333956794188871</v>
      </c>
      <c r="AG86" s="3" t="n">
        <v>0.1155</v>
      </c>
      <c r="AH86" s="3" t="n">
        <v>73</v>
      </c>
      <c r="AI86" s="3" t="n">
        <v>3.0311</v>
      </c>
      <c r="AJ86" s="3" t="n">
        <v>1.5252</v>
      </c>
      <c r="AK86" s="3" t="n">
        <v>-0.2165118397552843</v>
      </c>
      <c r="AL86" s="6" t="n">
        <v>0</v>
      </c>
      <c r="AM86" s="3" t="n">
        <v>0</v>
      </c>
      <c r="AN86" s="3" t="n">
        <v>0.3324</v>
      </c>
      <c r="AO86" s="3" t="n">
        <v>0.09860399999999998</v>
      </c>
      <c r="AP86" s="3">
        <f>N(X86)*N(BI86)</f>
        <v/>
      </c>
      <c r="AQ86" s="3" t="n">
        <v>0.1155</v>
      </c>
      <c r="AR86" s="3" t="n">
        <v>0</v>
      </c>
      <c r="AS86" s="3" t="n">
        <v>-0.524434996152324</v>
      </c>
      <c r="AT86" s="3" t="n">
        <v>-0.2165118397552843</v>
      </c>
      <c r="AU86" s="3">
        <f>SUM(AN86:AT86)</f>
        <v/>
      </c>
      <c r="AV86" s="7">
        <f>IF(OR(N(W86)&lt;=0,N(BG86)=0),0,N(W86)*IF(N(R86)/N(W86)&gt;=60,N(BG86),1))</f>
        <v/>
      </c>
      <c r="AW86" s="7">
        <f>N(W86)*N(AF86)*N(BH86)</f>
        <v/>
      </c>
      <c r="AX86" s="7">
        <f>N(AL86)*(Assumptions!$B$13*N(BJ86)-(1-Assumptions!$B$13)*Assumptions!$B$14)+N(AM86)</f>
        <v/>
      </c>
      <c r="AY86" s="7">
        <f>N(AU86)*N(R86)/90+N(AV86)+N(AW86)+N(AX86)</f>
        <v/>
      </c>
      <c r="AZ86" s="3">
        <f>IF(N(R86)&lt;=0,0,(N(AY86)-N(AX86))*90/N(R86))</f>
        <v/>
      </c>
      <c r="BA86" s="7">
        <f>IFERROR(AY86-VLOOKUP($E86,Assumptions!$A$40:$C$43,3,FALSE),"")</f>
        <v/>
      </c>
      <c r="BB86" s="3">
        <f>IFERROR(BA86/H86,"")</f>
        <v/>
      </c>
      <c r="BC86">
        <f>IF(AND($G86=TRUE,$E86="GKP"),AY86,"")</f>
        <v/>
      </c>
      <c r="BD86">
        <f>IF(AND($G86=TRUE,$E86="DEF"),AY86,"")</f>
        <v/>
      </c>
      <c r="BE86">
        <f>IF(AND($G86=TRUE,$E86="MID"),AY86,"")</f>
        <v/>
      </c>
      <c r="BF86">
        <f>IF(AND($G86=TRUE,$E86="FWD"),AY86,"")</f>
        <v/>
      </c>
      <c r="BG86" t="n">
        <v>2</v>
      </c>
      <c r="BH86" t="n">
        <v>2</v>
      </c>
      <c r="BI86" t="n">
        <v>4</v>
      </c>
      <c r="BJ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s="4" t="n">
        <v>2700</v>
      </c>
      <c r="O87" s="4" t="n">
        <v>-389</v>
      </c>
      <c r="P87" s="5" t="inlineStr">
        <is>
          <t>medium</t>
        </is>
      </c>
      <c r="Q87" t="inlineStr">
        <is>
          <t>flat</t>
        </is>
      </c>
      <c r="R87" s="6" t="n">
        <v>2700</v>
      </c>
      <c r="S87" t="inlineStr">
        <is>
          <t>research</t>
        </is>
      </c>
      <c r="T87" s="5" t="inlineStr">
        <is>
          <t>Van de Ven has not played a single pre-season minute and was in normal clothes at the training session Gold attended on 13 August; De Zerbi said he was 'not yet ready to play without risk' and van Hecke is expected to start opening day. Reported as load management rather than a diagnosed injury, so this is a modest haircut for a delayed start plus his hamstring history, not a demotion - he remains a first-choice centre-back.</t>
        </is>
      </c>
      <c r="U87" s="6" t="n">
        <v>87.7</v>
      </c>
      <c r="V87" s="2" t="n">
        <v>34</v>
      </c>
      <c r="W87" s="7">
        <f>IF(N(U87)&lt;=0,0,MIN(Assumptions!$B$15,N(R87)/N(U87)))</f>
        <v/>
      </c>
      <c r="X87" s="6" t="n">
        <v>0.286</v>
      </c>
      <c r="Y87" s="3" t="n">
        <v>0.09760000000000001</v>
      </c>
      <c r="Z87" t="inlineStr">
        <is>
          <t>adjusted xGOT</t>
        </is>
      </c>
      <c r="AA87" s="3" t="n">
        <v>1</v>
      </c>
      <c r="AB87" s="3" t="n">
        <v>1.17</v>
      </c>
      <c r="AC87" s="3" t="n">
        <v>4</v>
      </c>
      <c r="AD87" s="3" t="n">
        <v>0.0206</v>
      </c>
      <c r="AE87" s="3" t="n">
        <v>6.544</v>
      </c>
      <c r="AF87" s="3" t="n">
        <v>0.1122932399115759</v>
      </c>
      <c r="AG87" s="3" t="n">
        <v>0.2664</v>
      </c>
      <c r="AH87" s="3" t="n">
        <v>68</v>
      </c>
      <c r="AI87" s="3" t="n">
        <v>2.5739</v>
      </c>
      <c r="AJ87" s="3" t="n">
        <v>1.3096</v>
      </c>
      <c r="AK87" s="3" t="n">
        <v>-0.2651477319551837</v>
      </c>
      <c r="AL87" s="6" t="n">
        <v>0</v>
      </c>
      <c r="AM87" s="3" t="n">
        <v>0</v>
      </c>
      <c r="AN87" s="3" t="n">
        <v>0.5856</v>
      </c>
      <c r="AO87" s="3" t="n">
        <v>0.08157600000000001</v>
      </c>
      <c r="AP87" s="3">
        <f>N(X87)*N(BI87)</f>
        <v/>
      </c>
      <c r="AQ87" s="3" t="n">
        <v>0.2664</v>
      </c>
      <c r="AR87" s="3" t="n">
        <v>0</v>
      </c>
      <c r="AS87" s="3" t="n">
        <v>-0.4230152821052008</v>
      </c>
      <c r="AT87" s="3" t="n">
        <v>-0.2651477319551837</v>
      </c>
      <c r="AU87" s="3">
        <f>SUM(AN87:AT87)</f>
        <v/>
      </c>
      <c r="AV87" s="7">
        <f>IF(OR(N(W87)&lt;=0,N(BG87)=0),0,N(W87)*IF(N(R87)/N(W87)&gt;=60,N(BG87),1))</f>
        <v/>
      </c>
      <c r="AW87" s="7">
        <f>N(W87)*N(AF87)*N(BH87)</f>
        <v/>
      </c>
      <c r="AX87" s="7">
        <f>N(AL87)*(Assumptions!$B$13*N(BJ87)-(1-Assumptions!$B$13)*Assumptions!$B$14)+N(AM87)</f>
        <v/>
      </c>
      <c r="AY87" s="7">
        <f>N(AU87)*N(R87)/90+N(AV87)+N(AW87)+N(AX87)</f>
        <v/>
      </c>
      <c r="AZ87" s="3">
        <f>IF(N(R87)&lt;=0,0,(N(AY87)-N(AX87))*90/N(R87))</f>
        <v/>
      </c>
      <c r="BA87" s="7">
        <f>IFERROR(AY87-VLOOKUP($E87,Assumptions!$A$40:$C$43,3,FALSE),"")</f>
        <v/>
      </c>
      <c r="BB87" s="3">
        <f>IFERROR(BA87/H87,"")</f>
        <v/>
      </c>
      <c r="BC87">
        <f>IF(AND($G87=TRUE,$E87="GKP"),AY87,"")</f>
        <v/>
      </c>
      <c r="BD87">
        <f>IF(AND($G87=TRUE,$E87="DEF"),AY87,"")</f>
        <v/>
      </c>
      <c r="BE87">
        <f>IF(AND($G87=TRUE,$E87="MID"),AY87,"")</f>
        <v/>
      </c>
      <c r="BF87">
        <f>IF(AND($G87=TRUE,$E87="FWD"),AY87,"")</f>
        <v/>
      </c>
      <c r="BG87" t="n">
        <v>2</v>
      </c>
      <c r="BH87" t="n">
        <v>2</v>
      </c>
      <c r="BI87" t="n">
        <v>4</v>
      </c>
      <c r="BJ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s="8" t="n">
        <v>2400</v>
      </c>
      <c r="O88" s="8" t="n">
        <v>0</v>
      </c>
      <c r="Q88" t="inlineStr">
        <is>
          <t>flat</t>
        </is>
      </c>
      <c r="R88" s="6" t="n">
        <v>2400</v>
      </c>
      <c r="S88" t="inlineStr">
        <is>
          <t>Solio</t>
        </is>
      </c>
      <c r="U88" s="6" t="n">
        <v>86</v>
      </c>
      <c r="V88" s="2" t="n">
        <v>20</v>
      </c>
      <c r="W88" s="7">
        <f>IF(N(U88)&lt;=0,0,MIN(Assumptions!$B$15,N(R88)/N(U88)))</f>
        <v/>
      </c>
      <c r="X88" s="6" t="n">
        <v>0.322</v>
      </c>
      <c r="Y88" s="3" t="n">
        <v>0.0538</v>
      </c>
      <c r="Z88" t="inlineStr">
        <is>
          <t>adjusted xGOT</t>
        </is>
      </c>
      <c r="AA88" s="3" t="n">
        <v>1</v>
      </c>
      <c r="AB88" s="3" t="n">
        <v>1.124</v>
      </c>
      <c r="AC88" s="3" t="n">
        <v>2.8</v>
      </c>
      <c r="AD88" s="3" t="n">
        <v>0.1654</v>
      </c>
      <c r="AE88" s="3" t="n">
        <v>6.37</v>
      </c>
      <c r="AF88" s="3" t="n">
        <v>0.0900352166997177</v>
      </c>
      <c r="AG88" s="3" t="n">
        <v>0.5518999999999999</v>
      </c>
      <c r="AH88" s="3" t="n">
        <v>48</v>
      </c>
      <c r="AI88" s="3" t="n">
        <v>2.4232</v>
      </c>
      <c r="AJ88" s="3" t="n">
        <v>1.1851</v>
      </c>
      <c r="AK88" s="3" t="n">
        <v>-0.182716576620074</v>
      </c>
      <c r="AL88" s="6" t="n">
        <v>0</v>
      </c>
      <c r="AM88" s="3" t="n">
        <v>0</v>
      </c>
      <c r="AN88" s="3" t="n">
        <v>0.3228</v>
      </c>
      <c r="AO88" s="3" t="n">
        <v>0.654984</v>
      </c>
      <c r="AP88" s="3">
        <f>N(X88)*N(BI88)</f>
        <v/>
      </c>
      <c r="AQ88" s="3" t="n">
        <v>0.5518999999999999</v>
      </c>
      <c r="AR88" s="3" t="n">
        <v>0</v>
      </c>
      <c r="AS88" s="3" t="n">
        <v>-0.365915508000572</v>
      </c>
      <c r="AT88" s="3" t="n">
        <v>-0.182716576620074</v>
      </c>
      <c r="AU88" s="3">
        <f>SUM(AN88:AT88)</f>
        <v/>
      </c>
      <c r="AV88" s="7">
        <f>IF(OR(N(W88)&lt;=0,N(BG88)=0),0,N(W88)*IF(N(R88)/N(W88)&gt;=60,N(BG88),1))</f>
        <v/>
      </c>
      <c r="AW88" s="7">
        <f>N(W88)*N(AF88)*N(BH88)</f>
        <v/>
      </c>
      <c r="AX88" s="7">
        <f>N(AL88)*(Assumptions!$B$13*N(BJ88)-(1-Assumptions!$B$13)*Assumptions!$B$14)+N(AM88)</f>
        <v/>
      </c>
      <c r="AY88" s="7">
        <f>N(AU88)*N(R88)/90+N(AV88)+N(AW88)+N(AX88)</f>
        <v/>
      </c>
      <c r="AZ88" s="3">
        <f>IF(N(R88)&lt;=0,0,(N(AY88)-N(AX88))*90/N(R88))</f>
        <v/>
      </c>
      <c r="BA88" s="7">
        <f>IFERROR(AY88-VLOOKUP($E88,Assumptions!$A$40:$C$43,3,FALSE),"")</f>
        <v/>
      </c>
      <c r="BB88" s="3">
        <f>IFERROR(BA88/H88,"")</f>
        <v/>
      </c>
      <c r="BC88">
        <f>IF(AND($G88=TRUE,$E88="GKP"),AY88,"")</f>
        <v/>
      </c>
      <c r="BD88">
        <f>IF(AND($G88=TRUE,$E88="DEF"),AY88,"")</f>
        <v/>
      </c>
      <c r="BE88">
        <f>IF(AND($G88=TRUE,$E88="MID"),AY88,"")</f>
        <v/>
      </c>
      <c r="BF88">
        <f>IF(AND($G88=TRUE,$E88="FWD"),AY88,"")</f>
        <v/>
      </c>
      <c r="BG88" t="n">
        <v>2</v>
      </c>
      <c r="BH88" t="n">
        <v>2</v>
      </c>
      <c r="BI88" t="n">
        <v>4</v>
      </c>
      <c r="BJ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s="4" t="n">
        <v>2350</v>
      </c>
      <c r="O89" s="4" t="n">
        <v>-312</v>
      </c>
      <c r="P89" s="5" t="inlineStr">
        <is>
          <t>low</t>
        </is>
      </c>
      <c r="Q89" t="inlineStr">
        <is>
          <t>flat</t>
        </is>
      </c>
      <c r="R89" s="6" t="n">
        <v>2350</v>
      </c>
      <c r="S89" t="inlineStr">
        <is>
          <t>research</t>
        </is>
      </c>
      <c r="T89" s="5" t="inlineStr">
        <is>
          <t>Still the clear starting striker - he led the line in both friendlies. Trimmed because his competition has genuinely improved since Solio's data: Alvaro Rodriguez arrived for c.GBP 25.7m specifically as striker competition, and Bournemouth have around eight extra Europa League fixtures to spread across the same squad, which is the classic route to a starting forward losing a few hundred league minutes.</t>
        </is>
      </c>
      <c r="U89" s="6" t="n">
        <v>80.59999999999999</v>
      </c>
      <c r="V89" s="2" t="n">
        <v>32</v>
      </c>
      <c r="W89" s="7">
        <f>IF(N(U89)&lt;=0,0,MIN(Assumptions!$B$15,N(R89)/N(U89)))</f>
        <v/>
      </c>
      <c r="X89" s="6" t="n">
        <v>0.23</v>
      </c>
      <c r="Y89" s="3" t="n">
        <v>0.2942</v>
      </c>
      <c r="Z89" t="inlineStr">
        <is>
          <t>adjusted xGOT</t>
        </is>
      </c>
      <c r="AA89" s="3" t="n">
        <v>1</v>
      </c>
      <c r="AB89" s="3" t="n">
        <v>0.842</v>
      </c>
      <c r="AC89" s="3" t="n">
        <v>23.1</v>
      </c>
      <c r="AD89" s="3" t="n">
        <v>0.0747</v>
      </c>
      <c r="AE89" s="3" t="n">
        <v>4.508</v>
      </c>
      <c r="AF89" s="3" t="n">
        <v>0.0009891188116711858</v>
      </c>
      <c r="AG89" s="3" t="n">
        <v>0.197</v>
      </c>
      <c r="AH89" s="3" t="n">
        <v>66</v>
      </c>
      <c r="AI89" s="3" t="n">
        <v>3.0957</v>
      </c>
      <c r="AJ89" s="3" t="n">
        <v>1.53</v>
      </c>
      <c r="AK89" s="3" t="n">
        <v>-0.0957757161144514</v>
      </c>
      <c r="AL89" s="6" t="n">
        <v>0</v>
      </c>
      <c r="AM89" s="3" t="n">
        <v>0</v>
      </c>
      <c r="AN89" s="3" t="n">
        <v>1.1768</v>
      </c>
      <c r="AO89" s="3" t="n">
        <v>0.295812</v>
      </c>
      <c r="AP89" s="3">
        <f>N(X89)*N(BI89)</f>
        <v/>
      </c>
      <c r="AQ89" s="3" t="n">
        <v>0.197</v>
      </c>
      <c r="AR89" s="3" t="n">
        <v>0</v>
      </c>
      <c r="AS89" s="3" t="n">
        <v>-0</v>
      </c>
      <c r="AT89" s="3" t="n">
        <v>-0.0957757161144514</v>
      </c>
      <c r="AU89" s="3">
        <f>SUM(AN89:AT89)</f>
        <v/>
      </c>
      <c r="AV89" s="7">
        <f>IF(OR(N(W89)&lt;=0,N(BG89)=0),0,N(W89)*IF(N(R89)/N(W89)&gt;=60,N(BG89),1))</f>
        <v/>
      </c>
      <c r="AW89" s="7">
        <f>N(W89)*N(AF89)*N(BH89)</f>
        <v/>
      </c>
      <c r="AX89" s="7">
        <f>N(AL89)*(Assumptions!$B$13*N(BJ89)-(1-Assumptions!$B$13)*Assumptions!$B$14)+N(AM89)</f>
        <v/>
      </c>
      <c r="AY89" s="7">
        <f>N(AU89)*N(R89)/90+N(AV89)+N(AW89)+N(AX89)</f>
        <v/>
      </c>
      <c r="AZ89" s="3">
        <f>IF(N(R89)&lt;=0,0,(N(AY89)-N(AX89))*90/N(R89))</f>
        <v/>
      </c>
      <c r="BA89" s="7">
        <f>IFERROR(AY89-VLOOKUP($E89,Assumptions!$A$40:$C$43,3,FALSE),"")</f>
        <v/>
      </c>
      <c r="BB89" s="3">
        <f>IFERROR(BA89/H89,"")</f>
        <v/>
      </c>
      <c r="BC89">
        <f>IF(AND($G89=TRUE,$E89="GKP"),AY89,"")</f>
        <v/>
      </c>
      <c r="BD89">
        <f>IF(AND($G89=TRUE,$E89="DEF"),AY89,"")</f>
        <v/>
      </c>
      <c r="BE89">
        <f>IF(AND($G89=TRUE,$E89="MID"),AY89,"")</f>
        <v/>
      </c>
      <c r="BF89">
        <f>IF(AND($G89=TRUE,$E89="FWD"),AY89,"")</f>
        <v/>
      </c>
      <c r="BG89" t="n">
        <v>2</v>
      </c>
      <c r="BH89" t="n">
        <v>2</v>
      </c>
      <c r="BI89" t="n">
        <v>0</v>
      </c>
      <c r="BJ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s="4" t="n">
        <v>2150</v>
      </c>
      <c r="O90" s="4" t="n">
        <v>491</v>
      </c>
      <c r="P90" s="5" t="inlineStr">
        <is>
          <t>medium</t>
        </is>
      </c>
      <c r="Q90" t="inlineStr">
        <is>
          <t>flat</t>
        </is>
      </c>
      <c r="R90" s="6" t="n">
        <v>2150</v>
      </c>
      <c r="S90" t="inlineStr">
        <is>
          <t>research</t>
        </is>
      </c>
      <c r="T90" s="5" t="inlineStr">
        <is>
          <t>Started at left-back in both August friendlies - against Rennes on 8 Aug in a back four of Hickey, Collins, Pinnock, Lewis-Potter, and against Frankfurt on 15 Aug behind Kayode, Ajer, Collins - and scored in both the Wycombe and Frankfurt matches. Solio's 1659 treats him as a rotation forward; the evidence has him as the incumbent left-back. Held below a fully nailed number because van den Berg previously covered both full-back berths, so the role may revert in October.</t>
        </is>
      </c>
      <c r="U90" s="6" t="n">
        <v>82.2</v>
      </c>
      <c r="V90" s="2" t="n">
        <v>22</v>
      </c>
      <c r="W90" s="7">
        <f>IF(N(U90)&lt;=0,0,MIN(Assumptions!$B$15,N(R90)/N(U90)))</f>
        <v/>
      </c>
      <c r="X90" s="6" t="n">
        <v>0.228</v>
      </c>
      <c r="Y90" s="3" t="n">
        <v>0.1357</v>
      </c>
      <c r="Z90" t="inlineStr">
        <is>
          <t>adjusted xGOT</t>
        </is>
      </c>
      <c r="AA90" s="3" t="n">
        <v>1</v>
      </c>
      <c r="AB90" s="3" t="n">
        <v>0.982</v>
      </c>
      <c r="AC90" s="3" t="n">
        <v>12.9</v>
      </c>
      <c r="AD90" s="3" t="n">
        <v>0.1199</v>
      </c>
      <c r="AE90" s="3" t="n">
        <v>4.55</v>
      </c>
      <c r="AF90" s="3" t="n">
        <v>0.001258594115861822</v>
      </c>
      <c r="AG90" s="3" t="n">
        <v>0.2755</v>
      </c>
      <c r="AH90" s="3" t="n">
        <v>57</v>
      </c>
      <c r="AI90" s="3" t="n">
        <v>3.2371</v>
      </c>
      <c r="AJ90" s="3" t="n">
        <v>1.5396</v>
      </c>
      <c r="AK90" s="3" t="n">
        <v>-0.146242800454487</v>
      </c>
      <c r="AL90" s="6" t="n">
        <v>0</v>
      </c>
      <c r="AM90" s="3" t="n">
        <v>0</v>
      </c>
      <c r="AN90" s="3" t="n">
        <v>0.6784999999999999</v>
      </c>
      <c r="AO90" s="3" t="n">
        <v>0.4748040000000001</v>
      </c>
      <c r="AP90" s="3">
        <f>N(X90)*N(BI90)</f>
        <v/>
      </c>
      <c r="AQ90" s="3" t="n">
        <v>0.2755</v>
      </c>
      <c r="AR90" s="3" t="n">
        <v>0</v>
      </c>
      <c r="AS90" s="3" t="n">
        <v>-0</v>
      </c>
      <c r="AT90" s="3" t="n">
        <v>-0.146242800454487</v>
      </c>
      <c r="AU90" s="3">
        <f>SUM(AN90:AT90)</f>
        <v/>
      </c>
      <c r="AV90" s="7">
        <f>IF(OR(N(W90)&lt;=0,N(BG90)=0),0,N(W90)*IF(N(R90)/N(W90)&gt;=60,N(BG90),1))</f>
        <v/>
      </c>
      <c r="AW90" s="7">
        <f>N(W90)*N(AF90)*N(BH90)</f>
        <v/>
      </c>
      <c r="AX90" s="7">
        <f>N(AL90)*(Assumptions!$B$13*N(BJ90)-(1-Assumptions!$B$13)*Assumptions!$B$14)+N(AM90)</f>
        <v/>
      </c>
      <c r="AY90" s="7">
        <f>N(AU90)*N(R90)/90+N(AV90)+N(AW90)+N(AX90)</f>
        <v/>
      </c>
      <c r="AZ90" s="3">
        <f>IF(N(R90)&lt;=0,0,(N(AY90)-N(AX90))*90/N(R90))</f>
        <v/>
      </c>
      <c r="BA90" s="7">
        <f>IFERROR(AY90-VLOOKUP($E90,Assumptions!$A$40:$C$43,3,FALSE),"")</f>
        <v/>
      </c>
      <c r="BB90" s="3">
        <f>IFERROR(BA90/H90,"")</f>
        <v/>
      </c>
      <c r="BC90">
        <f>IF(AND($G90=TRUE,$E90="GKP"),AY90,"")</f>
        <v/>
      </c>
      <c r="BD90">
        <f>IF(AND($G90=TRUE,$E90="DEF"),AY90,"")</f>
        <v/>
      </c>
      <c r="BE90">
        <f>IF(AND($G90=TRUE,$E90="MID"),AY90,"")</f>
        <v/>
      </c>
      <c r="BF90">
        <f>IF(AND($G90=TRUE,$E90="FWD"),AY90,"")</f>
        <v/>
      </c>
      <c r="BG90" t="n">
        <v>2</v>
      </c>
      <c r="BH90" t="n">
        <v>2</v>
      </c>
      <c r="BI90" t="n">
        <v>1</v>
      </c>
      <c r="BJ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s="8" t="n">
        <v>2884</v>
      </c>
      <c r="O91" s="8" t="n">
        <v>0</v>
      </c>
      <c r="Q91" t="inlineStr">
        <is>
          <t>flat</t>
        </is>
      </c>
      <c r="R91" s="6" t="n">
        <v>2884</v>
      </c>
      <c r="S91" t="inlineStr">
        <is>
          <t>Solio</t>
        </is>
      </c>
      <c r="U91" s="6" t="n">
        <v>79.2</v>
      </c>
      <c r="V91" s="2" t="n">
        <v>24</v>
      </c>
      <c r="W91" s="7">
        <f>IF(N(U91)&lt;=0,0,MIN(Assumptions!$B$15,N(R91)/N(U91)))</f>
        <v/>
      </c>
      <c r="X91" s="6" t="n">
        <v>0.322</v>
      </c>
      <c r="Y91" s="3" t="n">
        <v>0.28</v>
      </c>
      <c r="Z91" t="inlineStr">
        <is>
          <t>adjusted xGOT</t>
        </is>
      </c>
      <c r="AA91" s="3" t="n">
        <v>0.555</v>
      </c>
      <c r="AB91" s="3" t="n">
        <v>1.039</v>
      </c>
      <c r="AC91" s="3" t="n">
        <v>45</v>
      </c>
      <c r="AD91" s="3" t="n">
        <v>0.1062</v>
      </c>
      <c r="AE91" s="3" t="n">
        <v>6.853</v>
      </c>
      <c r="AF91" s="3" t="n">
        <v>0.02079110547654883</v>
      </c>
      <c r="AG91" s="3" t="n">
        <v>0.5067</v>
      </c>
      <c r="AH91" s="3" t="n">
        <v>47</v>
      </c>
      <c r="AI91" s="3" t="n">
        <v>2.4232</v>
      </c>
      <c r="AJ91" s="3" t="n">
        <v>1.1851</v>
      </c>
      <c r="AK91" s="3" t="n">
        <v>-0.2317101564875854</v>
      </c>
      <c r="AL91" s="6" t="n">
        <v>4.934297250429631</v>
      </c>
      <c r="AM91" s="3" t="n">
        <v>0</v>
      </c>
      <c r="AN91" s="3" t="n">
        <v>1.4</v>
      </c>
      <c r="AO91" s="3" t="n">
        <v>0.420552</v>
      </c>
      <c r="AP91" s="3">
        <f>N(X91)*N(BI91)</f>
        <v/>
      </c>
      <c r="AQ91" s="3" t="n">
        <v>0.5067</v>
      </c>
      <c r="AR91" s="3" t="n">
        <v>0</v>
      </c>
      <c r="AS91" s="3" t="n">
        <v>-0</v>
      </c>
      <c r="AT91" s="3" t="n">
        <v>-0.2317101564875854</v>
      </c>
      <c r="AU91" s="3">
        <f>SUM(AN91:AT91)</f>
        <v/>
      </c>
      <c r="AV91" s="7">
        <f>IF(OR(N(W91)&lt;=0,N(BG91)=0),0,N(W91)*IF(N(R91)/N(W91)&gt;=60,N(BG91),1))</f>
        <v/>
      </c>
      <c r="AW91" s="7">
        <f>N(W91)*N(AF91)*N(BH91)</f>
        <v/>
      </c>
      <c r="AX91" s="7">
        <f>N(AL91)*(Assumptions!$B$13*N(BJ91)-(1-Assumptions!$B$13)*Assumptions!$B$14)+N(AM91)</f>
        <v/>
      </c>
      <c r="AY91" s="7">
        <f>N(AU91)*N(R91)/90+N(AV91)+N(AW91)+N(AX91)</f>
        <v/>
      </c>
      <c r="AZ91" s="3">
        <f>IF(N(R91)&lt;=0,0,(N(AY91)-N(AX91))*90/N(R91))</f>
        <v/>
      </c>
      <c r="BA91" s="7">
        <f>IFERROR(AY91-VLOOKUP($E91,Assumptions!$A$40:$C$43,3,FALSE),"")</f>
        <v/>
      </c>
      <c r="BB91" s="3">
        <f>IFERROR(BA91/H91,"")</f>
        <v/>
      </c>
      <c r="BC91">
        <f>IF(AND($G91=TRUE,$E91="GKP"),AY91,"")</f>
        <v/>
      </c>
      <c r="BD91">
        <f>IF(AND($G91=TRUE,$E91="DEF"),AY91,"")</f>
        <v/>
      </c>
      <c r="BE91">
        <f>IF(AND($G91=TRUE,$E91="MID"),AY91,"")</f>
        <v/>
      </c>
      <c r="BF91">
        <f>IF(AND($G91=TRUE,$E91="FWD"),AY91,"")</f>
        <v/>
      </c>
      <c r="BG91" t="n">
        <v>2</v>
      </c>
      <c r="BH91" t="n">
        <v>2</v>
      </c>
      <c r="BI91" t="n">
        <v>1</v>
      </c>
      <c r="BJ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s="4" t="n">
        <v>1500</v>
      </c>
      <c r="O92" s="4" t="n">
        <v>-922</v>
      </c>
      <c r="P92" s="5" t="inlineStr">
        <is>
          <t>medium</t>
        </is>
      </c>
      <c r="Q92" t="inlineStr">
        <is>
          <t>flat</t>
        </is>
      </c>
      <c r="R92" s="6" t="n">
        <v>1500</v>
      </c>
      <c r="S92" t="inlineStr">
        <is>
          <t>research</t>
        </is>
      </c>
      <c r="T92" s="5" t="inlineStr">
        <is>
          <t>The other side of the striker split. Sage's system uses one number nine and Palace hold three Premier League strikers; Mateta did not start the final friendly. His exit situation is unresolved: a January move to AC Milan collapsed on medical grounds, Juventus interest was reported through May and June at a EUR 20-30m valuation, and reporting says his contract is running down with Palace preferring not to sell cheaply. The window is open until 1 September. Not zeroed, because he is registered, fit and available today.</t>
        </is>
      </c>
      <c r="U92" s="6" t="n">
        <v>80.5</v>
      </c>
      <c r="V92" s="2" t="n">
        <v>25</v>
      </c>
      <c r="W92" s="7">
        <f>IF(N(U92)&lt;=0,0,MIN(Assumptions!$B$15,N(R92)/N(U92)))</f>
        <v/>
      </c>
      <c r="X92" s="6" t="n">
        <v>0.216</v>
      </c>
      <c r="Y92" s="3" t="n">
        <v>0.4643</v>
      </c>
      <c r="Z92" t="inlineStr">
        <is>
          <t>adjusted xGOT</t>
        </is>
      </c>
      <c r="AA92" s="3" t="n">
        <v>0.8090000000000001</v>
      </c>
      <c r="AB92" s="3" t="n">
        <v>0.977</v>
      </c>
      <c r="AC92" s="3" t="n">
        <v>42.5</v>
      </c>
      <c r="AD92" s="3" t="n">
        <v>0.0523</v>
      </c>
      <c r="AE92" s="3" t="n">
        <v>5.017</v>
      </c>
      <c r="AF92" s="3" t="n">
        <v>0.002351155358793933</v>
      </c>
      <c r="AG92" s="3" t="n">
        <v>0.5701000000000001</v>
      </c>
      <c r="AH92" s="3" t="n">
        <v>55</v>
      </c>
      <c r="AI92" s="3" t="n">
        <v>3.2035</v>
      </c>
      <c r="AJ92" s="3" t="n">
        <v>1.5923</v>
      </c>
      <c r="AK92" s="3" t="n">
        <v>-0.1142843485541425</v>
      </c>
      <c r="AL92" s="6" t="n">
        <v>3.015761309129515</v>
      </c>
      <c r="AM92" s="3" t="n">
        <v>0</v>
      </c>
      <c r="AN92" s="3" t="n">
        <v>1.8572</v>
      </c>
      <c r="AO92" s="3" t="n">
        <v>0.207108</v>
      </c>
      <c r="AP92" s="3">
        <f>N(X92)*N(BI92)</f>
        <v/>
      </c>
      <c r="AQ92" s="3" t="n">
        <v>0.5701000000000001</v>
      </c>
      <c r="AR92" s="3" t="n">
        <v>0</v>
      </c>
      <c r="AS92" s="3" t="n">
        <v>-0</v>
      </c>
      <c r="AT92" s="3" t="n">
        <v>-0.1142843485541425</v>
      </c>
      <c r="AU92" s="3">
        <f>SUM(AN92:AT92)</f>
        <v/>
      </c>
      <c r="AV92" s="7">
        <f>IF(OR(N(W92)&lt;=0,N(BG92)=0),0,N(W92)*IF(N(R92)/N(W92)&gt;=60,N(BG92),1))</f>
        <v/>
      </c>
      <c r="AW92" s="7">
        <f>N(W92)*N(AF92)*N(BH92)</f>
        <v/>
      </c>
      <c r="AX92" s="7">
        <f>N(AL92)*(Assumptions!$B$13*N(BJ92)-(1-Assumptions!$B$13)*Assumptions!$B$14)+N(AM92)</f>
        <v/>
      </c>
      <c r="AY92" s="7">
        <f>N(AU92)*N(R92)/90+N(AV92)+N(AW92)+N(AX92)</f>
        <v/>
      </c>
      <c r="AZ92" s="3">
        <f>IF(N(R92)&lt;=0,0,(N(AY92)-N(AX92))*90/N(R92))</f>
        <v/>
      </c>
      <c r="BA92" s="7">
        <f>IFERROR(AY92-VLOOKUP($E92,Assumptions!$A$40:$C$43,3,FALSE),"")</f>
        <v/>
      </c>
      <c r="BB92" s="3">
        <f>IFERROR(BA92/H92,"")</f>
        <v/>
      </c>
      <c r="BC92">
        <f>IF(AND($G92=TRUE,$E92="GKP"),AY92,"")</f>
        <v/>
      </c>
      <c r="BD92">
        <f>IF(AND($G92=TRUE,$E92="DEF"),AY92,"")</f>
        <v/>
      </c>
      <c r="BE92">
        <f>IF(AND($G92=TRUE,$E92="MID"),AY92,"")</f>
        <v/>
      </c>
      <c r="BF92">
        <f>IF(AND($G92=TRUE,$E92="FWD"),AY92,"")</f>
        <v/>
      </c>
      <c r="BG92" t="n">
        <v>2</v>
      </c>
      <c r="BH92" t="n">
        <v>2</v>
      </c>
      <c r="BI92" t="n">
        <v>0</v>
      </c>
      <c r="BJ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s="4" t="n">
        <v>2430</v>
      </c>
      <c r="O93" s="4" t="n">
        <v>-334</v>
      </c>
      <c r="P93" s="5" t="inlineStr">
        <is>
          <t>medium</t>
        </is>
      </c>
      <c r="Q93" t="inlineStr">
        <is>
          <t>flat</t>
        </is>
      </c>
      <c r="R93" s="6" t="n">
        <v>2430</v>
      </c>
      <c r="S93" t="inlineStr">
        <is>
          <t>research</t>
        </is>
      </c>
      <c r="T93" s="5" t="inlineStr">
        <is>
          <t>In a 3-4-2-1 there is exactly one striker slot, worth about 3,420 minutes. Solio gives Igor Jesus 81% of it while Kalimuendo, Awoniyi and Wood are all fit and three of the four scored in pre-season. He is the starter, but that share leaves almost nothing for injury, rotation or the cups.</t>
        </is>
      </c>
      <c r="U93" s="6" t="n">
        <v>75.5</v>
      </c>
      <c r="V93" s="2" t="n">
        <v>28</v>
      </c>
      <c r="W93" s="7">
        <f>IF(N(U93)&lt;=0,0,MIN(Assumptions!$B$15,N(R93)/N(U93)))</f>
        <v/>
      </c>
      <c r="X93" s="6" t="n">
        <v>0.224</v>
      </c>
      <c r="Y93" s="3" t="n">
        <v>0.2042</v>
      </c>
      <c r="Z93" t="inlineStr">
        <is>
          <t>adjusted xGOT</t>
        </is>
      </c>
      <c r="AA93" s="3" t="n">
        <v>0.894</v>
      </c>
      <c r="AB93" s="3" t="n">
        <v>0.898</v>
      </c>
      <c r="AC93" s="3" t="n">
        <v>6.5</v>
      </c>
      <c r="AD93" s="3" t="n">
        <v>0.06950000000000001</v>
      </c>
      <c r="AE93" s="3" t="n">
        <v>4.819</v>
      </c>
      <c r="AF93" s="3" t="n">
        <v>0.001000341382915493</v>
      </c>
      <c r="AG93" s="3" t="n">
        <v>0.5102</v>
      </c>
      <c r="AH93" s="3" t="n">
        <v>61</v>
      </c>
      <c r="AI93" s="3" t="n">
        <v>3.1134</v>
      </c>
      <c r="AJ93" s="3" t="n">
        <v>1.5588</v>
      </c>
      <c r="AK93" s="3" t="n">
        <v>-0.1227469504838277</v>
      </c>
      <c r="AL93" s="6" t="n">
        <v>0.1045620982258107</v>
      </c>
      <c r="AM93" s="3" t="n">
        <v>0</v>
      </c>
      <c r="AN93" s="3" t="n">
        <v>0.8168</v>
      </c>
      <c r="AO93" s="3" t="n">
        <v>0.27522</v>
      </c>
      <c r="AP93" s="3">
        <f>N(X93)*N(BI93)</f>
        <v/>
      </c>
      <c r="AQ93" s="3" t="n">
        <v>0.5102</v>
      </c>
      <c r="AR93" s="3" t="n">
        <v>0</v>
      </c>
      <c r="AS93" s="3" t="n">
        <v>-0</v>
      </c>
      <c r="AT93" s="3" t="n">
        <v>-0.1227469504838277</v>
      </c>
      <c r="AU93" s="3">
        <f>SUM(AN93:AT93)</f>
        <v/>
      </c>
      <c r="AV93" s="7">
        <f>IF(OR(N(W93)&lt;=0,N(BG93)=0),0,N(W93)*IF(N(R93)/N(W93)&gt;=60,N(BG93),1))</f>
        <v/>
      </c>
      <c r="AW93" s="7">
        <f>N(W93)*N(AF93)*N(BH93)</f>
        <v/>
      </c>
      <c r="AX93" s="7">
        <f>N(AL93)*(Assumptions!$B$13*N(BJ93)-(1-Assumptions!$B$13)*Assumptions!$B$14)+N(AM93)</f>
        <v/>
      </c>
      <c r="AY93" s="7">
        <f>N(AU93)*N(R93)/90+N(AV93)+N(AW93)+N(AX93)</f>
        <v/>
      </c>
      <c r="AZ93" s="3">
        <f>IF(N(R93)&lt;=0,0,(N(AY93)-N(AX93))*90/N(R93))</f>
        <v/>
      </c>
      <c r="BA93" s="7">
        <f>IFERROR(AY93-VLOOKUP($E93,Assumptions!$A$40:$C$43,3,FALSE),"")</f>
        <v/>
      </c>
      <c r="BB93" s="3">
        <f>IFERROR(BA93/H93,"")</f>
        <v/>
      </c>
      <c r="BC93">
        <f>IF(AND($G93=TRUE,$E93="GKP"),AY93,"")</f>
        <v/>
      </c>
      <c r="BD93">
        <f>IF(AND($G93=TRUE,$E93="DEF"),AY93,"")</f>
        <v/>
      </c>
      <c r="BE93">
        <f>IF(AND($G93=TRUE,$E93="MID"),AY93,"")</f>
        <v/>
      </c>
      <c r="BF93">
        <f>IF(AND($G93=TRUE,$E93="FWD"),AY93,"")</f>
        <v/>
      </c>
      <c r="BG93" t="n">
        <v>2</v>
      </c>
      <c r="BH93" t="n">
        <v>2</v>
      </c>
      <c r="BI93" t="n">
        <v>0</v>
      </c>
      <c r="BJ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s="4" t="n">
        <v>1100</v>
      </c>
      <c r="O94" s="4" t="n">
        <v>-1494</v>
      </c>
      <c r="P94" s="5" t="inlineStr">
        <is>
          <t>high</t>
        </is>
      </c>
      <c r="Q94" t="inlineStr">
        <is>
          <t>ramp-up (injury / late WC return)</t>
        </is>
      </c>
      <c r="R94" s="6" t="n">
        <v>1100</v>
      </c>
      <c r="S94" t="inlineStr">
        <is>
          <t>research</t>
        </is>
      </c>
      <c r="T94" s="5" t="inlineStr">
        <is>
          <t>Fractured a fifth metatarsal in a pre-season training drill in Austria and had surgery; reported as a 3-4 month layoff, with the club hoping he returns before the end of 2026. That is roughly the first 15-18 gameweeks gone from a 23 Aug start, followed by a build-up rather than an immediate full workload, and he returns into a striker group that now also contains a GBP 25.7m signing plus a Europa League schedule. Solio's 2594 already carried a 'ramp-up' flag but is far too generous for a layoff of this length.</t>
        </is>
      </c>
      <c r="U94" s="6" t="n">
        <v>73.3</v>
      </c>
      <c r="V94" s="2" t="n">
        <v>21</v>
      </c>
      <c r="W94" s="7">
        <f>IF(N(U94)&lt;=0,0,MIN(Assumptions!$B$15,N(R94)/N(U94)))</f>
        <v/>
      </c>
      <c r="X94" s="6" t="n">
        <v>0.23</v>
      </c>
      <c r="Y94" s="3" t="n">
        <v>0.4064</v>
      </c>
      <c r="Z94" t="inlineStr">
        <is>
          <t>adjusted xGOT</t>
        </is>
      </c>
      <c r="AA94" s="3" t="n">
        <v>0.828</v>
      </c>
      <c r="AB94" s="3" t="n">
        <v>1.091</v>
      </c>
      <c r="AC94" s="3" t="n">
        <v>8.300000000000001</v>
      </c>
      <c r="AD94" s="3" t="n">
        <v>0.09</v>
      </c>
      <c r="AE94" s="3" t="n">
        <v>5.678</v>
      </c>
      <c r="AF94" s="3" t="n">
        <v>0.002984663627920936</v>
      </c>
      <c r="AG94" s="3" t="n">
        <v>0.7577</v>
      </c>
      <c r="AH94" s="3" t="n">
        <v>53</v>
      </c>
      <c r="AI94" s="3" t="n">
        <v>3.0957</v>
      </c>
      <c r="AJ94" s="3" t="n">
        <v>1.53</v>
      </c>
      <c r="AK94" s="3" t="n">
        <v>-0.2541946690581745</v>
      </c>
      <c r="AL94" s="6" t="n">
        <v>3.414665718204978</v>
      </c>
      <c r="AM94" s="3" t="n">
        <v>0</v>
      </c>
      <c r="AN94" s="3" t="n">
        <v>2.032</v>
      </c>
      <c r="AO94" s="3" t="n">
        <v>0.3564000000000001</v>
      </c>
      <c r="AP94" s="3">
        <f>N(X94)*N(BI94)</f>
        <v/>
      </c>
      <c r="AQ94" s="3" t="n">
        <v>0.7577</v>
      </c>
      <c r="AR94" s="3" t="n">
        <v>0</v>
      </c>
      <c r="AS94" s="3" t="n">
        <v>-0</v>
      </c>
      <c r="AT94" s="3" t="n">
        <v>-0.2541946690581745</v>
      </c>
      <c r="AU94" s="3">
        <f>SUM(AN94:AT94)</f>
        <v/>
      </c>
      <c r="AV94" s="7">
        <f>IF(OR(N(W94)&lt;=0,N(BG94)=0),0,N(W94)*IF(N(R94)/N(W94)&gt;=60,N(BG94),1))</f>
        <v/>
      </c>
      <c r="AW94" s="7">
        <f>N(W94)*N(AF94)*N(BH94)</f>
        <v/>
      </c>
      <c r="AX94" s="7">
        <f>N(AL94)*(Assumptions!$B$13*N(BJ94)-(1-Assumptions!$B$13)*Assumptions!$B$14)+N(AM94)</f>
        <v/>
      </c>
      <c r="AY94" s="7">
        <f>N(AU94)*N(R94)/90+N(AV94)+N(AW94)+N(AX94)</f>
        <v/>
      </c>
      <c r="AZ94" s="3">
        <f>IF(N(R94)&lt;=0,0,(N(AY94)-N(AX94))*90/N(R94))</f>
        <v/>
      </c>
      <c r="BA94" s="7">
        <f>IFERROR(AY94-VLOOKUP($E94,Assumptions!$A$40:$C$43,3,FALSE),"")</f>
        <v/>
      </c>
      <c r="BB94" s="3">
        <f>IFERROR(BA94/H94,"")</f>
        <v/>
      </c>
      <c r="BC94">
        <f>IF(AND($G94=TRUE,$E94="GKP"),AY94,"")</f>
        <v/>
      </c>
      <c r="BD94">
        <f>IF(AND($G94=TRUE,$E94="DEF"),AY94,"")</f>
        <v/>
      </c>
      <c r="BE94">
        <f>IF(AND($G94=TRUE,$E94="MID"),AY94,"")</f>
        <v/>
      </c>
      <c r="BF94">
        <f>IF(AND($G94=TRUE,$E94="FWD"),AY94,"")</f>
        <v/>
      </c>
      <c r="BG94" t="n">
        <v>2</v>
      </c>
      <c r="BH94" t="n">
        <v>2</v>
      </c>
      <c r="BI94" t="n">
        <v>1</v>
      </c>
      <c r="BJ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s="4" t="n">
        <v>1800</v>
      </c>
      <c r="O95" s="4" t="n">
        <v>-1147</v>
      </c>
      <c r="P95" s="5" t="inlineStr">
        <is>
          <t>high</t>
        </is>
      </c>
      <c r="Q95" t="inlineStr">
        <is>
          <t>ramp-up (injury / late WC return)</t>
        </is>
      </c>
      <c r="R95" s="6" t="n">
        <v>1800</v>
      </c>
      <c r="S95" t="inlineStr">
        <is>
          <t>research</t>
        </is>
      </c>
      <c r="T95" s="5" t="inlineStr">
        <is>
          <t>The single biggest error in Solio's allocation. FPL flagged him status 'i' with chance_of_playing_next_round = 0 and 'Unspecified injury - Unknown return date', news added 2026-08-15T15:30Z - after the brief's snapshot was taken, which still shows him as status 'a'. He was absent from the entire 22-man matchday squad for the 15 Aug friendly. BeSoccer puts the expected return at mid-October 2026; RotoWire, citing Uzzi Majid of the Richmond and Twickenham Times, reports three months. Against the FPL calendar that means he misses GW1-GW5 at minimum (deadlines 21 Aug to 18 Sep) and plausibly through GW6-GW10 (10 Oct to 7 Nov). He then has to take his place back from Ajer. 1800 assumes roughly 8 gameweeks missed and around 20 full starts thereafter.</t>
        </is>
      </c>
      <c r="U95" s="6" t="n">
        <v>88.90000000000001</v>
      </c>
      <c r="V95" s="2" t="n">
        <v>30</v>
      </c>
      <c r="W95" s="7">
        <f>IF(N(U95)&lt;=0,0,MIN(Assumptions!$B$15,N(R95)/N(U95)))</f>
        <v/>
      </c>
      <c r="X95" s="6" t="n">
        <v>0.228</v>
      </c>
      <c r="Y95" s="3" t="n">
        <v>0.0871</v>
      </c>
      <c r="Z95" t="inlineStr">
        <is>
          <t>adjusted xGOT</t>
        </is>
      </c>
      <c r="AA95" s="3" t="n">
        <v>1</v>
      </c>
      <c r="AB95" s="3" t="n">
        <v>0.796</v>
      </c>
      <c r="AC95" s="3" t="n">
        <v>5.4</v>
      </c>
      <c r="AD95" s="3" t="n">
        <v>0.0594</v>
      </c>
      <c r="AE95" s="3" t="n">
        <v>8.622</v>
      </c>
      <c r="AF95" s="3" t="n">
        <v>0.3491858013416843</v>
      </c>
      <c r="AG95" s="3" t="n">
        <v>0.0326</v>
      </c>
      <c r="AH95" s="3" t="n">
        <v>62</v>
      </c>
      <c r="AI95" s="3" t="n">
        <v>3.2371</v>
      </c>
      <c r="AJ95" s="3" t="n">
        <v>1.5396</v>
      </c>
      <c r="AK95" s="3" t="n">
        <v>-0.1265622603536469</v>
      </c>
      <c r="AL95" s="6" t="n">
        <v>0</v>
      </c>
      <c r="AM95" s="3" t="n">
        <v>0</v>
      </c>
      <c r="AN95" s="3" t="n">
        <v>0.5226</v>
      </c>
      <c r="AO95" s="3" t="n">
        <v>0.235224</v>
      </c>
      <c r="AP95" s="3">
        <f>N(X95)*N(BI95)</f>
        <v/>
      </c>
      <c r="AQ95" s="3" t="n">
        <v>0.0326</v>
      </c>
      <c r="AR95" s="3" t="n">
        <v>0</v>
      </c>
      <c r="AS95" s="3" t="n">
        <v>-0.5312990096912251</v>
      </c>
      <c r="AT95" s="3" t="n">
        <v>-0.1265622603536469</v>
      </c>
      <c r="AU95" s="3">
        <f>SUM(AN95:AT95)</f>
        <v/>
      </c>
      <c r="AV95" s="7">
        <f>IF(OR(N(W95)&lt;=0,N(BG95)=0),0,N(W95)*IF(N(R95)/N(W95)&gt;=60,N(BG95),1))</f>
        <v/>
      </c>
      <c r="AW95" s="7">
        <f>N(W95)*N(AF95)*N(BH95)</f>
        <v/>
      </c>
      <c r="AX95" s="7">
        <f>N(AL95)*(Assumptions!$B$13*N(BJ95)-(1-Assumptions!$B$13)*Assumptions!$B$14)+N(AM95)</f>
        <v/>
      </c>
      <c r="AY95" s="7">
        <f>N(AU95)*N(R95)/90+N(AV95)+N(AW95)+N(AX95)</f>
        <v/>
      </c>
      <c r="AZ95" s="3">
        <f>IF(N(R95)&lt;=0,0,(N(AY95)-N(AX95))*90/N(R95))</f>
        <v/>
      </c>
      <c r="BA95" s="7">
        <f>IFERROR(AY95-VLOOKUP($E95,Assumptions!$A$40:$C$43,3,FALSE),"")</f>
        <v/>
      </c>
      <c r="BB95" s="3">
        <f>IFERROR(BA95/H95,"")</f>
        <v/>
      </c>
      <c r="BC95">
        <f>IF(AND($G95=TRUE,$E95="GKP"),AY95,"")</f>
        <v/>
      </c>
      <c r="BD95">
        <f>IF(AND($G95=TRUE,$E95="DEF"),AY95,"")</f>
        <v/>
      </c>
      <c r="BE95">
        <f>IF(AND($G95=TRUE,$E95="MID"),AY95,"")</f>
        <v/>
      </c>
      <c r="BF95">
        <f>IF(AND($G95=TRUE,$E95="FWD"),AY95,"")</f>
        <v/>
      </c>
      <c r="BG95" t="n">
        <v>2</v>
      </c>
      <c r="BH95" t="n">
        <v>2</v>
      </c>
      <c r="BI95" t="n">
        <v>4</v>
      </c>
      <c r="BJ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s="8" t="n">
        <v>3192</v>
      </c>
      <c r="O96" s="8" t="n">
        <v>0</v>
      </c>
      <c r="Q96" t="inlineStr">
        <is>
          <t>flat</t>
        </is>
      </c>
      <c r="R96" s="6" t="n">
        <v>3192</v>
      </c>
      <c r="S96" t="inlineStr">
        <is>
          <t>Solio</t>
        </is>
      </c>
      <c r="U96" s="6" t="n">
        <v>87.5</v>
      </c>
      <c r="V96" s="2" t="n">
        <v>37</v>
      </c>
      <c r="W96" s="7">
        <f>IF(N(U96)&lt;=0,0,MIN(Assumptions!$B$15,N(R96)/N(U96)))</f>
        <v/>
      </c>
      <c r="X96" s="6" t="n">
        <v>0.228</v>
      </c>
      <c r="Y96" s="3" t="n">
        <v>0.0351</v>
      </c>
      <c r="Z96" t="inlineStr">
        <is>
          <t>adjusted xGOT</t>
        </is>
      </c>
      <c r="AA96" s="3" t="n">
        <v>1</v>
      </c>
      <c r="AB96" s="3" t="n">
        <v>0.993</v>
      </c>
      <c r="AC96" s="3" t="n">
        <v>1.5</v>
      </c>
      <c r="AD96" s="3" t="n">
        <v>0.0839</v>
      </c>
      <c r="AE96" s="3" t="n">
        <v>6.346</v>
      </c>
      <c r="AF96" s="3" t="n">
        <v>0.09610277597067474</v>
      </c>
      <c r="AG96" s="3" t="n">
        <v>0.2486</v>
      </c>
      <c r="AH96" s="3" t="n">
        <v>74</v>
      </c>
      <c r="AI96" s="3" t="n">
        <v>3.2371</v>
      </c>
      <c r="AJ96" s="3" t="n">
        <v>1.5396</v>
      </c>
      <c r="AK96" s="3" t="n">
        <v>-0.2390820399124237</v>
      </c>
      <c r="AL96" s="6" t="n">
        <v>0</v>
      </c>
      <c r="AM96" s="3" t="n">
        <v>0</v>
      </c>
      <c r="AN96" s="3" t="n">
        <v>0.2106</v>
      </c>
      <c r="AO96" s="3" t="n">
        <v>0.332244</v>
      </c>
      <c r="AP96" s="3">
        <f>N(X96)*N(BI96)</f>
        <v/>
      </c>
      <c r="AQ96" s="3" t="n">
        <v>0.2486</v>
      </c>
      <c r="AR96" s="3" t="n">
        <v>0</v>
      </c>
      <c r="AS96" s="3" t="n">
        <v>-0.5312990096912251</v>
      </c>
      <c r="AT96" s="3" t="n">
        <v>-0.2390820399124237</v>
      </c>
      <c r="AU96" s="3">
        <f>SUM(AN96:AT96)</f>
        <v/>
      </c>
      <c r="AV96" s="7">
        <f>IF(OR(N(W96)&lt;=0,N(BG96)=0),0,N(W96)*IF(N(R96)/N(W96)&gt;=60,N(BG96),1))</f>
        <v/>
      </c>
      <c r="AW96" s="7">
        <f>N(W96)*N(AF96)*N(BH96)</f>
        <v/>
      </c>
      <c r="AX96" s="7">
        <f>N(AL96)*(Assumptions!$B$13*N(BJ96)-(1-Assumptions!$B$13)*Assumptions!$B$14)+N(AM96)</f>
        <v/>
      </c>
      <c r="AY96" s="7">
        <f>N(AU96)*N(R96)/90+N(AV96)+N(AW96)+N(AX96)</f>
        <v/>
      </c>
      <c r="AZ96" s="3">
        <f>IF(N(R96)&lt;=0,0,(N(AY96)-N(AX96))*90/N(R96))</f>
        <v/>
      </c>
      <c r="BA96" s="7">
        <f>IFERROR(AY96-VLOOKUP($E96,Assumptions!$A$40:$C$43,3,FALSE),"")</f>
        <v/>
      </c>
      <c r="BB96" s="3">
        <f>IFERROR(BA96/H96,"")</f>
        <v/>
      </c>
      <c r="BC96">
        <f>IF(AND($G96=TRUE,$E96="GKP"),AY96,"")</f>
        <v/>
      </c>
      <c r="BD96">
        <f>IF(AND($G96=TRUE,$E96="DEF"),AY96,"")</f>
        <v/>
      </c>
      <c r="BE96">
        <f>IF(AND($G96=TRUE,$E96="MID"),AY96,"")</f>
        <v/>
      </c>
      <c r="BF96">
        <f>IF(AND($G96=TRUE,$E96="FWD"),AY96,"")</f>
        <v/>
      </c>
      <c r="BG96" t="n">
        <v>2</v>
      </c>
      <c r="BH96" t="n">
        <v>2</v>
      </c>
      <c r="BI96" t="n">
        <v>4</v>
      </c>
      <c r="BJ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s="4" t="n">
        <v>2600</v>
      </c>
      <c r="O97" s="4" t="n">
        <v>-392</v>
      </c>
      <c r="P97" s="5" t="inlineStr">
        <is>
          <t>medium</t>
        </is>
      </c>
      <c r="Q97" t="inlineStr">
        <is>
          <t>flat</t>
        </is>
      </c>
      <c r="R97" s="6" t="n">
        <v>2600</v>
      </c>
      <c r="S97" t="inlineStr">
        <is>
          <t>research</t>
        </is>
      </c>
      <c r="T97" s="5" t="inlineStr">
        <is>
          <t>Left-back is the position United are most actively trying to reinforce before the window shuts on 1 September: ESPN reports work done on the feasibility of a deal for Lewis Hall and interest in Antonee Robinson. Shaw remains the incumbent and started the last two friendlies, so this is a modest haircut for signing risk, not a demotion. His 3,220 minutes last season also came in a one-game-a-week campaign; United are back in the Champions League.</t>
        </is>
      </c>
      <c r="U97" s="6" t="n">
        <v>84.90000000000001</v>
      </c>
      <c r="V97" s="2" t="n">
        <v>38</v>
      </c>
      <c r="W97" s="7">
        <f>IF(N(U97)&lt;=0,0,MIN(Assumptions!$B$15,N(R97)/N(U97)))</f>
        <v/>
      </c>
      <c r="X97" s="6" t="n">
        <v>0.334</v>
      </c>
      <c r="Y97" s="3" t="n">
        <v>0.021</v>
      </c>
      <c r="Z97" t="inlineStr">
        <is>
          <t>adjusted xGOT</t>
        </is>
      </c>
      <c r="AA97" s="3" t="n">
        <v>1</v>
      </c>
      <c r="AB97" s="3" t="n">
        <v>1.042</v>
      </c>
      <c r="AC97" s="3" t="n">
        <v>1.9</v>
      </c>
      <c r="AD97" s="3" t="n">
        <v>0.0485</v>
      </c>
      <c r="AE97" s="3" t="n">
        <v>6.521</v>
      </c>
      <c r="AF97" s="3" t="n">
        <v>0.09474606818539777</v>
      </c>
      <c r="AG97" s="3" t="n">
        <v>0.0559</v>
      </c>
      <c r="AH97" s="3" t="n">
        <v>75</v>
      </c>
      <c r="AI97" s="3" t="n">
        <v>2.2165</v>
      </c>
      <c r="AJ97" s="3" t="n">
        <v>1.1467</v>
      </c>
      <c r="AK97" s="3" t="n">
        <v>-0.2771183828849873</v>
      </c>
      <c r="AL97" s="6" t="n">
        <v>0</v>
      </c>
      <c r="AM97" s="3" t="n">
        <v>0</v>
      </c>
      <c r="AN97" s="3" t="n">
        <v>0.126</v>
      </c>
      <c r="AO97" s="3" t="n">
        <v>0.19206</v>
      </c>
      <c r="AP97" s="3">
        <f>N(X97)*N(BI97)</f>
        <v/>
      </c>
      <c r="AQ97" s="3" t="n">
        <v>0.0559</v>
      </c>
      <c r="AR97" s="3" t="n">
        <v>0</v>
      </c>
      <c r="AS97" s="3" t="n">
        <v>-0.348580685135232</v>
      </c>
      <c r="AT97" s="3" t="n">
        <v>-0.2771183828849873</v>
      </c>
      <c r="AU97" s="3">
        <f>SUM(AN97:AT97)</f>
        <v/>
      </c>
      <c r="AV97" s="7">
        <f>IF(OR(N(W97)&lt;=0,N(BG97)=0),0,N(W97)*IF(N(R97)/N(W97)&gt;=60,N(BG97),1))</f>
        <v/>
      </c>
      <c r="AW97" s="7">
        <f>N(W97)*N(AF97)*N(BH97)</f>
        <v/>
      </c>
      <c r="AX97" s="7">
        <f>N(AL97)*(Assumptions!$B$13*N(BJ97)-(1-Assumptions!$B$13)*Assumptions!$B$14)+N(AM97)</f>
        <v/>
      </c>
      <c r="AY97" s="7">
        <f>N(AU97)*N(R97)/90+N(AV97)+N(AW97)+N(AX97)</f>
        <v/>
      </c>
      <c r="AZ97" s="3">
        <f>IF(N(R97)&lt;=0,0,(N(AY97)-N(AX97))*90/N(R97))</f>
        <v/>
      </c>
      <c r="BA97" s="7">
        <f>IFERROR(AY97-VLOOKUP($E97,Assumptions!$A$40:$C$43,3,FALSE),"")</f>
        <v/>
      </c>
      <c r="BB97" s="3">
        <f>IFERROR(BA97/H97,"")</f>
        <v/>
      </c>
      <c r="BC97">
        <f>IF(AND($G97=TRUE,$E97="GKP"),AY97,"")</f>
        <v/>
      </c>
      <c r="BD97">
        <f>IF(AND($G97=TRUE,$E97="DEF"),AY97,"")</f>
        <v/>
      </c>
      <c r="BE97">
        <f>IF(AND($G97=TRUE,$E97="MID"),AY97,"")</f>
        <v/>
      </c>
      <c r="BF97">
        <f>IF(AND($G97=TRUE,$E97="FWD"),AY97,"")</f>
        <v/>
      </c>
      <c r="BG97" t="n">
        <v>2</v>
      </c>
      <c r="BH97" t="n">
        <v>2</v>
      </c>
      <c r="BI97" t="n">
        <v>4</v>
      </c>
      <c r="BJ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s="4" t="n">
        <v>1750</v>
      </c>
      <c r="O98" s="4" t="n">
        <v>181</v>
      </c>
      <c r="P98" s="5" t="inlineStr">
        <is>
          <t>medium</t>
        </is>
      </c>
      <c r="Q98" t="inlineStr">
        <is>
          <t>flat</t>
        </is>
      </c>
      <c r="R98" s="6" t="n">
        <v>1750</v>
      </c>
      <c r="S98" t="inlineStr">
        <is>
          <t>research</t>
        </is>
      </c>
      <c r="T98" s="5" t="inlineStr">
        <is>
          <t>Named as one of Maresca's captains for the new season, started the final pre-season match and starts in the Community Shield predicted XIs. 1,569 minutes is roughly 17 full matches for a club captain in a four-man centre-back rotation that has just lost three bodies. Only a modest raise because the rotation is real and he is 29 with a mixed injury record — the argument is that he is under-weighted, not that he is nailed.</t>
        </is>
      </c>
      <c r="U98" s="6" t="n">
        <v>87.09999999999999</v>
      </c>
      <c r="V98" s="2" t="n">
        <v>24</v>
      </c>
      <c r="W98" s="7">
        <f>IF(N(U98)&lt;=0,0,MIN(Assumptions!$B$15,N(R98)/N(U98)))</f>
        <v/>
      </c>
      <c r="X98" s="6" t="n">
        <v>0.371</v>
      </c>
      <c r="Y98" s="3" t="n">
        <v>0.0213</v>
      </c>
      <c r="Z98" t="inlineStr">
        <is>
          <t>adjusted xGOT</t>
        </is>
      </c>
      <c r="AA98" s="3" t="n">
        <v>1</v>
      </c>
      <c r="AB98" s="3" t="n">
        <v>0.887</v>
      </c>
      <c r="AC98" s="3" t="n">
        <v>4.8</v>
      </c>
      <c r="AD98" s="3" t="n">
        <v>0.0226</v>
      </c>
      <c r="AE98" s="3" t="n">
        <v>7.192</v>
      </c>
      <c r="AF98" s="3" t="n">
        <v>0.1654970036702939</v>
      </c>
      <c r="AG98" s="3" t="n">
        <v>0.1262</v>
      </c>
      <c r="AH98" s="3" t="n">
        <v>49</v>
      </c>
      <c r="AI98" s="3" t="n">
        <v>1.9737</v>
      </c>
      <c r="AJ98" s="3" t="n">
        <v>1.0365</v>
      </c>
      <c r="AK98" s="3" t="n">
        <v>-0.1469680947737017</v>
      </c>
      <c r="AL98" s="6" t="n">
        <v>0</v>
      </c>
      <c r="AM98" s="3" t="n">
        <v>0</v>
      </c>
      <c r="AN98" s="3" t="n">
        <v>0.1278</v>
      </c>
      <c r="AO98" s="3" t="n">
        <v>0.08949600000000001</v>
      </c>
      <c r="AP98" s="3">
        <f>N(X98)*N(BI98)</f>
        <v/>
      </c>
      <c r="AQ98" s="3" t="n">
        <v>0.1262</v>
      </c>
      <c r="AR98" s="3" t="n">
        <v>0</v>
      </c>
      <c r="AS98" s="3" t="n">
        <v>-0.2997019479071323</v>
      </c>
      <c r="AT98" s="3" t="n">
        <v>-0.1469680947737017</v>
      </c>
      <c r="AU98" s="3">
        <f>SUM(AN98:AT98)</f>
        <v/>
      </c>
      <c r="AV98" s="7">
        <f>IF(OR(N(W98)&lt;=0,N(BG98)=0),0,N(W98)*IF(N(R98)/N(W98)&gt;=60,N(BG98),1))</f>
        <v/>
      </c>
      <c r="AW98" s="7">
        <f>N(W98)*N(AF98)*N(BH98)</f>
        <v/>
      </c>
      <c r="AX98" s="7">
        <f>N(AL98)*(Assumptions!$B$13*N(BJ98)-(1-Assumptions!$B$13)*Assumptions!$B$14)+N(AM98)</f>
        <v/>
      </c>
      <c r="AY98" s="7">
        <f>N(AU98)*N(R98)/90+N(AV98)+N(AW98)+N(AX98)</f>
        <v/>
      </c>
      <c r="AZ98" s="3">
        <f>IF(N(R98)&lt;=0,0,(N(AY98)-N(AX98))*90/N(R98))</f>
        <v/>
      </c>
      <c r="BA98" s="7">
        <f>IFERROR(AY98-VLOOKUP($E98,Assumptions!$A$40:$C$43,3,FALSE),"")</f>
        <v/>
      </c>
      <c r="BB98" s="3">
        <f>IFERROR(BA98/H98,"")</f>
        <v/>
      </c>
      <c r="BC98">
        <f>IF(AND($G98=TRUE,$E98="GKP"),AY98,"")</f>
        <v/>
      </c>
      <c r="BD98">
        <f>IF(AND($G98=TRUE,$E98="DEF"),AY98,"")</f>
        <v/>
      </c>
      <c r="BE98">
        <f>IF(AND($G98=TRUE,$E98="MID"),AY98,"")</f>
        <v/>
      </c>
      <c r="BF98">
        <f>IF(AND($G98=TRUE,$E98="FWD"),AY98,"")</f>
        <v/>
      </c>
      <c r="BG98" t="n">
        <v>2</v>
      </c>
      <c r="BH98" t="n">
        <v>2</v>
      </c>
      <c r="BI98" t="n">
        <v>4</v>
      </c>
      <c r="BJ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s="8" t="n">
        <v>3181</v>
      </c>
      <c r="O99" s="8" t="n">
        <v>0</v>
      </c>
      <c r="Q99" t="inlineStr">
        <is>
          <t>flat</t>
        </is>
      </c>
      <c r="R99" s="6" t="n">
        <v>3181</v>
      </c>
      <c r="S99" t="inlineStr">
        <is>
          <t>Solio</t>
        </is>
      </c>
      <c r="U99" s="6" t="n">
        <v>89.40000000000001</v>
      </c>
      <c r="V99" s="2" t="n">
        <v>34</v>
      </c>
      <c r="W99" s="7">
        <f>IF(N(U99)&lt;=0,0,MIN(Assumptions!$B$15,N(R99)/N(U99)))</f>
        <v/>
      </c>
      <c r="X99" s="6" t="n">
        <v>0.322</v>
      </c>
      <c r="Y99" s="3" t="n">
        <v>0</v>
      </c>
      <c r="Z99" t="inlineStr">
        <is>
          <t>blended xG</t>
        </is>
      </c>
      <c r="AA99" s="3" t="n">
        <v>1</v>
      </c>
      <c r="AB99" s="3" t="n">
        <v>1</v>
      </c>
      <c r="AC99" s="3" t="n">
        <v>0</v>
      </c>
      <c r="AD99" s="3" t="n">
        <v>0.0137</v>
      </c>
      <c r="AE99" s="3" t="n">
        <v>0</v>
      </c>
      <c r="AF99" s="3" t="n">
        <v>0</v>
      </c>
      <c r="AG99" s="3" t="n">
        <v>0.2368</v>
      </c>
      <c r="AH99" s="3" t="n">
        <v>69</v>
      </c>
      <c r="AI99" s="3" t="n">
        <v>2.4232</v>
      </c>
      <c r="AJ99" s="3" t="n">
        <v>1.1851</v>
      </c>
      <c r="AK99" s="3" t="n">
        <v>-0.108788584519348</v>
      </c>
      <c r="AL99" s="6" t="n">
        <v>0</v>
      </c>
      <c r="AM99" s="3" t="n">
        <v>2.35312144194812</v>
      </c>
      <c r="AN99" s="3" t="n">
        <v>0</v>
      </c>
      <c r="AO99" s="3" t="n">
        <v>0.054252</v>
      </c>
      <c r="AP99" s="3">
        <f>N(X99)*N(BI99)</f>
        <v/>
      </c>
      <c r="AQ99" s="3" t="n">
        <v>0.2368</v>
      </c>
      <c r="AR99" s="3" t="n">
        <v>0.474357769926339</v>
      </c>
      <c r="AS99" s="3" t="n">
        <v>-0.365915508000572</v>
      </c>
      <c r="AT99" s="3" t="n">
        <v>-0.108788584519348</v>
      </c>
      <c r="AU99" s="3">
        <f>SUM(AN99:AT99)</f>
        <v/>
      </c>
      <c r="AV99" s="7">
        <f>IF(OR(N(W99)&lt;=0,N(BG99)=0),0,N(W99)*IF(N(R99)/N(W99)&gt;=60,N(BG99),1))</f>
        <v/>
      </c>
      <c r="AW99" s="7">
        <f>N(W99)*N(AF99)*N(BH99)</f>
        <v/>
      </c>
      <c r="AX99" s="7">
        <f>N(AL99)*(Assumptions!$B$13*N(BJ99)-(1-Assumptions!$B$13)*Assumptions!$B$14)+N(AM99)</f>
        <v/>
      </c>
      <c r="AY99" s="7">
        <f>N(AU99)*N(R99)/90+N(AV99)+N(AW99)+N(AX99)</f>
        <v/>
      </c>
      <c r="AZ99" s="3">
        <f>IF(N(R99)&lt;=0,0,(N(AY99)-N(AX99))*90/N(R99))</f>
        <v/>
      </c>
      <c r="BA99" s="7">
        <f>IFERROR(AY99-VLOOKUP($E99,Assumptions!$A$40:$C$43,3,FALSE),"")</f>
        <v/>
      </c>
      <c r="BB99" s="3">
        <f>IFERROR(BA99/H99,"")</f>
        <v/>
      </c>
      <c r="BC99">
        <f>IF(AND($G99=TRUE,$E99="GKP"),AY99,"")</f>
        <v/>
      </c>
      <c r="BD99">
        <f>IF(AND($G99=TRUE,$E99="DEF"),AY99,"")</f>
        <v/>
      </c>
      <c r="BE99">
        <f>IF(AND($G99=TRUE,$E99="MID"),AY99,"")</f>
        <v/>
      </c>
      <c r="BF99">
        <f>IF(AND($G99=TRUE,$E99="FWD"),AY99,"")</f>
        <v/>
      </c>
      <c r="BG99" t="n">
        <v>2</v>
      </c>
      <c r="BH99" t="n">
        <v>0</v>
      </c>
      <c r="BI99" t="n">
        <v>4</v>
      </c>
      <c r="BJ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s="8" t="n">
        <v>1915</v>
      </c>
      <c r="O100" s="8" t="n">
        <v>0</v>
      </c>
      <c r="Q100" t="inlineStr">
        <is>
          <t>flat</t>
        </is>
      </c>
      <c r="R100" s="6" t="n">
        <v>1915</v>
      </c>
      <c r="S100" t="inlineStr">
        <is>
          <t>Solio</t>
        </is>
      </c>
      <c r="U100" s="6" t="n">
        <v>78.59999999999999</v>
      </c>
      <c r="V100" s="2" t="n">
        <v>24</v>
      </c>
      <c r="W100" s="7">
        <f>IF(N(U100)&lt;=0,0,MIN(Assumptions!$B$15,N(R100)/N(U100)))</f>
        <v/>
      </c>
      <c r="X100" s="6" t="n">
        <v>0.228</v>
      </c>
      <c r="Y100" s="3" t="n">
        <v>0.1149</v>
      </c>
      <c r="Z100" t="inlineStr">
        <is>
          <t>adjusted xGOT</t>
        </is>
      </c>
      <c r="AA100" s="3" t="n">
        <v>1</v>
      </c>
      <c r="AB100" s="3" t="n">
        <v>1.001</v>
      </c>
      <c r="AC100" s="3" t="n">
        <v>8.6</v>
      </c>
      <c r="AD100" s="3" t="n">
        <v>0.2617</v>
      </c>
      <c r="AE100" s="3" t="n">
        <v>10.074</v>
      </c>
      <c r="AF100" s="3" t="n">
        <v>0.1778409087464298</v>
      </c>
      <c r="AG100" s="3" t="n">
        <v>0.3959</v>
      </c>
      <c r="AH100" s="3" t="n">
        <v>55</v>
      </c>
      <c r="AI100" s="3" t="n">
        <v>3.2371</v>
      </c>
      <c r="AJ100" s="3" t="n">
        <v>1.5396</v>
      </c>
      <c r="AK100" s="3" t="n">
        <v>-0.1005908179385081</v>
      </c>
      <c r="AL100" s="6" t="n">
        <v>0</v>
      </c>
      <c r="AM100" s="3" t="n">
        <v>0</v>
      </c>
      <c r="AN100" s="3" t="n">
        <v>0.5745</v>
      </c>
      <c r="AO100" s="3" t="n">
        <v>1.036332</v>
      </c>
      <c r="AP100" s="3">
        <f>N(X100)*N(BI100)</f>
        <v/>
      </c>
      <c r="AQ100" s="3" t="n">
        <v>0.3959</v>
      </c>
      <c r="AR100" s="3" t="n">
        <v>0</v>
      </c>
      <c r="AS100" s="3" t="n">
        <v>-0</v>
      </c>
      <c r="AT100" s="3" t="n">
        <v>-0.1005908179385081</v>
      </c>
      <c r="AU100" s="3">
        <f>SUM(AN100:AT100)</f>
        <v/>
      </c>
      <c r="AV100" s="7">
        <f>IF(OR(N(W100)&lt;=0,N(BG100)=0),0,N(W100)*IF(N(R100)/N(W100)&gt;=60,N(BG100),1))</f>
        <v/>
      </c>
      <c r="AW100" s="7">
        <f>N(W100)*N(AF100)*N(BH100)</f>
        <v/>
      </c>
      <c r="AX100" s="7">
        <f>N(AL100)*(Assumptions!$B$13*N(BJ100)-(1-Assumptions!$B$13)*Assumptions!$B$14)+N(AM100)</f>
        <v/>
      </c>
      <c r="AY100" s="7">
        <f>N(AU100)*N(R100)/90+N(AV100)+N(AW100)+N(AX100)</f>
        <v/>
      </c>
      <c r="AZ100" s="3">
        <f>IF(N(R100)&lt;=0,0,(N(AY100)-N(AX100))*90/N(R100))</f>
        <v/>
      </c>
      <c r="BA100" s="7">
        <f>IFERROR(AY100-VLOOKUP($E100,Assumptions!$A$40:$C$43,3,FALSE),"")</f>
        <v/>
      </c>
      <c r="BB100" s="3">
        <f>IFERROR(BA100/H100,"")</f>
        <v/>
      </c>
      <c r="BC100">
        <f>IF(AND($G100=TRUE,$E100="GKP"),AY100,"")</f>
        <v/>
      </c>
      <c r="BD100">
        <f>IF(AND($G100=TRUE,$E100="DEF"),AY100,"")</f>
        <v/>
      </c>
      <c r="BE100">
        <f>IF(AND($G100=TRUE,$E100="MID"),AY100,"")</f>
        <v/>
      </c>
      <c r="BF100">
        <f>IF(AND($G100=TRUE,$E100="FWD"),AY100,"")</f>
        <v/>
      </c>
      <c r="BG100" t="n">
        <v>2</v>
      </c>
      <c r="BH100" t="n">
        <v>2</v>
      </c>
      <c r="BI100" t="n">
        <v>1</v>
      </c>
      <c r="BJ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s="8" t="n">
        <v>1328</v>
      </c>
      <c r="O101" s="8" t="n">
        <v>0</v>
      </c>
      <c r="Q101" t="inlineStr">
        <is>
          <t>flat</t>
        </is>
      </c>
      <c r="R101" s="6" t="n">
        <v>1328</v>
      </c>
      <c r="S101" t="inlineStr">
        <is>
          <t>Solio</t>
        </is>
      </c>
      <c r="U101" s="6" t="n">
        <v>75.90000000000001</v>
      </c>
      <c r="V101" s="2" t="n">
        <v>22</v>
      </c>
      <c r="W101" s="7">
        <f>IF(N(U101)&lt;=0,0,MIN(Assumptions!$B$15,N(R101)/N(U101)))</f>
        <v/>
      </c>
      <c r="X101" s="6" t="n">
        <v>0.391</v>
      </c>
      <c r="Y101" s="3" t="n">
        <v>0.2755</v>
      </c>
      <c r="Z101" t="inlineStr">
        <is>
          <t>adjusted xGOT</t>
        </is>
      </c>
      <c r="AA101" s="3" t="n">
        <v>1</v>
      </c>
      <c r="AB101" s="3" t="n">
        <v>1.114</v>
      </c>
      <c r="AC101" s="3" t="n">
        <v>31.9</v>
      </c>
      <c r="AD101" s="3" t="n">
        <v>0.1264</v>
      </c>
      <c r="AE101" s="3" t="n">
        <v>6.516</v>
      </c>
      <c r="AF101" s="3" t="n">
        <v>0.01091927449816144</v>
      </c>
      <c r="AG101" s="3" t="n">
        <v>0.382</v>
      </c>
      <c r="AH101" s="3" t="n">
        <v>51</v>
      </c>
      <c r="AI101" s="3" t="n">
        <v>2.067</v>
      </c>
      <c r="AJ101" s="3" t="n">
        <v>0.9838</v>
      </c>
      <c r="AK101" s="3" t="n">
        <v>-0.1112321372810775</v>
      </c>
      <c r="AL101" s="6" t="n">
        <v>0</v>
      </c>
      <c r="AM101" s="3" t="n">
        <v>0</v>
      </c>
      <c r="AN101" s="3" t="n">
        <v>1.3775</v>
      </c>
      <c r="AO101" s="3" t="n">
        <v>0.5005440000000001</v>
      </c>
      <c r="AP101" s="3">
        <f>N(X101)*N(BI101)</f>
        <v/>
      </c>
      <c r="AQ101" s="3" t="n">
        <v>0.382</v>
      </c>
      <c r="AR101" s="3" t="n">
        <v>0</v>
      </c>
      <c r="AS101" s="3" t="n">
        <v>-0</v>
      </c>
      <c r="AT101" s="3" t="n">
        <v>-0.1112321372810775</v>
      </c>
      <c r="AU101" s="3">
        <f>SUM(AN101:AT101)</f>
        <v/>
      </c>
      <c r="AV101" s="7">
        <f>IF(OR(N(W101)&lt;=0,N(BG101)=0),0,N(W101)*IF(N(R101)/N(W101)&gt;=60,N(BG101),1))</f>
        <v/>
      </c>
      <c r="AW101" s="7">
        <f>N(W101)*N(AF101)*N(BH101)</f>
        <v/>
      </c>
      <c r="AX101" s="7">
        <f>N(AL101)*(Assumptions!$B$13*N(BJ101)-(1-Assumptions!$B$13)*Assumptions!$B$14)+N(AM101)</f>
        <v/>
      </c>
      <c r="AY101" s="7">
        <f>N(AU101)*N(R101)/90+N(AV101)+N(AW101)+N(AX101)</f>
        <v/>
      </c>
      <c r="AZ101" s="3">
        <f>IF(N(R101)&lt;=0,0,(N(AY101)-N(AX101))*90/N(R101))</f>
        <v/>
      </c>
      <c r="BA101" s="7">
        <f>IFERROR(AY101-VLOOKUP($E101,Assumptions!$A$40:$C$43,3,FALSE),"")</f>
        <v/>
      </c>
      <c r="BB101" s="3">
        <f>IFERROR(BA101/H101,"")</f>
        <v/>
      </c>
      <c r="BC101">
        <f>IF(AND($G101=TRUE,$E101="GKP"),AY101,"")</f>
        <v/>
      </c>
      <c r="BD101">
        <f>IF(AND($G101=TRUE,$E101="DEF"),AY101,"")</f>
        <v/>
      </c>
      <c r="BE101">
        <f>IF(AND($G101=TRUE,$E101="MID"),AY101,"")</f>
        <v/>
      </c>
      <c r="BF101">
        <f>IF(AND($G101=TRUE,$E101="FWD"),AY101,"")</f>
        <v/>
      </c>
      <c r="BG101" t="n">
        <v>2</v>
      </c>
      <c r="BH101" t="n">
        <v>2</v>
      </c>
      <c r="BI101" t="n">
        <v>1</v>
      </c>
      <c r="BJ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s="4" t="n">
        <v>2700</v>
      </c>
      <c r="O102" s="4" t="n">
        <v>-458</v>
      </c>
      <c r="P102" s="5" t="inlineStr">
        <is>
          <t>low</t>
        </is>
      </c>
      <c r="Q102" t="inlineStr">
        <is>
          <t>flat</t>
        </is>
      </c>
      <c r="R102" s="6" t="n">
        <v>2700</v>
      </c>
      <c r="S102" t="inlineStr">
        <is>
          <t>research</t>
        </is>
      </c>
      <c r="T102" s="5" t="inlineStr">
        <is>
          <t>Small haircut on two grounds, not a demotion. He remains a starter and started at Freiburg. First, an unresolved transfer situation with Chelsea holding face-to-face talks with Palace as of 12 August and Man Utd also circling, with the window open until 1 September. Second, he missed the July Swindon friendly with a knock and has never exceeded 2552 Premier League minutes in a season, so Solio's 3158 is above his established ceiling in a year with Europa League football.</t>
        </is>
      </c>
      <c r="U102" s="6" t="n">
        <v>82.5</v>
      </c>
      <c r="V102" s="2" t="n">
        <v>28</v>
      </c>
      <c r="W102" s="7">
        <f>IF(N(U102)&lt;=0,0,MIN(Assumptions!$B$15,N(R102)/N(U102)))</f>
        <v/>
      </c>
      <c r="X102" s="6" t="n">
        <v>0.216</v>
      </c>
      <c r="Y102" s="3" t="n">
        <v>0.0475</v>
      </c>
      <c r="Z102" t="inlineStr">
        <is>
          <t>adjusted xGOT</t>
        </is>
      </c>
      <c r="AA102" s="3" t="n">
        <v>1</v>
      </c>
      <c r="AB102" s="3" t="n">
        <v>0.885</v>
      </c>
      <c r="AC102" s="3" t="n">
        <v>2.3</v>
      </c>
      <c r="AD102" s="3" t="n">
        <v>0.2485</v>
      </c>
      <c r="AE102" s="3" t="n">
        <v>10.222</v>
      </c>
      <c r="AF102" s="3" t="n">
        <v>0.2343078937535134</v>
      </c>
      <c r="AG102" s="3" t="n">
        <v>0.2821</v>
      </c>
      <c r="AH102" s="3" t="n">
        <v>62</v>
      </c>
      <c r="AI102" s="3" t="n">
        <v>3.2035</v>
      </c>
      <c r="AJ102" s="3" t="n">
        <v>1.5923</v>
      </c>
      <c r="AK102" s="3" t="n">
        <v>-0.1727358222007214</v>
      </c>
      <c r="AL102" s="6" t="n">
        <v>0</v>
      </c>
      <c r="AM102" s="3" t="n">
        <v>0</v>
      </c>
      <c r="AN102" s="3" t="n">
        <v>0.2375</v>
      </c>
      <c r="AO102" s="3" t="n">
        <v>0.9840600000000002</v>
      </c>
      <c r="AP102" s="3">
        <f>N(X102)*N(BI102)</f>
        <v/>
      </c>
      <c r="AQ102" s="3" t="n">
        <v>0.2821</v>
      </c>
      <c r="AR102" s="3" t="n">
        <v>0</v>
      </c>
      <c r="AS102" s="3" t="n">
        <v>-0</v>
      </c>
      <c r="AT102" s="3" t="n">
        <v>-0.1727358222007214</v>
      </c>
      <c r="AU102" s="3">
        <f>SUM(AN102:AT102)</f>
        <v/>
      </c>
      <c r="AV102" s="7">
        <f>IF(OR(N(W102)&lt;=0,N(BG102)=0),0,N(W102)*IF(N(R102)/N(W102)&gt;=60,N(BG102),1))</f>
        <v/>
      </c>
      <c r="AW102" s="7">
        <f>N(W102)*N(AF102)*N(BH102)</f>
        <v/>
      </c>
      <c r="AX102" s="7">
        <f>N(AL102)*(Assumptions!$B$13*N(BJ102)-(1-Assumptions!$B$13)*Assumptions!$B$14)+N(AM102)</f>
        <v/>
      </c>
      <c r="AY102" s="7">
        <f>N(AU102)*N(R102)/90+N(AV102)+N(AW102)+N(AX102)</f>
        <v/>
      </c>
      <c r="AZ102" s="3">
        <f>IF(N(R102)&lt;=0,0,(N(AY102)-N(AX102))*90/N(R102))</f>
        <v/>
      </c>
      <c r="BA102" s="7">
        <f>IFERROR(AY102-VLOOKUP($E102,Assumptions!$A$40:$C$43,3,FALSE),"")</f>
        <v/>
      </c>
      <c r="BB102" s="3">
        <f>IFERROR(BA102/H102,"")</f>
        <v/>
      </c>
      <c r="BC102">
        <f>IF(AND($G102=TRUE,$E102="GKP"),AY102,"")</f>
        <v/>
      </c>
      <c r="BD102">
        <f>IF(AND($G102=TRUE,$E102="DEF"),AY102,"")</f>
        <v/>
      </c>
      <c r="BE102">
        <f>IF(AND($G102=TRUE,$E102="MID"),AY102,"")</f>
        <v/>
      </c>
      <c r="BF102">
        <f>IF(AND($G102=TRUE,$E102="FWD"),AY102,"")</f>
        <v/>
      </c>
      <c r="BG102" t="n">
        <v>2</v>
      </c>
      <c r="BH102" t="n">
        <v>2</v>
      </c>
      <c r="BI102" t="n">
        <v>1</v>
      </c>
      <c r="BJ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s="4" t="n">
        <v>1800</v>
      </c>
      <c r="O103" s="4" t="n">
        <v>-474</v>
      </c>
      <c r="P103" s="5" t="inlineStr">
        <is>
          <t>medium</t>
        </is>
      </c>
      <c r="Q103" t="inlineStr">
        <is>
          <t>flat</t>
        </is>
      </c>
      <c r="R103" s="6" t="n">
        <v>1800</v>
      </c>
      <c r="S103" t="inlineStr">
        <is>
          <t>research</t>
        </is>
      </c>
      <c r="T103" s="5" t="inlineStr">
        <is>
          <t>Has not played a minute of pre-season. The shin problem that ended his 2025/26 against Liverpool on 3 May was thought minor and has repeatedly slipped: he missed the Wrexham, Rosenborg, Atletico, PSG, Leeds and AC Milan matches. United say they are confident he is fit for 22 August, but a striker starting the season with zero match minutes, in a squad where Cunha started at centre-forward in the dress rehearsal and Mbeumo replaced him there, carries both a slow-start risk and a re-injury risk.</t>
        </is>
      </c>
      <c r="U103" s="6" t="n">
        <v>78.7</v>
      </c>
      <c r="V103" s="2" t="n">
        <v>17</v>
      </c>
      <c r="W103" s="7">
        <f>IF(N(U103)&lt;=0,0,MIN(Assumptions!$B$15,N(R103)/N(U103)))</f>
        <v/>
      </c>
      <c r="X103" s="6" t="n">
        <v>0.334</v>
      </c>
      <c r="Y103" s="3" t="n">
        <v>0.5673</v>
      </c>
      <c r="Z103" t="inlineStr">
        <is>
          <t>adjusted xGOT</t>
        </is>
      </c>
      <c r="AA103" s="3" t="n">
        <v>1</v>
      </c>
      <c r="AB103" s="3" t="n">
        <v>1.116</v>
      </c>
      <c r="AC103" s="3" t="n">
        <v>9.199999999999999</v>
      </c>
      <c r="AD103" s="3" t="n">
        <v>0.0242</v>
      </c>
      <c r="AE103" s="3" t="n">
        <v>3.92</v>
      </c>
      <c r="AF103" s="3" t="n">
        <v>0.0002401849979577486</v>
      </c>
      <c r="AG103" s="3" t="n">
        <v>1.0491</v>
      </c>
      <c r="AH103" s="3" t="n">
        <v>44</v>
      </c>
      <c r="AI103" s="3" t="n">
        <v>2.2165</v>
      </c>
      <c r="AJ103" s="3" t="n">
        <v>1.1467</v>
      </c>
      <c r="AK103" s="3" t="n">
        <v>-0.1467446864486378</v>
      </c>
      <c r="AL103" s="6" t="n">
        <v>0</v>
      </c>
      <c r="AM103" s="3" t="n">
        <v>0</v>
      </c>
      <c r="AN103" s="3" t="n">
        <v>2.2692</v>
      </c>
      <c r="AO103" s="3" t="n">
        <v>0.095832</v>
      </c>
      <c r="AP103" s="3">
        <f>N(X103)*N(BI103)</f>
        <v/>
      </c>
      <c r="AQ103" s="3" t="n">
        <v>1.0491</v>
      </c>
      <c r="AR103" s="3" t="n">
        <v>0</v>
      </c>
      <c r="AS103" s="3" t="n">
        <v>-0</v>
      </c>
      <c r="AT103" s="3" t="n">
        <v>-0.1467446864486378</v>
      </c>
      <c r="AU103" s="3">
        <f>SUM(AN103:AT103)</f>
        <v/>
      </c>
      <c r="AV103" s="7">
        <f>IF(OR(N(W103)&lt;=0,N(BG103)=0),0,N(W103)*IF(N(R103)/N(W103)&gt;=60,N(BG103),1))</f>
        <v/>
      </c>
      <c r="AW103" s="7">
        <f>N(W103)*N(AF103)*N(BH103)</f>
        <v/>
      </c>
      <c r="AX103" s="7">
        <f>N(AL103)*(Assumptions!$B$13*N(BJ103)-(1-Assumptions!$B$13)*Assumptions!$B$14)+N(AM103)</f>
        <v/>
      </c>
      <c r="AY103" s="7">
        <f>N(AU103)*N(R103)/90+N(AV103)+N(AW103)+N(AX103)</f>
        <v/>
      </c>
      <c r="AZ103" s="3">
        <f>IF(N(R103)&lt;=0,0,(N(AY103)-N(AX103))*90/N(R103))</f>
        <v/>
      </c>
      <c r="BA103" s="7">
        <f>IFERROR(AY103-VLOOKUP($E103,Assumptions!$A$40:$C$43,3,FALSE),"")</f>
        <v/>
      </c>
      <c r="BB103" s="3">
        <f>IFERROR(BA103/H103,"")</f>
        <v/>
      </c>
      <c r="BC103">
        <f>IF(AND($G103=TRUE,$E103="GKP"),AY103,"")</f>
        <v/>
      </c>
      <c r="BD103">
        <f>IF(AND($G103=TRUE,$E103="DEF"),AY103,"")</f>
        <v/>
      </c>
      <c r="BE103">
        <f>IF(AND($G103=TRUE,$E103="MID"),AY103,"")</f>
        <v/>
      </c>
      <c r="BF103">
        <f>IF(AND($G103=TRUE,$E103="FWD"),AY103,"")</f>
        <v/>
      </c>
      <c r="BG103" t="n">
        <v>2</v>
      </c>
      <c r="BH103" t="n">
        <v>2</v>
      </c>
      <c r="BI103" t="n">
        <v>0</v>
      </c>
      <c r="BJ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s="4" t="n">
        <v>2100</v>
      </c>
      <c r="O104" s="4" t="n">
        <v>-494</v>
      </c>
      <c r="P104" s="5" t="inlineStr">
        <is>
          <t>medium</t>
        </is>
      </c>
      <c r="Q104" t="inlineStr">
        <is>
          <t>flat</t>
        </is>
      </c>
      <c r="R104" s="6" t="n">
        <v>2100</v>
      </c>
      <c r="S104" t="inlineStr">
        <is>
          <t>research</t>
        </is>
      </c>
      <c r="T104" s="5" t="inlineStr">
        <is>
          <t>Solio splits right-back roughly 76/24 in Dalot's favour. Mazraoui started the dress rehearsal against Milan with Dalot only introduced on 61', and Yoro also covered the position in pre-season. Dalot's case is real — Carrick never lost a match with him starting — but the slot is genuinely contested, so the split moves to roughly 62/38. This is paired with the offsetting Mazraoui delta and is close to minutes-neutral for the club.</t>
        </is>
      </c>
      <c r="U104" s="6" t="n">
        <v>85.5</v>
      </c>
      <c r="V104" s="2" t="n">
        <v>29</v>
      </c>
      <c r="W104" s="7">
        <f>IF(N(U104)&lt;=0,0,MIN(Assumptions!$B$15,N(R104)/N(U104)))</f>
        <v/>
      </c>
      <c r="X104" s="6" t="n">
        <v>0.334</v>
      </c>
      <c r="Y104" s="3" t="n">
        <v>0.0527</v>
      </c>
      <c r="Z104" t="inlineStr">
        <is>
          <t>adjusted xGOT</t>
        </is>
      </c>
      <c r="AA104" s="3" t="n">
        <v>1</v>
      </c>
      <c r="AB104" s="3" t="n">
        <v>0.791</v>
      </c>
      <c r="AC104" s="3" t="n">
        <v>8</v>
      </c>
      <c r="AD104" s="3" t="n">
        <v>0.1048</v>
      </c>
      <c r="AE104" s="3" t="n">
        <v>6.528</v>
      </c>
      <c r="AF104" s="3" t="n">
        <v>0.09850051054912889</v>
      </c>
      <c r="AG104" s="3" t="n">
        <v>0.345</v>
      </c>
      <c r="AH104" s="3" t="n">
        <v>62</v>
      </c>
      <c r="AI104" s="3" t="n">
        <v>2.2165</v>
      </c>
      <c r="AJ104" s="3" t="n">
        <v>1.1467</v>
      </c>
      <c r="AK104" s="3" t="n">
        <v>-0.1822064962082101</v>
      </c>
      <c r="AL104" s="6" t="n">
        <v>0</v>
      </c>
      <c r="AM104" s="3" t="n">
        <v>0</v>
      </c>
      <c r="AN104" s="3" t="n">
        <v>0.3162</v>
      </c>
      <c r="AO104" s="3" t="n">
        <v>0.415008</v>
      </c>
      <c r="AP104" s="3">
        <f>N(X104)*N(BI104)</f>
        <v/>
      </c>
      <c r="AQ104" s="3" t="n">
        <v>0.345</v>
      </c>
      <c r="AR104" s="3" t="n">
        <v>0</v>
      </c>
      <c r="AS104" s="3" t="n">
        <v>-0.348580685135232</v>
      </c>
      <c r="AT104" s="3" t="n">
        <v>-0.1822064962082101</v>
      </c>
      <c r="AU104" s="3">
        <f>SUM(AN104:AT104)</f>
        <v/>
      </c>
      <c r="AV104" s="7">
        <f>IF(OR(N(W104)&lt;=0,N(BG104)=0),0,N(W104)*IF(N(R104)/N(W104)&gt;=60,N(BG104),1))</f>
        <v/>
      </c>
      <c r="AW104" s="7">
        <f>N(W104)*N(AF104)*N(BH104)</f>
        <v/>
      </c>
      <c r="AX104" s="7">
        <f>N(AL104)*(Assumptions!$B$13*N(BJ104)-(1-Assumptions!$B$13)*Assumptions!$B$14)+N(AM104)</f>
        <v/>
      </c>
      <c r="AY104" s="7">
        <f>N(AU104)*N(R104)/90+N(AV104)+N(AW104)+N(AX104)</f>
        <v/>
      </c>
      <c r="AZ104" s="3">
        <f>IF(N(R104)&lt;=0,0,(N(AY104)-N(AX104))*90/N(R104))</f>
        <v/>
      </c>
      <c r="BA104" s="7">
        <f>IFERROR(AY104-VLOOKUP($E104,Assumptions!$A$40:$C$43,3,FALSE),"")</f>
        <v/>
      </c>
      <c r="BB104" s="3">
        <f>IFERROR(BA104/H104,"")</f>
        <v/>
      </c>
      <c r="BC104">
        <f>IF(AND($G104=TRUE,$E104="GKP"),AY104,"")</f>
        <v/>
      </c>
      <c r="BD104">
        <f>IF(AND($G104=TRUE,$E104="DEF"),AY104,"")</f>
        <v/>
      </c>
      <c r="BE104">
        <f>IF(AND($G104=TRUE,$E104="MID"),AY104,"")</f>
        <v/>
      </c>
      <c r="BF104">
        <f>IF(AND($G104=TRUE,$E104="FWD"),AY104,"")</f>
        <v/>
      </c>
      <c r="BG104" t="n">
        <v>2</v>
      </c>
      <c r="BH104" t="n">
        <v>2</v>
      </c>
      <c r="BI104" t="n">
        <v>4</v>
      </c>
      <c r="BJ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s="4" t="n">
        <v>2950</v>
      </c>
      <c r="O105" s="4" t="n">
        <v>282</v>
      </c>
      <c r="P105" s="5" t="inlineStr">
        <is>
          <t>medium</t>
        </is>
      </c>
      <c r="Q105" t="inlineStr">
        <is>
          <t>flat</t>
        </is>
      </c>
      <c r="R105" s="6" t="n">
        <v>2950</v>
      </c>
      <c r="S105" t="inlineStr">
        <is>
          <t>research</t>
        </is>
      </c>
      <c r="T105" s="5" t="inlineStr">
        <is>
          <t>Solio drops Hume to 2,668 from the 3,032 he actually played in 2025/26, which implies he loses ground. The evidence points the other way: he started the final pre-season friendly at right-back and scored, and his only direct competition is 34-year-old free signing Thomas Meunier, who was withdrawn at half-time on his debut against Lens. Modest upward move rather than a large one, because the 11 Aug preview did have Meunier starting at right-back with Hume moved forward, so the position is not fully settled.</t>
        </is>
      </c>
      <c r="U105" s="6" t="n">
        <v>86.5</v>
      </c>
      <c r="V105" s="2" t="n">
        <v>34</v>
      </c>
      <c r="W105" s="7">
        <f>IF(N(U105)&lt;=0,0,MIN(Assumptions!$B$15,N(R105)/N(U105)))</f>
        <v/>
      </c>
      <c r="X105" s="6" t="n">
        <v>0.204</v>
      </c>
      <c r="Y105" s="3" t="n">
        <v>0.0669</v>
      </c>
      <c r="Z105" t="inlineStr">
        <is>
          <t>adjusted xGOT</t>
        </is>
      </c>
      <c r="AA105" s="3" t="n">
        <v>1</v>
      </c>
      <c r="AB105" s="3" t="n">
        <v>0.993</v>
      </c>
      <c r="AC105" s="3" t="n">
        <v>2.3</v>
      </c>
      <c r="AD105" s="3" t="n">
        <v>0.0614</v>
      </c>
      <c r="AE105" s="3" t="n">
        <v>6.344</v>
      </c>
      <c r="AF105" s="3" t="n">
        <v>0.09078408556180839</v>
      </c>
      <c r="AG105" s="3" t="n">
        <v>0.1781</v>
      </c>
      <c r="AH105" s="3" t="n">
        <v>70</v>
      </c>
      <c r="AI105" s="3" t="n">
        <v>3.3348</v>
      </c>
      <c r="AJ105" s="3" t="n">
        <v>1.6498</v>
      </c>
      <c r="AK105" s="3" t="n">
        <v>-0.261356914364491</v>
      </c>
      <c r="AL105" s="6" t="n">
        <v>0</v>
      </c>
      <c r="AM105" s="3" t="n">
        <v>0</v>
      </c>
      <c r="AN105" s="3" t="n">
        <v>0.4014</v>
      </c>
      <c r="AO105" s="3" t="n">
        <v>0.243144</v>
      </c>
      <c r="AP105" s="3">
        <f>N(X105)*N(BI105)</f>
        <v/>
      </c>
      <c r="AQ105" s="3" t="n">
        <v>0.1781</v>
      </c>
      <c r="AR105" s="3" t="n">
        <v>0</v>
      </c>
      <c r="AS105" s="3" t="n">
        <v>-0.5841244809045405</v>
      </c>
      <c r="AT105" s="3" t="n">
        <v>-0.261356914364491</v>
      </c>
      <c r="AU105" s="3">
        <f>SUM(AN105:AT105)</f>
        <v/>
      </c>
      <c r="AV105" s="7">
        <f>IF(OR(N(W105)&lt;=0,N(BG105)=0),0,N(W105)*IF(N(R105)/N(W105)&gt;=60,N(BG105),1))</f>
        <v/>
      </c>
      <c r="AW105" s="7">
        <f>N(W105)*N(AF105)*N(BH105)</f>
        <v/>
      </c>
      <c r="AX105" s="7">
        <f>N(AL105)*(Assumptions!$B$13*N(BJ105)-(1-Assumptions!$B$13)*Assumptions!$B$14)+N(AM105)</f>
        <v/>
      </c>
      <c r="AY105" s="7">
        <f>N(AU105)*N(R105)/90+N(AV105)+N(AW105)+N(AX105)</f>
        <v/>
      </c>
      <c r="AZ105" s="3">
        <f>IF(N(R105)&lt;=0,0,(N(AY105)-N(AX105))*90/N(R105))</f>
        <v/>
      </c>
      <c r="BA105" s="7">
        <f>IFERROR(AY105-VLOOKUP($E105,Assumptions!$A$40:$C$43,3,FALSE),"")</f>
        <v/>
      </c>
      <c r="BB105" s="3">
        <f>IFERROR(BA105/H105,"")</f>
        <v/>
      </c>
      <c r="BC105">
        <f>IF(AND($G105=TRUE,$E105="GKP"),AY105,"")</f>
        <v/>
      </c>
      <c r="BD105">
        <f>IF(AND($G105=TRUE,$E105="DEF"),AY105,"")</f>
        <v/>
      </c>
      <c r="BE105">
        <f>IF(AND($G105=TRUE,$E105="MID"),AY105,"")</f>
        <v/>
      </c>
      <c r="BF105">
        <f>IF(AND($G105=TRUE,$E105="FWD"),AY105,"")</f>
        <v/>
      </c>
      <c r="BG105" t="n">
        <v>2</v>
      </c>
      <c r="BH105" t="n">
        <v>2</v>
      </c>
      <c r="BI105" t="n">
        <v>4</v>
      </c>
      <c r="BJ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s="4" t="n">
        <v>2700</v>
      </c>
      <c r="O106" s="4" t="n">
        <v>-640</v>
      </c>
      <c r="P106" s="5" t="inlineStr">
        <is>
          <t>low</t>
        </is>
      </c>
      <c r="Q106" t="inlineStr">
        <is>
          <t>flat</t>
        </is>
      </c>
      <c r="R106" s="6" t="n">
        <v>2700</v>
      </c>
      <c r="S106" t="inlineStr">
        <is>
          <t>research</t>
        </is>
      </c>
      <c r="T106" s="5" t="inlineStr">
        <is>
          <t>Hill did start both friendlies and remains a first-choice centre-back, so this is a trim rather than a demotion. Solio's 3340 is 98% of the position and reads as if Hill inherits Senesi's minutes wholesale; in fact Bournemouth spent c.GBP 25.7m on Antonio Silva and still have a fit Diakite, giving three senior centre-backs for two slots across a Premier League and Europa League double programme.</t>
        </is>
      </c>
      <c r="U106" s="6" t="n">
        <v>87.5</v>
      </c>
      <c r="V106" s="2" t="n">
        <v>22</v>
      </c>
      <c r="W106" s="7">
        <f>IF(N(U106)&lt;=0,0,MIN(Assumptions!$B$15,N(R106)/N(U106)))</f>
        <v/>
      </c>
      <c r="X106" s="6" t="n">
        <v>0.23</v>
      </c>
      <c r="Y106" s="3" t="n">
        <v>0.0345</v>
      </c>
      <c r="Z106" t="inlineStr">
        <is>
          <t>adjusted xGOT</t>
        </is>
      </c>
      <c r="AA106" s="3" t="n">
        <v>1</v>
      </c>
      <c r="AB106" s="3" t="n">
        <v>0.904</v>
      </c>
      <c r="AC106" s="3" t="n">
        <v>1.2</v>
      </c>
      <c r="AD106" s="3" t="n">
        <v>0.0554</v>
      </c>
      <c r="AE106" s="3" t="n">
        <v>10.253</v>
      </c>
      <c r="AF106" s="3" t="n">
        <v>0.5380848172178812</v>
      </c>
      <c r="AG106" s="3" t="n">
        <v>0.1284</v>
      </c>
      <c r="AH106" s="3" t="n">
        <v>52</v>
      </c>
      <c r="AI106" s="3" t="n">
        <v>3.0957</v>
      </c>
      <c r="AJ106" s="3" t="n">
        <v>1.53</v>
      </c>
      <c r="AK106" s="3" t="n">
        <v>-0.2213309023316314</v>
      </c>
      <c r="AL106" s="6" t="n">
        <v>0</v>
      </c>
      <c r="AM106" s="3" t="n">
        <v>0</v>
      </c>
      <c r="AN106" s="3" t="n">
        <v>0.207</v>
      </c>
      <c r="AO106" s="3" t="n">
        <v>0.219384</v>
      </c>
      <c r="AP106" s="3">
        <f>N(X106)*N(BI106)</f>
        <v/>
      </c>
      <c r="AQ106" s="3" t="n">
        <v>0.1284</v>
      </c>
      <c r="AR106" s="3" t="n">
        <v>0</v>
      </c>
      <c r="AS106" s="3" t="n">
        <v>-0.5267219238049191</v>
      </c>
      <c r="AT106" s="3" t="n">
        <v>-0.2213309023316314</v>
      </c>
      <c r="AU106" s="3">
        <f>SUM(AN106:AT106)</f>
        <v/>
      </c>
      <c r="AV106" s="7">
        <f>IF(OR(N(W106)&lt;=0,N(BG106)=0),0,N(W106)*IF(N(R106)/N(W106)&gt;=60,N(BG106),1))</f>
        <v/>
      </c>
      <c r="AW106" s="7">
        <f>N(W106)*N(AF106)*N(BH106)</f>
        <v/>
      </c>
      <c r="AX106" s="7">
        <f>N(AL106)*(Assumptions!$B$13*N(BJ106)-(1-Assumptions!$B$13)*Assumptions!$B$14)+N(AM106)</f>
        <v/>
      </c>
      <c r="AY106" s="7">
        <f>N(AU106)*N(R106)/90+N(AV106)+N(AW106)+N(AX106)</f>
        <v/>
      </c>
      <c r="AZ106" s="3">
        <f>IF(N(R106)&lt;=0,0,(N(AY106)-N(AX106))*90/N(R106))</f>
        <v/>
      </c>
      <c r="BA106" s="7">
        <f>IFERROR(AY106-VLOOKUP($E106,Assumptions!$A$40:$C$43,3,FALSE),"")</f>
        <v/>
      </c>
      <c r="BB106" s="3">
        <f>IFERROR(BA106/H106,"")</f>
        <v/>
      </c>
      <c r="BC106">
        <f>IF(AND($G106=TRUE,$E106="GKP"),AY106,"")</f>
        <v/>
      </c>
      <c r="BD106">
        <f>IF(AND($G106=TRUE,$E106="DEF"),AY106,"")</f>
        <v/>
      </c>
      <c r="BE106">
        <f>IF(AND($G106=TRUE,$E106="MID"),AY106,"")</f>
        <v/>
      </c>
      <c r="BF106">
        <f>IF(AND($G106=TRUE,$E106="FWD"),AY106,"")</f>
        <v/>
      </c>
      <c r="BG106" t="n">
        <v>2</v>
      </c>
      <c r="BH106" t="n">
        <v>2</v>
      </c>
      <c r="BI106" t="n">
        <v>4</v>
      </c>
      <c r="BJ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s="8" t="n">
        <v>3089</v>
      </c>
      <c r="O107" s="8" t="n">
        <v>0</v>
      </c>
      <c r="Q107" t="inlineStr">
        <is>
          <t>flat</t>
        </is>
      </c>
      <c r="R107" s="6" t="n">
        <v>3089</v>
      </c>
      <c r="S107" t="inlineStr">
        <is>
          <t>Solio</t>
        </is>
      </c>
      <c r="U107" s="6" t="n">
        <v>85.7</v>
      </c>
      <c r="V107" s="2" t="n">
        <v>31</v>
      </c>
      <c r="W107" s="7">
        <f>IF(N(U107)&lt;=0,0,MIN(Assumptions!$B$15,N(R107)/N(U107)))</f>
        <v/>
      </c>
      <c r="X107" s="6" t="n">
        <v>0.322</v>
      </c>
      <c r="Y107" s="3" t="n">
        <v>0.0454</v>
      </c>
      <c r="Z107" t="inlineStr">
        <is>
          <t>adjusted xGOT</t>
        </is>
      </c>
      <c r="AA107" s="3" t="n">
        <v>1</v>
      </c>
      <c r="AB107" s="3" t="n">
        <v>0.972</v>
      </c>
      <c r="AC107" s="3" t="n">
        <v>4.4</v>
      </c>
      <c r="AD107" s="3" t="n">
        <v>0.0806</v>
      </c>
      <c r="AE107" s="3" t="n">
        <v>11.125</v>
      </c>
      <c r="AF107" s="3" t="n">
        <v>0.3723262721167817</v>
      </c>
      <c r="AG107" s="3" t="n">
        <v>0.3219</v>
      </c>
      <c r="AH107" s="3" t="n">
        <v>64</v>
      </c>
      <c r="AI107" s="3" t="n">
        <v>2.4232</v>
      </c>
      <c r="AJ107" s="3" t="n">
        <v>1.1851</v>
      </c>
      <c r="AK107" s="3" t="n">
        <v>-0.3233128195628788</v>
      </c>
      <c r="AL107" s="6" t="n">
        <v>0</v>
      </c>
      <c r="AM107" s="3" t="n">
        <v>0</v>
      </c>
      <c r="AN107" s="3" t="n">
        <v>0.227</v>
      </c>
      <c r="AO107" s="3" t="n">
        <v>0.319176</v>
      </c>
      <c r="AP107" s="3">
        <f>N(X107)*N(BI107)</f>
        <v/>
      </c>
      <c r="AQ107" s="3" t="n">
        <v>0.3219</v>
      </c>
      <c r="AR107" s="3" t="n">
        <v>0</v>
      </c>
      <c r="AS107" s="3" t="n">
        <v>-0</v>
      </c>
      <c r="AT107" s="3" t="n">
        <v>-0.3233128195628788</v>
      </c>
      <c r="AU107" s="3">
        <f>SUM(AN107:AT107)</f>
        <v/>
      </c>
      <c r="AV107" s="7">
        <f>IF(OR(N(W107)&lt;=0,N(BG107)=0),0,N(W107)*IF(N(R107)/N(W107)&gt;=60,N(BG107),1))</f>
        <v/>
      </c>
      <c r="AW107" s="7">
        <f>N(W107)*N(AF107)*N(BH107)</f>
        <v/>
      </c>
      <c r="AX107" s="7">
        <f>N(AL107)*(Assumptions!$B$13*N(BJ107)-(1-Assumptions!$B$13)*Assumptions!$B$14)+N(AM107)</f>
        <v/>
      </c>
      <c r="AY107" s="7">
        <f>N(AU107)*N(R107)/90+N(AV107)+N(AW107)+N(AX107)</f>
        <v/>
      </c>
      <c r="AZ107" s="3">
        <f>IF(N(R107)&lt;=0,0,(N(AY107)-N(AX107))*90/N(R107))</f>
        <v/>
      </c>
      <c r="BA107" s="7">
        <f>IFERROR(AY107-VLOOKUP($E107,Assumptions!$A$40:$C$43,3,FALSE),"")</f>
        <v/>
      </c>
      <c r="BB107" s="3">
        <f>IFERROR(BA107/H107,"")</f>
        <v/>
      </c>
      <c r="BC107">
        <f>IF(AND($G107=TRUE,$E107="GKP"),AY107,"")</f>
        <v/>
      </c>
      <c r="BD107">
        <f>IF(AND($G107=TRUE,$E107="DEF"),AY107,"")</f>
        <v/>
      </c>
      <c r="BE107">
        <f>IF(AND($G107=TRUE,$E107="MID"),AY107,"")</f>
        <v/>
      </c>
      <c r="BF107">
        <f>IF(AND($G107=TRUE,$E107="FWD"),AY107,"")</f>
        <v/>
      </c>
      <c r="BG107" t="n">
        <v>2</v>
      </c>
      <c r="BH107" t="n">
        <v>2</v>
      </c>
      <c r="BI107" t="n">
        <v>1</v>
      </c>
      <c r="BJ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s="8" t="n">
        <v>3385</v>
      </c>
      <c r="O108" s="8" t="n">
        <v>0</v>
      </c>
      <c r="Q108" t="inlineStr">
        <is>
          <t>flat</t>
        </is>
      </c>
      <c r="R108" s="6" t="n">
        <v>3385</v>
      </c>
      <c r="S108" t="inlineStr">
        <is>
          <t>Solio</t>
        </is>
      </c>
      <c r="U108" s="6" t="n">
        <v>90</v>
      </c>
      <c r="V108" s="2" t="n">
        <v>32</v>
      </c>
      <c r="W108" s="7">
        <f>IF(N(U108)&lt;=0,0,MIN(Assumptions!$B$15,N(R108)/N(U108)))</f>
        <v/>
      </c>
      <c r="X108" s="6" t="n">
        <v>0.334</v>
      </c>
      <c r="Y108" s="3" t="n">
        <v>0</v>
      </c>
      <c r="Z108" t="inlineStr">
        <is>
          <t>blended xG</t>
        </is>
      </c>
      <c r="AA108" s="3" t="n">
        <v>1</v>
      </c>
      <c r="AB108" s="3" t="n">
        <v>1</v>
      </c>
      <c r="AC108" s="3" t="n">
        <v>0</v>
      </c>
      <c r="AD108" s="3" t="n">
        <v>0</v>
      </c>
      <c r="AE108" s="3" t="n">
        <v>0</v>
      </c>
      <c r="AF108" s="3" t="n">
        <v>0</v>
      </c>
      <c r="AG108" s="3" t="n">
        <v>0.3438</v>
      </c>
      <c r="AH108" s="3" t="n">
        <v>64</v>
      </c>
      <c r="AI108" s="3" t="n">
        <v>2.2165</v>
      </c>
      <c r="AJ108" s="3" t="n">
        <v>1.1467</v>
      </c>
      <c r="AK108" s="3" t="n">
        <v>-0.0274143848760321</v>
      </c>
      <c r="AL108" s="6" t="n">
        <v>0</v>
      </c>
      <c r="AM108" s="3" t="n">
        <v>2.423011666671952</v>
      </c>
      <c r="AN108" s="3" t="n">
        <v>0</v>
      </c>
      <c r="AO108" s="3" t="n">
        <v>0</v>
      </c>
      <c r="AP108" s="3">
        <f>N(X108)*N(BI108)</f>
        <v/>
      </c>
      <c r="AQ108" s="3" t="n">
        <v>0.3438</v>
      </c>
      <c r="AR108" s="3" t="n">
        <v>0.407909225741714</v>
      </c>
      <c r="AS108" s="3" t="n">
        <v>-0.348580685135232</v>
      </c>
      <c r="AT108" s="3" t="n">
        <v>-0.0274143848760321</v>
      </c>
      <c r="AU108" s="3">
        <f>SUM(AN108:AT108)</f>
        <v/>
      </c>
      <c r="AV108" s="7">
        <f>IF(OR(N(W108)&lt;=0,N(BG108)=0),0,N(W108)*IF(N(R108)/N(W108)&gt;=60,N(BG108),1))</f>
        <v/>
      </c>
      <c r="AW108" s="7">
        <f>N(W108)*N(AF108)*N(BH108)</f>
        <v/>
      </c>
      <c r="AX108" s="7">
        <f>N(AL108)*(Assumptions!$B$13*N(BJ108)-(1-Assumptions!$B$13)*Assumptions!$B$14)+N(AM108)</f>
        <v/>
      </c>
      <c r="AY108" s="7">
        <f>N(AU108)*N(R108)/90+N(AV108)+N(AW108)+N(AX108)</f>
        <v/>
      </c>
      <c r="AZ108" s="3">
        <f>IF(N(R108)&lt;=0,0,(N(AY108)-N(AX108))*90/N(R108))</f>
        <v/>
      </c>
      <c r="BA108" s="7">
        <f>IFERROR(AY108-VLOOKUP($E108,Assumptions!$A$40:$C$43,3,FALSE),"")</f>
        <v/>
      </c>
      <c r="BB108" s="3">
        <f>IFERROR(BA108/H108,"")</f>
        <v/>
      </c>
      <c r="BC108">
        <f>IF(AND($G108=TRUE,$E108="GKP"),AY108,"")</f>
        <v/>
      </c>
      <c r="BD108">
        <f>IF(AND($G108=TRUE,$E108="DEF"),AY108,"")</f>
        <v/>
      </c>
      <c r="BE108">
        <f>IF(AND($G108=TRUE,$E108="MID"),AY108,"")</f>
        <v/>
      </c>
      <c r="BF108">
        <f>IF(AND($G108=TRUE,$E108="FWD"),AY108,"")</f>
        <v/>
      </c>
      <c r="BG108" t="n">
        <v>2</v>
      </c>
      <c r="BH108" t="n">
        <v>0</v>
      </c>
      <c r="BI108" t="n">
        <v>4</v>
      </c>
      <c r="BJ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s="8" t="n">
        <v>3272</v>
      </c>
      <c r="O109" s="8" t="n">
        <v>0</v>
      </c>
      <c r="Q109" t="inlineStr">
        <is>
          <t>flat</t>
        </is>
      </c>
      <c r="R109" s="6" t="n">
        <v>3272</v>
      </c>
      <c r="S109" t="inlineStr">
        <is>
          <t>Solio</t>
        </is>
      </c>
      <c r="U109" s="6" t="n">
        <v>87.5</v>
      </c>
      <c r="V109" s="2" t="n">
        <v>33</v>
      </c>
      <c r="W109" s="7">
        <f>IF(N(U109)&lt;=0,0,MIN(Assumptions!$B$15,N(R109)/N(U109)))</f>
        <v/>
      </c>
      <c r="X109" s="6" t="n">
        <v>0.218</v>
      </c>
      <c r="Y109" s="3" t="n">
        <v>0.0477</v>
      </c>
      <c r="Z109" t="inlineStr">
        <is>
          <t>adjusted xGOT</t>
        </is>
      </c>
      <c r="AA109" s="3" t="n">
        <v>1</v>
      </c>
      <c r="AB109" s="3" t="n">
        <v>1.117</v>
      </c>
      <c r="AC109" s="3" t="n">
        <v>1.4</v>
      </c>
      <c r="AD109" s="3" t="n">
        <v>0.0156</v>
      </c>
      <c r="AE109" s="3" t="n">
        <v>8.223000000000001</v>
      </c>
      <c r="AF109" s="3" t="n">
        <v>0.282703885909951</v>
      </c>
      <c r="AG109" s="3" t="n">
        <v>0.122</v>
      </c>
      <c r="AH109" s="3" t="n">
        <v>67</v>
      </c>
      <c r="AI109" s="3" t="n">
        <v>3.0611</v>
      </c>
      <c r="AJ109" s="3" t="n">
        <v>1.5875</v>
      </c>
      <c r="AK109" s="3" t="n">
        <v>-0.1427805549012233</v>
      </c>
      <c r="AL109" s="6" t="n">
        <v>0</v>
      </c>
      <c r="AM109" s="3" t="n">
        <v>0</v>
      </c>
      <c r="AN109" s="3" t="n">
        <v>0.2862</v>
      </c>
      <c r="AO109" s="3" t="n">
        <v>0.061776</v>
      </c>
      <c r="AP109" s="3">
        <f>N(X109)*N(BI109)</f>
        <v/>
      </c>
      <c r="AQ109" s="3" t="n">
        <v>0.122</v>
      </c>
      <c r="AR109" s="3" t="n">
        <v>0</v>
      </c>
      <c r="AS109" s="3" t="n">
        <v>-0.5541985260210861</v>
      </c>
      <c r="AT109" s="3" t="n">
        <v>-0.1427805549012233</v>
      </c>
      <c r="AU109" s="3">
        <f>SUM(AN109:AT109)</f>
        <v/>
      </c>
      <c r="AV109" s="7">
        <f>IF(OR(N(W109)&lt;=0,N(BG109)=0),0,N(W109)*IF(N(R109)/N(W109)&gt;=60,N(BG109),1))</f>
        <v/>
      </c>
      <c r="AW109" s="7">
        <f>N(W109)*N(AF109)*N(BH109)</f>
        <v/>
      </c>
      <c r="AX109" s="7">
        <f>N(AL109)*(Assumptions!$B$13*N(BJ109)-(1-Assumptions!$B$13)*Assumptions!$B$14)+N(AM109)</f>
        <v/>
      </c>
      <c r="AY109" s="7">
        <f>N(AU109)*N(R109)/90+N(AV109)+N(AW109)+N(AX109)</f>
        <v/>
      </c>
      <c r="AZ109" s="3">
        <f>IF(N(R109)&lt;=0,0,(N(AY109)-N(AX109))*90/N(R109))</f>
        <v/>
      </c>
      <c r="BA109" s="7">
        <f>IFERROR(AY109-VLOOKUP($E109,Assumptions!$A$40:$C$43,3,FALSE),"")</f>
        <v/>
      </c>
      <c r="BB109" s="3">
        <f>IFERROR(BA109/H109,"")</f>
        <v/>
      </c>
      <c r="BC109">
        <f>IF(AND($G109=TRUE,$E109="GKP"),AY109,"")</f>
        <v/>
      </c>
      <c r="BD109">
        <f>IF(AND($G109=TRUE,$E109="DEF"),AY109,"")</f>
        <v/>
      </c>
      <c r="BE109">
        <f>IF(AND($G109=TRUE,$E109="MID"),AY109,"")</f>
        <v/>
      </c>
      <c r="BF109">
        <f>IF(AND($G109=TRUE,$E109="FWD"),AY109,"")</f>
        <v/>
      </c>
      <c r="BG109" t="n">
        <v>2</v>
      </c>
      <c r="BH109" t="n">
        <v>2</v>
      </c>
      <c r="BI109" t="n">
        <v>4</v>
      </c>
      <c r="BJ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s="4" t="n">
        <v>1900</v>
      </c>
      <c r="O110" s="4" t="n">
        <v>-329</v>
      </c>
      <c r="P110" s="5" t="inlineStr">
        <is>
          <t>medium</t>
        </is>
      </c>
      <c r="Q110" t="inlineStr">
        <is>
          <t>flat</t>
        </is>
      </c>
      <c r="R110" s="6" t="n">
        <v>1900</v>
      </c>
      <c r="S110" t="inlineStr">
        <is>
          <t>research</t>
        </is>
      </c>
      <c r="T110" s="5" t="inlineStr">
        <is>
          <t>Fitness deficit at the start of the season. Okafor was given an extended summer break after Switzerland's run to the World Cup quarter-finals, reported back late, and got his first pre-season minutes as a half-time substitute on 12 Aug. Farke on 13 Aug: he 'needs time to be there at full fitness', 'it's important he has a proper pre-season' and 'a start at Nottingham comes too soon'. He came off the bench rather than starting the 15 Aug dress rehearsal. He also only managed 1553 minutes last season. The cut is modest because he should be the preferred option once fit.</t>
        </is>
      </c>
      <c r="U110" s="6" t="n">
        <v>74.59999999999999</v>
      </c>
      <c r="V110" s="2" t="n">
        <v>19</v>
      </c>
      <c r="W110" s="7">
        <f>IF(N(U110)&lt;=0,0,MIN(Assumptions!$B$15,N(R110)/N(U110)))</f>
        <v/>
      </c>
      <c r="X110" s="6" t="n">
        <v>0.218</v>
      </c>
      <c r="Y110" s="3" t="n">
        <v>0.3444</v>
      </c>
      <c r="Z110" t="inlineStr">
        <is>
          <t>adjusted xGOT</t>
        </is>
      </c>
      <c r="AA110" s="3" t="n">
        <v>1</v>
      </c>
      <c r="AB110" s="3" t="n">
        <v>1.132</v>
      </c>
      <c r="AC110" s="3" t="n">
        <v>5.2</v>
      </c>
      <c r="AD110" s="3" t="n">
        <v>0.1037</v>
      </c>
      <c r="AE110" s="3" t="n">
        <v>7.191</v>
      </c>
      <c r="AF110" s="3" t="n">
        <v>0.01921749739369616</v>
      </c>
      <c r="AG110" s="3" t="n">
        <v>0.6954</v>
      </c>
      <c r="AH110" s="3" t="n">
        <v>46</v>
      </c>
      <c r="AI110" s="3" t="n">
        <v>3.0611</v>
      </c>
      <c r="AJ110" s="3" t="n">
        <v>1.5875</v>
      </c>
      <c r="AK110" s="3" t="n">
        <v>-0.2027852452278596</v>
      </c>
      <c r="AL110" s="6" t="n">
        <v>0</v>
      </c>
      <c r="AM110" s="3" t="n">
        <v>0</v>
      </c>
      <c r="AN110" s="3" t="n">
        <v>1.722</v>
      </c>
      <c r="AO110" s="3" t="n">
        <v>0.410652</v>
      </c>
      <c r="AP110" s="3">
        <f>N(X110)*N(BI110)</f>
        <v/>
      </c>
      <c r="AQ110" s="3" t="n">
        <v>0.6954</v>
      </c>
      <c r="AR110" s="3" t="n">
        <v>0</v>
      </c>
      <c r="AS110" s="3" t="n">
        <v>-0</v>
      </c>
      <c r="AT110" s="3" t="n">
        <v>-0.2027852452278596</v>
      </c>
      <c r="AU110" s="3">
        <f>SUM(AN110:AT110)</f>
        <v/>
      </c>
      <c r="AV110" s="7">
        <f>IF(OR(N(W110)&lt;=0,N(BG110)=0),0,N(W110)*IF(N(R110)/N(W110)&gt;=60,N(BG110),1))</f>
        <v/>
      </c>
      <c r="AW110" s="7">
        <f>N(W110)*N(AF110)*N(BH110)</f>
        <v/>
      </c>
      <c r="AX110" s="7">
        <f>N(AL110)*(Assumptions!$B$13*N(BJ110)-(1-Assumptions!$B$13)*Assumptions!$B$14)+N(AM110)</f>
        <v/>
      </c>
      <c r="AY110" s="7">
        <f>N(AU110)*N(R110)/90+N(AV110)+N(AW110)+N(AX110)</f>
        <v/>
      </c>
      <c r="AZ110" s="3">
        <f>IF(N(R110)&lt;=0,0,(N(AY110)-N(AX110))*90/N(R110))</f>
        <v/>
      </c>
      <c r="BA110" s="7">
        <f>IFERROR(AY110-VLOOKUP($E110,Assumptions!$A$40:$C$43,3,FALSE),"")</f>
        <v/>
      </c>
      <c r="BB110" s="3">
        <f>IFERROR(BA110/H110,"")</f>
        <v/>
      </c>
      <c r="BC110">
        <f>IF(AND($G110=TRUE,$E110="GKP"),AY110,"")</f>
        <v/>
      </c>
      <c r="BD110">
        <f>IF(AND($G110=TRUE,$E110="DEF"),AY110,"")</f>
        <v/>
      </c>
      <c r="BE110">
        <f>IF(AND($G110=TRUE,$E110="MID"),AY110,"")</f>
        <v/>
      </c>
      <c r="BF110">
        <f>IF(AND($G110=TRUE,$E110="FWD"),AY110,"")</f>
        <v/>
      </c>
      <c r="BG110" t="n">
        <v>2</v>
      </c>
      <c r="BH110" t="n">
        <v>2</v>
      </c>
      <c r="BI110" t="n">
        <v>1</v>
      </c>
      <c r="BJ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s="8" t="n">
        <v>2371</v>
      </c>
      <c r="O111" s="8" t="n">
        <v>0</v>
      </c>
      <c r="Q111" t="inlineStr">
        <is>
          <t>flat</t>
        </is>
      </c>
      <c r="R111" s="6" t="n">
        <v>2371</v>
      </c>
      <c r="S111" t="inlineStr">
        <is>
          <t>Solio</t>
        </is>
      </c>
      <c r="U111" s="6" t="n">
        <v>78.2</v>
      </c>
      <c r="V111" s="2" t="n">
        <v>22</v>
      </c>
      <c r="W111" s="7">
        <f>IF(N(U111)&lt;=0,0,MIN(Assumptions!$B$15,N(R111)/N(U111)))</f>
        <v/>
      </c>
      <c r="X111" s="6" t="n">
        <v>0.391</v>
      </c>
      <c r="Y111" s="3" t="n">
        <v>0.1779</v>
      </c>
      <c r="Z111" t="inlineStr">
        <is>
          <t>adjusted xGOT</t>
        </is>
      </c>
      <c r="AA111" s="3" t="n">
        <v>1</v>
      </c>
      <c r="AB111" s="3" t="n">
        <v>0.998</v>
      </c>
      <c r="AC111" s="3" t="n">
        <v>4.2</v>
      </c>
      <c r="AD111" s="3" t="n">
        <v>0.0373</v>
      </c>
      <c r="AE111" s="3" t="n">
        <v>6.087</v>
      </c>
      <c r="AF111" s="3" t="n">
        <v>0.04355561627628191</v>
      </c>
      <c r="AG111" s="3" t="n">
        <v>0.3182</v>
      </c>
      <c r="AH111" s="3" t="n">
        <v>45</v>
      </c>
      <c r="AI111" s="3" t="n">
        <v>2.067</v>
      </c>
      <c r="AJ111" s="3" t="n">
        <v>0.9838</v>
      </c>
      <c r="AK111" s="3" t="n">
        <v>-0.2709401666718413</v>
      </c>
      <c r="AL111" s="6" t="n">
        <v>0</v>
      </c>
      <c r="AM111" s="3" t="n">
        <v>0</v>
      </c>
      <c r="AN111" s="3" t="n">
        <v>1.0674</v>
      </c>
      <c r="AO111" s="3" t="n">
        <v>0.147708</v>
      </c>
      <c r="AP111" s="3">
        <f>N(X111)*N(BI111)</f>
        <v/>
      </c>
      <c r="AQ111" s="3" t="n">
        <v>0.3182</v>
      </c>
      <c r="AR111" s="3" t="n">
        <v>0</v>
      </c>
      <c r="AS111" s="3" t="n">
        <v>-0.2768479886568037</v>
      </c>
      <c r="AT111" s="3" t="n">
        <v>-0.2709401666718413</v>
      </c>
      <c r="AU111" s="3">
        <f>SUM(AN111:AT111)</f>
        <v/>
      </c>
      <c r="AV111" s="7">
        <f>IF(OR(N(W111)&lt;=0,N(BG111)=0),0,N(W111)*IF(N(R111)/N(W111)&gt;=60,N(BG111),1))</f>
        <v/>
      </c>
      <c r="AW111" s="7">
        <f>N(W111)*N(AF111)*N(BH111)</f>
        <v/>
      </c>
      <c r="AX111" s="7">
        <f>N(AL111)*(Assumptions!$B$13*N(BJ111)-(1-Assumptions!$B$13)*Assumptions!$B$14)+N(AM111)</f>
        <v/>
      </c>
      <c r="AY111" s="7">
        <f>N(AU111)*N(R111)/90+N(AV111)+N(AW111)+N(AX111)</f>
        <v/>
      </c>
      <c r="AZ111" s="3">
        <f>IF(N(R111)&lt;=0,0,(N(AY111)-N(AX111))*90/N(R111))</f>
        <v/>
      </c>
      <c r="BA111" s="7">
        <f>IFERROR(AY111-VLOOKUP($E111,Assumptions!$A$40:$C$43,3,FALSE),"")</f>
        <v/>
      </c>
      <c r="BB111" s="3">
        <f>IFERROR(BA111/H111,"")</f>
        <v/>
      </c>
      <c r="BC111">
        <f>IF(AND($G111=TRUE,$E111="GKP"),AY111,"")</f>
        <v/>
      </c>
      <c r="BD111">
        <f>IF(AND($G111=TRUE,$E111="DEF"),AY111,"")</f>
        <v/>
      </c>
      <c r="BE111">
        <f>IF(AND($G111=TRUE,$E111="MID"),AY111,"")</f>
        <v/>
      </c>
      <c r="BF111">
        <f>IF(AND($G111=TRUE,$E111="FWD"),AY111,"")</f>
        <v/>
      </c>
      <c r="BG111" t="n">
        <v>2</v>
      </c>
      <c r="BH111" t="n">
        <v>2</v>
      </c>
      <c r="BI111" t="n">
        <v>4</v>
      </c>
      <c r="BJ111" t="n">
        <v>6</v>
      </c>
    </row>
    <row r="112">
      <c r="A112" s="9" t="inlineStr">
        <is>
          <t>Pascal Struijk</t>
        </is>
      </c>
      <c r="B112" t="inlineStr">
        <is>
          <t>BHA</t>
        </is>
      </c>
      <c r="C112" s="9" t="inlineStr">
        <is>
          <t>LEE</t>
        </is>
      </c>
      <c r="D112" t="b">
        <v>1</v>
      </c>
      <c r="E112" t="inlineStr">
        <is>
          <t>DEF</t>
        </is>
      </c>
      <c r="F112" t="inlineStr">
        <is>
          <t>DEF</t>
        </is>
      </c>
      <c r="G112" t="b">
        <v>1</v>
      </c>
      <c r="H112" s="2" t="n">
        <v>5</v>
      </c>
      <c r="I112" t="inlineStr">
        <is>
          <t>a</t>
        </is>
      </c>
      <c r="K112" s="2" t="n">
        <v>2935</v>
      </c>
      <c r="L112" t="n">
        <v>108</v>
      </c>
      <c r="M112" s="3" t="n">
        <v>2548</v>
      </c>
      <c r="N112" s="4" t="n">
        <v>1600</v>
      </c>
      <c r="O112" s="4" t="n">
        <v>-948</v>
      </c>
      <c r="P112" s="5" t="inlineStr">
        <is>
          <t>medium</t>
        </is>
      </c>
      <c r="Q112" t="inlineStr">
        <is>
          <t>flat</t>
        </is>
      </c>
      <c r="R112" s="6" t="n">
        <v>1600</v>
      </c>
      <c r="S112" t="inlineStr">
        <is>
          <t>research</t>
        </is>
      </c>
      <c r="T112" s="5" t="inlineStr">
        <is>
          <t>Signed from Leeds on 30 Jun 2026, but appeared in neither August friendly while Vuskovic and Boscagli started both, and FPL added a 'Knock - 75% chance of playing' flag on 2026-08-15. Solio's 2548 is anchored to his 2935 minutes as a Leeds regular; at Brighton he is currently behind two other centre-backs and short of match sharpness. Left with a substantial allocation because five centre-backs across four competitions guarantees him minutes, and the knock is minor.</t>
        </is>
      </c>
      <c r="U112" s="6" t="n">
        <v>88</v>
      </c>
      <c r="V112" s="2" t="n">
        <v>33</v>
      </c>
      <c r="W112" s="7">
        <f>IF(N(U112)&lt;=0,0,MIN(Assumptions!$B$15,N(R112)/N(U112)))</f>
        <v/>
      </c>
      <c r="X112" s="6" t="n">
        <v>0.252</v>
      </c>
      <c r="Y112" s="10" t="n">
        <v>0.0877</v>
      </c>
      <c r="Z112" t="inlineStr">
        <is>
          <t>adjusted xGOT</t>
        </is>
      </c>
      <c r="AA112" s="3" t="n">
        <v>1</v>
      </c>
      <c r="AB112" s="3" t="n">
        <v>0.9350000000000001</v>
      </c>
      <c r="AC112" s="3" t="n">
        <v>4.4</v>
      </c>
      <c r="AD112" s="10" t="n">
        <v>0.0284</v>
      </c>
      <c r="AE112" s="3" t="n">
        <v>8.827</v>
      </c>
      <c r="AF112" s="3" t="n">
        <v>0.3640784637222881</v>
      </c>
      <c r="AG112" s="3" t="n">
        <v>0.1227</v>
      </c>
      <c r="AH112" s="3" t="n">
        <v>66</v>
      </c>
      <c r="AI112" s="3" t="n">
        <v>2.8404</v>
      </c>
      <c r="AJ112" s="3" t="n">
        <v>1.439</v>
      </c>
      <c r="AK112" s="3" t="n">
        <v>-0.1843958430388362</v>
      </c>
      <c r="AL112" s="6" t="n">
        <v>0</v>
      </c>
      <c r="AM112" s="3" t="n">
        <v>0</v>
      </c>
      <c r="AN112" s="10" t="n">
        <v>0.5262</v>
      </c>
      <c r="AO112" s="10" t="n">
        <v>0.112464</v>
      </c>
      <c r="AP112" s="3">
        <f>N(X112)*N(BI112)</f>
        <v/>
      </c>
      <c r="AQ112" s="3" t="n">
        <v>0.1227</v>
      </c>
      <c r="AR112" s="3" t="n">
        <v>0</v>
      </c>
      <c r="AS112" s="3" t="n">
        <v>-0.4835617861760246</v>
      </c>
      <c r="AT112" s="3" t="n">
        <v>-0.1843958430388362</v>
      </c>
      <c r="AU112" s="3">
        <f>SUM(AN112:AT112)</f>
        <v/>
      </c>
      <c r="AV112" s="7">
        <f>IF(OR(N(W112)&lt;=0,N(BG112)=0),0,N(W112)*IF(N(R112)/N(W112)&gt;=60,N(BG112),1))</f>
        <v/>
      </c>
      <c r="AW112" s="7">
        <f>N(W112)*N(AF112)*N(BH112)</f>
        <v/>
      </c>
      <c r="AX112" s="7">
        <f>N(AL112)*(Assumptions!$B$13*N(BJ112)-(1-Assumptions!$B$13)*Assumptions!$B$14)+N(AM112)</f>
        <v/>
      </c>
      <c r="AY112" s="7">
        <f>N(AU112)*N(R112)/90+N(AV112)+N(AW112)+N(AX112)</f>
        <v/>
      </c>
      <c r="AZ112" s="3">
        <f>IF(N(R112)&lt;=0,0,(N(AY112)-N(AX112))*90/N(R112))</f>
        <v/>
      </c>
      <c r="BA112" s="7">
        <f>IFERROR(AY112-VLOOKUP($E112,Assumptions!$A$40:$C$43,3,FALSE),"")</f>
        <v/>
      </c>
      <c r="BB112" s="3">
        <f>IFERROR(BA112/H112,"")</f>
        <v/>
      </c>
      <c r="BC112">
        <f>IF(AND($G112=TRUE,$E112="GKP"),AY112,"")</f>
        <v/>
      </c>
      <c r="BD112">
        <f>IF(AND($G112=TRUE,$E112="DEF"),AY112,"")</f>
        <v/>
      </c>
      <c r="BE112">
        <f>IF(AND($G112=TRUE,$E112="MID"),AY112,"")</f>
        <v/>
      </c>
      <c r="BF112">
        <f>IF(AND($G112=TRUE,$E112="FWD"),AY112,"")</f>
        <v/>
      </c>
      <c r="BG112" t="n">
        <v>2</v>
      </c>
      <c r="BH112" t="n">
        <v>2</v>
      </c>
      <c r="BI112" t="n">
        <v>4</v>
      </c>
      <c r="BJ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s="8" t="n">
        <v>1604</v>
      </c>
      <c r="O113" s="8" t="n">
        <v>0</v>
      </c>
      <c r="Q113" t="inlineStr">
        <is>
          <t>flat</t>
        </is>
      </c>
      <c r="R113" s="6" t="n">
        <v>1604</v>
      </c>
      <c r="S113" t="inlineStr">
        <is>
          <t>Solio</t>
        </is>
      </c>
      <c r="U113" s="6" t="n">
        <v>81.5</v>
      </c>
      <c r="V113" s="2" t="n">
        <v>31</v>
      </c>
      <c r="W113" s="7">
        <f>IF(N(U113)&lt;=0,0,MIN(Assumptions!$B$15,N(R113)/N(U113)))</f>
        <v/>
      </c>
      <c r="X113" s="6" t="n">
        <v>0.342</v>
      </c>
      <c r="Y113" s="3" t="n">
        <v>0.1366</v>
      </c>
      <c r="Z113" t="inlineStr">
        <is>
          <t>adjusted xGOT</t>
        </is>
      </c>
      <c r="AA113" s="3" t="n">
        <v>1</v>
      </c>
      <c r="AB113" s="3" t="n">
        <v>1.036</v>
      </c>
      <c r="AC113" s="3" t="n">
        <v>22.4</v>
      </c>
      <c r="AD113" s="3" t="n">
        <v>0.077</v>
      </c>
      <c r="AE113" s="3" t="n">
        <v>7.939</v>
      </c>
      <c r="AF113" s="3" t="n">
        <v>0.06236315434708062</v>
      </c>
      <c r="AG113" s="3" t="n">
        <v>0.3052</v>
      </c>
      <c r="AH113" s="3" t="n">
        <v>66</v>
      </c>
      <c r="AI113" s="3" t="n">
        <v>2.409</v>
      </c>
      <c r="AJ113" s="3" t="n">
        <v>1.1228</v>
      </c>
      <c r="AK113" s="3" t="n">
        <v>-0.2397524569675943</v>
      </c>
      <c r="AL113" s="6" t="n">
        <v>0.0009846507981227999</v>
      </c>
      <c r="AM113" s="3" t="n">
        <v>0</v>
      </c>
      <c r="AN113" s="3" t="n">
        <v>0.6830000000000001</v>
      </c>
      <c r="AO113" s="3" t="n">
        <v>0.30492</v>
      </c>
      <c r="AP113" s="3">
        <f>N(X113)*N(BI113)</f>
        <v/>
      </c>
      <c r="AQ113" s="3" t="n">
        <v>0.3052</v>
      </c>
      <c r="AR113" s="3" t="n">
        <v>0</v>
      </c>
      <c r="AS113" s="3" t="n">
        <v>-0</v>
      </c>
      <c r="AT113" s="3" t="n">
        <v>-0.2397524569675943</v>
      </c>
      <c r="AU113" s="3">
        <f>SUM(AN113:AT113)</f>
        <v/>
      </c>
      <c r="AV113" s="7">
        <f>IF(OR(N(W113)&lt;=0,N(BG113)=0),0,N(W113)*IF(N(R113)/N(W113)&gt;=60,N(BG113),1))</f>
        <v/>
      </c>
      <c r="AW113" s="7">
        <f>N(W113)*N(AF113)*N(BH113)</f>
        <v/>
      </c>
      <c r="AX113" s="7">
        <f>N(AL113)*(Assumptions!$B$13*N(BJ113)-(1-Assumptions!$B$13)*Assumptions!$B$14)+N(AM113)</f>
        <v/>
      </c>
      <c r="AY113" s="7">
        <f>N(AU113)*N(R113)/90+N(AV113)+N(AW113)+N(AX113)</f>
        <v/>
      </c>
      <c r="AZ113" s="3">
        <f>IF(N(R113)&lt;=0,0,(N(AY113)-N(AX113))*90/N(R113))</f>
        <v/>
      </c>
      <c r="BA113" s="7">
        <f>IFERROR(AY113-VLOOKUP($E113,Assumptions!$A$40:$C$43,3,FALSE),"")</f>
        <v/>
      </c>
      <c r="BB113" s="3">
        <f>IFERROR(BA113/H113,"")</f>
        <v/>
      </c>
      <c r="BC113">
        <f>IF(AND($G113=TRUE,$E113="GKP"),AY113,"")</f>
        <v/>
      </c>
      <c r="BD113">
        <f>IF(AND($G113=TRUE,$E113="DEF"),AY113,"")</f>
        <v/>
      </c>
      <c r="BE113">
        <f>IF(AND($G113=TRUE,$E113="MID"),AY113,"")</f>
        <v/>
      </c>
      <c r="BF113">
        <f>IF(AND($G113=TRUE,$E113="FWD"),AY113,"")</f>
        <v/>
      </c>
      <c r="BG113" t="n">
        <v>2</v>
      </c>
      <c r="BH113" t="n">
        <v>2</v>
      </c>
      <c r="BI113" t="n">
        <v>1</v>
      </c>
      <c r="BJ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s="4" t="n">
        <v>2100</v>
      </c>
      <c r="O114" s="4" t="n">
        <v>-271</v>
      </c>
      <c r="P114" s="5" t="inlineStr">
        <is>
          <t>low</t>
        </is>
      </c>
      <c r="Q114" t="inlineStr">
        <is>
          <t>flat</t>
        </is>
      </c>
      <c r="R114" s="6" t="n">
        <v>2100</v>
      </c>
      <c r="S114" t="inlineStr">
        <is>
          <t>research</t>
        </is>
      </c>
      <c r="T114" s="5" t="inlineStr">
        <is>
          <t>Solio gives him the largest share of the three strikers. The Athletic reported on 14 Jul that Osula, not Woltemade, is the leading No.9 and that Woltemade's system fit is uncertain, and Newcastle told interested clubs he was available for sale this summer. Against that, Jaissle has publicly backed him and started him as the No.10 v Leverkusen, so this is a small trim rather than a demotion.</t>
        </is>
      </c>
      <c r="U114" s="6" t="n">
        <v>74.8</v>
      </c>
      <c r="V114" s="2" t="n">
        <v>24</v>
      </c>
      <c r="W114" s="7">
        <f>IF(N(U114)&lt;=0,0,MIN(Assumptions!$B$15,N(R114)/N(U114)))</f>
        <v/>
      </c>
      <c r="X114" s="6" t="n">
        <v>0.248</v>
      </c>
      <c r="Y114" s="3" t="n">
        <v>0.3095</v>
      </c>
      <c r="Z114" t="inlineStr">
        <is>
          <t>adjusted xGOT</t>
        </is>
      </c>
      <c r="AA114" s="3" t="n">
        <v>0.908</v>
      </c>
      <c r="AB114" s="3" t="n">
        <v>1.09</v>
      </c>
      <c r="AC114" s="3" t="n">
        <v>6.6</v>
      </c>
      <c r="AD114" s="3" t="n">
        <v>0.1052</v>
      </c>
      <c r="AE114" s="3" t="n">
        <v>4.932</v>
      </c>
      <c r="AF114" s="3" t="n">
        <v>0.00112310948056904</v>
      </c>
      <c r="AG114" s="3" t="n">
        <v>0.5696</v>
      </c>
      <c r="AH114" s="3" t="n">
        <v>54</v>
      </c>
      <c r="AI114" s="3" t="n">
        <v>3.0912</v>
      </c>
      <c r="AJ114" s="3" t="n">
        <v>1.4534</v>
      </c>
      <c r="AK114" s="3" t="n">
        <v>-0.08201401674780789</v>
      </c>
      <c r="AL114" s="6" t="n">
        <v>3.329038966319989</v>
      </c>
      <c r="AM114" s="3" t="n">
        <v>0</v>
      </c>
      <c r="AN114" s="3" t="n">
        <v>1.238</v>
      </c>
      <c r="AO114" s="3" t="n">
        <v>0.416592</v>
      </c>
      <c r="AP114" s="3">
        <f>N(X114)*N(BI114)</f>
        <v/>
      </c>
      <c r="AQ114" s="3" t="n">
        <v>0.5696</v>
      </c>
      <c r="AR114" s="3" t="n">
        <v>0</v>
      </c>
      <c r="AS114" s="3" t="n">
        <v>-0</v>
      </c>
      <c r="AT114" s="3" t="n">
        <v>-0.08201401674780789</v>
      </c>
      <c r="AU114" s="3">
        <f>SUM(AN114:AT114)</f>
        <v/>
      </c>
      <c r="AV114" s="7">
        <f>IF(OR(N(W114)&lt;=0,N(BG114)=0),0,N(W114)*IF(N(R114)/N(W114)&gt;=60,N(BG114),1))</f>
        <v/>
      </c>
      <c r="AW114" s="7">
        <f>N(W114)*N(AF114)*N(BH114)</f>
        <v/>
      </c>
      <c r="AX114" s="7">
        <f>N(AL114)*(Assumptions!$B$13*N(BJ114)-(1-Assumptions!$B$13)*Assumptions!$B$14)+N(AM114)</f>
        <v/>
      </c>
      <c r="AY114" s="7">
        <f>N(AU114)*N(R114)/90+N(AV114)+N(AW114)+N(AX114)</f>
        <v/>
      </c>
      <c r="AZ114" s="3">
        <f>IF(N(R114)&lt;=0,0,(N(AY114)-N(AX114))*90/N(R114))</f>
        <v/>
      </c>
      <c r="BA114" s="7">
        <f>IFERROR(AY114-VLOOKUP($E114,Assumptions!$A$40:$C$43,3,FALSE),"")</f>
        <v/>
      </c>
      <c r="BB114" s="3">
        <f>IFERROR(BA114/H114,"")</f>
        <v/>
      </c>
      <c r="BC114">
        <f>IF(AND($G114=TRUE,$E114="GKP"),AY114,"")</f>
        <v/>
      </c>
      <c r="BD114">
        <f>IF(AND($G114=TRUE,$E114="DEF"),AY114,"")</f>
        <v/>
      </c>
      <c r="BE114">
        <f>IF(AND($G114=TRUE,$E114="MID"),AY114,"")</f>
        <v/>
      </c>
      <c r="BF114">
        <f>IF(AND($G114=TRUE,$E114="FWD"),AY114,"")</f>
        <v/>
      </c>
      <c r="BG114" t="n">
        <v>2</v>
      </c>
      <c r="BH114" t="n">
        <v>2</v>
      </c>
      <c r="BI114" t="n">
        <v>0</v>
      </c>
      <c r="BJ114" t="n">
        <v>4</v>
      </c>
    </row>
    <row r="115">
      <c r="A115" s="9" t="inlineStr">
        <is>
          <t>João Gomes</t>
        </is>
      </c>
      <c r="B115" t="inlineStr">
        <is>
          <t>AVL</t>
        </is>
      </c>
      <c r="C115" s="9" t="inlineStr">
        <is>
          <t>WOL</t>
        </is>
      </c>
      <c r="D115" t="b">
        <v>1</v>
      </c>
      <c r="E115" t="inlineStr">
        <is>
          <t>MID</t>
        </is>
      </c>
      <c r="F115" t="inlineStr">
        <is>
          <t>MID</t>
        </is>
      </c>
      <c r="G115" t="b">
        <v>1</v>
      </c>
      <c r="H115" s="2" t="n">
        <v>5.5</v>
      </c>
      <c r="I115" t="inlineStr">
        <is>
          <t>a</t>
        </is>
      </c>
      <c r="K115" s="2" t="n">
        <v>2829</v>
      </c>
      <c r="L115" t="n">
        <v>107</v>
      </c>
      <c r="M115" s="3" t="n">
        <v>3067</v>
      </c>
      <c r="N115" s="4" t="n">
        <v>2770</v>
      </c>
      <c r="O115" s="4" t="n">
        <v>-297</v>
      </c>
      <c r="P115" s="5" t="inlineStr">
        <is>
          <t>high</t>
        </is>
      </c>
      <c r="Q115" t="inlineStr">
        <is>
          <t>ramp-up (injury / late WC return)</t>
        </is>
      </c>
      <c r="R115" s="6" t="n">
        <v>2770</v>
      </c>
      <c r="S115" t="inlineStr">
        <is>
          <t>research</t>
        </is>
      </c>
      <c r="T115" s="5" t="inlineStr">
        <is>
          <t>Picked up a calf/physical issue in the Super Cup on 12 August and is sidelined for 2-4 weeks, so he misses the Brighton opener and probably the Arsenal and following fixtures, then needs a phased return. Roughly three games plus ramp-up.</t>
        </is>
      </c>
      <c r="U115" s="6" t="n">
        <v>84.8</v>
      </c>
      <c r="V115" s="2" t="n">
        <v>32</v>
      </c>
      <c r="W115" s="7">
        <f>IF(N(U115)&lt;=0,0,MIN(Assumptions!$B$15,N(R115)/N(U115)))</f>
        <v/>
      </c>
      <c r="X115" s="6" t="n">
        <v>0.273</v>
      </c>
      <c r="Y115" s="10" t="n">
        <v>0.0395</v>
      </c>
      <c r="Z115" t="inlineStr">
        <is>
          <t>adjusted xGOT</t>
        </is>
      </c>
      <c r="AA115" s="3" t="n">
        <v>1</v>
      </c>
      <c r="AB115" s="3" t="n">
        <v>0.962</v>
      </c>
      <c r="AC115" s="3" t="n">
        <v>6.4</v>
      </c>
      <c r="AD115" s="10" t="n">
        <v>0.0562</v>
      </c>
      <c r="AE115" s="3" t="n">
        <v>11.554</v>
      </c>
      <c r="AF115" s="3" t="n">
        <v>0.4071787964358731</v>
      </c>
      <c r="AG115" s="3" t="n">
        <v>0.1909</v>
      </c>
      <c r="AH115" s="3" t="n">
        <v>66</v>
      </c>
      <c r="AI115" s="3" t="n">
        <v>2.7451</v>
      </c>
      <c r="AJ115" s="3" t="n">
        <v>1.3575</v>
      </c>
      <c r="AK115" s="3" t="n">
        <v>-0.3075560010065471</v>
      </c>
      <c r="AL115" s="6" t="n">
        <v>0</v>
      </c>
      <c r="AM115" s="3" t="n">
        <v>0</v>
      </c>
      <c r="AN115" s="10" t="n">
        <v>0.1975</v>
      </c>
      <c r="AO115" s="10" t="n">
        <v>0.222552</v>
      </c>
      <c r="AP115" s="3">
        <f>N(X115)*N(BI115)</f>
        <v/>
      </c>
      <c r="AQ115" s="3" t="n">
        <v>0.1909</v>
      </c>
      <c r="AR115" s="3" t="n">
        <v>0</v>
      </c>
      <c r="AS115" s="3" t="n">
        <v>-0</v>
      </c>
      <c r="AT115" s="3" t="n">
        <v>-0.3075560010065471</v>
      </c>
      <c r="AU115" s="3">
        <f>SUM(AN115:AT115)</f>
        <v/>
      </c>
      <c r="AV115" s="7">
        <f>IF(OR(N(W115)&lt;=0,N(BG115)=0),0,N(W115)*IF(N(R115)/N(W115)&gt;=60,N(BG115),1))</f>
        <v/>
      </c>
      <c r="AW115" s="7">
        <f>N(W115)*N(AF115)*N(BH115)</f>
        <v/>
      </c>
      <c r="AX115" s="7">
        <f>N(AL115)*(Assumptions!$B$13*N(BJ115)-(1-Assumptions!$B$13)*Assumptions!$B$14)+N(AM115)</f>
        <v/>
      </c>
      <c r="AY115" s="7">
        <f>N(AU115)*N(R115)/90+N(AV115)+N(AW115)+N(AX115)</f>
        <v/>
      </c>
      <c r="AZ115" s="3">
        <f>IF(N(R115)&lt;=0,0,(N(AY115)-N(AX115))*90/N(R115))</f>
        <v/>
      </c>
      <c r="BA115" s="7">
        <f>IFERROR(AY115-VLOOKUP($E115,Assumptions!$A$40:$C$43,3,FALSE),"")</f>
        <v/>
      </c>
      <c r="BB115" s="3">
        <f>IFERROR(BA115/H115,"")</f>
        <v/>
      </c>
      <c r="BC115">
        <f>IF(AND($G115=TRUE,$E115="GKP"),AY115,"")</f>
        <v/>
      </c>
      <c r="BD115">
        <f>IF(AND($G115=TRUE,$E115="DEF"),AY115,"")</f>
        <v/>
      </c>
      <c r="BE115">
        <f>IF(AND($G115=TRUE,$E115="MID"),AY115,"")</f>
        <v/>
      </c>
      <c r="BF115">
        <f>IF(AND($G115=TRUE,$E115="FWD"),AY115,"")</f>
        <v/>
      </c>
      <c r="BG115" t="n">
        <v>2</v>
      </c>
      <c r="BH115" t="n">
        <v>2</v>
      </c>
      <c r="BI115" t="n">
        <v>1</v>
      </c>
      <c r="BJ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s="8" t="n">
        <v>2308</v>
      </c>
      <c r="O116" s="8" t="n">
        <v>0</v>
      </c>
      <c r="Q116" t="inlineStr">
        <is>
          <t>flat</t>
        </is>
      </c>
      <c r="R116" s="6" t="n">
        <v>2308</v>
      </c>
      <c r="S116" t="inlineStr">
        <is>
          <t>Solio</t>
        </is>
      </c>
      <c r="U116" s="6" t="n">
        <v>79.5</v>
      </c>
      <c r="V116" s="2" t="n">
        <v>19</v>
      </c>
      <c r="W116" s="7">
        <f>IF(N(U116)&lt;=0,0,MIN(Assumptions!$B$15,N(R116)/N(U116)))</f>
        <v/>
      </c>
      <c r="X116" s="6" t="n">
        <v>0.248</v>
      </c>
      <c r="Y116" s="3" t="n">
        <v>0.3586</v>
      </c>
      <c r="Z116" t="inlineStr">
        <is>
          <t>adjusted xGOT</t>
        </is>
      </c>
      <c r="AA116" s="3" t="n">
        <v>1</v>
      </c>
      <c r="AB116" s="3" t="n">
        <v>1.136</v>
      </c>
      <c r="AC116" s="3" t="n">
        <v>26.1</v>
      </c>
      <c r="AD116" s="3" t="n">
        <v>0.1344</v>
      </c>
      <c r="AE116" s="3" t="n">
        <v>5.682</v>
      </c>
      <c r="AF116" s="3" t="n">
        <v>0.0056123311710774</v>
      </c>
      <c r="AG116" s="3" t="n">
        <v>0.4613</v>
      </c>
      <c r="AH116" s="3" t="n">
        <v>55</v>
      </c>
      <c r="AI116" s="3" t="n">
        <v>3.0912</v>
      </c>
      <c r="AJ116" s="3" t="n">
        <v>1.4534</v>
      </c>
      <c r="AK116" s="3" t="n">
        <v>-0.1111167177144415</v>
      </c>
      <c r="AL116" s="6" t="n">
        <v>0</v>
      </c>
      <c r="AM116" s="3" t="n">
        <v>0</v>
      </c>
      <c r="AN116" s="3" t="n">
        <v>1.793</v>
      </c>
      <c r="AO116" s="3" t="n">
        <v>0.532224</v>
      </c>
      <c r="AP116" s="3">
        <f>N(X116)*N(BI116)</f>
        <v/>
      </c>
      <c r="AQ116" s="3" t="n">
        <v>0.4613</v>
      </c>
      <c r="AR116" s="3" t="n">
        <v>0</v>
      </c>
      <c r="AS116" s="3" t="n">
        <v>-0</v>
      </c>
      <c r="AT116" s="3" t="n">
        <v>-0.1111167177144415</v>
      </c>
      <c r="AU116" s="3">
        <f>SUM(AN116:AT116)</f>
        <v/>
      </c>
      <c r="AV116" s="7">
        <f>IF(OR(N(W116)&lt;=0,N(BG116)=0),0,N(W116)*IF(N(R116)/N(W116)&gt;=60,N(BG116),1))</f>
        <v/>
      </c>
      <c r="AW116" s="7">
        <f>N(W116)*N(AF116)*N(BH116)</f>
        <v/>
      </c>
      <c r="AX116" s="7">
        <f>N(AL116)*(Assumptions!$B$13*N(BJ116)-(1-Assumptions!$B$13)*Assumptions!$B$14)+N(AM116)</f>
        <v/>
      </c>
      <c r="AY116" s="7">
        <f>N(AU116)*N(R116)/90+N(AV116)+N(AW116)+N(AX116)</f>
        <v/>
      </c>
      <c r="AZ116" s="3">
        <f>IF(N(R116)&lt;=0,0,(N(AY116)-N(AX116))*90/N(R116))</f>
        <v/>
      </c>
      <c r="BA116" s="7">
        <f>IFERROR(AY116-VLOOKUP($E116,Assumptions!$A$40:$C$43,3,FALSE),"")</f>
        <v/>
      </c>
      <c r="BB116" s="3">
        <f>IFERROR(BA116/H116,"")</f>
        <v/>
      </c>
      <c r="BC116">
        <f>IF(AND($G116=TRUE,$E116="GKP"),AY116,"")</f>
        <v/>
      </c>
      <c r="BD116">
        <f>IF(AND($G116=TRUE,$E116="DEF"),AY116,"")</f>
        <v/>
      </c>
      <c r="BE116">
        <f>IF(AND($G116=TRUE,$E116="MID"),AY116,"")</f>
        <v/>
      </c>
      <c r="BF116">
        <f>IF(AND($G116=TRUE,$E116="FWD"),AY116,"")</f>
        <v/>
      </c>
      <c r="BG116" t="n">
        <v>2</v>
      </c>
      <c r="BH116" t="n">
        <v>2</v>
      </c>
      <c r="BI116" t="n">
        <v>1</v>
      </c>
      <c r="BJ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s="4" t="n">
        <v>3250</v>
      </c>
      <c r="O117" s="4" t="n">
        <v>-135</v>
      </c>
      <c r="P117" s="5" t="inlineStr">
        <is>
          <t>medium</t>
        </is>
      </c>
      <c r="Q117" t="inlineStr">
        <is>
          <t>flat</t>
        </is>
      </c>
      <c r="R117" s="6" t="n">
        <v>3250</v>
      </c>
      <c r="S117" t="inlineStr">
        <is>
          <t>research</t>
        </is>
      </c>
      <c r="T117" s="5" t="inlineStr">
        <is>
          <t>Solio gives Sels 99% of available minutes, but he played only 2,667 league minutes in 2025-26 with John Victor taking 437, so Forest have changed keeper mid-season within the last year. Steven Benda was also added on a free on 15 Aug 2026.</t>
        </is>
      </c>
      <c r="U117" s="6" t="n">
        <v>88.8</v>
      </c>
      <c r="V117" s="2" t="n">
        <v>30</v>
      </c>
      <c r="W117" s="7">
        <f>IF(N(U117)&lt;=0,0,MIN(Assumptions!$B$15,N(R117)/N(U117)))</f>
        <v/>
      </c>
      <c r="X117" s="6" t="n">
        <v>0.224</v>
      </c>
      <c r="Y117" s="3" t="n">
        <v>0</v>
      </c>
      <c r="Z117" t="inlineStr">
        <is>
          <t>blended xG</t>
        </is>
      </c>
      <c r="AA117" s="3" t="n">
        <v>1</v>
      </c>
      <c r="AB117" s="3" t="n">
        <v>1</v>
      </c>
      <c r="AC117" s="3" t="n">
        <v>0</v>
      </c>
      <c r="AD117" s="3" t="n">
        <v>0.001</v>
      </c>
      <c r="AE117" s="3" t="n">
        <v>0</v>
      </c>
      <c r="AF117" s="3" t="n">
        <v>0</v>
      </c>
      <c r="AG117" s="3" t="n">
        <v>0.135</v>
      </c>
      <c r="AH117" s="3" t="n">
        <v>60</v>
      </c>
      <c r="AI117" s="3" t="n">
        <v>3.1134</v>
      </c>
      <c r="AJ117" s="3" t="n">
        <v>1.5588</v>
      </c>
      <c r="AK117" s="3" t="n">
        <v>-0.0827884725356831</v>
      </c>
      <c r="AL117" s="6" t="n">
        <v>0</v>
      </c>
      <c r="AM117" s="3" t="n">
        <v>3.293683305840039</v>
      </c>
      <c r="AN117" s="3" t="n">
        <v>0</v>
      </c>
      <c r="AO117" s="3" t="n">
        <v>0.00396</v>
      </c>
      <c r="AP117" s="3">
        <f>N(X117)*N(BI117)</f>
        <v/>
      </c>
      <c r="AQ117" s="3" t="n">
        <v>0.135</v>
      </c>
      <c r="AR117" s="3" t="n">
        <v>0.7024243676191486</v>
      </c>
      <c r="AS117" s="3" t="n">
        <v>-0.5404658182244797</v>
      </c>
      <c r="AT117" s="3" t="n">
        <v>-0.0827884725356831</v>
      </c>
      <c r="AU117" s="3">
        <f>SUM(AN117:AT117)</f>
        <v/>
      </c>
      <c r="AV117" s="7">
        <f>IF(OR(N(W117)&lt;=0,N(BG117)=0),0,N(W117)*IF(N(R117)/N(W117)&gt;=60,N(BG117),1))</f>
        <v/>
      </c>
      <c r="AW117" s="7">
        <f>N(W117)*N(AF117)*N(BH117)</f>
        <v/>
      </c>
      <c r="AX117" s="7">
        <f>N(AL117)*(Assumptions!$B$13*N(BJ117)-(1-Assumptions!$B$13)*Assumptions!$B$14)+N(AM117)</f>
        <v/>
      </c>
      <c r="AY117" s="7">
        <f>N(AU117)*N(R117)/90+N(AV117)+N(AW117)+N(AX117)</f>
        <v/>
      </c>
      <c r="AZ117" s="3">
        <f>IF(N(R117)&lt;=0,0,(N(AY117)-N(AX117))*90/N(R117))</f>
        <v/>
      </c>
      <c r="BA117" s="7">
        <f>IFERROR(AY117-VLOOKUP($E117,Assumptions!$A$40:$C$43,3,FALSE),"")</f>
        <v/>
      </c>
      <c r="BB117" s="3">
        <f>IFERROR(BA117/H117,"")</f>
        <v/>
      </c>
      <c r="BC117">
        <f>IF(AND($G117=TRUE,$E117="GKP"),AY117,"")</f>
        <v/>
      </c>
      <c r="BD117">
        <f>IF(AND($G117=TRUE,$E117="DEF"),AY117,"")</f>
        <v/>
      </c>
      <c r="BE117">
        <f>IF(AND($G117=TRUE,$E117="MID"),AY117,"")</f>
        <v/>
      </c>
      <c r="BF117">
        <f>IF(AND($G117=TRUE,$E117="FWD"),AY117,"")</f>
        <v/>
      </c>
      <c r="BG117" t="n">
        <v>2</v>
      </c>
      <c r="BH117" t="n">
        <v>0</v>
      </c>
      <c r="BI117" t="n">
        <v>4</v>
      </c>
      <c r="BJ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s="8" t="n">
        <v>858</v>
      </c>
      <c r="O118" s="8" t="n">
        <v>0</v>
      </c>
      <c r="Q118" t="inlineStr">
        <is>
          <t>flat</t>
        </is>
      </c>
      <c r="R118" s="6" t="n">
        <v>858</v>
      </c>
      <c r="S118" t="inlineStr">
        <is>
          <t>Solio</t>
        </is>
      </c>
      <c r="U118" s="6" t="n">
        <v>74</v>
      </c>
      <c r="V118" s="2" t="n">
        <v>17</v>
      </c>
      <c r="W118" s="7">
        <f>IF(N(U118)&lt;=0,0,MIN(Assumptions!$B$15,N(R118)/N(U118)))</f>
        <v/>
      </c>
      <c r="X118" s="6" t="n">
        <v>0.231</v>
      </c>
      <c r="Y118" s="3" t="n">
        <v>0.5123</v>
      </c>
      <c r="Z118" t="inlineStr">
        <is>
          <t>adjusted xGOT</t>
        </is>
      </c>
      <c r="AA118" s="3" t="n">
        <v>1</v>
      </c>
      <c r="AB118" s="3" t="n">
        <v>0.992</v>
      </c>
      <c r="AC118" s="3" t="n">
        <v>23.2</v>
      </c>
      <c r="AD118" s="3" t="n">
        <v>0.0358</v>
      </c>
      <c r="AE118" s="3" t="n">
        <v>5.047</v>
      </c>
      <c r="AF118" s="3" t="n">
        <v>0.001243848459158259</v>
      </c>
      <c r="AG118" s="3" t="n">
        <v>0.9284</v>
      </c>
      <c r="AH118" s="3" t="n">
        <v>53</v>
      </c>
      <c r="AI118" s="3" t="n">
        <v>3.0311</v>
      </c>
      <c r="AJ118" s="3" t="n">
        <v>1.5252</v>
      </c>
      <c r="AK118" s="3" t="n">
        <v>-0.1715995153376238</v>
      </c>
      <c r="AL118" s="6" t="n">
        <v>0.0006611948454638</v>
      </c>
      <c r="AM118" s="3" t="n">
        <v>0</v>
      </c>
      <c r="AN118" s="3" t="n">
        <v>2.0492</v>
      </c>
      <c r="AO118" s="3" t="n">
        <v>0.141768</v>
      </c>
      <c r="AP118" s="3">
        <f>N(X118)*N(BI118)</f>
        <v/>
      </c>
      <c r="AQ118" s="3" t="n">
        <v>0.9284</v>
      </c>
      <c r="AR118" s="3" t="n">
        <v>0</v>
      </c>
      <c r="AS118" s="3" t="n">
        <v>-0</v>
      </c>
      <c r="AT118" s="3" t="n">
        <v>-0.1715995153376238</v>
      </c>
      <c r="AU118" s="3">
        <f>SUM(AN118:AT118)</f>
        <v/>
      </c>
      <c r="AV118" s="7">
        <f>IF(OR(N(W118)&lt;=0,N(BG118)=0),0,N(W118)*IF(N(R118)/N(W118)&gt;=60,N(BG118),1))</f>
        <v/>
      </c>
      <c r="AW118" s="7">
        <f>N(W118)*N(AF118)*N(BH118)</f>
        <v/>
      </c>
      <c r="AX118" s="7">
        <f>N(AL118)*(Assumptions!$B$13*N(BJ118)-(1-Assumptions!$B$13)*Assumptions!$B$14)+N(AM118)</f>
        <v/>
      </c>
      <c r="AY118" s="7">
        <f>N(AU118)*N(R118)/90+N(AV118)+N(AW118)+N(AX118)</f>
        <v/>
      </c>
      <c r="AZ118" s="3">
        <f>IF(N(R118)&lt;=0,0,(N(AY118)-N(AX118))*90/N(R118))</f>
        <v/>
      </c>
      <c r="BA118" s="7">
        <f>IFERROR(AY118-VLOOKUP($E118,Assumptions!$A$40:$C$43,3,FALSE),"")</f>
        <v/>
      </c>
      <c r="BB118" s="3">
        <f>IFERROR(BA118/H118,"")</f>
        <v/>
      </c>
      <c r="BC118">
        <f>IF(AND($G118=TRUE,$E118="GKP"),AY118,"")</f>
        <v/>
      </c>
      <c r="BD118">
        <f>IF(AND($G118=TRUE,$E118="DEF"),AY118,"")</f>
        <v/>
      </c>
      <c r="BE118">
        <f>IF(AND($G118=TRUE,$E118="MID"),AY118,"")</f>
        <v/>
      </c>
      <c r="BF118">
        <f>IF(AND($G118=TRUE,$E118="FWD"),AY118,"")</f>
        <v/>
      </c>
      <c r="BG118" t="n">
        <v>2</v>
      </c>
      <c r="BH118" t="n">
        <v>2</v>
      </c>
      <c r="BI118" t="n">
        <v>0</v>
      </c>
      <c r="BJ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s="4" t="n">
        <v>2200</v>
      </c>
      <c r="O119" s="4" t="n">
        <v>-787</v>
      </c>
      <c r="P119" s="5" t="inlineStr">
        <is>
          <t>medium</t>
        </is>
      </c>
      <c r="Q119" t="inlineStr">
        <is>
          <t>flat</t>
        </is>
      </c>
      <c r="R119" s="6" t="n">
        <v>2200</v>
      </c>
      <c r="S119" t="inlineStr">
        <is>
          <t>research</t>
        </is>
      </c>
      <c r="T119" s="5" t="inlineStr">
        <is>
          <t>Solio projects him UP from 2652 to 2987 in the same window that the club spent a club-record fee on a central midfielder in his position. Sangare arrived from Lens on 1 August and started both subsequent friendlies; Yarmoliuk was named among the substitutes for the 15 Aug Frankfurt match while Janelt, Sangare and Jensen started. Transfermarkt also lists an unspecified injury since 23 May 2026. He remains a heavily used squad member, so this is a demotion from near-ever-present to a strong rotation starter, not a benching.</t>
        </is>
      </c>
      <c r="U119" s="6" t="n">
        <v>82</v>
      </c>
      <c r="V119" s="2" t="n">
        <v>30</v>
      </c>
      <c r="W119" s="7">
        <f>IF(N(U119)&lt;=0,0,MIN(Assumptions!$B$15,N(R119)/N(U119)))</f>
        <v/>
      </c>
      <c r="X119" s="6" t="n">
        <v>0.228</v>
      </c>
      <c r="Y119" s="3" t="n">
        <v>0.0403</v>
      </c>
      <c r="Z119" t="inlineStr">
        <is>
          <t>adjusted xGOT</t>
        </is>
      </c>
      <c r="AA119" s="3" t="n">
        <v>1</v>
      </c>
      <c r="AB119" s="3" t="n">
        <v>0.974</v>
      </c>
      <c r="AC119" s="3" t="n">
        <v>2.8</v>
      </c>
      <c r="AD119" s="3" t="n">
        <v>0.0449</v>
      </c>
      <c r="AE119" s="3" t="n">
        <v>10.853</v>
      </c>
      <c r="AF119" s="3" t="n">
        <v>0.2905918371817506</v>
      </c>
      <c r="AG119" s="3" t="n">
        <v>0.0339</v>
      </c>
      <c r="AH119" s="3" t="n">
        <v>66</v>
      </c>
      <c r="AI119" s="3" t="n">
        <v>3.2371</v>
      </c>
      <c r="AJ119" s="3" t="n">
        <v>1.5396</v>
      </c>
      <c r="AK119" s="3" t="n">
        <v>-0.2681475566974504</v>
      </c>
      <c r="AL119" s="6" t="n">
        <v>0</v>
      </c>
      <c r="AM119" s="3" t="n">
        <v>0</v>
      </c>
      <c r="AN119" s="3" t="n">
        <v>0.2015</v>
      </c>
      <c r="AO119" s="3" t="n">
        <v>0.177804</v>
      </c>
      <c r="AP119" s="3">
        <f>N(X119)*N(BI119)</f>
        <v/>
      </c>
      <c r="AQ119" s="3" t="n">
        <v>0.0339</v>
      </c>
      <c r="AR119" s="3" t="n">
        <v>0</v>
      </c>
      <c r="AS119" s="3" t="n">
        <v>-0</v>
      </c>
      <c r="AT119" s="3" t="n">
        <v>-0.2681475566974504</v>
      </c>
      <c r="AU119" s="3">
        <f>SUM(AN119:AT119)</f>
        <v/>
      </c>
      <c r="AV119" s="7">
        <f>IF(OR(N(W119)&lt;=0,N(BG119)=0),0,N(W119)*IF(N(R119)/N(W119)&gt;=60,N(BG119),1))</f>
        <v/>
      </c>
      <c r="AW119" s="7">
        <f>N(W119)*N(AF119)*N(BH119)</f>
        <v/>
      </c>
      <c r="AX119" s="7">
        <f>N(AL119)*(Assumptions!$B$13*N(BJ119)-(1-Assumptions!$B$13)*Assumptions!$B$14)+N(AM119)</f>
        <v/>
      </c>
      <c r="AY119" s="7">
        <f>N(AU119)*N(R119)/90+N(AV119)+N(AW119)+N(AX119)</f>
        <v/>
      </c>
      <c r="AZ119" s="3">
        <f>IF(N(R119)&lt;=0,0,(N(AY119)-N(AX119))*90/N(R119))</f>
        <v/>
      </c>
      <c r="BA119" s="7">
        <f>IFERROR(AY119-VLOOKUP($E119,Assumptions!$A$40:$C$43,3,FALSE),"")</f>
        <v/>
      </c>
      <c r="BB119" s="3">
        <f>IFERROR(BA119/H119,"")</f>
        <v/>
      </c>
      <c r="BC119">
        <f>IF(AND($G119=TRUE,$E119="GKP"),AY119,"")</f>
        <v/>
      </c>
      <c r="BD119">
        <f>IF(AND($G119=TRUE,$E119="DEF"),AY119,"")</f>
        <v/>
      </c>
      <c r="BE119">
        <f>IF(AND($G119=TRUE,$E119="MID"),AY119,"")</f>
        <v/>
      </c>
      <c r="BF119">
        <f>IF(AND($G119=TRUE,$E119="FWD"),AY119,"")</f>
        <v/>
      </c>
      <c r="BG119" t="n">
        <v>2</v>
      </c>
      <c r="BH119" t="n">
        <v>2</v>
      </c>
      <c r="BI119" t="n">
        <v>1</v>
      </c>
      <c r="BJ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s="8" t="n">
        <v>3152</v>
      </c>
      <c r="O120" s="8" t="n">
        <v>0</v>
      </c>
      <c r="Q120" t="inlineStr">
        <is>
          <t>flat</t>
        </is>
      </c>
      <c r="R120" s="6" t="n">
        <v>3152</v>
      </c>
      <c r="S120" t="inlineStr">
        <is>
          <t>Solio</t>
        </is>
      </c>
      <c r="U120" s="6" t="n">
        <v>82.59999999999999</v>
      </c>
      <c r="V120" s="2" t="n">
        <v>29</v>
      </c>
      <c r="W120" s="7">
        <f>IF(N(U120)&lt;=0,0,MIN(Assumptions!$B$15,N(R120)/N(U120)))</f>
        <v/>
      </c>
      <c r="X120" s="6" t="n">
        <v>0.214</v>
      </c>
      <c r="Y120" s="3" t="n">
        <v>0.0848</v>
      </c>
      <c r="Z120" t="inlineStr">
        <is>
          <t>adjusted xGOT</t>
        </is>
      </c>
      <c r="AA120" s="3" t="n">
        <v>1</v>
      </c>
      <c r="AB120" s="3" t="n">
        <v>1.194</v>
      </c>
      <c r="AC120" s="3" t="n">
        <v>14</v>
      </c>
      <c r="AD120" s="3" t="n">
        <v>0.1549</v>
      </c>
      <c r="AE120" s="3" t="n">
        <v>7.355</v>
      </c>
      <c r="AF120" s="3" t="n">
        <v>0.04286042950417901</v>
      </c>
      <c r="AG120" s="3" t="n">
        <v>0.5207000000000001</v>
      </c>
      <c r="AH120" s="3" t="n">
        <v>57</v>
      </c>
      <c r="AI120" s="3" t="n">
        <v>3.22</v>
      </c>
      <c r="AJ120" s="3" t="n">
        <v>1.6019</v>
      </c>
      <c r="AK120" s="3" t="n">
        <v>-0.120440907420585</v>
      </c>
      <c r="AL120" s="6" t="n">
        <v>0.3691433583482733</v>
      </c>
      <c r="AM120" s="3" t="n">
        <v>0</v>
      </c>
      <c r="AN120" s="3" t="n">
        <v>0.424</v>
      </c>
      <c r="AO120" s="3" t="n">
        <v>0.6134040000000001</v>
      </c>
      <c r="AP120" s="3">
        <f>N(X120)*N(BI120)</f>
        <v/>
      </c>
      <c r="AQ120" s="3" t="n">
        <v>0.5207000000000001</v>
      </c>
      <c r="AR120" s="3" t="n">
        <v>0</v>
      </c>
      <c r="AS120" s="3" t="n">
        <v>-0</v>
      </c>
      <c r="AT120" s="3" t="n">
        <v>-0.120440907420585</v>
      </c>
      <c r="AU120" s="3">
        <f>SUM(AN120:AT120)</f>
        <v/>
      </c>
      <c r="AV120" s="7">
        <f>IF(OR(N(W120)&lt;=0,N(BG120)=0),0,N(W120)*IF(N(R120)/N(W120)&gt;=60,N(BG120),1))</f>
        <v/>
      </c>
      <c r="AW120" s="7">
        <f>N(W120)*N(AF120)*N(BH120)</f>
        <v/>
      </c>
      <c r="AX120" s="7">
        <f>N(AL120)*(Assumptions!$B$13*N(BJ120)-(1-Assumptions!$B$13)*Assumptions!$B$14)+N(AM120)</f>
        <v/>
      </c>
      <c r="AY120" s="7">
        <f>N(AU120)*N(R120)/90+N(AV120)+N(AW120)+N(AX120)</f>
        <v/>
      </c>
      <c r="AZ120" s="3">
        <f>IF(N(R120)&lt;=0,0,(N(AY120)-N(AX120))*90/N(R120))</f>
        <v/>
      </c>
      <c r="BA120" s="7">
        <f>IFERROR(AY120-VLOOKUP($E120,Assumptions!$A$40:$C$43,3,FALSE),"")</f>
        <v/>
      </c>
      <c r="BB120" s="3">
        <f>IFERROR(BA120/H120,"")</f>
        <v/>
      </c>
      <c r="BC120">
        <f>IF(AND($G120=TRUE,$E120="GKP"),AY120,"")</f>
        <v/>
      </c>
      <c r="BD120">
        <f>IF(AND($G120=TRUE,$E120="DEF"),AY120,"")</f>
        <v/>
      </c>
      <c r="BE120">
        <f>IF(AND($G120=TRUE,$E120="MID"),AY120,"")</f>
        <v/>
      </c>
      <c r="BF120">
        <f>IF(AND($G120=TRUE,$E120="FWD"),AY120,"")</f>
        <v/>
      </c>
      <c r="BG120" t="n">
        <v>2</v>
      </c>
      <c r="BH120" t="n">
        <v>2</v>
      </c>
      <c r="BI120" t="n">
        <v>1</v>
      </c>
      <c r="BJ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s="8" t="n">
        <v>3141</v>
      </c>
      <c r="O121" s="8" t="n">
        <v>0</v>
      </c>
      <c r="Q121" t="inlineStr">
        <is>
          <t>flat</t>
        </is>
      </c>
      <c r="R121" s="6" t="n">
        <v>3141</v>
      </c>
      <c r="S121" t="inlineStr">
        <is>
          <t>Solio</t>
        </is>
      </c>
      <c r="U121" s="6" t="n">
        <v>88.8</v>
      </c>
      <c r="V121" s="2" t="n">
        <v>28</v>
      </c>
      <c r="W121" s="7">
        <f>IF(N(U121)&lt;=0,0,MIN(Assumptions!$B$15,N(R121)/N(U121)))</f>
        <v/>
      </c>
      <c r="X121" s="6" t="n">
        <v>0.214</v>
      </c>
      <c r="Y121" s="3" t="n">
        <v>0.0564</v>
      </c>
      <c r="Z121" t="inlineStr">
        <is>
          <t>adjusted xGOT</t>
        </is>
      </c>
      <c r="AA121" s="3" t="n">
        <v>1</v>
      </c>
      <c r="AB121" s="3" t="n">
        <v>0.928</v>
      </c>
      <c r="AC121" s="3" t="n">
        <v>3.1</v>
      </c>
      <c r="AD121" s="3" t="n">
        <v>0.0139</v>
      </c>
      <c r="AE121" s="3" t="n">
        <v>7.375</v>
      </c>
      <c r="AF121" s="3" t="n">
        <v>0.1986297417824545</v>
      </c>
      <c r="AG121" s="3" t="n">
        <v>0.3199</v>
      </c>
      <c r="AH121" s="3" t="n">
        <v>58</v>
      </c>
      <c r="AI121" s="3" t="n">
        <v>3.22</v>
      </c>
      <c r="AJ121" s="3" t="n">
        <v>1.6019</v>
      </c>
      <c r="AK121" s="3" t="n">
        <v>-0.204688653168472</v>
      </c>
      <c r="AL121" s="6" t="n">
        <v>0</v>
      </c>
      <c r="AM121" s="3" t="n">
        <v>0</v>
      </c>
      <c r="AN121" s="3" t="n">
        <v>0.3384</v>
      </c>
      <c r="AO121" s="3" t="n">
        <v>0.055044</v>
      </c>
      <c r="AP121" s="3">
        <f>N(X121)*N(BI121)</f>
        <v/>
      </c>
      <c r="AQ121" s="3" t="n">
        <v>0.3199</v>
      </c>
      <c r="AR121" s="3" t="n">
        <v>0</v>
      </c>
      <c r="AS121" s="3" t="n">
        <v>-0.5611019003833156</v>
      </c>
      <c r="AT121" s="3" t="n">
        <v>-0.204688653168472</v>
      </c>
      <c r="AU121" s="3">
        <f>SUM(AN121:AT121)</f>
        <v/>
      </c>
      <c r="AV121" s="7">
        <f>IF(OR(N(W121)&lt;=0,N(BG121)=0),0,N(W121)*IF(N(R121)/N(W121)&gt;=60,N(BG121),1))</f>
        <v/>
      </c>
      <c r="AW121" s="7">
        <f>N(W121)*N(AF121)*N(BH121)</f>
        <v/>
      </c>
      <c r="AX121" s="7">
        <f>N(AL121)*(Assumptions!$B$13*N(BJ121)-(1-Assumptions!$B$13)*Assumptions!$B$14)+N(AM121)</f>
        <v/>
      </c>
      <c r="AY121" s="7">
        <f>N(AU121)*N(R121)/90+N(AV121)+N(AW121)+N(AX121)</f>
        <v/>
      </c>
      <c r="AZ121" s="3">
        <f>IF(N(R121)&lt;=0,0,(N(AY121)-N(AX121))*90/N(R121))</f>
        <v/>
      </c>
      <c r="BA121" s="7">
        <f>IFERROR(AY121-VLOOKUP($E121,Assumptions!$A$40:$C$43,3,FALSE),"")</f>
        <v/>
      </c>
      <c r="BB121" s="3">
        <f>IFERROR(BA121/H121,"")</f>
        <v/>
      </c>
      <c r="BC121">
        <f>IF(AND($G121=TRUE,$E121="GKP"),AY121,"")</f>
        <v/>
      </c>
      <c r="BD121">
        <f>IF(AND($G121=TRUE,$E121="DEF"),AY121,"")</f>
        <v/>
      </c>
      <c r="BE121">
        <f>IF(AND($G121=TRUE,$E121="MID"),AY121,"")</f>
        <v/>
      </c>
      <c r="BF121">
        <f>IF(AND($G121=TRUE,$E121="FWD"),AY121,"")</f>
        <v/>
      </c>
      <c r="BG121" t="n">
        <v>2</v>
      </c>
      <c r="BH121" t="n">
        <v>2</v>
      </c>
      <c r="BI121" t="n">
        <v>4</v>
      </c>
      <c r="BJ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s="8" t="n">
        <v>2844</v>
      </c>
      <c r="O122" s="8" t="n">
        <v>0</v>
      </c>
      <c r="Q122" t="inlineStr">
        <is>
          <t>flat</t>
        </is>
      </c>
      <c r="R122" s="6" t="n">
        <v>2844</v>
      </c>
      <c r="S122" t="inlineStr">
        <is>
          <t>Solio</t>
        </is>
      </c>
      <c r="U122" s="6" t="n">
        <v>76</v>
      </c>
      <c r="V122" s="2" t="n">
        <v>28</v>
      </c>
      <c r="W122" s="7">
        <f>IF(N(U122)&lt;=0,0,MIN(Assumptions!$B$15,N(R122)/N(U122)))</f>
        <v/>
      </c>
      <c r="X122" s="6" t="n">
        <v>0.273</v>
      </c>
      <c r="Y122" s="3" t="n">
        <v>0.1222</v>
      </c>
      <c r="Z122" t="inlineStr">
        <is>
          <t>adjusted xGOT</t>
        </is>
      </c>
      <c r="AA122" s="3" t="n">
        <v>1</v>
      </c>
      <c r="AB122" s="3" t="n">
        <v>0.967</v>
      </c>
      <c r="AC122" s="3" t="n">
        <v>13.5</v>
      </c>
      <c r="AD122" s="3" t="n">
        <v>0.189</v>
      </c>
      <c r="AE122" s="3" t="n">
        <v>6.889</v>
      </c>
      <c r="AF122" s="3" t="n">
        <v>0.01628176959757188</v>
      </c>
      <c r="AG122" s="3" t="n">
        <v>0.2949</v>
      </c>
      <c r="AH122" s="3" t="n">
        <v>55</v>
      </c>
      <c r="AI122" s="3" t="n">
        <v>2.7451</v>
      </c>
      <c r="AJ122" s="3" t="n">
        <v>1.3575</v>
      </c>
      <c r="AK122" s="3" t="n">
        <v>-0.252321156696781</v>
      </c>
      <c r="AL122" s="6" t="n">
        <v>0</v>
      </c>
      <c r="AM122" s="3" t="n">
        <v>0</v>
      </c>
      <c r="AN122" s="3" t="n">
        <v>0.611</v>
      </c>
      <c r="AO122" s="3" t="n">
        <v>0.74844</v>
      </c>
      <c r="AP122" s="3">
        <f>N(X122)*N(BI122)</f>
        <v/>
      </c>
      <c r="AQ122" s="3" t="n">
        <v>0.2949</v>
      </c>
      <c r="AR122" s="3" t="n">
        <v>0</v>
      </c>
      <c r="AS122" s="3" t="n">
        <v>-0</v>
      </c>
      <c r="AT122" s="3" t="n">
        <v>-0.252321156696781</v>
      </c>
      <c r="AU122" s="3">
        <f>SUM(AN122:AT122)</f>
        <v/>
      </c>
      <c r="AV122" s="7">
        <f>IF(OR(N(W122)&lt;=0,N(BG122)=0),0,N(W122)*IF(N(R122)/N(W122)&gt;=60,N(BG122),1))</f>
        <v/>
      </c>
      <c r="AW122" s="7">
        <f>N(W122)*N(AF122)*N(BH122)</f>
        <v/>
      </c>
      <c r="AX122" s="7">
        <f>N(AL122)*(Assumptions!$B$13*N(BJ122)-(1-Assumptions!$B$13)*Assumptions!$B$14)+N(AM122)</f>
        <v/>
      </c>
      <c r="AY122" s="7">
        <f>N(AU122)*N(R122)/90+N(AV122)+N(AW122)+N(AX122)</f>
        <v/>
      </c>
      <c r="AZ122" s="3">
        <f>IF(N(R122)&lt;=0,0,(N(AY122)-N(AX122))*90/N(R122))</f>
        <v/>
      </c>
      <c r="BA122" s="7">
        <f>IFERROR(AY122-VLOOKUP($E122,Assumptions!$A$40:$C$43,3,FALSE),"")</f>
        <v/>
      </c>
      <c r="BB122" s="3">
        <f>IFERROR(BA122/H122,"")</f>
        <v/>
      </c>
      <c r="BC122">
        <f>IF(AND($G122=TRUE,$E122="GKP"),AY122,"")</f>
        <v/>
      </c>
      <c r="BD122">
        <f>IF(AND($G122=TRUE,$E122="DEF"),AY122,"")</f>
        <v/>
      </c>
      <c r="BE122">
        <f>IF(AND($G122=TRUE,$E122="MID"),AY122,"")</f>
        <v/>
      </c>
      <c r="BF122">
        <f>IF(AND($G122=TRUE,$E122="FWD"),AY122,"")</f>
        <v/>
      </c>
      <c r="BG122" t="n">
        <v>2</v>
      </c>
      <c r="BH122" t="n">
        <v>2</v>
      </c>
      <c r="BI122" t="n">
        <v>1</v>
      </c>
      <c r="BJ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s="8" t="n">
        <v>2776</v>
      </c>
      <c r="O123" s="8" t="n">
        <v>0</v>
      </c>
      <c r="Q123" t="inlineStr">
        <is>
          <t>flat</t>
        </is>
      </c>
      <c r="R123" s="6" t="n">
        <v>2776</v>
      </c>
      <c r="S123" t="inlineStr">
        <is>
          <t>Solio</t>
        </is>
      </c>
      <c r="U123" s="6" t="n">
        <v>71.8</v>
      </c>
      <c r="V123" s="2" t="n">
        <v>21</v>
      </c>
      <c r="W123" s="7">
        <f>IF(N(U123)&lt;=0,0,MIN(Assumptions!$B$15,N(R123)/N(U123)))</f>
        <v/>
      </c>
      <c r="X123" s="6" t="n">
        <v>0.273</v>
      </c>
      <c r="Y123" s="3" t="n">
        <v>0.157</v>
      </c>
      <c r="Z123" t="inlineStr">
        <is>
          <t>adjusted xGOT</t>
        </is>
      </c>
      <c r="AA123" s="3" t="n">
        <v>1</v>
      </c>
      <c r="AB123" s="3" t="n">
        <v>0.905</v>
      </c>
      <c r="AC123" s="3" t="n">
        <v>10.4</v>
      </c>
      <c r="AD123" s="3" t="n">
        <v>0.1503</v>
      </c>
      <c r="AE123" s="3" t="n">
        <v>9.667</v>
      </c>
      <c r="AF123" s="3" t="n">
        <v>0.09227044983751365</v>
      </c>
      <c r="AG123" s="3" t="n">
        <v>0.5134</v>
      </c>
      <c r="AH123" s="3" t="n">
        <v>51</v>
      </c>
      <c r="AI123" s="3" t="n">
        <v>2.7451</v>
      </c>
      <c r="AJ123" s="3" t="n">
        <v>1.3575</v>
      </c>
      <c r="AK123" s="3" t="n">
        <v>-0.2880579955741491</v>
      </c>
      <c r="AL123" s="6" t="n">
        <v>4.201881467969086</v>
      </c>
      <c r="AM123" s="3" t="n">
        <v>0</v>
      </c>
      <c r="AN123" s="3" t="n">
        <v>0.785</v>
      </c>
      <c r="AO123" s="3" t="n">
        <v>0.5951879999999999</v>
      </c>
      <c r="AP123" s="3">
        <f>N(X123)*N(BI123)</f>
        <v/>
      </c>
      <c r="AQ123" s="3" t="n">
        <v>0.5134</v>
      </c>
      <c r="AR123" s="3" t="n">
        <v>0</v>
      </c>
      <c r="AS123" s="3" t="n">
        <v>-0</v>
      </c>
      <c r="AT123" s="3" t="n">
        <v>-0.2880579955741491</v>
      </c>
      <c r="AU123" s="3">
        <f>SUM(AN123:AT123)</f>
        <v/>
      </c>
      <c r="AV123" s="7">
        <f>IF(OR(N(W123)&lt;=0,N(BG123)=0),0,N(W123)*IF(N(R123)/N(W123)&gt;=60,N(BG123),1))</f>
        <v/>
      </c>
      <c r="AW123" s="7">
        <f>N(W123)*N(AF123)*N(BH123)</f>
        <v/>
      </c>
      <c r="AX123" s="7">
        <f>N(AL123)*(Assumptions!$B$13*N(BJ123)-(1-Assumptions!$B$13)*Assumptions!$B$14)+N(AM123)</f>
        <v/>
      </c>
      <c r="AY123" s="7">
        <f>N(AU123)*N(R123)/90+N(AV123)+N(AW123)+N(AX123)</f>
        <v/>
      </c>
      <c r="AZ123" s="3">
        <f>IF(N(R123)&lt;=0,0,(N(AY123)-N(AX123))*90/N(R123))</f>
        <v/>
      </c>
      <c r="BA123" s="7">
        <f>IFERROR(AY123-VLOOKUP($E123,Assumptions!$A$40:$C$43,3,FALSE),"")</f>
        <v/>
      </c>
      <c r="BB123" s="3">
        <f>IFERROR(BA123/H123,"")</f>
        <v/>
      </c>
      <c r="BC123">
        <f>IF(AND($G123=TRUE,$E123="GKP"),AY123,"")</f>
        <v/>
      </c>
      <c r="BD123">
        <f>IF(AND($G123=TRUE,$E123="DEF"),AY123,"")</f>
        <v/>
      </c>
      <c r="BE123">
        <f>IF(AND($G123=TRUE,$E123="MID"),AY123,"")</f>
        <v/>
      </c>
      <c r="BF123">
        <f>IF(AND($G123=TRUE,$E123="FWD"),AY123,"")</f>
        <v/>
      </c>
      <c r="BG123" t="n">
        <v>2</v>
      </c>
      <c r="BH123" t="n">
        <v>2</v>
      </c>
      <c r="BI123" t="n">
        <v>1</v>
      </c>
      <c r="BJ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s="4" t="n">
        <v>3050</v>
      </c>
      <c r="O124" s="4" t="n">
        <v>-290</v>
      </c>
      <c r="P124" s="5" t="inlineStr">
        <is>
          <t>medium</t>
        </is>
      </c>
      <c r="Q124" t="inlineStr">
        <is>
          <t>flat</t>
        </is>
      </c>
      <c r="R124" s="6" t="n">
        <v>3050</v>
      </c>
      <c r="S124" t="inlineStr">
        <is>
          <t>research</t>
        </is>
      </c>
      <c r="T124" s="5" t="inlineStr">
        <is>
          <t>Played to England's World Cup third-place playoff on 19 July, was given four weeks off by Emery plus an extra week, and only returned to training in the week of 10 August. No pre-season minutes, missed the Super Cup. Emery said explicitly he is managing the load of the World Cup returnees. Set close to his actual 3,035 from 2025/26 rather than above it.</t>
        </is>
      </c>
      <c r="U124" s="6" t="n">
        <v>89</v>
      </c>
      <c r="V124" s="2" t="n">
        <v>33</v>
      </c>
      <c r="W124" s="7">
        <f>IF(N(U124)&lt;=0,0,MIN(Assumptions!$B$15,N(R124)/N(U124)))</f>
        <v/>
      </c>
      <c r="X124" s="6" t="n">
        <v>0.273</v>
      </c>
      <c r="Y124" s="3" t="n">
        <v>0.0313</v>
      </c>
      <c r="Z124" t="inlineStr">
        <is>
          <t>adjusted xGOT</t>
        </is>
      </c>
      <c r="AA124" s="3" t="n">
        <v>1</v>
      </c>
      <c r="AB124" s="3" t="n">
        <v>0.831</v>
      </c>
      <c r="AC124" s="3" t="n">
        <v>6.2</v>
      </c>
      <c r="AD124" s="3" t="n">
        <v>0.0177</v>
      </c>
      <c r="AE124" s="3" t="n">
        <v>6.171</v>
      </c>
      <c r="AF124" s="3" t="n">
        <v>0.09115589374114308</v>
      </c>
      <c r="AG124" s="3" t="n">
        <v>0.1186</v>
      </c>
      <c r="AH124" s="3" t="n">
        <v>68</v>
      </c>
      <c r="AI124" s="3" t="n">
        <v>2.7451</v>
      </c>
      <c r="AJ124" s="3" t="n">
        <v>1.3575</v>
      </c>
      <c r="AK124" s="3" t="n">
        <v>-0.0879156393384785</v>
      </c>
      <c r="AL124" s="6" t="n">
        <v>0</v>
      </c>
      <c r="AM124" s="3" t="n">
        <v>0</v>
      </c>
      <c r="AN124" s="3" t="n">
        <v>0.1878</v>
      </c>
      <c r="AO124" s="3" t="n">
        <v>0.070092</v>
      </c>
      <c r="AP124" s="3">
        <f>N(X124)*N(BI124)</f>
        <v/>
      </c>
      <c r="AQ124" s="3" t="n">
        <v>0.1186</v>
      </c>
      <c r="AR124" s="3" t="n">
        <v>0</v>
      </c>
      <c r="AS124" s="3" t="n">
        <v>-0.4453012382517575</v>
      </c>
      <c r="AT124" s="3" t="n">
        <v>-0.0879156393384785</v>
      </c>
      <c r="AU124" s="3">
        <f>SUM(AN124:AT124)</f>
        <v/>
      </c>
      <c r="AV124" s="7">
        <f>IF(OR(N(W124)&lt;=0,N(BG124)=0),0,N(W124)*IF(N(R124)/N(W124)&gt;=60,N(BG124),1))</f>
        <v/>
      </c>
      <c r="AW124" s="7">
        <f>N(W124)*N(AF124)*N(BH124)</f>
        <v/>
      </c>
      <c r="AX124" s="7">
        <f>N(AL124)*(Assumptions!$B$13*N(BJ124)-(1-Assumptions!$B$13)*Assumptions!$B$14)+N(AM124)</f>
        <v/>
      </c>
      <c r="AY124" s="7">
        <f>N(AU124)*N(R124)/90+N(AV124)+N(AW124)+N(AX124)</f>
        <v/>
      </c>
      <c r="AZ124" s="3">
        <f>IF(N(R124)&lt;=0,0,(N(AY124)-N(AX124))*90/N(R124))</f>
        <v/>
      </c>
      <c r="BA124" s="7">
        <f>IFERROR(AY124-VLOOKUP($E124,Assumptions!$A$40:$C$43,3,FALSE),"")</f>
        <v/>
      </c>
      <c r="BB124" s="3">
        <f>IFERROR(BA124/H124,"")</f>
        <v/>
      </c>
      <c r="BC124">
        <f>IF(AND($G124=TRUE,$E124="GKP"),AY124,"")</f>
        <v/>
      </c>
      <c r="BD124">
        <f>IF(AND($G124=TRUE,$E124="DEF"),AY124,"")</f>
        <v/>
      </c>
      <c r="BE124">
        <f>IF(AND($G124=TRUE,$E124="MID"),AY124,"")</f>
        <v/>
      </c>
      <c r="BF124">
        <f>IF(AND($G124=TRUE,$E124="FWD"),AY124,"")</f>
        <v/>
      </c>
      <c r="BG124" t="n">
        <v>2</v>
      </c>
      <c r="BH124" t="n">
        <v>2</v>
      </c>
      <c r="BI124" t="n">
        <v>4</v>
      </c>
      <c r="BJ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s="4" t="n">
        <v>1000</v>
      </c>
      <c r="O125" s="4" t="n">
        <v>-898</v>
      </c>
      <c r="P125" s="5" t="inlineStr">
        <is>
          <t>medium</t>
        </is>
      </c>
      <c r="Q125" t="inlineStr">
        <is>
          <t>flat</t>
        </is>
      </c>
      <c r="R125" s="6" t="n">
        <v>1000</v>
      </c>
      <c r="S125" t="inlineStr">
        <is>
          <t>research</t>
        </is>
      </c>
      <c r="T125" s="5" t="inlineStr">
        <is>
          <t>Came off the BENCH in both August friendlies (on at 45' v Roma, on at 66' v Bologna) while Vuskovic and Boscagli started. We Are Brighton's centre-back analysis (11 Aug) concludes this scenario 'would likely relegate Lewis Dunk to cup competitions'. He turns 35 in November and Brighton spent roughly GBP 65m on Vuskovic, Struijk and Svoboda this summer after selling van Hecke. Retained a meaningful figure because he is club captain and injuries in a five-CB group are certain.</t>
        </is>
      </c>
      <c r="U125" s="6" t="n">
        <v>88.90000000000001</v>
      </c>
      <c r="V125" s="2" t="n">
        <v>31</v>
      </c>
      <c r="W125" s="7">
        <f>IF(N(U125)&lt;=0,0,MIN(Assumptions!$B$15,N(R125)/N(U125)))</f>
        <v/>
      </c>
      <c r="X125" s="6" t="n">
        <v>0.252</v>
      </c>
      <c r="Y125" s="3" t="n">
        <v>0.0518</v>
      </c>
      <c r="Z125" t="inlineStr">
        <is>
          <t>adjusted xGOT</t>
        </is>
      </c>
      <c r="AA125" s="3" t="n">
        <v>1</v>
      </c>
      <c r="AB125" s="3" t="n">
        <v>0.893</v>
      </c>
      <c r="AC125" s="3" t="n">
        <v>7.5</v>
      </c>
      <c r="AD125" s="3" t="n">
        <v>0.0175</v>
      </c>
      <c r="AE125" s="3" t="n">
        <v>7.4</v>
      </c>
      <c r="AF125" s="3" t="n">
        <v>0.2022284073503849</v>
      </c>
      <c r="AG125" s="3" t="n">
        <v>0.1586</v>
      </c>
      <c r="AH125" s="3" t="n">
        <v>64</v>
      </c>
      <c r="AI125" s="3" t="n">
        <v>2.8404</v>
      </c>
      <c r="AJ125" s="3" t="n">
        <v>1.439</v>
      </c>
      <c r="AK125" s="3" t="n">
        <v>-0.2684546345789187</v>
      </c>
      <c r="AL125" s="6" t="n">
        <v>0</v>
      </c>
      <c r="AM125" s="3" t="n">
        <v>0</v>
      </c>
      <c r="AN125" s="3" t="n">
        <v>0.3108</v>
      </c>
      <c r="AO125" s="3" t="n">
        <v>0.06930000000000001</v>
      </c>
      <c r="AP125" s="3">
        <f>N(X125)*N(BI125)</f>
        <v/>
      </c>
      <c r="AQ125" s="3" t="n">
        <v>0.1586</v>
      </c>
      <c r="AR125" s="3" t="n">
        <v>0</v>
      </c>
      <c r="AS125" s="3" t="n">
        <v>-0.4835617861760246</v>
      </c>
      <c r="AT125" s="3" t="n">
        <v>-0.2684546345789187</v>
      </c>
      <c r="AU125" s="3">
        <f>SUM(AN125:AT125)</f>
        <v/>
      </c>
      <c r="AV125" s="7">
        <f>IF(OR(N(W125)&lt;=0,N(BG125)=0),0,N(W125)*IF(N(R125)/N(W125)&gt;=60,N(BG125),1))</f>
        <v/>
      </c>
      <c r="AW125" s="7">
        <f>N(W125)*N(AF125)*N(BH125)</f>
        <v/>
      </c>
      <c r="AX125" s="7">
        <f>N(AL125)*(Assumptions!$B$13*N(BJ125)-(1-Assumptions!$B$13)*Assumptions!$B$14)+N(AM125)</f>
        <v/>
      </c>
      <c r="AY125" s="7">
        <f>N(AU125)*N(R125)/90+N(AV125)+N(AW125)+N(AX125)</f>
        <v/>
      </c>
      <c r="AZ125" s="3">
        <f>IF(N(R125)&lt;=0,0,(N(AY125)-N(AX125))*90/N(R125))</f>
        <v/>
      </c>
      <c r="BA125" s="7">
        <f>IFERROR(AY125-VLOOKUP($E125,Assumptions!$A$40:$C$43,3,FALSE),"")</f>
        <v/>
      </c>
      <c r="BB125" s="3">
        <f>IFERROR(BA125/H125,"")</f>
        <v/>
      </c>
      <c r="BC125">
        <f>IF(AND($G125=TRUE,$E125="GKP"),AY125,"")</f>
        <v/>
      </c>
      <c r="BD125">
        <f>IF(AND($G125=TRUE,$E125="DEF"),AY125,"")</f>
        <v/>
      </c>
      <c r="BE125">
        <f>IF(AND($G125=TRUE,$E125="MID"),AY125,"")</f>
        <v/>
      </c>
      <c r="BF125">
        <f>IF(AND($G125=TRUE,$E125="FWD"),AY125,"")</f>
        <v/>
      </c>
      <c r="BG125" t="n">
        <v>2</v>
      </c>
      <c r="BH125" t="n">
        <v>2</v>
      </c>
      <c r="BI125" t="n">
        <v>4</v>
      </c>
      <c r="BJ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s="4" t="n">
        <v>2500</v>
      </c>
      <c r="O126" s="4" t="n">
        <v>454</v>
      </c>
      <c r="P126" s="5" t="inlineStr">
        <is>
          <t>medium</t>
        </is>
      </c>
      <c r="Q126" t="inlineStr">
        <is>
          <t>flat</t>
        </is>
      </c>
      <c r="R126" s="6" t="n">
        <v>2500</v>
      </c>
      <c r="S126" t="inlineStr">
        <is>
          <t>research</t>
        </is>
      </c>
      <c r="T126" s="5" t="inlineStr">
        <is>
          <t>Solio appears to be carrying forward last season's 1888 minutes, which were suppressed by rotation with Pascal Struijk. Struijk has been sold to Brighton (Transfermarkt: EUR 23.2m; Wikipedia: GBP 15m), removing a direct competitor for the third centre-back slot. Bijol started the final friendly in the back three alongside Rodon and Muharemovic, and the only other senior centre-back, Bornauw, is being courted by HSV. Held back from a full starter's allocation because Elvedi's arrival is reported close.</t>
        </is>
      </c>
      <c r="U126" s="6" t="n">
        <v>85.3</v>
      </c>
      <c r="V126" s="2" t="n">
        <v>21</v>
      </c>
      <c r="W126" s="7">
        <f>IF(N(U126)&lt;=0,0,MIN(Assumptions!$B$15,N(R126)/N(U126)))</f>
        <v/>
      </c>
      <c r="X126" s="6" t="n">
        <v>0.218</v>
      </c>
      <c r="Y126" s="3" t="n">
        <v>0.0424</v>
      </c>
      <c r="Z126" t="inlineStr">
        <is>
          <t>adjusted xGOT</t>
        </is>
      </c>
      <c r="AA126" s="3" t="n">
        <v>1</v>
      </c>
      <c r="AB126" s="3" t="n">
        <v>0.989</v>
      </c>
      <c r="AC126" s="3" t="n">
        <v>0.9</v>
      </c>
      <c r="AD126" s="3" t="n">
        <v>0.0512</v>
      </c>
      <c r="AE126" s="3" t="n">
        <v>9.679</v>
      </c>
      <c r="AF126" s="3" t="n">
        <v>0.4354441515097367</v>
      </c>
      <c r="AG126" s="3" t="n">
        <v>0.143</v>
      </c>
      <c r="AH126" s="3" t="n">
        <v>46</v>
      </c>
      <c r="AI126" s="3" t="n">
        <v>3.0611</v>
      </c>
      <c r="AJ126" s="3" t="n">
        <v>1.5875</v>
      </c>
      <c r="AK126" s="3" t="n">
        <v>-0.2086948344647888</v>
      </c>
      <c r="AL126" s="6" t="n">
        <v>0</v>
      </c>
      <c r="AM126" s="3" t="n">
        <v>0</v>
      </c>
      <c r="AN126" s="3" t="n">
        <v>0.2544</v>
      </c>
      <c r="AO126" s="3" t="n">
        <v>0.202752</v>
      </c>
      <c r="AP126" s="3">
        <f>N(X126)*N(BI126)</f>
        <v/>
      </c>
      <c r="AQ126" s="3" t="n">
        <v>0.143</v>
      </c>
      <c r="AR126" s="3" t="n">
        <v>0</v>
      </c>
      <c r="AS126" s="3" t="n">
        <v>-0.5541985260210861</v>
      </c>
      <c r="AT126" s="3" t="n">
        <v>-0.2086948344647888</v>
      </c>
      <c r="AU126" s="3">
        <f>SUM(AN126:AT126)</f>
        <v/>
      </c>
      <c r="AV126" s="7">
        <f>IF(OR(N(W126)&lt;=0,N(BG126)=0),0,N(W126)*IF(N(R126)/N(W126)&gt;=60,N(BG126),1))</f>
        <v/>
      </c>
      <c r="AW126" s="7">
        <f>N(W126)*N(AF126)*N(BH126)</f>
        <v/>
      </c>
      <c r="AX126" s="7">
        <f>N(AL126)*(Assumptions!$B$13*N(BJ126)-(1-Assumptions!$B$13)*Assumptions!$B$14)+N(AM126)</f>
        <v/>
      </c>
      <c r="AY126" s="7">
        <f>N(AU126)*N(R126)/90+N(AV126)+N(AW126)+N(AX126)</f>
        <v/>
      </c>
      <c r="AZ126" s="3">
        <f>IF(N(R126)&lt;=0,0,(N(AY126)-N(AX126))*90/N(R126))</f>
        <v/>
      </c>
      <c r="BA126" s="7">
        <f>IFERROR(AY126-VLOOKUP($E126,Assumptions!$A$40:$C$43,3,FALSE),"")</f>
        <v/>
      </c>
      <c r="BB126" s="3">
        <f>IFERROR(BA126/H126,"")</f>
        <v/>
      </c>
      <c r="BC126">
        <f>IF(AND($G126=TRUE,$E126="GKP"),AY126,"")</f>
        <v/>
      </c>
      <c r="BD126">
        <f>IF(AND($G126=TRUE,$E126="DEF"),AY126,"")</f>
        <v/>
      </c>
      <c r="BE126">
        <f>IF(AND($G126=TRUE,$E126="MID"),AY126,"")</f>
        <v/>
      </c>
      <c r="BF126">
        <f>IF(AND($G126=TRUE,$E126="FWD"),AY126,"")</f>
        <v/>
      </c>
      <c r="BG126" t="n">
        <v>2</v>
      </c>
      <c r="BH126" t="n">
        <v>2</v>
      </c>
      <c r="BI126" t="n">
        <v>4</v>
      </c>
      <c r="BJ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s="4" t="n">
        <v>2000</v>
      </c>
      <c r="O127" s="4" t="n">
        <v>598</v>
      </c>
      <c r="P127" s="5" t="inlineStr">
        <is>
          <t>medium</t>
        </is>
      </c>
      <c r="Q127" t="inlineStr">
        <is>
          <t>fade (losing his place)</t>
        </is>
      </c>
      <c r="R127" s="6" t="n">
        <v>2000</v>
      </c>
      <c r="S127" t="inlineStr">
        <is>
          <t>research</t>
        </is>
      </c>
      <c r="T127" s="5" t="inlineStr">
        <is>
          <t>Solio flags 'fade (losing his place)' and cuts him from 1921 minutes to 1402, but he started in central midfield in both August friendlies and scored twice against Roma. Sports Mole's 14 Aug team news names him and Gross as the expected pivot. Capped at 2000 rather than higher because Baleba returns from an ankle injury around 23 Aug and directly competes for the same slot.</t>
        </is>
      </c>
      <c r="U127" s="6" t="n">
        <v>84.3</v>
      </c>
      <c r="V127" s="2" t="n">
        <v>20</v>
      </c>
      <c r="W127" s="7">
        <f>IF(N(U127)&lt;=0,0,MIN(Assumptions!$B$15,N(R127)/N(U127)))</f>
        <v/>
      </c>
      <c r="X127" s="6" t="n">
        <v>0.252</v>
      </c>
      <c r="Y127" s="3" t="n">
        <v>0.1272</v>
      </c>
      <c r="Z127" t="inlineStr">
        <is>
          <t>adjusted xGOT</t>
        </is>
      </c>
      <c r="AA127" s="3" t="n">
        <v>1</v>
      </c>
      <c r="AB127" s="3" t="n">
        <v>1.005</v>
      </c>
      <c r="AC127" s="3" t="n">
        <v>5.2</v>
      </c>
      <c r="AD127" s="3" t="n">
        <v>0.0598</v>
      </c>
      <c r="AE127" s="3" t="n">
        <v>10.006</v>
      </c>
      <c r="AF127" s="3" t="n">
        <v>0.234529238374678</v>
      </c>
      <c r="AG127" s="3" t="n">
        <v>0.328</v>
      </c>
      <c r="AH127" s="3" t="n">
        <v>49</v>
      </c>
      <c r="AI127" s="3" t="n">
        <v>2.8404</v>
      </c>
      <c r="AJ127" s="3" t="n">
        <v>1.439</v>
      </c>
      <c r="AK127" s="3" t="n">
        <v>-0.1474051509917553</v>
      </c>
      <c r="AL127" s="6" t="n">
        <v>0</v>
      </c>
      <c r="AM127" s="3" t="n">
        <v>0</v>
      </c>
      <c r="AN127" s="3" t="n">
        <v>0.636</v>
      </c>
      <c r="AO127" s="3" t="n">
        <v>0.236808</v>
      </c>
      <c r="AP127" s="3">
        <f>N(X127)*N(BI127)</f>
        <v/>
      </c>
      <c r="AQ127" s="3" t="n">
        <v>0.328</v>
      </c>
      <c r="AR127" s="3" t="n">
        <v>0</v>
      </c>
      <c r="AS127" s="3" t="n">
        <v>-0</v>
      </c>
      <c r="AT127" s="3" t="n">
        <v>-0.1474051509917553</v>
      </c>
      <c r="AU127" s="3">
        <f>SUM(AN127:AT127)</f>
        <v/>
      </c>
      <c r="AV127" s="7">
        <f>IF(OR(N(W127)&lt;=0,N(BG127)=0),0,N(W127)*IF(N(R127)/N(W127)&gt;=60,N(BG127),1))</f>
        <v/>
      </c>
      <c r="AW127" s="7">
        <f>N(W127)*N(AF127)*N(BH127)</f>
        <v/>
      </c>
      <c r="AX127" s="7">
        <f>N(AL127)*(Assumptions!$B$13*N(BJ127)-(1-Assumptions!$B$13)*Assumptions!$B$14)+N(AM127)</f>
        <v/>
      </c>
      <c r="AY127" s="7">
        <f>N(AU127)*N(R127)/90+N(AV127)+N(AW127)+N(AX127)</f>
        <v/>
      </c>
      <c r="AZ127" s="3">
        <f>IF(N(R127)&lt;=0,0,(N(AY127)-N(AX127))*90/N(R127))</f>
        <v/>
      </c>
      <c r="BA127" s="7">
        <f>IFERROR(AY127-VLOOKUP($E127,Assumptions!$A$40:$C$43,3,FALSE),"")</f>
        <v/>
      </c>
      <c r="BB127" s="3">
        <f>IFERROR(BA127/H127,"")</f>
        <v/>
      </c>
      <c r="BC127">
        <f>IF(AND($G127=TRUE,$E127="GKP"),AY127,"")</f>
        <v/>
      </c>
      <c r="BD127">
        <f>IF(AND($G127=TRUE,$E127="DEF"),AY127,"")</f>
        <v/>
      </c>
      <c r="BE127">
        <f>IF(AND($G127=TRUE,$E127="MID"),AY127,"")</f>
        <v/>
      </c>
      <c r="BF127">
        <f>IF(AND($G127=TRUE,$E127="FWD"),AY127,"")</f>
        <v/>
      </c>
      <c r="BG127" t="n">
        <v>2</v>
      </c>
      <c r="BH127" t="n">
        <v>2</v>
      </c>
      <c r="BI127" t="n">
        <v>1</v>
      </c>
      <c r="BJ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s="8" t="n">
        <v>1573</v>
      </c>
      <c r="O128" s="8" t="n">
        <v>0</v>
      </c>
      <c r="Q128" t="inlineStr">
        <is>
          <t>flat</t>
        </is>
      </c>
      <c r="R128" s="6" t="n">
        <v>1573</v>
      </c>
      <c r="S128" t="inlineStr">
        <is>
          <t>Solio</t>
        </is>
      </c>
      <c r="U128" s="6" t="n">
        <v>81</v>
      </c>
      <c r="V128" s="2" t="n">
        <v>26</v>
      </c>
      <c r="W128" s="7">
        <f>IF(N(U128)&lt;=0,0,MIN(Assumptions!$B$15,N(R128)/N(U128)))</f>
        <v/>
      </c>
      <c r="X128" s="6" t="n">
        <v>0.228</v>
      </c>
      <c r="Y128" s="3" t="n">
        <v>0.0882</v>
      </c>
      <c r="Z128" t="inlineStr">
        <is>
          <t>adjusted xGOT</t>
        </is>
      </c>
      <c r="AA128" s="3" t="n">
        <v>1</v>
      </c>
      <c r="AB128" s="3" t="n">
        <v>0.993</v>
      </c>
      <c r="AC128" s="3" t="n">
        <v>5.5</v>
      </c>
      <c r="AD128" s="3" t="n">
        <v>0.229</v>
      </c>
      <c r="AE128" s="3" t="n">
        <v>8.778</v>
      </c>
      <c r="AF128" s="3" t="n">
        <v>0.1048545787035969</v>
      </c>
      <c r="AG128" s="3" t="n">
        <v>0.0402</v>
      </c>
      <c r="AH128" s="3" t="n">
        <v>62</v>
      </c>
      <c r="AI128" s="3" t="n">
        <v>3.2371</v>
      </c>
      <c r="AJ128" s="3" t="n">
        <v>1.5396</v>
      </c>
      <c r="AK128" s="3" t="n">
        <v>-0.1834293757151458</v>
      </c>
      <c r="AL128" s="6" t="n">
        <v>0.0228187842591649</v>
      </c>
      <c r="AM128" s="3" t="n">
        <v>0</v>
      </c>
      <c r="AN128" s="3" t="n">
        <v>0.441</v>
      </c>
      <c r="AO128" s="3" t="n">
        <v>0.9068400000000001</v>
      </c>
      <c r="AP128" s="3">
        <f>N(X128)*N(BI128)</f>
        <v/>
      </c>
      <c r="AQ128" s="3" t="n">
        <v>0.0402</v>
      </c>
      <c r="AR128" s="3" t="n">
        <v>0</v>
      </c>
      <c r="AS128" s="3" t="n">
        <v>-0</v>
      </c>
      <c r="AT128" s="3" t="n">
        <v>-0.1834293757151458</v>
      </c>
      <c r="AU128" s="3">
        <f>SUM(AN128:AT128)</f>
        <v/>
      </c>
      <c r="AV128" s="7">
        <f>IF(OR(N(W128)&lt;=0,N(BG128)=0),0,N(W128)*IF(N(R128)/N(W128)&gt;=60,N(BG128),1))</f>
        <v/>
      </c>
      <c r="AW128" s="7">
        <f>N(W128)*N(AF128)*N(BH128)</f>
        <v/>
      </c>
      <c r="AX128" s="7">
        <f>N(AL128)*(Assumptions!$B$13*N(BJ128)-(1-Assumptions!$B$13)*Assumptions!$B$14)+N(AM128)</f>
        <v/>
      </c>
      <c r="AY128" s="7">
        <f>N(AU128)*N(R128)/90+N(AV128)+N(AW128)+N(AX128)</f>
        <v/>
      </c>
      <c r="AZ128" s="3">
        <f>IF(N(R128)&lt;=0,0,(N(AY128)-N(AX128))*90/N(R128))</f>
        <v/>
      </c>
      <c r="BA128" s="7">
        <f>IFERROR(AY128-VLOOKUP($E128,Assumptions!$A$40:$C$43,3,FALSE),"")</f>
        <v/>
      </c>
      <c r="BB128" s="3">
        <f>IFERROR(BA128/H128,"")</f>
        <v/>
      </c>
      <c r="BC128">
        <f>IF(AND($G128=TRUE,$E128="GKP"),AY128,"")</f>
        <v/>
      </c>
      <c r="BD128">
        <f>IF(AND($G128=TRUE,$E128="DEF"),AY128,"")</f>
        <v/>
      </c>
      <c r="BE128">
        <f>IF(AND($G128=TRUE,$E128="MID"),AY128,"")</f>
        <v/>
      </c>
      <c r="BF128">
        <f>IF(AND($G128=TRUE,$E128="FWD"),AY128,"")</f>
        <v/>
      </c>
      <c r="BG128" t="n">
        <v>2</v>
      </c>
      <c r="BH128" t="n">
        <v>2</v>
      </c>
      <c r="BI128" t="n">
        <v>1</v>
      </c>
      <c r="BJ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s="8" t="n">
        <v>2605</v>
      </c>
      <c r="O129" s="8" t="n">
        <v>0</v>
      </c>
      <c r="Q129" t="inlineStr">
        <is>
          <t>flat</t>
        </is>
      </c>
      <c r="R129" s="6" t="n">
        <v>2605</v>
      </c>
      <c r="S129" t="inlineStr">
        <is>
          <t>Solio</t>
        </is>
      </c>
      <c r="U129" s="6" t="n">
        <v>76.5</v>
      </c>
      <c r="V129" s="2" t="n">
        <v>26</v>
      </c>
      <c r="W129" s="7">
        <f>IF(N(U129)&lt;=0,0,MIN(Assumptions!$B$15,N(R129)/N(U129)))</f>
        <v/>
      </c>
      <c r="X129" s="6" t="n">
        <v>0.252</v>
      </c>
      <c r="Y129" s="3" t="n">
        <v>0.2396</v>
      </c>
      <c r="Z129" t="inlineStr">
        <is>
          <t>adjusted xGOT</t>
        </is>
      </c>
      <c r="AA129" s="3" t="n">
        <v>1</v>
      </c>
      <c r="AB129" s="3" t="n">
        <v>0.903</v>
      </c>
      <c r="AC129" s="3" t="n">
        <v>7.1</v>
      </c>
      <c r="AD129" s="3" t="n">
        <v>0.081</v>
      </c>
      <c r="AE129" s="3" t="n">
        <v>9.727</v>
      </c>
      <c r="AF129" s="3" t="n">
        <v>0.132230453556892</v>
      </c>
      <c r="AG129" s="3" t="n">
        <v>0.3826</v>
      </c>
      <c r="AH129" s="3" t="n">
        <v>55</v>
      </c>
      <c r="AI129" s="3" t="n">
        <v>2.8404</v>
      </c>
      <c r="AJ129" s="3" t="n">
        <v>1.439</v>
      </c>
      <c r="AK129" s="3" t="n">
        <v>-0.300781752368114</v>
      </c>
      <c r="AL129" s="6" t="n">
        <v>0</v>
      </c>
      <c r="AM129" s="3" t="n">
        <v>0</v>
      </c>
      <c r="AN129" s="3" t="n">
        <v>1.198</v>
      </c>
      <c r="AO129" s="3" t="n">
        <v>0.32076</v>
      </c>
      <c r="AP129" s="3">
        <f>N(X129)*N(BI129)</f>
        <v/>
      </c>
      <c r="AQ129" s="3" t="n">
        <v>0.3826</v>
      </c>
      <c r="AR129" s="3" t="n">
        <v>0</v>
      </c>
      <c r="AS129" s="3" t="n">
        <v>-0</v>
      </c>
      <c r="AT129" s="3" t="n">
        <v>-0.300781752368114</v>
      </c>
      <c r="AU129" s="3">
        <f>SUM(AN129:AT129)</f>
        <v/>
      </c>
      <c r="AV129" s="7">
        <f>IF(OR(N(W129)&lt;=0,N(BG129)=0),0,N(W129)*IF(N(R129)/N(W129)&gt;=60,N(BG129),1))</f>
        <v/>
      </c>
      <c r="AW129" s="7">
        <f>N(W129)*N(AF129)*N(BH129)</f>
        <v/>
      </c>
      <c r="AX129" s="7">
        <f>N(AL129)*(Assumptions!$B$13*N(BJ129)-(1-Assumptions!$B$13)*Assumptions!$B$14)+N(AM129)</f>
        <v/>
      </c>
      <c r="AY129" s="7">
        <f>N(AU129)*N(R129)/90+N(AV129)+N(AW129)+N(AX129)</f>
        <v/>
      </c>
      <c r="AZ129" s="3">
        <f>IF(N(R129)&lt;=0,0,(N(AY129)-N(AX129))*90/N(R129))</f>
        <v/>
      </c>
      <c r="BA129" s="7">
        <f>IFERROR(AY129-VLOOKUP($E129,Assumptions!$A$40:$C$43,3,FALSE),"")</f>
        <v/>
      </c>
      <c r="BB129" s="3">
        <f>IFERROR(BA129/H129,"")</f>
        <v/>
      </c>
      <c r="BC129">
        <f>IF(AND($G129=TRUE,$E129="GKP"),AY129,"")</f>
        <v/>
      </c>
      <c r="BD129">
        <f>IF(AND($G129=TRUE,$E129="DEF"),AY129,"")</f>
        <v/>
      </c>
      <c r="BE129">
        <f>IF(AND($G129=TRUE,$E129="MID"),AY129,"")</f>
        <v/>
      </c>
      <c r="BF129">
        <f>IF(AND($G129=TRUE,$E129="FWD"),AY129,"")</f>
        <v/>
      </c>
      <c r="BG129" t="n">
        <v>2</v>
      </c>
      <c r="BH129" t="n">
        <v>2</v>
      </c>
      <c r="BI129" t="n">
        <v>1</v>
      </c>
      <c r="BJ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N130" s="4" t="n">
        <v>0</v>
      </c>
      <c r="O130" s="4" t="n">
        <v>-1842</v>
      </c>
      <c r="P130" s="5" t="inlineStr">
        <is>
          <t>high</t>
        </is>
      </c>
      <c r="R130" s="6" t="n">
        <v>0</v>
      </c>
      <c r="S130" t="inlineStr">
        <is>
          <t>research</t>
        </is>
      </c>
      <c r="T130" s="5" t="inlineStr">
        <is>
          <t>Left the club. Digne joined Paris Saint-Germain permanently for GBP 8.5m on 9 August 2026. Note the data artefact: his solio_xmins is exactly equal to his 2025/26 minutes and his pattern field is null, unlike every other player in the squad, so this is a back-filled prior-season figure rather than a Solio projection. Removing it is what reconciles Solio's 39,425 total with the club's real 37,620-minute budget.</t>
        </is>
      </c>
      <c r="U130" s="6" t="n">
        <v>82.09999999999999</v>
      </c>
      <c r="V130" s="2" t="n">
        <v>21</v>
      </c>
      <c r="W130" s="7">
        <f>IF(N(U130)&lt;=0,0,MIN(Assumptions!$B$15,N(R130)/N(U130)))</f>
        <v/>
      </c>
      <c r="X130" s="6" t="n">
        <v>0.273</v>
      </c>
      <c r="Y130" s="3" t="n">
        <v>0.0331</v>
      </c>
      <c r="Z130" t="inlineStr">
        <is>
          <t>adjusted xGOT</t>
        </is>
      </c>
      <c r="AA130" s="3" t="n">
        <v>1</v>
      </c>
      <c r="AB130" s="3" t="n">
        <v>1.01</v>
      </c>
      <c r="AC130" s="3" t="n">
        <v>2.9</v>
      </c>
      <c r="AD130" s="3" t="n">
        <v>0.1547</v>
      </c>
      <c r="AE130" s="3" t="n">
        <v>6.129</v>
      </c>
      <c r="AF130" s="3" t="n">
        <v>0.05863514018157512</v>
      </c>
      <c r="AG130" s="3" t="n">
        <v>0.1954</v>
      </c>
      <c r="AH130" s="3" t="n">
        <v>50</v>
      </c>
      <c r="AI130" s="3" t="n">
        <v>2.7451</v>
      </c>
      <c r="AJ130" s="3" t="n">
        <v>1.3575</v>
      </c>
      <c r="AK130" s="3" t="n">
        <v>-0.1984538561379551</v>
      </c>
      <c r="AL130" s="6" t="n">
        <v>0</v>
      </c>
      <c r="AM130" s="3" t="n">
        <v>0</v>
      </c>
      <c r="AN130" s="3" t="n">
        <v>0.1986</v>
      </c>
      <c r="AO130" s="3" t="n">
        <v>0.612612</v>
      </c>
      <c r="AP130" s="3">
        <f>N(X130)*N(BI130)</f>
        <v/>
      </c>
      <c r="AQ130" s="3" t="n">
        <v>0.1954</v>
      </c>
      <c r="AR130" s="3" t="n">
        <v>0</v>
      </c>
      <c r="AS130" s="3" t="n">
        <v>-0.4453012382517575</v>
      </c>
      <c r="AT130" s="3" t="n">
        <v>-0.1984538561379551</v>
      </c>
      <c r="AU130" s="3">
        <f>SUM(AN130:AT130)</f>
        <v/>
      </c>
      <c r="AV130" s="7">
        <f>IF(OR(N(W130)&lt;=0,N(BG130)=0),0,N(W130)*IF(N(R130)/N(W130)&gt;=60,N(BG130),1))</f>
        <v/>
      </c>
      <c r="AW130" s="7">
        <f>N(W130)*N(AF130)*N(BH130)</f>
        <v/>
      </c>
      <c r="AX130" s="7">
        <f>N(AL130)*(Assumptions!$B$13*N(BJ130)-(1-Assumptions!$B$13)*Assumptions!$B$14)+N(AM130)</f>
        <v/>
      </c>
      <c r="AY130" s="7">
        <f>N(AU130)*N(R130)/90+N(AV130)+N(AW130)+N(AX130)</f>
        <v/>
      </c>
      <c r="AZ130" s="3">
        <f>IF(N(R130)&lt;=0,0,(N(AY130)-N(AX130))*90/N(R130))</f>
        <v/>
      </c>
      <c r="BA130" s="7">
        <f>IFERROR(AY130-VLOOKUP($E130,Assumptions!$A$40:$C$43,3,FALSE),"")</f>
        <v/>
      </c>
      <c r="BB130" s="3">
        <f>IFERROR(BA130/H130,"")</f>
        <v/>
      </c>
      <c r="BC130">
        <f>IF(AND($G130=TRUE,$E130="GKP"),AY130,"")</f>
        <v/>
      </c>
      <c r="BD130">
        <f>IF(AND($G130=TRUE,$E130="DEF"),AY130,"")</f>
        <v/>
      </c>
      <c r="BE130">
        <f>IF(AND($G130=TRUE,$E130="MID"),AY130,"")</f>
        <v/>
      </c>
      <c r="BF130">
        <f>IF(AND($G130=TRUE,$E130="FWD"),AY130,"")</f>
        <v/>
      </c>
      <c r="BG130" t="n">
        <v>2</v>
      </c>
      <c r="BH130" t="n">
        <v>2</v>
      </c>
      <c r="BI130" t="n">
        <v>4</v>
      </c>
      <c r="BJ130" t="n">
        <v>6</v>
      </c>
    </row>
    <row r="131">
      <c r="A131" s="9" t="inlineStr">
        <is>
          <t>Martin Dúbravka</t>
        </is>
      </c>
      <c r="B131" t="inlineStr">
        <is>
          <t>TOT</t>
        </is>
      </c>
      <c r="C131" s="9" t="inlineStr">
        <is>
          <t>BUR</t>
        </is>
      </c>
      <c r="D131" t="b">
        <v>1</v>
      </c>
      <c r="E131" t="inlineStr">
        <is>
          <t>GKP</t>
        </is>
      </c>
      <c r="F131" t="inlineStr">
        <is>
          <t>GKP</t>
        </is>
      </c>
      <c r="G131" t="b">
        <v>1</v>
      </c>
      <c r="H131" s="2" t="n">
        <v>4</v>
      </c>
      <c r="I131" t="inlineStr">
        <is>
          <t>a</t>
        </is>
      </c>
      <c r="K131" s="2" t="n">
        <v>3150</v>
      </c>
      <c r="L131" t="n">
        <v>96</v>
      </c>
      <c r="M131" s="3" t="n">
        <v>35</v>
      </c>
      <c r="N131" s="8" t="n">
        <v>35</v>
      </c>
      <c r="O131" s="8" t="n">
        <v>0</v>
      </c>
      <c r="Q131" t="inlineStr">
        <is>
          <t>flat</t>
        </is>
      </c>
      <c r="R131" s="6" t="n">
        <v>35</v>
      </c>
      <c r="S131" t="inlineStr">
        <is>
          <t>Solio</t>
        </is>
      </c>
      <c r="U131" s="6" t="n">
        <v>90</v>
      </c>
      <c r="V131" s="2" t="n">
        <v>35</v>
      </c>
      <c r="W131" s="7">
        <f>IF(N(U131)&lt;=0,0,MIN(Assumptions!$B$15,N(R131)/N(U131)))</f>
        <v/>
      </c>
      <c r="X131" s="6" t="n">
        <v>0.286</v>
      </c>
      <c r="Y131" s="10" t="n">
        <v>0</v>
      </c>
      <c r="Z131" t="inlineStr">
        <is>
          <t>blended xG</t>
        </is>
      </c>
      <c r="AA131" s="3" t="n">
        <v>1</v>
      </c>
      <c r="AB131" s="3" t="n">
        <v>1</v>
      </c>
      <c r="AC131" s="3" t="n">
        <v>0</v>
      </c>
      <c r="AD131" s="10" t="n">
        <v>0.0005999999999999999</v>
      </c>
      <c r="AE131" s="3" t="n">
        <v>0</v>
      </c>
      <c r="AF131" s="3" t="n">
        <v>0</v>
      </c>
      <c r="AG131" s="3" t="n">
        <v>0.2</v>
      </c>
      <c r="AH131" s="3" t="n">
        <v>70</v>
      </c>
      <c r="AI131" s="3" t="n">
        <v>2.5739</v>
      </c>
      <c r="AJ131" s="3" t="n">
        <v>1.3096</v>
      </c>
      <c r="AK131" s="3" t="n">
        <v>-0.0420652993253894</v>
      </c>
      <c r="AL131" s="6" t="n">
        <v>0</v>
      </c>
      <c r="AM131" s="3" t="n">
        <v>0.028612790566365</v>
      </c>
      <c r="AN131" s="10" t="n">
        <v>0</v>
      </c>
      <c r="AO131" s="10" t="n">
        <v>0.002376</v>
      </c>
      <c r="AP131" s="3">
        <f>N(X131)*N(BI131)</f>
        <v/>
      </c>
      <c r="AQ131" s="3" t="n">
        <v>0.2</v>
      </c>
      <c r="AR131" s="3" t="n">
        <v>0.5235455255089686</v>
      </c>
      <c r="AS131" s="3" t="n">
        <v>-0.4230152821052008</v>
      </c>
      <c r="AT131" s="3" t="n">
        <v>-0.0420652993253894</v>
      </c>
      <c r="AU131" s="3">
        <f>SUM(AN131:AT131)</f>
        <v/>
      </c>
      <c r="AV131" s="7">
        <f>IF(OR(N(W131)&lt;=0,N(BG131)=0),0,N(W131)*IF(N(R131)/N(W131)&gt;=60,N(BG131),1))</f>
        <v/>
      </c>
      <c r="AW131" s="7">
        <f>N(W131)*N(AF131)*N(BH131)</f>
        <v/>
      </c>
      <c r="AX131" s="7">
        <f>N(AL131)*(Assumptions!$B$13*N(BJ131)-(1-Assumptions!$B$13)*Assumptions!$B$14)+N(AM131)</f>
        <v/>
      </c>
      <c r="AY131" s="7">
        <f>N(AU131)*N(R131)/90+N(AV131)+N(AW131)+N(AX131)</f>
        <v/>
      </c>
      <c r="AZ131" s="3">
        <f>IF(N(R131)&lt;=0,0,(N(AY131)-N(AX131))*90/N(R131))</f>
        <v/>
      </c>
      <c r="BA131" s="7">
        <f>IFERROR(AY131-VLOOKUP($E131,Assumptions!$A$40:$C$43,3,FALSE),"")</f>
        <v/>
      </c>
      <c r="BB131" s="3">
        <f>IFERROR(BA131/H131,"")</f>
        <v/>
      </c>
      <c r="BC131">
        <f>IF(AND($G131=TRUE,$E131="GKP"),AY131,"")</f>
        <v/>
      </c>
      <c r="BD131">
        <f>IF(AND($G131=TRUE,$E131="DEF"),AY131,"")</f>
        <v/>
      </c>
      <c r="BE131">
        <f>IF(AND($G131=TRUE,$E131="MID"),AY131,"")</f>
        <v/>
      </c>
      <c r="BF131">
        <f>IF(AND($G131=TRUE,$E131="FWD"),AY131,"")</f>
        <v/>
      </c>
      <c r="BG131" t="n">
        <v>2</v>
      </c>
      <c r="BH131" t="n">
        <v>0</v>
      </c>
      <c r="BI131" t="n">
        <v>4</v>
      </c>
      <c r="BJ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s="8" t="n">
        <v>663</v>
      </c>
      <c r="O132" s="8" t="n">
        <v>0</v>
      </c>
      <c r="Q132" t="inlineStr">
        <is>
          <t>flat</t>
        </is>
      </c>
      <c r="R132" s="6" t="n">
        <v>663</v>
      </c>
      <c r="S132" t="inlineStr">
        <is>
          <t>Solio</t>
        </is>
      </c>
      <c r="U132" s="6" t="n">
        <v>81.09999999999999</v>
      </c>
      <c r="V132" s="2" t="n">
        <v>25</v>
      </c>
      <c r="W132" s="7">
        <f>IF(N(U132)&lt;=0,0,MIN(Assumptions!$B$15,N(R132)/N(U132)))</f>
        <v/>
      </c>
      <c r="X132" s="6" t="n">
        <v>0.322</v>
      </c>
      <c r="Y132" s="3" t="n">
        <v>0.0555</v>
      </c>
      <c r="Z132" t="inlineStr">
        <is>
          <t>adjusted xGOT</t>
        </is>
      </c>
      <c r="AA132" s="3" t="n">
        <v>1</v>
      </c>
      <c r="AB132" s="3" t="n">
        <v>0.891</v>
      </c>
      <c r="AC132" s="3" t="n">
        <v>4</v>
      </c>
      <c r="AD132" s="3" t="n">
        <v>0.1352</v>
      </c>
      <c r="AE132" s="3" t="n">
        <v>5.672</v>
      </c>
      <c r="AF132" s="3" t="n">
        <v>0.03603857619028139</v>
      </c>
      <c r="AG132" s="3" t="n">
        <v>0.3193</v>
      </c>
      <c r="AH132" s="3" t="n">
        <v>57</v>
      </c>
      <c r="AI132" s="3" t="n">
        <v>2.4232</v>
      </c>
      <c r="AJ132" s="3" t="n">
        <v>1.1851</v>
      </c>
      <c r="AK132" s="3" t="n">
        <v>-0.2032062374408385</v>
      </c>
      <c r="AL132" s="6" t="n">
        <v>0</v>
      </c>
      <c r="AM132" s="3" t="n">
        <v>0</v>
      </c>
      <c r="AN132" s="3" t="n">
        <v>0.333</v>
      </c>
      <c r="AO132" s="3" t="n">
        <v>0.535392</v>
      </c>
      <c r="AP132" s="3">
        <f>N(X132)*N(BI132)</f>
        <v/>
      </c>
      <c r="AQ132" s="3" t="n">
        <v>0.3193</v>
      </c>
      <c r="AR132" s="3" t="n">
        <v>0</v>
      </c>
      <c r="AS132" s="3" t="n">
        <v>-0.365915508000572</v>
      </c>
      <c r="AT132" s="3" t="n">
        <v>-0.2032062374408385</v>
      </c>
      <c r="AU132" s="3">
        <f>SUM(AN132:AT132)</f>
        <v/>
      </c>
      <c r="AV132" s="7">
        <f>IF(OR(N(W132)&lt;=0,N(BG132)=0),0,N(W132)*IF(N(R132)/N(W132)&gt;=60,N(BG132),1))</f>
        <v/>
      </c>
      <c r="AW132" s="7">
        <f>N(W132)*N(AF132)*N(BH132)</f>
        <v/>
      </c>
      <c r="AX132" s="7">
        <f>N(AL132)*(Assumptions!$B$13*N(BJ132)-(1-Assumptions!$B$13)*Assumptions!$B$14)+N(AM132)</f>
        <v/>
      </c>
      <c r="AY132" s="7">
        <f>N(AU132)*N(R132)/90+N(AV132)+N(AW132)+N(AX132)</f>
        <v/>
      </c>
      <c r="AZ132" s="3">
        <f>IF(N(R132)&lt;=0,0,(N(AY132)-N(AX132))*90/N(R132))</f>
        <v/>
      </c>
      <c r="BA132" s="7">
        <f>IFERROR(AY132-VLOOKUP($E132,Assumptions!$A$40:$C$43,3,FALSE),"")</f>
        <v/>
      </c>
      <c r="BB132" s="3">
        <f>IFERROR(BA132/H132,"")</f>
        <v/>
      </c>
      <c r="BC132">
        <f>IF(AND($G132=TRUE,$E132="GKP"),AY132,"")</f>
        <v/>
      </c>
      <c r="BD132">
        <f>IF(AND($G132=TRUE,$E132="DEF"),AY132,"")</f>
        <v/>
      </c>
      <c r="BE132">
        <f>IF(AND($G132=TRUE,$E132="MID"),AY132,"")</f>
        <v/>
      </c>
      <c r="BF132">
        <f>IF(AND($G132=TRUE,$E132="FWD"),AY132,"")</f>
        <v/>
      </c>
      <c r="BG132" t="n">
        <v>2</v>
      </c>
      <c r="BH132" t="n">
        <v>2</v>
      </c>
      <c r="BI132" t="n">
        <v>4</v>
      </c>
      <c r="BJ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s="8" t="n">
        <v>2440</v>
      </c>
      <c r="O133" s="8" t="n">
        <v>0</v>
      </c>
      <c r="Q133" t="inlineStr">
        <is>
          <t>flat</t>
        </is>
      </c>
      <c r="R133" s="6" t="n">
        <v>2440</v>
      </c>
      <c r="S133" t="inlineStr">
        <is>
          <t>Solio</t>
        </is>
      </c>
      <c r="U133" s="6" t="n">
        <v>85.7</v>
      </c>
      <c r="V133" s="2" t="n">
        <v>32</v>
      </c>
      <c r="W133" s="7">
        <f>IF(N(U133)&lt;=0,0,MIN(Assumptions!$B$15,N(R133)/N(U133)))</f>
        <v/>
      </c>
      <c r="X133" s="6" t="n">
        <v>0.218</v>
      </c>
      <c r="Y133" s="3" t="n">
        <v>0.0625</v>
      </c>
      <c r="Z133" t="inlineStr">
        <is>
          <t>adjusted xGOT</t>
        </is>
      </c>
      <c r="AA133" s="3" t="n">
        <v>1</v>
      </c>
      <c r="AB133" s="3" t="n">
        <v>0.9320000000000001</v>
      </c>
      <c r="AC133" s="3" t="n">
        <v>4.4</v>
      </c>
      <c r="AD133" s="3" t="n">
        <v>0.1068</v>
      </c>
      <c r="AE133" s="3" t="n">
        <v>6.132</v>
      </c>
      <c r="AF133" s="3" t="n">
        <v>0.07328847801431904</v>
      </c>
      <c r="AG133" s="3" t="n">
        <v>0.0322</v>
      </c>
      <c r="AH133" s="3" t="n">
        <v>65</v>
      </c>
      <c r="AI133" s="3" t="n">
        <v>3.0611</v>
      </c>
      <c r="AJ133" s="3" t="n">
        <v>1.5875</v>
      </c>
      <c r="AK133" s="3" t="n">
        <v>-0.2320454308872428</v>
      </c>
      <c r="AL133" s="6" t="n">
        <v>0</v>
      </c>
      <c r="AM133" s="3" t="n">
        <v>0</v>
      </c>
      <c r="AN133" s="3" t="n">
        <v>0.375</v>
      </c>
      <c r="AO133" s="3" t="n">
        <v>0.422928</v>
      </c>
      <c r="AP133" s="3">
        <f>N(X133)*N(BI133)</f>
        <v/>
      </c>
      <c r="AQ133" s="3" t="n">
        <v>0.0322</v>
      </c>
      <c r="AR133" s="3" t="n">
        <v>0</v>
      </c>
      <c r="AS133" s="3" t="n">
        <v>-0.5541985260210861</v>
      </c>
      <c r="AT133" s="3" t="n">
        <v>-0.2320454308872428</v>
      </c>
      <c r="AU133" s="3">
        <f>SUM(AN133:AT133)</f>
        <v/>
      </c>
      <c r="AV133" s="7">
        <f>IF(OR(N(W133)&lt;=0,N(BG133)=0),0,N(W133)*IF(N(R133)/N(W133)&gt;=60,N(BG133),1))</f>
        <v/>
      </c>
      <c r="AW133" s="7">
        <f>N(W133)*N(AF133)*N(BH133)</f>
        <v/>
      </c>
      <c r="AX133" s="7">
        <f>N(AL133)*(Assumptions!$B$13*N(BJ133)-(1-Assumptions!$B$13)*Assumptions!$B$14)+N(AM133)</f>
        <v/>
      </c>
      <c r="AY133" s="7">
        <f>N(AU133)*N(R133)/90+N(AV133)+N(AW133)+N(AX133)</f>
        <v/>
      </c>
      <c r="AZ133" s="3">
        <f>IF(N(R133)&lt;=0,0,(N(AY133)-N(AX133))*90/N(R133))</f>
        <v/>
      </c>
      <c r="BA133" s="7">
        <f>IFERROR(AY133-VLOOKUP($E133,Assumptions!$A$40:$C$43,3,FALSE),"")</f>
        <v/>
      </c>
      <c r="BB133" s="3">
        <f>IFERROR(BA133/H133,"")</f>
        <v/>
      </c>
      <c r="BC133">
        <f>IF(AND($G133=TRUE,$E133="GKP"),AY133,"")</f>
        <v/>
      </c>
      <c r="BD133">
        <f>IF(AND($G133=TRUE,$E133="DEF"),AY133,"")</f>
        <v/>
      </c>
      <c r="BE133">
        <f>IF(AND($G133=TRUE,$E133="MID"),AY133,"")</f>
        <v/>
      </c>
      <c r="BF133">
        <f>IF(AND($G133=TRUE,$E133="FWD"),AY133,"")</f>
        <v/>
      </c>
      <c r="BG133" t="n">
        <v>2</v>
      </c>
      <c r="BH133" t="n">
        <v>2</v>
      </c>
      <c r="BI133" t="n">
        <v>4</v>
      </c>
      <c r="BJ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s="8" t="n">
        <v>4</v>
      </c>
      <c r="O134" s="8" t="n">
        <v>0</v>
      </c>
      <c r="Q134" t="inlineStr">
        <is>
          <t>flat</t>
        </is>
      </c>
      <c r="R134" s="6" t="n">
        <v>4</v>
      </c>
      <c r="S134" t="inlineStr">
        <is>
          <t>Solio</t>
        </is>
      </c>
      <c r="U134" s="6" t="n">
        <v>89.59999999999999</v>
      </c>
      <c r="V134" s="2" t="n">
        <v>27</v>
      </c>
      <c r="W134" s="7">
        <f>IF(N(U134)&lt;=0,0,MIN(Assumptions!$B$15,N(R134)/N(U134)))</f>
        <v/>
      </c>
      <c r="X134" s="6" t="n">
        <v>0.248</v>
      </c>
      <c r="Y134" s="3" t="n">
        <v>0.006</v>
      </c>
      <c r="Z134" t="inlineStr">
        <is>
          <t>adjusted xGOT</t>
        </is>
      </c>
      <c r="AA134" s="3" t="n">
        <v>1</v>
      </c>
      <c r="AB134" s="3" t="n">
        <v>1.015</v>
      </c>
      <c r="AC134" s="3" t="n">
        <v>0.2</v>
      </c>
      <c r="AD134" s="3" t="n">
        <v>0</v>
      </c>
      <c r="AE134" s="3" t="n">
        <v>0</v>
      </c>
      <c r="AF134" s="3" t="n">
        <v>0</v>
      </c>
      <c r="AG134" s="3" t="n">
        <v>0.1863</v>
      </c>
      <c r="AH134" s="3" t="n">
        <v>54</v>
      </c>
      <c r="AI134" s="3" t="n">
        <v>3.0912</v>
      </c>
      <c r="AJ134" s="3" t="n">
        <v>1.4534</v>
      </c>
      <c r="AK134" s="3" t="n">
        <v>-0.0757070602473932</v>
      </c>
      <c r="AL134" s="6" t="n">
        <v>0</v>
      </c>
      <c r="AM134" s="3" t="n">
        <v>0.0036289312781513</v>
      </c>
      <c r="AN134" s="3" t="n">
        <v>0.06</v>
      </c>
      <c r="AO134" s="3" t="n">
        <v>0</v>
      </c>
      <c r="AP134" s="3">
        <f>N(X134)*N(BI134)</f>
        <v/>
      </c>
      <c r="AQ134" s="3" t="n">
        <v>0.1863</v>
      </c>
      <c r="AR134" s="3" t="n">
        <v>0.6950146973483665</v>
      </c>
      <c r="AS134" s="3" t="n">
        <v>-0.4903625828545308</v>
      </c>
      <c r="AT134" s="3" t="n">
        <v>-0.0757070602473932</v>
      </c>
      <c r="AU134" s="3">
        <f>SUM(AN134:AT134)</f>
        <v/>
      </c>
      <c r="AV134" s="7">
        <f>IF(OR(N(W134)&lt;=0,N(BG134)=0),0,N(W134)*IF(N(R134)/N(W134)&gt;=60,N(BG134),1))</f>
        <v/>
      </c>
      <c r="AW134" s="7">
        <f>N(W134)*N(AF134)*N(BH134)</f>
        <v/>
      </c>
      <c r="AX134" s="7">
        <f>N(AL134)*(Assumptions!$B$13*N(BJ134)-(1-Assumptions!$B$13)*Assumptions!$B$14)+N(AM134)</f>
        <v/>
      </c>
      <c r="AY134" s="7">
        <f>N(AU134)*N(R134)/90+N(AV134)+N(AW134)+N(AX134)</f>
        <v/>
      </c>
      <c r="AZ134" s="3">
        <f>IF(N(R134)&lt;=0,0,(N(AY134)-N(AX134))*90/N(R134))</f>
        <v/>
      </c>
      <c r="BA134" s="7">
        <f>IFERROR(AY134-VLOOKUP($E134,Assumptions!$A$40:$C$43,3,FALSE),"")</f>
        <v/>
      </c>
      <c r="BB134" s="3">
        <f>IFERROR(BA134/H134,"")</f>
        <v/>
      </c>
      <c r="BC134">
        <f>IF(AND($G134=TRUE,$E134="GKP"),AY134,"")</f>
        <v/>
      </c>
      <c r="BD134">
        <f>IF(AND($G134=TRUE,$E134="DEF"),AY134,"")</f>
        <v/>
      </c>
      <c r="BE134">
        <f>IF(AND($G134=TRUE,$E134="MID"),AY134,"")</f>
        <v/>
      </c>
      <c r="BF134">
        <f>IF(AND($G134=TRUE,$E134="FWD"),AY134,"")</f>
        <v/>
      </c>
      <c r="BG134" t="n">
        <v>2</v>
      </c>
      <c r="BH134" t="n">
        <v>0</v>
      </c>
      <c r="BI134" t="n">
        <v>4</v>
      </c>
      <c r="BJ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s="4" t="n">
        <v>2450</v>
      </c>
      <c r="O135" s="4" t="n">
        <v>-554</v>
      </c>
      <c r="P135" s="5" t="inlineStr">
        <is>
          <t>medium</t>
        </is>
      </c>
      <c r="Q135" t="inlineStr">
        <is>
          <t>flat</t>
        </is>
      </c>
      <c r="R135" s="6" t="n">
        <v>2450</v>
      </c>
      <c r="S135" t="inlineStr">
        <is>
          <t>research</t>
        </is>
      </c>
      <c r="T135" s="5" t="inlineStr">
        <is>
          <t>The other side of the Aznou correction. Solio's 3,004 assumes essentially no competition; Read Everton's 15 August tracker has Aznou staying specifically to challenge for the shirt, and the injury tracker notes Mykolenko is 'back to full training and match fitness, though now facing competition for the left-back spot from Adam Aznou'. He remains the clear first choice - he started both of the last two friendlies - so this is a rotation haircut, not a demotion.</t>
        </is>
      </c>
      <c r="U135" s="6" t="n">
        <v>88.7</v>
      </c>
      <c r="V135" s="2" t="n">
        <v>33</v>
      </c>
      <c r="W135" s="7">
        <f>IF(N(U135)&lt;=0,0,MIN(Assumptions!$B$15,N(R135)/N(U135)))</f>
        <v/>
      </c>
      <c r="X135" s="6" t="n">
        <v>0.231</v>
      </c>
      <c r="Y135" s="3" t="n">
        <v>0.0081</v>
      </c>
      <c r="Z135" t="inlineStr">
        <is>
          <t>adjusted xGOT</t>
        </is>
      </c>
      <c r="AA135" s="3" t="n">
        <v>1</v>
      </c>
      <c r="AB135" s="3" t="n">
        <v>0.945</v>
      </c>
      <c r="AC135" s="3" t="n">
        <v>2.8</v>
      </c>
      <c r="AD135" s="3" t="n">
        <v>0.0548</v>
      </c>
      <c r="AE135" s="3" t="n">
        <v>7.155</v>
      </c>
      <c r="AF135" s="3" t="n">
        <v>0.1747800195244338</v>
      </c>
      <c r="AG135" s="3" t="n">
        <v>0.1217</v>
      </c>
      <c r="AH135" s="3" t="n">
        <v>66</v>
      </c>
      <c r="AI135" s="3" t="n">
        <v>3.0311</v>
      </c>
      <c r="AJ135" s="3" t="n">
        <v>1.5252</v>
      </c>
      <c r="AK135" s="3" t="n">
        <v>-0.1671381260374793</v>
      </c>
      <c r="AL135" s="6" t="n">
        <v>0</v>
      </c>
      <c r="AM135" s="3" t="n">
        <v>0</v>
      </c>
      <c r="AN135" s="3" t="n">
        <v>0.0486</v>
      </c>
      <c r="AO135" s="3" t="n">
        <v>0.217008</v>
      </c>
      <c r="AP135" s="3">
        <f>N(X135)*N(BI135)</f>
        <v/>
      </c>
      <c r="AQ135" s="3" t="n">
        <v>0.1217</v>
      </c>
      <c r="AR135" s="3" t="n">
        <v>0</v>
      </c>
      <c r="AS135" s="3" t="n">
        <v>-0.524434996152324</v>
      </c>
      <c r="AT135" s="3" t="n">
        <v>-0.1671381260374793</v>
      </c>
      <c r="AU135" s="3">
        <f>SUM(AN135:AT135)</f>
        <v/>
      </c>
      <c r="AV135" s="7">
        <f>IF(OR(N(W135)&lt;=0,N(BG135)=0),0,N(W135)*IF(N(R135)/N(W135)&gt;=60,N(BG135),1))</f>
        <v/>
      </c>
      <c r="AW135" s="7">
        <f>N(W135)*N(AF135)*N(BH135)</f>
        <v/>
      </c>
      <c r="AX135" s="7">
        <f>N(AL135)*(Assumptions!$B$13*N(BJ135)-(1-Assumptions!$B$13)*Assumptions!$B$14)+N(AM135)</f>
        <v/>
      </c>
      <c r="AY135" s="7">
        <f>N(AU135)*N(R135)/90+N(AV135)+N(AW135)+N(AX135)</f>
        <v/>
      </c>
      <c r="AZ135" s="3">
        <f>IF(N(R135)&lt;=0,0,(N(AY135)-N(AX135))*90/N(R135))</f>
        <v/>
      </c>
      <c r="BA135" s="7">
        <f>IFERROR(AY135-VLOOKUP($E135,Assumptions!$A$40:$C$43,3,FALSE),"")</f>
        <v/>
      </c>
      <c r="BB135" s="3">
        <f>IFERROR(BA135/H135,"")</f>
        <v/>
      </c>
      <c r="BC135">
        <f>IF(AND($G135=TRUE,$E135="GKP"),AY135,"")</f>
        <v/>
      </c>
      <c r="BD135">
        <f>IF(AND($G135=TRUE,$E135="DEF"),AY135,"")</f>
        <v/>
      </c>
      <c r="BE135">
        <f>IF(AND($G135=TRUE,$E135="MID"),AY135,"")</f>
        <v/>
      </c>
      <c r="BF135">
        <f>IF(AND($G135=TRUE,$E135="FWD"),AY135,"")</f>
        <v/>
      </c>
      <c r="BG135" t="n">
        <v>2</v>
      </c>
      <c r="BH135" t="n">
        <v>2</v>
      </c>
      <c r="BI135" t="n">
        <v>4</v>
      </c>
      <c r="BJ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s="4" t="n">
        <v>1050</v>
      </c>
      <c r="O136" s="4" t="n">
        <v>238</v>
      </c>
      <c r="P136" s="5" t="inlineStr">
        <is>
          <t>low</t>
        </is>
      </c>
      <c r="Q136" t="inlineStr">
        <is>
          <t>fade (losing his place)</t>
        </is>
      </c>
      <c r="R136" s="6" t="n">
        <v>1050</v>
      </c>
      <c r="S136" t="inlineStr">
        <is>
          <t>research</t>
        </is>
      </c>
      <c r="T136" s="5" t="inlineStr">
        <is>
          <t>Started on the left wing in the dress rehearsal against Milan and scored. Carrick has preferred to use him further forward rather than at left-back, he has said he wants left wing as his primary position, and FPL has reclassified him from defender to midfielder. Kept small because the left wing is the most crowded slot at the club — Cunha, Rashford and Mbeumo are all alternatives — so a settled run of starts is far from assured.</t>
        </is>
      </c>
      <c r="U136" s="6" t="n">
        <v>84.59999999999999</v>
      </c>
      <c r="V136" s="2" t="n">
        <v>15</v>
      </c>
      <c r="W136" s="7">
        <f>IF(N(U136)&lt;=0,0,MIN(Assumptions!$B$15,N(R136)/N(U136)))</f>
        <v/>
      </c>
      <c r="X136" s="6" t="n">
        <v>0.334</v>
      </c>
      <c r="Y136" s="3" t="n">
        <v>0.1477</v>
      </c>
      <c r="Z136" t="inlineStr">
        <is>
          <t>adjusted xGOT</t>
        </is>
      </c>
      <c r="AA136" s="3" t="n">
        <v>1</v>
      </c>
      <c r="AB136" s="3" t="n">
        <v>0.989</v>
      </c>
      <c r="AC136" s="3" t="n">
        <v>2.8</v>
      </c>
      <c r="AD136" s="3" t="n">
        <v>0.1547</v>
      </c>
      <c r="AE136" s="3" t="n">
        <v>6.645</v>
      </c>
      <c r="AF136" s="3" t="n">
        <v>0.02623179266874187</v>
      </c>
      <c r="AG136" s="3" t="n">
        <v>0.6875</v>
      </c>
      <c r="AH136" s="3" t="n">
        <v>40</v>
      </c>
      <c r="AI136" s="3" t="n">
        <v>2.2165</v>
      </c>
      <c r="AJ136" s="3" t="n">
        <v>1.1467</v>
      </c>
      <c r="AK136" s="3" t="n">
        <v>-0.2823405479327748</v>
      </c>
      <c r="AL136" s="6" t="n">
        <v>0</v>
      </c>
      <c r="AM136" s="3" t="n">
        <v>0</v>
      </c>
      <c r="AN136" s="3" t="n">
        <v>0.7384999999999999</v>
      </c>
      <c r="AO136" s="3" t="n">
        <v>0.612612</v>
      </c>
      <c r="AP136" s="3">
        <f>N(X136)*N(BI136)</f>
        <v/>
      </c>
      <c r="AQ136" s="3" t="n">
        <v>0.6875</v>
      </c>
      <c r="AR136" s="3" t="n">
        <v>0</v>
      </c>
      <c r="AS136" s="3" t="n">
        <v>-0</v>
      </c>
      <c r="AT136" s="3" t="n">
        <v>-0.2823405479327748</v>
      </c>
      <c r="AU136" s="3">
        <f>SUM(AN136:AT136)</f>
        <v/>
      </c>
      <c r="AV136" s="7">
        <f>IF(OR(N(W136)&lt;=0,N(BG136)=0),0,N(W136)*IF(N(R136)/N(W136)&gt;=60,N(BG136),1))</f>
        <v/>
      </c>
      <c r="AW136" s="7">
        <f>N(W136)*N(AF136)*N(BH136)</f>
        <v/>
      </c>
      <c r="AX136" s="7">
        <f>N(AL136)*(Assumptions!$B$13*N(BJ136)-(1-Assumptions!$B$13)*Assumptions!$B$14)+N(AM136)</f>
        <v/>
      </c>
      <c r="AY136" s="7">
        <f>N(AU136)*N(R136)/90+N(AV136)+N(AW136)+N(AX136)</f>
        <v/>
      </c>
      <c r="AZ136" s="3">
        <f>IF(N(R136)&lt;=0,0,(N(AY136)-N(AX136))*90/N(R136))</f>
        <v/>
      </c>
      <c r="BA136" s="7">
        <f>IFERROR(AY136-VLOOKUP($E136,Assumptions!$A$40:$C$43,3,FALSE),"")</f>
        <v/>
      </c>
      <c r="BB136" s="3">
        <f>IFERROR(BA136/H136,"")</f>
        <v/>
      </c>
      <c r="BC136">
        <f>IF(AND($G136=TRUE,$E136="GKP"),AY136,"")</f>
        <v/>
      </c>
      <c r="BD136">
        <f>IF(AND($G136=TRUE,$E136="DEF"),AY136,"")</f>
        <v/>
      </c>
      <c r="BE136">
        <f>IF(AND($G136=TRUE,$E136="MID"),AY136,"")</f>
        <v/>
      </c>
      <c r="BF136">
        <f>IF(AND($G136=TRUE,$E136="FWD"),AY136,"")</f>
        <v/>
      </c>
      <c r="BG136" t="n">
        <v>2</v>
      </c>
      <c r="BH136" t="n">
        <v>2</v>
      </c>
      <c r="BI136" t="n">
        <v>1</v>
      </c>
      <c r="BJ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s="4" t="n">
        <v>1150</v>
      </c>
      <c r="O137" s="4" t="n">
        <v>-375</v>
      </c>
      <c r="P137" s="5" t="inlineStr">
        <is>
          <t>medium</t>
        </is>
      </c>
      <c r="Q137" t="inlineStr">
        <is>
          <t>flat</t>
        </is>
      </c>
      <c r="R137" s="6" t="n">
        <v>1150</v>
      </c>
      <c r="S137" t="inlineStr">
        <is>
          <t>research</t>
        </is>
      </c>
      <c r="T137" s="5" t="inlineStr">
        <is>
          <t>Benched behind Robinson at left-back in the 7 Aug and 12 Aug friendlies and left out of the 15 Aug squad entirely. Season preview framing is that Sessegnon plays further forward only 'if Robinson's fitness allows him regular appearances at left-back' - i.e. his defensive minutes are contingent on Robinson breaking down.</t>
        </is>
      </c>
      <c r="U137" s="6" t="n">
        <v>83</v>
      </c>
      <c r="V137" s="2" t="n">
        <v>20</v>
      </c>
      <c r="W137" s="7">
        <f>IF(N(U137)&lt;=0,0,MIN(Assumptions!$B$15,N(R137)/N(U137)))</f>
        <v/>
      </c>
      <c r="X137" s="6" t="n">
        <v>0.214</v>
      </c>
      <c r="Y137" s="3" t="n">
        <v>0.0893</v>
      </c>
      <c r="Z137" t="inlineStr">
        <is>
          <t>adjusted xGOT</t>
        </is>
      </c>
      <c r="AA137" s="3" t="n">
        <v>1</v>
      </c>
      <c r="AB137" s="3" t="n">
        <v>1.126</v>
      </c>
      <c r="AC137" s="3" t="n">
        <v>4.9</v>
      </c>
      <c r="AD137" s="3" t="n">
        <v>0.0998</v>
      </c>
      <c r="AE137" s="3" t="n">
        <v>10.172</v>
      </c>
      <c r="AF137" s="3" t="n">
        <v>0.4626384731024534</v>
      </c>
      <c r="AG137" s="3" t="n">
        <v>0.3965</v>
      </c>
      <c r="AH137" s="3" t="n">
        <v>47</v>
      </c>
      <c r="AI137" s="3" t="n">
        <v>3.22</v>
      </c>
      <c r="AJ137" s="3" t="n">
        <v>1.6019</v>
      </c>
      <c r="AK137" s="3" t="n">
        <v>-0.1095186729303973</v>
      </c>
      <c r="AL137" s="6" t="n">
        <v>0</v>
      </c>
      <c r="AM137" s="3" t="n">
        <v>0</v>
      </c>
      <c r="AN137" s="3" t="n">
        <v>0.5358000000000001</v>
      </c>
      <c r="AO137" s="3" t="n">
        <v>0.395208</v>
      </c>
      <c r="AP137" s="3">
        <f>N(X137)*N(BI137)</f>
        <v/>
      </c>
      <c r="AQ137" s="3" t="n">
        <v>0.3965</v>
      </c>
      <c r="AR137" s="3" t="n">
        <v>0</v>
      </c>
      <c r="AS137" s="3" t="n">
        <v>-0.5611019003833156</v>
      </c>
      <c r="AT137" s="3" t="n">
        <v>-0.1095186729303973</v>
      </c>
      <c r="AU137" s="3">
        <f>SUM(AN137:AT137)</f>
        <v/>
      </c>
      <c r="AV137" s="7">
        <f>IF(OR(N(W137)&lt;=0,N(BG137)=0),0,N(W137)*IF(N(R137)/N(W137)&gt;=60,N(BG137),1))</f>
        <v/>
      </c>
      <c r="AW137" s="7">
        <f>N(W137)*N(AF137)*N(BH137)</f>
        <v/>
      </c>
      <c r="AX137" s="7">
        <f>N(AL137)*(Assumptions!$B$13*N(BJ137)-(1-Assumptions!$B$13)*Assumptions!$B$14)+N(AM137)</f>
        <v/>
      </c>
      <c r="AY137" s="7">
        <f>N(AU137)*N(R137)/90+N(AV137)+N(AW137)+N(AX137)</f>
        <v/>
      </c>
      <c r="AZ137" s="3">
        <f>IF(N(R137)&lt;=0,0,(N(AY137)-N(AX137))*90/N(R137))</f>
        <v/>
      </c>
      <c r="BA137" s="7">
        <f>IFERROR(AY137-VLOOKUP($E137,Assumptions!$A$40:$C$43,3,FALSE),"")</f>
        <v/>
      </c>
      <c r="BB137" s="3">
        <f>IFERROR(BA137/H137,"")</f>
        <v/>
      </c>
      <c r="BC137">
        <f>IF(AND($G137=TRUE,$E137="GKP"),AY137,"")</f>
        <v/>
      </c>
      <c r="BD137">
        <f>IF(AND($G137=TRUE,$E137="DEF"),AY137,"")</f>
        <v/>
      </c>
      <c r="BE137">
        <f>IF(AND($G137=TRUE,$E137="MID"),AY137,"")</f>
        <v/>
      </c>
      <c r="BF137">
        <f>IF(AND($G137=TRUE,$E137="FWD"),AY137,"")</f>
        <v/>
      </c>
      <c r="BG137" t="n">
        <v>2</v>
      </c>
      <c r="BH137" t="n">
        <v>2</v>
      </c>
      <c r="BI137" t="n">
        <v>4</v>
      </c>
      <c r="BJ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s="8" t="n">
        <v>2514</v>
      </c>
      <c r="O138" s="8" t="n">
        <v>0</v>
      </c>
      <c r="Q138" t="inlineStr">
        <is>
          <t>flat</t>
        </is>
      </c>
      <c r="R138" s="6" t="n">
        <v>2514</v>
      </c>
      <c r="S138" t="inlineStr">
        <is>
          <t>Solio</t>
        </is>
      </c>
      <c r="U138" s="6" t="n">
        <v>76.59999999999999</v>
      </c>
      <c r="V138" s="2" t="n">
        <v>21</v>
      </c>
      <c r="W138" s="7">
        <f>IF(N(U138)&lt;=0,0,MIN(Assumptions!$B$15,N(R138)/N(U138)))</f>
        <v/>
      </c>
      <c r="X138" s="6" t="n">
        <v>0.231</v>
      </c>
      <c r="Y138" s="3" t="n">
        <v>0.333</v>
      </c>
      <c r="Z138" t="inlineStr">
        <is>
          <t>adjusted xGOT</t>
        </is>
      </c>
      <c r="AA138" s="3" t="n">
        <v>1</v>
      </c>
      <c r="AB138" s="3" t="n">
        <v>0.86</v>
      </c>
      <c r="AC138" s="3" t="n">
        <v>8.199999999999999</v>
      </c>
      <c r="AD138" s="3" t="n">
        <v>0.0342</v>
      </c>
      <c r="AE138" s="3" t="n">
        <v>3.862</v>
      </c>
      <c r="AF138" s="3" t="n">
        <v>0.0001648511147070986</v>
      </c>
      <c r="AG138" s="3" t="n">
        <v>0.4268</v>
      </c>
      <c r="AH138" s="3" t="n">
        <v>57</v>
      </c>
      <c r="AI138" s="3" t="n">
        <v>3.0311</v>
      </c>
      <c r="AJ138" s="3" t="n">
        <v>1.5252</v>
      </c>
      <c r="AK138" s="3" t="n">
        <v>-0.1628586016462849</v>
      </c>
      <c r="AL138" s="6" t="n">
        <v>0.227372938242642</v>
      </c>
      <c r="AM138" s="3" t="n">
        <v>0</v>
      </c>
      <c r="AN138" s="3" t="n">
        <v>1.332</v>
      </c>
      <c r="AO138" s="3" t="n">
        <v>0.135432</v>
      </c>
      <c r="AP138" s="3">
        <f>N(X138)*N(BI138)</f>
        <v/>
      </c>
      <c r="AQ138" s="3" t="n">
        <v>0.4268</v>
      </c>
      <c r="AR138" s="3" t="n">
        <v>0</v>
      </c>
      <c r="AS138" s="3" t="n">
        <v>-0</v>
      </c>
      <c r="AT138" s="3" t="n">
        <v>-0.1628586016462849</v>
      </c>
      <c r="AU138" s="3">
        <f>SUM(AN138:AT138)</f>
        <v/>
      </c>
      <c r="AV138" s="7">
        <f>IF(OR(N(W138)&lt;=0,N(BG138)=0),0,N(W138)*IF(N(R138)/N(W138)&gt;=60,N(BG138),1))</f>
        <v/>
      </c>
      <c r="AW138" s="7">
        <f>N(W138)*N(AF138)*N(BH138)</f>
        <v/>
      </c>
      <c r="AX138" s="7">
        <f>N(AL138)*(Assumptions!$B$13*N(BJ138)-(1-Assumptions!$B$13)*Assumptions!$B$14)+N(AM138)</f>
        <v/>
      </c>
      <c r="AY138" s="7">
        <f>N(AU138)*N(R138)/90+N(AV138)+N(AW138)+N(AX138)</f>
        <v/>
      </c>
      <c r="AZ138" s="3">
        <f>IF(N(R138)&lt;=0,0,(N(AY138)-N(AX138))*90/N(R138))</f>
        <v/>
      </c>
      <c r="BA138" s="7">
        <f>IFERROR(AY138-VLOOKUP($E138,Assumptions!$A$40:$C$43,3,FALSE),"")</f>
        <v/>
      </c>
      <c r="BB138" s="3">
        <f>IFERROR(BA138/H138,"")</f>
        <v/>
      </c>
      <c r="BC138">
        <f>IF(AND($G138=TRUE,$E138="GKP"),AY138,"")</f>
        <v/>
      </c>
      <c r="BD138">
        <f>IF(AND($G138=TRUE,$E138="DEF"),AY138,"")</f>
        <v/>
      </c>
      <c r="BE138">
        <f>IF(AND($G138=TRUE,$E138="MID"),AY138,"")</f>
        <v/>
      </c>
      <c r="BF138">
        <f>IF(AND($G138=TRUE,$E138="FWD"),AY138,"")</f>
        <v/>
      </c>
      <c r="BG138" t="n">
        <v>2</v>
      </c>
      <c r="BH138" t="n">
        <v>2</v>
      </c>
      <c r="BI138" t="n">
        <v>0</v>
      </c>
      <c r="BJ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s="8" t="n">
        <v>2787</v>
      </c>
      <c r="O139" s="8" t="n">
        <v>0</v>
      </c>
      <c r="Q139" t="inlineStr">
        <is>
          <t>flat</t>
        </is>
      </c>
      <c r="R139" s="6" t="n">
        <v>2787</v>
      </c>
      <c r="S139" t="inlineStr">
        <is>
          <t>Solio</t>
        </is>
      </c>
      <c r="U139" s="6" t="n">
        <v>79.3</v>
      </c>
      <c r="V139" s="2" t="n">
        <v>23</v>
      </c>
      <c r="W139" s="7">
        <f>IF(N(U139)&lt;=0,0,MIN(Assumptions!$B$15,N(R139)/N(U139)))</f>
        <v/>
      </c>
      <c r="X139" s="6" t="n">
        <v>0.252</v>
      </c>
      <c r="Y139" s="3" t="n">
        <v>0.0984</v>
      </c>
      <c r="Z139" t="inlineStr">
        <is>
          <t>adjusted xGOT</t>
        </is>
      </c>
      <c r="AA139" s="3" t="n">
        <v>1</v>
      </c>
      <c r="AB139" s="3" t="n">
        <v>1.082</v>
      </c>
      <c r="AC139" s="3" t="n">
        <v>2.7</v>
      </c>
      <c r="AD139" s="3" t="n">
        <v>0.1119</v>
      </c>
      <c r="AE139" s="3" t="n">
        <v>11.593</v>
      </c>
      <c r="AF139" s="3" t="n">
        <v>0.568629616679645</v>
      </c>
      <c r="AG139" s="3" t="n">
        <v>0.2367</v>
      </c>
      <c r="AH139" s="3" t="n">
        <v>46</v>
      </c>
      <c r="AI139" s="3" t="n">
        <v>2.8404</v>
      </c>
      <c r="AJ139" s="3" t="n">
        <v>1.439</v>
      </c>
      <c r="AK139" s="3" t="n">
        <v>-0.3529394299384296</v>
      </c>
      <c r="AL139" s="6" t="n">
        <v>0</v>
      </c>
      <c r="AM139" s="3" t="n">
        <v>0</v>
      </c>
      <c r="AN139" s="3" t="n">
        <v>0.5904</v>
      </c>
      <c r="AO139" s="3" t="n">
        <v>0.443124</v>
      </c>
      <c r="AP139" s="3">
        <f>N(X139)*N(BI139)</f>
        <v/>
      </c>
      <c r="AQ139" s="3" t="n">
        <v>0.2367</v>
      </c>
      <c r="AR139" s="3" t="n">
        <v>0</v>
      </c>
      <c r="AS139" s="3" t="n">
        <v>-0.4835617861760246</v>
      </c>
      <c r="AT139" s="3" t="n">
        <v>-0.3529394299384296</v>
      </c>
      <c r="AU139" s="3">
        <f>SUM(AN139:AT139)</f>
        <v/>
      </c>
      <c r="AV139" s="7">
        <f>IF(OR(N(W139)&lt;=0,N(BG139)=0),0,N(W139)*IF(N(R139)/N(W139)&gt;=60,N(BG139),1))</f>
        <v/>
      </c>
      <c r="AW139" s="7">
        <f>N(W139)*N(AF139)*N(BH139)</f>
        <v/>
      </c>
      <c r="AX139" s="7">
        <f>N(AL139)*(Assumptions!$B$13*N(BJ139)-(1-Assumptions!$B$13)*Assumptions!$B$14)+N(AM139)</f>
        <v/>
      </c>
      <c r="AY139" s="7">
        <f>N(AU139)*N(R139)/90+N(AV139)+N(AW139)+N(AX139)</f>
        <v/>
      </c>
      <c r="AZ139" s="3">
        <f>IF(N(R139)&lt;=0,0,(N(AY139)-N(AX139))*90/N(R139))</f>
        <v/>
      </c>
      <c r="BA139" s="7">
        <f>IFERROR(AY139-VLOOKUP($E139,Assumptions!$A$40:$C$43,3,FALSE),"")</f>
        <v/>
      </c>
      <c r="BB139" s="3">
        <f>IFERROR(BA139/H139,"")</f>
        <v/>
      </c>
      <c r="BC139">
        <f>IF(AND($G139=TRUE,$E139="GKP"),AY139,"")</f>
        <v/>
      </c>
      <c r="BD139">
        <f>IF(AND($G139=TRUE,$E139="DEF"),AY139,"")</f>
        <v/>
      </c>
      <c r="BE139">
        <f>IF(AND($G139=TRUE,$E139="MID"),AY139,"")</f>
        <v/>
      </c>
      <c r="BF139">
        <f>IF(AND($G139=TRUE,$E139="FWD"),AY139,"")</f>
        <v/>
      </c>
      <c r="BG139" t="n">
        <v>2</v>
      </c>
      <c r="BH139" t="n">
        <v>2</v>
      </c>
      <c r="BI139" t="n">
        <v>4</v>
      </c>
      <c r="BJ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s="8" t="n">
        <v>2280</v>
      </c>
      <c r="O140" s="8" t="n">
        <v>0</v>
      </c>
      <c r="Q140" t="inlineStr">
        <is>
          <t>flat</t>
        </is>
      </c>
      <c r="R140" s="6" t="n">
        <v>2280</v>
      </c>
      <c r="S140" t="inlineStr">
        <is>
          <t>Solio</t>
        </is>
      </c>
      <c r="U140" s="6" t="n">
        <v>85.7</v>
      </c>
      <c r="V140" s="2" t="n">
        <v>21</v>
      </c>
      <c r="W140" s="7">
        <f>IF(N(U140)&lt;=0,0,MIN(Assumptions!$B$15,N(R140)/N(U140)))</f>
        <v/>
      </c>
      <c r="X140" s="6" t="n">
        <v>0.218</v>
      </c>
      <c r="Y140" s="3" t="n">
        <v>0.0727</v>
      </c>
      <c r="Z140" t="inlineStr">
        <is>
          <t>adjusted xGOT</t>
        </is>
      </c>
      <c r="AA140" s="3" t="n">
        <v>1</v>
      </c>
      <c r="AB140" s="3" t="n">
        <v>0.836</v>
      </c>
      <c r="AC140" s="3" t="n">
        <v>3.6</v>
      </c>
      <c r="AD140" s="3" t="n">
        <v>0.0887</v>
      </c>
      <c r="AE140" s="3" t="n">
        <v>8.420999999999999</v>
      </c>
      <c r="AF140" s="3" t="n">
        <v>0.2856941144800449</v>
      </c>
      <c r="AG140" s="3" t="n">
        <v>0.3803</v>
      </c>
      <c r="AH140" s="3" t="n">
        <v>49</v>
      </c>
      <c r="AI140" s="3" t="n">
        <v>3.0611</v>
      </c>
      <c r="AJ140" s="3" t="n">
        <v>1.5875</v>
      </c>
      <c r="AK140" s="3" t="n">
        <v>-0.2078031145580293</v>
      </c>
      <c r="AL140" s="6" t="n">
        <v>0</v>
      </c>
      <c r="AM140" s="3" t="n">
        <v>0</v>
      </c>
      <c r="AN140" s="3" t="n">
        <v>0.4362</v>
      </c>
      <c r="AO140" s="3" t="n">
        <v>0.351252</v>
      </c>
      <c r="AP140" s="3">
        <f>N(X140)*N(BI140)</f>
        <v/>
      </c>
      <c r="AQ140" s="3" t="n">
        <v>0.3803</v>
      </c>
      <c r="AR140" s="3" t="n">
        <v>0</v>
      </c>
      <c r="AS140" s="3" t="n">
        <v>-0.5541985260210861</v>
      </c>
      <c r="AT140" s="3" t="n">
        <v>-0.2078031145580293</v>
      </c>
      <c r="AU140" s="3">
        <f>SUM(AN140:AT140)</f>
        <v/>
      </c>
      <c r="AV140" s="7">
        <f>IF(OR(N(W140)&lt;=0,N(BG140)=0),0,N(W140)*IF(N(R140)/N(W140)&gt;=60,N(BG140),1))</f>
        <v/>
      </c>
      <c r="AW140" s="7">
        <f>N(W140)*N(AF140)*N(BH140)</f>
        <v/>
      </c>
      <c r="AX140" s="7">
        <f>N(AL140)*(Assumptions!$B$13*N(BJ140)-(1-Assumptions!$B$13)*Assumptions!$B$14)+N(AM140)</f>
        <v/>
      </c>
      <c r="AY140" s="7">
        <f>N(AU140)*N(R140)/90+N(AV140)+N(AW140)+N(AX140)</f>
        <v/>
      </c>
      <c r="AZ140" s="3">
        <f>IF(N(R140)&lt;=0,0,(N(AY140)-N(AX140))*90/N(R140))</f>
        <v/>
      </c>
      <c r="BA140" s="7">
        <f>IFERROR(AY140-VLOOKUP($E140,Assumptions!$A$40:$C$43,3,FALSE),"")</f>
        <v/>
      </c>
      <c r="BB140" s="3">
        <f>IFERROR(BA140/H140,"")</f>
        <v/>
      </c>
      <c r="BC140">
        <f>IF(AND($G140=TRUE,$E140="GKP"),AY140,"")</f>
        <v/>
      </c>
      <c r="BD140">
        <f>IF(AND($G140=TRUE,$E140="DEF"),AY140,"")</f>
        <v/>
      </c>
      <c r="BE140">
        <f>IF(AND($G140=TRUE,$E140="MID"),AY140,"")</f>
        <v/>
      </c>
      <c r="BF140">
        <f>IF(AND($G140=TRUE,$E140="FWD"),AY140,"")</f>
        <v/>
      </c>
      <c r="BG140" t="n">
        <v>2</v>
      </c>
      <c r="BH140" t="n">
        <v>2</v>
      </c>
      <c r="BI140" t="n">
        <v>4</v>
      </c>
      <c r="BJ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s="8" t="n">
        <v>1406</v>
      </c>
      <c r="O141" s="8" t="n">
        <v>0</v>
      </c>
      <c r="Q141" t="inlineStr">
        <is>
          <t>flat</t>
        </is>
      </c>
      <c r="R141" s="6" t="n">
        <v>1406</v>
      </c>
      <c r="S141" t="inlineStr">
        <is>
          <t>Solio</t>
        </is>
      </c>
      <c r="U141" s="6" t="n">
        <v>86.2</v>
      </c>
      <c r="V141" s="2" t="n">
        <v>24</v>
      </c>
      <c r="W141" s="7">
        <f>IF(N(U141)&lt;=0,0,MIN(Assumptions!$B$15,N(R141)/N(U141)))</f>
        <v/>
      </c>
      <c r="X141" s="6" t="n">
        <v>0.248</v>
      </c>
      <c r="Y141" s="3" t="n">
        <v>0.0397</v>
      </c>
      <c r="Z141" t="inlineStr">
        <is>
          <t>adjusted xGOT</t>
        </is>
      </c>
      <c r="AA141" s="3" t="n">
        <v>1</v>
      </c>
      <c r="AB141" s="3" t="n">
        <v>0.896</v>
      </c>
      <c r="AC141" s="3" t="n">
        <v>8.5</v>
      </c>
      <c r="AD141" s="3" t="n">
        <v>0.0158</v>
      </c>
      <c r="AE141" s="3" t="n">
        <v>8.845000000000001</v>
      </c>
      <c r="AF141" s="3" t="n">
        <v>0.3433340116847217</v>
      </c>
      <c r="AG141" s="3" t="n">
        <v>0.123</v>
      </c>
      <c r="AH141" s="3" t="n">
        <v>53</v>
      </c>
      <c r="AI141" s="3" t="n">
        <v>3.0912</v>
      </c>
      <c r="AJ141" s="3" t="n">
        <v>1.4534</v>
      </c>
      <c r="AK141" s="3" t="n">
        <v>-0.2907194972641908</v>
      </c>
      <c r="AL141" s="6" t="n">
        <v>0</v>
      </c>
      <c r="AM141" s="3" t="n">
        <v>0</v>
      </c>
      <c r="AN141" s="3" t="n">
        <v>0.2382</v>
      </c>
      <c r="AO141" s="3" t="n">
        <v>0.06256800000000001</v>
      </c>
      <c r="AP141" s="3">
        <f>N(X141)*N(BI141)</f>
        <v/>
      </c>
      <c r="AQ141" s="3" t="n">
        <v>0.123</v>
      </c>
      <c r="AR141" s="3" t="n">
        <v>0</v>
      </c>
      <c r="AS141" s="3" t="n">
        <v>-0.4903625828545308</v>
      </c>
      <c r="AT141" s="3" t="n">
        <v>-0.2907194972641908</v>
      </c>
      <c r="AU141" s="3">
        <f>SUM(AN141:AT141)</f>
        <v/>
      </c>
      <c r="AV141" s="7">
        <f>IF(OR(N(W141)&lt;=0,N(BG141)=0),0,N(W141)*IF(N(R141)/N(W141)&gt;=60,N(BG141),1))</f>
        <v/>
      </c>
      <c r="AW141" s="7">
        <f>N(W141)*N(AF141)*N(BH141)</f>
        <v/>
      </c>
      <c r="AX141" s="7">
        <f>N(AL141)*(Assumptions!$B$13*N(BJ141)-(1-Assumptions!$B$13)*Assumptions!$B$14)+N(AM141)</f>
        <v/>
      </c>
      <c r="AY141" s="7">
        <f>N(AU141)*N(R141)/90+N(AV141)+N(AW141)+N(AX141)</f>
        <v/>
      </c>
      <c r="AZ141" s="3">
        <f>IF(N(R141)&lt;=0,0,(N(AY141)-N(AX141))*90/N(R141))</f>
        <v/>
      </c>
      <c r="BA141" s="7">
        <f>IFERROR(AY141-VLOOKUP($E141,Assumptions!$A$40:$C$43,3,FALSE),"")</f>
        <v/>
      </c>
      <c r="BB141" s="3">
        <f>IFERROR(BA141/H141,"")</f>
        <v/>
      </c>
      <c r="BC141">
        <f>IF(AND($G141=TRUE,$E141="GKP"),AY141,"")</f>
        <v/>
      </c>
      <c r="BD141">
        <f>IF(AND($G141=TRUE,$E141="DEF"),AY141,"")</f>
        <v/>
      </c>
      <c r="BE141">
        <f>IF(AND($G141=TRUE,$E141="MID"),AY141,"")</f>
        <v/>
      </c>
      <c r="BF141">
        <f>IF(AND($G141=TRUE,$E141="FWD"),AY141,"")</f>
        <v/>
      </c>
      <c r="BG141" t="n">
        <v>2</v>
      </c>
      <c r="BH141" t="n">
        <v>2</v>
      </c>
      <c r="BI141" t="n">
        <v>4</v>
      </c>
      <c r="BJ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s="4" t="n">
        <v>0</v>
      </c>
      <c r="O142" s="4" t="n">
        <v>-247</v>
      </c>
      <c r="P142" s="5" t="inlineStr">
        <is>
          <t>high</t>
        </is>
      </c>
      <c r="Q142" t="inlineStr">
        <is>
          <t>flat</t>
        </is>
      </c>
      <c r="R142" s="6" t="n">
        <v>0</v>
      </c>
      <c r="S142" t="inlineStr">
        <is>
          <t>research</t>
        </is>
      </c>
      <c r="T142" s="5" t="inlineStr">
        <is>
          <t>Sale to Al Qadsiah is done bar the medical: Romano reported on 13 Aug that Reijnders 'says yes to Al Qadsiah and all parties have now a verbal agreement' at around €61m, with the player awaiting the green light to fly out. Solio's 247 already assumed he goes; this just closes it to zero. Small delta, high certainty — included mainly because it is one of the few free minutes in the budget.</t>
        </is>
      </c>
      <c r="U142" s="6" t="n">
        <v>78.3</v>
      </c>
      <c r="V142" s="2" t="n">
        <v>19</v>
      </c>
      <c r="W142" s="7">
        <f>IF(N(U142)&lt;=0,0,MIN(Assumptions!$B$15,N(R142)/N(U142)))</f>
        <v/>
      </c>
      <c r="X142" s="6" t="n">
        <v>0.371</v>
      </c>
      <c r="Y142" s="3" t="n">
        <v>0.2473</v>
      </c>
      <c r="Z142" t="inlineStr">
        <is>
          <t>adjusted xGOT</t>
        </is>
      </c>
      <c r="AA142" s="3" t="n">
        <v>1</v>
      </c>
      <c r="AB142" s="3" t="n">
        <v>0.968</v>
      </c>
      <c r="AC142" s="3" t="n">
        <v>4.6</v>
      </c>
      <c r="AD142" s="3" t="n">
        <v>0.1504</v>
      </c>
      <c r="AE142" s="3" t="n">
        <v>6.477</v>
      </c>
      <c r="AF142" s="3" t="n">
        <v>0.01304719904556217</v>
      </c>
      <c r="AG142" s="3" t="n">
        <v>0.3327</v>
      </c>
      <c r="AH142" s="3" t="n">
        <v>45</v>
      </c>
      <c r="AI142" s="3" t="n">
        <v>1.9737</v>
      </c>
      <c r="AJ142" s="3" t="n">
        <v>1.0365</v>
      </c>
      <c r="AK142" s="3" t="n">
        <v>-0.1691481127379736</v>
      </c>
      <c r="AL142" s="6" t="n">
        <v>0</v>
      </c>
      <c r="AM142" s="3" t="n">
        <v>0</v>
      </c>
      <c r="AN142" s="3" t="n">
        <v>1.2365</v>
      </c>
      <c r="AO142" s="3" t="n">
        <v>0.5955840000000001</v>
      </c>
      <c r="AP142" s="3">
        <f>N(X142)*N(BI142)</f>
        <v/>
      </c>
      <c r="AQ142" s="3" t="n">
        <v>0.3327</v>
      </c>
      <c r="AR142" s="3" t="n">
        <v>0</v>
      </c>
      <c r="AS142" s="3" t="n">
        <v>-0</v>
      </c>
      <c r="AT142" s="3" t="n">
        <v>-0.1691481127379736</v>
      </c>
      <c r="AU142" s="3">
        <f>SUM(AN142:AT142)</f>
        <v/>
      </c>
      <c r="AV142" s="7">
        <f>IF(OR(N(W142)&lt;=0,N(BG142)=0),0,N(W142)*IF(N(R142)/N(W142)&gt;=60,N(BG142),1))</f>
        <v/>
      </c>
      <c r="AW142" s="7">
        <f>N(W142)*N(AF142)*N(BH142)</f>
        <v/>
      </c>
      <c r="AX142" s="7">
        <f>N(AL142)*(Assumptions!$B$13*N(BJ142)-(1-Assumptions!$B$13)*Assumptions!$B$14)+N(AM142)</f>
        <v/>
      </c>
      <c r="AY142" s="7">
        <f>N(AU142)*N(R142)/90+N(AV142)+N(AW142)+N(AX142)</f>
        <v/>
      </c>
      <c r="AZ142" s="3">
        <f>IF(N(R142)&lt;=0,0,(N(AY142)-N(AX142))*90/N(R142))</f>
        <v/>
      </c>
      <c r="BA142" s="7">
        <f>IFERROR(AY142-VLOOKUP($E142,Assumptions!$A$40:$C$43,3,FALSE),"")</f>
        <v/>
      </c>
      <c r="BB142" s="3">
        <f>IFERROR(BA142/H142,"")</f>
        <v/>
      </c>
      <c r="BC142">
        <f>IF(AND($G142=TRUE,$E142="GKP"),AY142,"")</f>
        <v/>
      </c>
      <c r="BD142">
        <f>IF(AND($G142=TRUE,$E142="DEF"),AY142,"")</f>
        <v/>
      </c>
      <c r="BE142">
        <f>IF(AND($G142=TRUE,$E142="MID"),AY142,"")</f>
        <v/>
      </c>
      <c r="BF142">
        <f>IF(AND($G142=TRUE,$E142="FWD"),AY142,"")</f>
        <v/>
      </c>
      <c r="BG142" t="n">
        <v>2</v>
      </c>
      <c r="BH142" t="n">
        <v>2</v>
      </c>
      <c r="BI142" t="n">
        <v>1</v>
      </c>
      <c r="BJ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s="4" t="n">
        <v>2600</v>
      </c>
      <c r="O143" s="4" t="n">
        <v>-284</v>
      </c>
      <c r="P143" s="5" t="inlineStr">
        <is>
          <t>medium</t>
        </is>
      </c>
      <c r="Q143" t="inlineStr">
        <is>
          <t>flat</t>
        </is>
      </c>
      <c r="R143" s="6" t="n">
        <v>2600</v>
      </c>
      <c r="S143" t="inlineStr">
        <is>
          <t>research</t>
        </is>
      </c>
      <c r="T143" s="5" t="inlineStr">
        <is>
          <t>The counterweight to the Isidor change: Solio's Brobbey and Isidor numbers together imply only one of them is a real Premier League contributor. Brobbey remains the near-certain starter and this is a deliberately small trim, but he was withdrawn on 72' against Rennes, Isidor is confirmed to be staying as the impact option, and eight Europa League fixtures give Le Bris a strong reason to rest the only recognised first-choice striker in some league games.</t>
        </is>
      </c>
      <c r="U143" s="6" t="n">
        <v>78.5</v>
      </c>
      <c r="V143" s="2" t="n">
        <v>22</v>
      </c>
      <c r="W143" s="7">
        <f>IF(N(U143)&lt;=0,0,MIN(Assumptions!$B$15,N(R143)/N(U143)))</f>
        <v/>
      </c>
      <c r="X143" s="6" t="n">
        <v>0.204</v>
      </c>
      <c r="Y143" s="3" t="n">
        <v>0.3039</v>
      </c>
      <c r="Z143" t="inlineStr">
        <is>
          <t>adjusted xGOT</t>
        </is>
      </c>
      <c r="AA143" s="3" t="n">
        <v>1</v>
      </c>
      <c r="AB143" s="3" t="n">
        <v>1.077</v>
      </c>
      <c r="AC143" s="3" t="n">
        <v>6</v>
      </c>
      <c r="AD143" s="3" t="n">
        <v>0.0511</v>
      </c>
      <c r="AE143" s="3" t="n">
        <v>3.83</v>
      </c>
      <c r="AF143" s="3" t="n">
        <v>0.0001907227640456366</v>
      </c>
      <c r="AG143" s="3" t="n">
        <v>0.6094000000000001</v>
      </c>
      <c r="AH143" s="3" t="n">
        <v>52</v>
      </c>
      <c r="AI143" s="3" t="n">
        <v>3.3348</v>
      </c>
      <c r="AJ143" s="3" t="n">
        <v>1.6498</v>
      </c>
      <c r="AK143" s="3" t="n">
        <v>-0.2422255324303657</v>
      </c>
      <c r="AL143" s="6" t="n">
        <v>0</v>
      </c>
      <c r="AM143" s="3" t="n">
        <v>0</v>
      </c>
      <c r="AN143" s="3" t="n">
        <v>1.2156</v>
      </c>
      <c r="AO143" s="3" t="n">
        <v>0.202356</v>
      </c>
      <c r="AP143" s="3">
        <f>N(X143)*N(BI143)</f>
        <v/>
      </c>
      <c r="AQ143" s="3" t="n">
        <v>0.6094000000000001</v>
      </c>
      <c r="AR143" s="3" t="n">
        <v>0</v>
      </c>
      <c r="AS143" s="3" t="n">
        <v>-0</v>
      </c>
      <c r="AT143" s="3" t="n">
        <v>-0.2422255324303657</v>
      </c>
      <c r="AU143" s="3">
        <f>SUM(AN143:AT143)</f>
        <v/>
      </c>
      <c r="AV143" s="7">
        <f>IF(OR(N(W143)&lt;=0,N(BG143)=0),0,N(W143)*IF(N(R143)/N(W143)&gt;=60,N(BG143),1))</f>
        <v/>
      </c>
      <c r="AW143" s="7">
        <f>N(W143)*N(AF143)*N(BH143)</f>
        <v/>
      </c>
      <c r="AX143" s="7">
        <f>N(AL143)*(Assumptions!$B$13*N(BJ143)-(1-Assumptions!$B$13)*Assumptions!$B$14)+N(AM143)</f>
        <v/>
      </c>
      <c r="AY143" s="7">
        <f>N(AU143)*N(R143)/90+N(AV143)+N(AW143)+N(AX143)</f>
        <v/>
      </c>
      <c r="AZ143" s="3">
        <f>IF(N(R143)&lt;=0,0,(N(AY143)-N(AX143))*90/N(R143))</f>
        <v/>
      </c>
      <c r="BA143" s="7">
        <f>IFERROR(AY143-VLOOKUP($E143,Assumptions!$A$40:$C$43,3,FALSE),"")</f>
        <v/>
      </c>
      <c r="BB143" s="3">
        <f>IFERROR(BA143/H143,"")</f>
        <v/>
      </c>
      <c r="BC143">
        <f>IF(AND($G143=TRUE,$E143="GKP"),AY143,"")</f>
        <v/>
      </c>
      <c r="BD143">
        <f>IF(AND($G143=TRUE,$E143="DEF"),AY143,"")</f>
        <v/>
      </c>
      <c r="BE143">
        <f>IF(AND($G143=TRUE,$E143="MID"),AY143,"")</f>
        <v/>
      </c>
      <c r="BF143">
        <f>IF(AND($G143=TRUE,$E143="FWD"),AY143,"")</f>
        <v/>
      </c>
      <c r="BG143" t="n">
        <v>2</v>
      </c>
      <c r="BH143" t="n">
        <v>2</v>
      </c>
      <c r="BI143" t="n">
        <v>0</v>
      </c>
      <c r="BJ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s="8" t="n">
        <v>2782</v>
      </c>
      <c r="O144" s="8" t="n">
        <v>0</v>
      </c>
      <c r="Q144" t="inlineStr">
        <is>
          <t>flat</t>
        </is>
      </c>
      <c r="R144" s="6" t="n">
        <v>2782</v>
      </c>
      <c r="S144" t="inlineStr">
        <is>
          <t>Solio</t>
        </is>
      </c>
      <c r="U144" s="6" t="n">
        <v>77.2</v>
      </c>
      <c r="V144" s="2" t="n">
        <v>20</v>
      </c>
      <c r="W144" s="7">
        <f>IF(N(U144)&lt;=0,0,MIN(Assumptions!$B$15,N(R144)/N(U144)))</f>
        <v/>
      </c>
      <c r="X144" s="6" t="n">
        <v>0.252</v>
      </c>
      <c r="Y144" s="3" t="n">
        <v>0.2866</v>
      </c>
      <c r="Z144" t="inlineStr">
        <is>
          <t>adjusted xGOT</t>
        </is>
      </c>
      <c r="AA144" s="3" t="n">
        <v>1</v>
      </c>
      <c r="AB144" s="3" t="n">
        <v>1.119</v>
      </c>
      <c r="AC144" s="3" t="n">
        <v>9.800000000000001</v>
      </c>
      <c r="AD144" s="3" t="n">
        <v>0.1218</v>
      </c>
      <c r="AE144" s="3" t="n">
        <v>6.692</v>
      </c>
      <c r="AF144" s="3" t="n">
        <v>0.01484749484487635</v>
      </c>
      <c r="AG144" s="3" t="n">
        <v>0.1037</v>
      </c>
      <c r="AH144" s="3" t="n">
        <v>47</v>
      </c>
      <c r="AI144" s="3" t="n">
        <v>2.8404</v>
      </c>
      <c r="AJ144" s="3" t="n">
        <v>1.439</v>
      </c>
      <c r="AK144" s="3" t="n">
        <v>-0.1448608691693078</v>
      </c>
      <c r="AL144" s="6" t="n">
        <v>0</v>
      </c>
      <c r="AM144" s="3" t="n">
        <v>0</v>
      </c>
      <c r="AN144" s="3" t="n">
        <v>1.433</v>
      </c>
      <c r="AO144" s="3" t="n">
        <v>0.482328</v>
      </c>
      <c r="AP144" s="3">
        <f>N(X144)*N(BI144)</f>
        <v/>
      </c>
      <c r="AQ144" s="3" t="n">
        <v>0.1037</v>
      </c>
      <c r="AR144" s="3" t="n">
        <v>0</v>
      </c>
      <c r="AS144" s="3" t="n">
        <v>-0</v>
      </c>
      <c r="AT144" s="3" t="n">
        <v>-0.1448608691693078</v>
      </c>
      <c r="AU144" s="3">
        <f>SUM(AN144:AT144)</f>
        <v/>
      </c>
      <c r="AV144" s="7">
        <f>IF(OR(N(W144)&lt;=0,N(BG144)=0),0,N(W144)*IF(N(R144)/N(W144)&gt;=60,N(BG144),1))</f>
        <v/>
      </c>
      <c r="AW144" s="7">
        <f>N(W144)*N(AF144)*N(BH144)</f>
        <v/>
      </c>
      <c r="AX144" s="7">
        <f>N(AL144)*(Assumptions!$B$13*N(BJ144)-(1-Assumptions!$B$13)*Assumptions!$B$14)+N(AM144)</f>
        <v/>
      </c>
      <c r="AY144" s="7">
        <f>N(AU144)*N(R144)/90+N(AV144)+N(AW144)+N(AX144)</f>
        <v/>
      </c>
      <c r="AZ144" s="3">
        <f>IF(N(R144)&lt;=0,0,(N(AY144)-N(AX144))*90/N(R144))</f>
        <v/>
      </c>
      <c r="BA144" s="7">
        <f>IFERROR(AY144-VLOOKUP($E144,Assumptions!$A$40:$C$43,3,FALSE),"")</f>
        <v/>
      </c>
      <c r="BB144" s="3">
        <f>IFERROR(BA144/H144,"")</f>
        <v/>
      </c>
      <c r="BC144">
        <f>IF(AND($G144=TRUE,$E144="GKP"),AY144,"")</f>
        <v/>
      </c>
      <c r="BD144">
        <f>IF(AND($G144=TRUE,$E144="DEF"),AY144,"")</f>
        <v/>
      </c>
      <c r="BE144">
        <f>IF(AND($G144=TRUE,$E144="MID"),AY144,"")</f>
        <v/>
      </c>
      <c r="BF144">
        <f>IF(AND($G144=TRUE,$E144="FWD"),AY144,"")</f>
        <v/>
      </c>
      <c r="BG144" t="n">
        <v>2</v>
      </c>
      <c r="BH144" t="n">
        <v>2</v>
      </c>
      <c r="BI144" t="n">
        <v>1</v>
      </c>
      <c r="BJ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s="4" t="n">
        <v>0</v>
      </c>
      <c r="O145" s="4" t="n">
        <v>-5</v>
      </c>
      <c r="P145" s="5" t="inlineStr">
        <is>
          <t>high</t>
        </is>
      </c>
      <c r="Q145" t="inlineStr">
        <is>
          <t>flat</t>
        </is>
      </c>
      <c r="R145" s="6" t="n">
        <v>0</v>
      </c>
      <c r="S145" t="inlineStr">
        <is>
          <t>research</t>
        </is>
      </c>
      <c r="T145" s="5" t="inlineStr">
        <is>
          <t>Sold to Atletico Madrid for GBP 34.2m on 15 August 2026. Solio had effectively already written him off at 5 minutes; corrected to zero for completeness.</t>
        </is>
      </c>
      <c r="U145" s="6" t="n">
        <v>85.90000000000001</v>
      </c>
      <c r="V145" s="2" t="n">
        <v>20</v>
      </c>
      <c r="W145" s="7">
        <f>IF(N(U145)&lt;=0,0,MIN(Assumptions!$B$15,N(R145)/N(U145)))</f>
        <v/>
      </c>
      <c r="X145" s="6" t="n">
        <v>0.286</v>
      </c>
      <c r="Y145" s="3" t="n">
        <v>0.0701</v>
      </c>
      <c r="Z145" t="inlineStr">
        <is>
          <t>adjusted xGOT</t>
        </is>
      </c>
      <c r="AA145" s="3" t="n">
        <v>1</v>
      </c>
      <c r="AB145" s="3" t="n">
        <v>1.047</v>
      </c>
      <c r="AC145" s="3" t="n">
        <v>7.7</v>
      </c>
      <c r="AD145" s="3" t="n">
        <v>0.0738</v>
      </c>
      <c r="AE145" s="3" t="n">
        <v>8.984999999999999</v>
      </c>
      <c r="AF145" s="3" t="n">
        <v>0.3568759754485757</v>
      </c>
      <c r="AG145" s="3" t="n">
        <v>0.4815</v>
      </c>
      <c r="AH145" s="3" t="n">
        <v>43</v>
      </c>
      <c r="AI145" s="3" t="n">
        <v>2.5739</v>
      </c>
      <c r="AJ145" s="3" t="n">
        <v>1.3096</v>
      </c>
      <c r="AK145" s="3" t="n">
        <v>-0.303303089842538</v>
      </c>
      <c r="AL145" s="6" t="n">
        <v>0</v>
      </c>
      <c r="AM145" s="3" t="n">
        <v>0</v>
      </c>
      <c r="AN145" s="3" t="n">
        <v>0.4206</v>
      </c>
      <c r="AO145" s="3" t="n">
        <v>0.292248</v>
      </c>
      <c r="AP145" s="3">
        <f>N(X145)*N(BI145)</f>
        <v/>
      </c>
      <c r="AQ145" s="3" t="n">
        <v>0.4815</v>
      </c>
      <c r="AR145" s="3" t="n">
        <v>0</v>
      </c>
      <c r="AS145" s="3" t="n">
        <v>-0.4230152821052008</v>
      </c>
      <c r="AT145" s="3" t="n">
        <v>-0.303303089842538</v>
      </c>
      <c r="AU145" s="3">
        <f>SUM(AN145:AT145)</f>
        <v/>
      </c>
      <c r="AV145" s="7">
        <f>IF(OR(N(W145)&lt;=0,N(BG145)=0),0,N(W145)*IF(N(R145)/N(W145)&gt;=60,N(BG145),1))</f>
        <v/>
      </c>
      <c r="AW145" s="7">
        <f>N(W145)*N(AF145)*N(BH145)</f>
        <v/>
      </c>
      <c r="AX145" s="7">
        <f>N(AL145)*(Assumptions!$B$13*N(BJ145)-(1-Assumptions!$B$13)*Assumptions!$B$14)+N(AM145)</f>
        <v/>
      </c>
      <c r="AY145" s="7">
        <f>N(AU145)*N(R145)/90+N(AV145)+N(AW145)+N(AX145)</f>
        <v/>
      </c>
      <c r="AZ145" s="3">
        <f>IF(N(R145)&lt;=0,0,(N(AY145)-N(AX145))*90/N(R145))</f>
        <v/>
      </c>
      <c r="BA145" s="7">
        <f>IFERROR(AY145-VLOOKUP($E145,Assumptions!$A$40:$C$43,3,FALSE),"")</f>
        <v/>
      </c>
      <c r="BB145" s="3">
        <f>IFERROR(BA145/H145,"")</f>
        <v/>
      </c>
      <c r="BC145">
        <f>IF(AND($G145=TRUE,$E145="GKP"),AY145,"")</f>
        <v/>
      </c>
      <c r="BD145">
        <f>IF(AND($G145=TRUE,$E145="DEF"),AY145,"")</f>
        <v/>
      </c>
      <c r="BE145">
        <f>IF(AND($G145=TRUE,$E145="MID"),AY145,"")</f>
        <v/>
      </c>
      <c r="BF145">
        <f>IF(AND($G145=TRUE,$E145="FWD"),AY145,"")</f>
        <v/>
      </c>
      <c r="BG145" t="n">
        <v>2</v>
      </c>
      <c r="BH145" t="n">
        <v>2</v>
      </c>
      <c r="BI145" t="n">
        <v>4</v>
      </c>
      <c r="BJ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s="8" t="n">
        <v>2337</v>
      </c>
      <c r="O146" s="8" t="n">
        <v>0</v>
      </c>
      <c r="Q146" t="inlineStr">
        <is>
          <t>flat</t>
        </is>
      </c>
      <c r="R146" s="6" t="n">
        <v>2337</v>
      </c>
      <c r="S146" t="inlineStr">
        <is>
          <t>Solio</t>
        </is>
      </c>
      <c r="U146" s="6" t="n">
        <v>83.8</v>
      </c>
      <c r="V146" s="2" t="n">
        <v>34</v>
      </c>
      <c r="W146" s="7">
        <f>IF(N(U146)&lt;=0,0,MIN(Assumptions!$B$15,N(R146)/N(U146)))</f>
        <v/>
      </c>
      <c r="X146" s="6" t="n">
        <v>0.214</v>
      </c>
      <c r="Y146" s="3" t="n">
        <v>0.0373</v>
      </c>
      <c r="Z146" t="inlineStr">
        <is>
          <t>adjusted xGOT</t>
        </is>
      </c>
      <c r="AA146" s="3" t="n">
        <v>1</v>
      </c>
      <c r="AB146" s="3" t="n">
        <v>0.781</v>
      </c>
      <c r="AC146" s="3" t="n">
        <v>4</v>
      </c>
      <c r="AD146" s="3" t="n">
        <v>0.054</v>
      </c>
      <c r="AE146" s="3" t="n">
        <v>8.657999999999999</v>
      </c>
      <c r="AF146" s="3" t="n">
        <v>0.1164192334050407</v>
      </c>
      <c r="AG146" s="3" t="n">
        <v>0.093</v>
      </c>
      <c r="AH146" s="3" t="n">
        <v>68</v>
      </c>
      <c r="AI146" s="3" t="n">
        <v>3.22</v>
      </c>
      <c r="AJ146" s="3" t="n">
        <v>1.6019</v>
      </c>
      <c r="AK146" s="3" t="n">
        <v>-0.2128060229925173</v>
      </c>
      <c r="AL146" s="6" t="n">
        <v>0</v>
      </c>
      <c r="AM146" s="3" t="n">
        <v>0</v>
      </c>
      <c r="AN146" s="3" t="n">
        <v>0.1865</v>
      </c>
      <c r="AO146" s="3" t="n">
        <v>0.21384</v>
      </c>
      <c r="AP146" s="3">
        <f>N(X146)*N(BI146)</f>
        <v/>
      </c>
      <c r="AQ146" s="3" t="n">
        <v>0.093</v>
      </c>
      <c r="AR146" s="3" t="n">
        <v>0</v>
      </c>
      <c r="AS146" s="3" t="n">
        <v>-0</v>
      </c>
      <c r="AT146" s="3" t="n">
        <v>-0.2128060229925173</v>
      </c>
      <c r="AU146" s="3">
        <f>SUM(AN146:AT146)</f>
        <v/>
      </c>
      <c r="AV146" s="7">
        <f>IF(OR(N(W146)&lt;=0,N(BG146)=0),0,N(W146)*IF(N(R146)/N(W146)&gt;=60,N(BG146),1))</f>
        <v/>
      </c>
      <c r="AW146" s="7">
        <f>N(W146)*N(AF146)*N(BH146)</f>
        <v/>
      </c>
      <c r="AX146" s="7">
        <f>N(AL146)*(Assumptions!$B$13*N(BJ146)-(1-Assumptions!$B$13)*Assumptions!$B$14)+N(AM146)</f>
        <v/>
      </c>
      <c r="AY146" s="7">
        <f>N(AU146)*N(R146)/90+N(AV146)+N(AW146)+N(AX146)</f>
        <v/>
      </c>
      <c r="AZ146" s="3">
        <f>IF(N(R146)&lt;=0,0,(N(AY146)-N(AX146))*90/N(R146))</f>
        <v/>
      </c>
      <c r="BA146" s="7">
        <f>IFERROR(AY146-VLOOKUP($E146,Assumptions!$A$40:$C$43,3,FALSE),"")</f>
        <v/>
      </c>
      <c r="BB146" s="3">
        <f>IFERROR(BA146/H146,"")</f>
        <v/>
      </c>
      <c r="BC146">
        <f>IF(AND($G146=TRUE,$E146="GKP"),AY146,"")</f>
        <v/>
      </c>
      <c r="BD146">
        <f>IF(AND($G146=TRUE,$E146="DEF"),AY146,"")</f>
        <v/>
      </c>
      <c r="BE146">
        <f>IF(AND($G146=TRUE,$E146="MID"),AY146,"")</f>
        <v/>
      </c>
      <c r="BF146">
        <f>IF(AND($G146=TRUE,$E146="FWD"),AY146,"")</f>
        <v/>
      </c>
      <c r="BG146" t="n">
        <v>2</v>
      </c>
      <c r="BH146" t="n">
        <v>2</v>
      </c>
      <c r="BI146" t="n">
        <v>1</v>
      </c>
      <c r="BJ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s="4" t="n">
        <v>2100</v>
      </c>
      <c r="O147" s="4" t="n">
        <v>447</v>
      </c>
      <c r="P147" s="5" t="inlineStr">
        <is>
          <t>medium</t>
        </is>
      </c>
      <c r="Q147" t="inlineStr">
        <is>
          <t>fade (losing his place)</t>
        </is>
      </c>
      <c r="R147" s="6" t="n">
        <v>2100</v>
      </c>
      <c r="S147" t="inlineStr">
        <is>
          <t>research</t>
        </is>
      </c>
      <c r="T147" s="5" t="inlineStr">
        <is>
          <t>The 'fade (losing his place)' flag is stale. Amad played 1,140 minutes across 17 appearances with 13 starts under Carrick after January, started all three of the friendlies he was available for, and is named among the eight virtually locked in for the opener. MEN rated him 7/10 and The Sun said he has got better with each of his three starts. United have told the hierarchy he is not for sale and rejected approaches; he is contracted to 2030. He is on 2,100 rather than higher because Mbeumo can also play right wing.</t>
        </is>
      </c>
      <c r="U147" s="6" t="n">
        <v>81.59999999999999</v>
      </c>
      <c r="V147" s="2" t="n">
        <v>27</v>
      </c>
      <c r="W147" s="7">
        <f>IF(N(U147)&lt;=0,0,MIN(Assumptions!$B$15,N(R147)/N(U147)))</f>
        <v/>
      </c>
      <c r="X147" s="6" t="n">
        <v>0.334</v>
      </c>
      <c r="Y147" s="3" t="n">
        <v>0.2011</v>
      </c>
      <c r="Z147" t="inlineStr">
        <is>
          <t>adjusted xGOT</t>
        </is>
      </c>
      <c r="AA147" s="3" t="n">
        <v>1</v>
      </c>
      <c r="AB147" s="3" t="n">
        <v>0.957</v>
      </c>
      <c r="AC147" s="3" t="n">
        <v>10.7</v>
      </c>
      <c r="AD147" s="3" t="n">
        <v>0.1998</v>
      </c>
      <c r="AE147" s="3" t="n">
        <v>7.844</v>
      </c>
      <c r="AF147" s="3" t="n">
        <v>0.05856659753239657</v>
      </c>
      <c r="AG147" s="3" t="n">
        <v>0.2309</v>
      </c>
      <c r="AH147" s="3" t="n">
        <v>55</v>
      </c>
      <c r="AI147" s="3" t="n">
        <v>2.2165</v>
      </c>
      <c r="AJ147" s="3" t="n">
        <v>1.1467</v>
      </c>
      <c r="AK147" s="3" t="n">
        <v>-0.169075376276899</v>
      </c>
      <c r="AL147" s="6" t="n">
        <v>0</v>
      </c>
      <c r="AM147" s="3" t="n">
        <v>0</v>
      </c>
      <c r="AN147" s="3" t="n">
        <v>1.0055</v>
      </c>
      <c r="AO147" s="3" t="n">
        <v>0.7912080000000001</v>
      </c>
      <c r="AP147" s="3">
        <f>N(X147)*N(BI147)</f>
        <v/>
      </c>
      <c r="AQ147" s="3" t="n">
        <v>0.2309</v>
      </c>
      <c r="AR147" s="3" t="n">
        <v>0</v>
      </c>
      <c r="AS147" s="3" t="n">
        <v>-0</v>
      </c>
      <c r="AT147" s="3" t="n">
        <v>-0.169075376276899</v>
      </c>
      <c r="AU147" s="3">
        <f>SUM(AN147:AT147)</f>
        <v/>
      </c>
      <c r="AV147" s="7">
        <f>IF(OR(N(W147)&lt;=0,N(BG147)=0),0,N(W147)*IF(N(R147)/N(W147)&gt;=60,N(BG147),1))</f>
        <v/>
      </c>
      <c r="AW147" s="7">
        <f>N(W147)*N(AF147)*N(BH147)</f>
        <v/>
      </c>
      <c r="AX147" s="7">
        <f>N(AL147)*(Assumptions!$B$13*N(BJ147)-(1-Assumptions!$B$13)*Assumptions!$B$14)+N(AM147)</f>
        <v/>
      </c>
      <c r="AY147" s="7">
        <f>N(AU147)*N(R147)/90+N(AV147)+N(AW147)+N(AX147)</f>
        <v/>
      </c>
      <c r="AZ147" s="3">
        <f>IF(N(R147)&lt;=0,0,(N(AY147)-N(AX147))*90/N(R147))</f>
        <v/>
      </c>
      <c r="BA147" s="7">
        <f>IFERROR(AY147-VLOOKUP($E147,Assumptions!$A$40:$C$43,3,FALSE),"")</f>
        <v/>
      </c>
      <c r="BB147" s="3">
        <f>IFERROR(BA147/H147,"")</f>
        <v/>
      </c>
      <c r="BC147">
        <f>IF(AND($G147=TRUE,$E147="GKP"),AY147,"")</f>
        <v/>
      </c>
      <c r="BD147">
        <f>IF(AND($G147=TRUE,$E147="DEF"),AY147,"")</f>
        <v/>
      </c>
      <c r="BE147">
        <f>IF(AND($G147=TRUE,$E147="MID"),AY147,"")</f>
        <v/>
      </c>
      <c r="BF147">
        <f>IF(AND($G147=TRUE,$E147="FWD"),AY147,"")</f>
        <v/>
      </c>
      <c r="BG147" t="n">
        <v>2</v>
      </c>
      <c r="BH147" t="n">
        <v>2</v>
      </c>
      <c r="BI147" t="n">
        <v>1</v>
      </c>
      <c r="BJ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s="8" t="n">
        <v>3385</v>
      </c>
      <c r="O148" s="8" t="n">
        <v>0</v>
      </c>
      <c r="Q148" t="inlineStr">
        <is>
          <t>flat</t>
        </is>
      </c>
      <c r="R148" s="6" t="n">
        <v>3385</v>
      </c>
      <c r="S148" t="inlineStr">
        <is>
          <t>Solio</t>
        </is>
      </c>
      <c r="U148" s="6" t="n">
        <v>89.90000000000001</v>
      </c>
      <c r="V148" s="2" t="n">
        <v>26</v>
      </c>
      <c r="W148" s="7">
        <f>IF(N(U148)&lt;=0,0,MIN(Assumptions!$B$15,N(R148)/N(U148)))</f>
        <v/>
      </c>
      <c r="X148" s="6" t="n">
        <v>0.342</v>
      </c>
      <c r="Y148" s="3" t="n">
        <v>0</v>
      </c>
      <c r="Z148" t="inlineStr">
        <is>
          <t>blended xG</t>
        </is>
      </c>
      <c r="AA148" s="3" t="n">
        <v>1</v>
      </c>
      <c r="AB148" s="3" t="n">
        <v>1</v>
      </c>
      <c r="AC148" s="3" t="n">
        <v>0</v>
      </c>
      <c r="AD148" s="3" t="n">
        <v>0.0005999999999999999</v>
      </c>
      <c r="AE148" s="3" t="n">
        <v>0</v>
      </c>
      <c r="AF148" s="3" t="n">
        <v>0</v>
      </c>
      <c r="AG148" s="3" t="n">
        <v>0.3077</v>
      </c>
      <c r="AH148" s="3" t="n">
        <v>52</v>
      </c>
      <c r="AI148" s="3" t="n">
        <v>2.409</v>
      </c>
      <c r="AJ148" s="3" t="n">
        <v>1.1228</v>
      </c>
      <c r="AK148" s="3" t="n">
        <v>-0.03977102677674</v>
      </c>
      <c r="AL148" s="6" t="n">
        <v>0</v>
      </c>
      <c r="AM148" s="3" t="n">
        <v>2.372410619817758</v>
      </c>
      <c r="AN148" s="3" t="n">
        <v>0</v>
      </c>
      <c r="AO148" s="3" t="n">
        <v>0.002376</v>
      </c>
      <c r="AP148" s="3">
        <f>N(X148)*N(BI148)</f>
        <v/>
      </c>
      <c r="AQ148" s="3" t="n">
        <v>0.3077</v>
      </c>
      <c r="AR148" s="3" t="n">
        <v>0.4697511244203511</v>
      </c>
      <c r="AS148" s="3" t="n">
        <v>-0.3378660007281162</v>
      </c>
      <c r="AT148" s="3" t="n">
        <v>-0.03977102677674</v>
      </c>
      <c r="AU148" s="3">
        <f>SUM(AN148:AT148)</f>
        <v/>
      </c>
      <c r="AV148" s="7">
        <f>IF(OR(N(W148)&lt;=0,N(BG148)=0),0,N(W148)*IF(N(R148)/N(W148)&gt;=60,N(BG148),1))</f>
        <v/>
      </c>
      <c r="AW148" s="7">
        <f>N(W148)*N(AF148)*N(BH148)</f>
        <v/>
      </c>
      <c r="AX148" s="7">
        <f>N(AL148)*(Assumptions!$B$13*N(BJ148)-(1-Assumptions!$B$13)*Assumptions!$B$14)+N(AM148)</f>
        <v/>
      </c>
      <c r="AY148" s="7">
        <f>N(AU148)*N(R148)/90+N(AV148)+N(AW148)+N(AX148)</f>
        <v/>
      </c>
      <c r="AZ148" s="3">
        <f>IF(N(R148)&lt;=0,0,(N(AY148)-N(AX148))*90/N(R148))</f>
        <v/>
      </c>
      <c r="BA148" s="7">
        <f>IFERROR(AY148-VLOOKUP($E148,Assumptions!$A$40:$C$43,3,FALSE),"")</f>
        <v/>
      </c>
      <c r="BB148" s="3">
        <f>IFERROR(BA148/H148,"")</f>
        <v/>
      </c>
      <c r="BC148">
        <f>IF(AND($G148=TRUE,$E148="GKP"),AY148,"")</f>
        <v/>
      </c>
      <c r="BD148">
        <f>IF(AND($G148=TRUE,$E148="DEF"),AY148,"")</f>
        <v/>
      </c>
      <c r="BE148">
        <f>IF(AND($G148=TRUE,$E148="MID"),AY148,"")</f>
        <v/>
      </c>
      <c r="BF148">
        <f>IF(AND($G148=TRUE,$E148="FWD"),AY148,"")</f>
        <v/>
      </c>
      <c r="BG148" t="n">
        <v>2</v>
      </c>
      <c r="BH148" t="n">
        <v>0</v>
      </c>
      <c r="BI148" t="n">
        <v>4</v>
      </c>
      <c r="BJ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s="8" t="n">
        <v>0</v>
      </c>
      <c r="O149" s="8" t="n">
        <v>0</v>
      </c>
      <c r="Q149" t="inlineStr">
        <is>
          <t>flat</t>
        </is>
      </c>
      <c r="R149" s="6" t="n">
        <v>0</v>
      </c>
      <c r="S149" t="inlineStr">
        <is>
          <t>Solio</t>
        </is>
      </c>
      <c r="U149" s="6" t="n">
        <v>90</v>
      </c>
      <c r="V149" s="2" t="n">
        <v>31</v>
      </c>
      <c r="W149" s="7">
        <f>IF(N(U149)&lt;=0,0,MIN(Assumptions!$B$15,N(R149)/N(U149)))</f>
        <v/>
      </c>
      <c r="X149" s="6" t="n">
        <v>0.286</v>
      </c>
      <c r="Y149" s="3" t="n">
        <v>0</v>
      </c>
      <c r="Z149" t="inlineStr">
        <is>
          <t>blended xG</t>
        </is>
      </c>
      <c r="AA149" s="3" t="n">
        <v>1</v>
      </c>
      <c r="AB149" s="3" t="n">
        <v>1</v>
      </c>
      <c r="AC149" s="3" t="n">
        <v>0</v>
      </c>
      <c r="AD149" s="3" t="n">
        <v>0.0018</v>
      </c>
      <c r="AE149" s="3" t="n">
        <v>0</v>
      </c>
      <c r="AF149" s="3" t="n">
        <v>0</v>
      </c>
      <c r="AG149" s="3" t="n">
        <v>0.2258</v>
      </c>
      <c r="AH149" s="3" t="n">
        <v>62</v>
      </c>
      <c r="AI149" s="3" t="n">
        <v>2.5739</v>
      </c>
      <c r="AJ149" s="3" t="n">
        <v>1.3096</v>
      </c>
      <c r="AK149" s="3" t="n">
        <v>-0.0496157705751257</v>
      </c>
      <c r="AL149" s="6" t="n">
        <v>0</v>
      </c>
      <c r="AM149" s="3" t="n">
        <v>0</v>
      </c>
      <c r="AN149" s="3" t="n">
        <v>0</v>
      </c>
      <c r="AO149" s="3" t="n">
        <v>0.007128000000000001</v>
      </c>
      <c r="AP149" s="3">
        <f>N(X149)*N(BI149)</f>
        <v/>
      </c>
      <c r="AQ149" s="3" t="n">
        <v>0.2258</v>
      </c>
      <c r="AR149" s="3" t="n">
        <v>0.5235455255089686</v>
      </c>
      <c r="AS149" s="3" t="n">
        <v>-0.4230152821052008</v>
      </c>
      <c r="AT149" s="3" t="n">
        <v>-0.0496157705751257</v>
      </c>
      <c r="AU149" s="3">
        <f>SUM(AN149:AT149)</f>
        <v/>
      </c>
      <c r="AV149" s="7">
        <f>IF(OR(N(W149)&lt;=0,N(BG149)=0),0,N(W149)*IF(N(R149)/N(W149)&gt;=60,N(BG149),1))</f>
        <v/>
      </c>
      <c r="AW149" s="7">
        <f>N(W149)*N(AF149)*N(BH149)</f>
        <v/>
      </c>
      <c r="AX149" s="7">
        <f>N(AL149)*(Assumptions!$B$13*N(BJ149)-(1-Assumptions!$B$13)*Assumptions!$B$14)+N(AM149)</f>
        <v/>
      </c>
      <c r="AY149" s="7">
        <f>N(AU149)*N(R149)/90+N(AV149)+N(AW149)+N(AX149)</f>
        <v/>
      </c>
      <c r="AZ149" s="3">
        <f>IF(N(R149)&lt;=0,0,(N(AY149)-N(AX149))*90/N(R149))</f>
        <v/>
      </c>
      <c r="BA149" s="7">
        <f>IFERROR(AY149-VLOOKUP($E149,Assumptions!$A$40:$C$43,3,FALSE),"")</f>
        <v/>
      </c>
      <c r="BB149" s="3">
        <f>IFERROR(BA149/H149,"")</f>
        <v/>
      </c>
      <c r="BC149">
        <f>IF(AND($G149=TRUE,$E149="GKP"),AY149,"")</f>
        <v/>
      </c>
      <c r="BD149">
        <f>IF(AND($G149=TRUE,$E149="DEF"),AY149,"")</f>
        <v/>
      </c>
      <c r="BE149">
        <f>IF(AND($G149=TRUE,$E149="MID"),AY149,"")</f>
        <v/>
      </c>
      <c r="BF149">
        <f>IF(AND($G149=TRUE,$E149="FWD"),AY149,"")</f>
        <v/>
      </c>
      <c r="BG149" t="n">
        <v>2</v>
      </c>
      <c r="BH149" t="n">
        <v>0</v>
      </c>
      <c r="BI149" t="n">
        <v>4</v>
      </c>
      <c r="BJ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s="4" t="n">
        <v>2300</v>
      </c>
      <c r="O150" s="4" t="n">
        <v>328</v>
      </c>
      <c r="P150" s="5" t="inlineStr">
        <is>
          <t>medium</t>
        </is>
      </c>
      <c r="Q150" t="inlineStr">
        <is>
          <t>flat</t>
        </is>
      </c>
      <c r="R150" s="6" t="n">
        <v>2300</v>
      </c>
      <c r="S150" t="inlineStr">
        <is>
          <t>research</t>
        </is>
      </c>
      <c r="T150" s="5" t="inlineStr">
        <is>
          <t>Named among the eight players virtually locked in for the opener, started both the Leeds and AC Milan friendlies and scored inside two minutes against Milan. With de Ligt out until autumn and Martinez short of fitness, Maguire is the only senior centre-back who is fit and settled. Solio's 1,972 minutes implies barely half a season for the man leading the back line.</t>
        </is>
      </c>
      <c r="U150" s="6" t="n">
        <v>85</v>
      </c>
      <c r="V150" s="2" t="n">
        <v>18</v>
      </c>
      <c r="W150" s="7">
        <f>IF(N(U150)&lt;=0,0,MIN(Assumptions!$B$15,N(R150)/N(U150)))</f>
        <v/>
      </c>
      <c r="X150" s="6" t="n">
        <v>0.334</v>
      </c>
      <c r="Y150" s="3" t="n">
        <v>0.0541</v>
      </c>
      <c r="Z150" t="inlineStr">
        <is>
          <t>adjusted xGOT</t>
        </is>
      </c>
      <c r="AA150" s="3" t="n">
        <v>1</v>
      </c>
      <c r="AB150" s="3" t="n">
        <v>0.885</v>
      </c>
      <c r="AC150" s="3" t="n">
        <v>5.2</v>
      </c>
      <c r="AD150" s="3" t="n">
        <v>0.0334</v>
      </c>
      <c r="AE150" s="3" t="n">
        <v>8.071999999999999</v>
      </c>
      <c r="AF150" s="3" t="n">
        <v>0.2379024844029314</v>
      </c>
      <c r="AG150" s="3" t="n">
        <v>0.2183</v>
      </c>
      <c r="AH150" s="3" t="n">
        <v>42</v>
      </c>
      <c r="AI150" s="3" t="n">
        <v>2.2165</v>
      </c>
      <c r="AJ150" s="3" t="n">
        <v>1.1467</v>
      </c>
      <c r="AK150" s="3" t="n">
        <v>-0.2337138364565698</v>
      </c>
      <c r="AL150" s="6" t="n">
        <v>0</v>
      </c>
      <c r="AM150" s="3" t="n">
        <v>0</v>
      </c>
      <c r="AN150" s="3" t="n">
        <v>0.3246</v>
      </c>
      <c r="AO150" s="3" t="n">
        <v>0.132264</v>
      </c>
      <c r="AP150" s="3">
        <f>N(X150)*N(BI150)</f>
        <v/>
      </c>
      <c r="AQ150" s="3" t="n">
        <v>0.2183</v>
      </c>
      <c r="AR150" s="3" t="n">
        <v>0</v>
      </c>
      <c r="AS150" s="3" t="n">
        <v>-0.348580685135232</v>
      </c>
      <c r="AT150" s="3" t="n">
        <v>-0.2337138364565698</v>
      </c>
      <c r="AU150" s="3">
        <f>SUM(AN150:AT150)</f>
        <v/>
      </c>
      <c r="AV150" s="7">
        <f>IF(OR(N(W150)&lt;=0,N(BG150)=0),0,N(W150)*IF(N(R150)/N(W150)&gt;=60,N(BG150),1))</f>
        <v/>
      </c>
      <c r="AW150" s="7">
        <f>N(W150)*N(AF150)*N(BH150)</f>
        <v/>
      </c>
      <c r="AX150" s="7">
        <f>N(AL150)*(Assumptions!$B$13*N(BJ150)-(1-Assumptions!$B$13)*Assumptions!$B$14)+N(AM150)</f>
        <v/>
      </c>
      <c r="AY150" s="7">
        <f>N(AU150)*N(R150)/90+N(AV150)+N(AW150)+N(AX150)</f>
        <v/>
      </c>
      <c r="AZ150" s="3">
        <f>IF(N(R150)&lt;=0,0,(N(AY150)-N(AX150))*90/N(R150))</f>
        <v/>
      </c>
      <c r="BA150" s="7">
        <f>IFERROR(AY150-VLOOKUP($E150,Assumptions!$A$40:$C$43,3,FALSE),"")</f>
        <v/>
      </c>
      <c r="BB150" s="3">
        <f>IFERROR(BA150/H150,"")</f>
        <v/>
      </c>
      <c r="BC150">
        <f>IF(AND($G150=TRUE,$E150="GKP"),AY150,"")</f>
        <v/>
      </c>
      <c r="BD150">
        <f>IF(AND($G150=TRUE,$E150="DEF"),AY150,"")</f>
        <v/>
      </c>
      <c r="BE150">
        <f>IF(AND($G150=TRUE,$E150="MID"),AY150,"")</f>
        <v/>
      </c>
      <c r="BF150">
        <f>IF(AND($G150=TRUE,$E150="FWD"),AY150,"")</f>
        <v/>
      </c>
      <c r="BG150" t="n">
        <v>2</v>
      </c>
      <c r="BH150" t="n">
        <v>2</v>
      </c>
      <c r="BI150" t="n">
        <v>4</v>
      </c>
      <c r="BJ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s="8" t="n">
        <v>2440</v>
      </c>
      <c r="O151" s="8" t="n">
        <v>0</v>
      </c>
      <c r="Q151" t="inlineStr">
        <is>
          <t>flat</t>
        </is>
      </c>
      <c r="R151" s="6" t="n">
        <v>2440</v>
      </c>
      <c r="S151" t="inlineStr">
        <is>
          <t>Solio</t>
        </is>
      </c>
      <c r="U151" s="6" t="n">
        <v>84.8</v>
      </c>
      <c r="V151" s="2" t="n">
        <v>21</v>
      </c>
      <c r="W151" s="7">
        <f>IF(N(U151)&lt;=0,0,MIN(Assumptions!$B$15,N(R151)/N(U151)))</f>
        <v/>
      </c>
      <c r="X151" s="6" t="n">
        <v>0.248</v>
      </c>
      <c r="Y151" s="3" t="n">
        <v>0.0794</v>
      </c>
      <c r="Z151" t="inlineStr">
        <is>
          <t>adjusted xGOT</t>
        </is>
      </c>
      <c r="AA151" s="3" t="n">
        <v>1</v>
      </c>
      <c r="AB151" s="3" t="n">
        <v>0.9350000000000001</v>
      </c>
      <c r="AC151" s="3" t="n">
        <v>5.7</v>
      </c>
      <c r="AD151" s="3" t="n">
        <v>0.0575</v>
      </c>
      <c r="AE151" s="3" t="n">
        <v>9.778</v>
      </c>
      <c r="AF151" s="3" t="n">
        <v>0.4406388464832017</v>
      </c>
      <c r="AG151" s="3" t="n">
        <v>0.2944</v>
      </c>
      <c r="AH151" s="3" t="n">
        <v>45</v>
      </c>
      <c r="AI151" s="3" t="n">
        <v>3.0912</v>
      </c>
      <c r="AJ151" s="3" t="n">
        <v>1.4534</v>
      </c>
      <c r="AK151" s="3" t="n">
        <v>-0.1612034639024684</v>
      </c>
      <c r="AL151" s="6" t="n">
        <v>0</v>
      </c>
      <c r="AM151" s="3" t="n">
        <v>0</v>
      </c>
      <c r="AN151" s="3" t="n">
        <v>0.4764</v>
      </c>
      <c r="AO151" s="3" t="n">
        <v>0.2277</v>
      </c>
      <c r="AP151" s="3">
        <f>N(X151)*N(BI151)</f>
        <v/>
      </c>
      <c r="AQ151" s="3" t="n">
        <v>0.2944</v>
      </c>
      <c r="AR151" s="3" t="n">
        <v>0</v>
      </c>
      <c r="AS151" s="3" t="n">
        <v>-0.4903625828545308</v>
      </c>
      <c r="AT151" s="3" t="n">
        <v>-0.1612034639024684</v>
      </c>
      <c r="AU151" s="3">
        <f>SUM(AN151:AT151)</f>
        <v/>
      </c>
      <c r="AV151" s="7">
        <f>IF(OR(N(W151)&lt;=0,N(BG151)=0),0,N(W151)*IF(N(R151)/N(W151)&gt;=60,N(BG151),1))</f>
        <v/>
      </c>
      <c r="AW151" s="7">
        <f>N(W151)*N(AF151)*N(BH151)</f>
        <v/>
      </c>
      <c r="AX151" s="7">
        <f>N(AL151)*(Assumptions!$B$13*N(BJ151)-(1-Assumptions!$B$13)*Assumptions!$B$14)+N(AM151)</f>
        <v/>
      </c>
      <c r="AY151" s="7">
        <f>N(AU151)*N(R151)/90+N(AV151)+N(AW151)+N(AX151)</f>
        <v/>
      </c>
      <c r="AZ151" s="3">
        <f>IF(N(R151)&lt;=0,0,(N(AY151)-N(AX151))*90/N(R151))</f>
        <v/>
      </c>
      <c r="BA151" s="7">
        <f>IFERROR(AY151-VLOOKUP($E151,Assumptions!$A$40:$C$43,3,FALSE),"")</f>
        <v/>
      </c>
      <c r="BB151" s="3">
        <f>IFERROR(BA151/H151,"")</f>
        <v/>
      </c>
      <c r="BC151">
        <f>IF(AND($G151=TRUE,$E151="GKP"),AY151,"")</f>
        <v/>
      </c>
      <c r="BD151">
        <f>IF(AND($G151=TRUE,$E151="DEF"),AY151,"")</f>
        <v/>
      </c>
      <c r="BE151">
        <f>IF(AND($G151=TRUE,$E151="MID"),AY151,"")</f>
        <v/>
      </c>
      <c r="BF151">
        <f>IF(AND($G151=TRUE,$E151="FWD"),AY151,"")</f>
        <v/>
      </c>
      <c r="BG151" t="n">
        <v>2</v>
      </c>
      <c r="BH151" t="n">
        <v>2</v>
      </c>
      <c r="BI151" t="n">
        <v>4</v>
      </c>
      <c r="BJ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s="4" t="n">
        <v>2840</v>
      </c>
      <c r="O152" s="4" t="n">
        <v>-158</v>
      </c>
      <c r="P152" s="5" t="inlineStr">
        <is>
          <t>medium</t>
        </is>
      </c>
      <c r="Q152" t="inlineStr">
        <is>
          <t>flat</t>
        </is>
      </c>
      <c r="R152" s="6" t="n">
        <v>2840</v>
      </c>
      <c r="S152" t="inlineStr">
        <is>
          <t>research</t>
        </is>
      </c>
      <c r="T152" s="5" t="inlineStr">
        <is>
          <t>The uplift from 2,073 minutes is correctly motivated by Elliot Anderson's sale, but Solio then gives him 88% of a pivot slot that Ryan Yates captained in Glasner's first pre-season match and that Dominguez and McAtee also contest.</t>
        </is>
      </c>
      <c r="U152" s="6" t="n">
        <v>81.09999999999999</v>
      </c>
      <c r="V152" s="2" t="n">
        <v>25</v>
      </c>
      <c r="W152" s="7">
        <f>IF(N(U152)&lt;=0,0,MIN(Assumptions!$B$15,N(R152)/N(U152)))</f>
        <v/>
      </c>
      <c r="X152" s="6" t="n">
        <v>0.224</v>
      </c>
      <c r="Y152" s="3" t="n">
        <v>0.0511</v>
      </c>
      <c r="Z152" t="inlineStr">
        <is>
          <t>adjusted xGOT</t>
        </is>
      </c>
      <c r="AA152" s="3" t="n">
        <v>1</v>
      </c>
      <c r="AB152" s="3" t="n">
        <v>1.015</v>
      </c>
      <c r="AC152" s="3" t="n">
        <v>1.8</v>
      </c>
      <c r="AD152" s="3" t="n">
        <v>0.07049999999999999</v>
      </c>
      <c r="AE152" s="3" t="n">
        <v>10.815</v>
      </c>
      <c r="AF152" s="3" t="n">
        <v>0.2746791347388957</v>
      </c>
      <c r="AG152" s="3" t="n">
        <v>0.0868</v>
      </c>
      <c r="AH152" s="3" t="n">
        <v>50</v>
      </c>
      <c r="AI152" s="3" t="n">
        <v>3.1134</v>
      </c>
      <c r="AJ152" s="3" t="n">
        <v>1.5588</v>
      </c>
      <c r="AK152" s="3" t="n">
        <v>-0.2774393696749703</v>
      </c>
      <c r="AL152" s="6" t="n">
        <v>0</v>
      </c>
      <c r="AM152" s="3" t="n">
        <v>0</v>
      </c>
      <c r="AN152" s="3" t="n">
        <v>0.2555</v>
      </c>
      <c r="AO152" s="3" t="n">
        <v>0.27918</v>
      </c>
      <c r="AP152" s="3">
        <f>N(X152)*N(BI152)</f>
        <v/>
      </c>
      <c r="AQ152" s="3" t="n">
        <v>0.0868</v>
      </c>
      <c r="AR152" s="3" t="n">
        <v>0</v>
      </c>
      <c r="AS152" s="3" t="n">
        <v>-0</v>
      </c>
      <c r="AT152" s="3" t="n">
        <v>-0.2774393696749703</v>
      </c>
      <c r="AU152" s="3">
        <f>SUM(AN152:AT152)</f>
        <v/>
      </c>
      <c r="AV152" s="7">
        <f>IF(OR(N(W152)&lt;=0,N(BG152)=0),0,N(W152)*IF(N(R152)/N(W152)&gt;=60,N(BG152),1))</f>
        <v/>
      </c>
      <c r="AW152" s="7">
        <f>N(W152)*N(AF152)*N(BH152)</f>
        <v/>
      </c>
      <c r="AX152" s="7">
        <f>N(AL152)*(Assumptions!$B$13*N(BJ152)-(1-Assumptions!$B$13)*Assumptions!$B$14)+N(AM152)</f>
        <v/>
      </c>
      <c r="AY152" s="7">
        <f>N(AU152)*N(R152)/90+N(AV152)+N(AW152)+N(AX152)</f>
        <v/>
      </c>
      <c r="AZ152" s="3">
        <f>IF(N(R152)&lt;=0,0,(N(AY152)-N(AX152))*90/N(R152))</f>
        <v/>
      </c>
      <c r="BA152" s="7">
        <f>IFERROR(AY152-VLOOKUP($E152,Assumptions!$A$40:$C$43,3,FALSE),"")</f>
        <v/>
      </c>
      <c r="BB152" s="3">
        <f>IFERROR(BA152/H152,"")</f>
        <v/>
      </c>
      <c r="BC152">
        <f>IF(AND($G152=TRUE,$E152="GKP"),AY152,"")</f>
        <v/>
      </c>
      <c r="BD152">
        <f>IF(AND($G152=TRUE,$E152="DEF"),AY152,"")</f>
        <v/>
      </c>
      <c r="BE152">
        <f>IF(AND($G152=TRUE,$E152="MID"),AY152,"")</f>
        <v/>
      </c>
      <c r="BF152">
        <f>IF(AND($G152=TRUE,$E152="FWD"),AY152,"")</f>
        <v/>
      </c>
      <c r="BG152" t="n">
        <v>2</v>
      </c>
      <c r="BH152" t="n">
        <v>2</v>
      </c>
      <c r="BI152" t="n">
        <v>1</v>
      </c>
      <c r="BJ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s="8" t="n">
        <v>739</v>
      </c>
      <c r="O153" s="8" t="n">
        <v>0</v>
      </c>
      <c r="Q153" t="inlineStr">
        <is>
          <t>flat</t>
        </is>
      </c>
      <c r="R153" s="6" t="n">
        <v>739</v>
      </c>
      <c r="S153" t="inlineStr">
        <is>
          <t>Solio</t>
        </is>
      </c>
      <c r="U153" s="6" t="n">
        <v>76.5</v>
      </c>
      <c r="V153" s="2" t="n">
        <v>21</v>
      </c>
      <c r="W153" s="7">
        <f>IF(N(U153)&lt;=0,0,MIN(Assumptions!$B$15,N(R153)/N(U153)))</f>
        <v/>
      </c>
      <c r="X153" s="6" t="n">
        <v>0.224</v>
      </c>
      <c r="Y153" s="3" t="n">
        <v>0.1583</v>
      </c>
      <c r="Z153" t="inlineStr">
        <is>
          <t>adjusted xGOT</t>
        </is>
      </c>
      <c r="AA153" s="3" t="n">
        <v>1</v>
      </c>
      <c r="AB153" s="3" t="n">
        <v>1.167</v>
      </c>
      <c r="AC153" s="3" t="n">
        <v>7.9</v>
      </c>
      <c r="AD153" s="3" t="n">
        <v>0.1703</v>
      </c>
      <c r="AE153" s="3" t="n">
        <v>6.144</v>
      </c>
      <c r="AF153" s="3" t="n">
        <v>0.007546119652821703</v>
      </c>
      <c r="AG153" s="3" t="n">
        <v>0.3917</v>
      </c>
      <c r="AH153" s="3" t="n">
        <v>47</v>
      </c>
      <c r="AI153" s="3" t="n">
        <v>3.1134</v>
      </c>
      <c r="AJ153" s="3" t="n">
        <v>1.5588</v>
      </c>
      <c r="AK153" s="3" t="n">
        <v>-0.0907658396755127</v>
      </c>
      <c r="AL153" s="6" t="n">
        <v>0</v>
      </c>
      <c r="AM153" s="3" t="n">
        <v>0</v>
      </c>
      <c r="AN153" s="3" t="n">
        <v>0.7915</v>
      </c>
      <c r="AO153" s="3" t="n">
        <v>0.6743880000000001</v>
      </c>
      <c r="AP153" s="3">
        <f>N(X153)*N(BI153)</f>
        <v/>
      </c>
      <c r="AQ153" s="3" t="n">
        <v>0.3917</v>
      </c>
      <c r="AR153" s="3" t="n">
        <v>0</v>
      </c>
      <c r="AS153" s="3" t="n">
        <v>-0</v>
      </c>
      <c r="AT153" s="3" t="n">
        <v>-0.0907658396755127</v>
      </c>
      <c r="AU153" s="3">
        <f>SUM(AN153:AT153)</f>
        <v/>
      </c>
      <c r="AV153" s="7">
        <f>IF(OR(N(W153)&lt;=0,N(BG153)=0),0,N(W153)*IF(N(R153)/N(W153)&gt;=60,N(BG153),1))</f>
        <v/>
      </c>
      <c r="AW153" s="7">
        <f>N(W153)*N(AF153)*N(BH153)</f>
        <v/>
      </c>
      <c r="AX153" s="7">
        <f>N(AL153)*(Assumptions!$B$13*N(BJ153)-(1-Assumptions!$B$13)*Assumptions!$B$14)+N(AM153)</f>
        <v/>
      </c>
      <c r="AY153" s="7">
        <f>N(AU153)*N(R153)/90+N(AV153)+N(AW153)+N(AX153)</f>
        <v/>
      </c>
      <c r="AZ153" s="3">
        <f>IF(N(R153)&lt;=0,0,(N(AY153)-N(AX153))*90/N(R153))</f>
        <v/>
      </c>
      <c r="BA153" s="7">
        <f>IFERROR(AY153-VLOOKUP($E153,Assumptions!$A$40:$C$43,3,FALSE),"")</f>
        <v/>
      </c>
      <c r="BB153" s="3">
        <f>IFERROR(BA153/H153,"")</f>
        <v/>
      </c>
      <c r="BC153">
        <f>IF(AND($G153=TRUE,$E153="GKP"),AY153,"")</f>
        <v/>
      </c>
      <c r="BD153">
        <f>IF(AND($G153=TRUE,$E153="DEF"),AY153,"")</f>
        <v/>
      </c>
      <c r="BE153">
        <f>IF(AND($G153=TRUE,$E153="MID"),AY153,"")</f>
        <v/>
      </c>
      <c r="BF153">
        <f>IF(AND($G153=TRUE,$E153="FWD"),AY153,"")</f>
        <v/>
      </c>
      <c r="BG153" t="n">
        <v>2</v>
      </c>
      <c r="BH153" t="n">
        <v>2</v>
      </c>
      <c r="BI153" t="n">
        <v>1</v>
      </c>
      <c r="BJ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s="8" t="n">
        <v>2611</v>
      </c>
      <c r="O154" s="8" t="n">
        <v>0</v>
      </c>
      <c r="Q154" t="inlineStr">
        <is>
          <t>flat</t>
        </is>
      </c>
      <c r="R154" s="6" t="n">
        <v>2611</v>
      </c>
      <c r="S154" t="inlineStr">
        <is>
          <t>Solio</t>
        </is>
      </c>
      <c r="U154" s="6" t="n">
        <v>78.59999999999999</v>
      </c>
      <c r="V154" s="2" t="n">
        <v>20</v>
      </c>
      <c r="W154" s="7">
        <f>IF(N(U154)&lt;=0,0,MIN(Assumptions!$B$15,N(R154)/N(U154)))</f>
        <v/>
      </c>
      <c r="X154" s="6" t="n">
        <v>0.252</v>
      </c>
      <c r="Y154" s="3" t="n">
        <v>0.1425</v>
      </c>
      <c r="Z154" t="inlineStr">
        <is>
          <t>adjusted xGOT</t>
        </is>
      </c>
      <c r="AA154" s="3" t="n">
        <v>1</v>
      </c>
      <c r="AB154" s="3" t="n">
        <v>0.97</v>
      </c>
      <c r="AC154" s="3" t="n">
        <v>7.9</v>
      </c>
      <c r="AD154" s="3" t="n">
        <v>0.19</v>
      </c>
      <c r="AE154" s="3" t="n">
        <v>7.198</v>
      </c>
      <c r="AF154" s="3" t="n">
        <v>0.02734378434918772</v>
      </c>
      <c r="AG154" s="3" t="n">
        <v>0.1014</v>
      </c>
      <c r="AH154" s="3" t="n">
        <v>50</v>
      </c>
      <c r="AI154" s="3" t="n">
        <v>2.8404</v>
      </c>
      <c r="AJ154" s="3" t="n">
        <v>1.439</v>
      </c>
      <c r="AK154" s="3" t="n">
        <v>-0.1359103647373657</v>
      </c>
      <c r="AL154" s="6" t="n">
        <v>0</v>
      </c>
      <c r="AM154" s="3" t="n">
        <v>0</v>
      </c>
      <c r="AN154" s="3" t="n">
        <v>0.57</v>
      </c>
      <c r="AO154" s="3" t="n">
        <v>0.7524000000000001</v>
      </c>
      <c r="AP154" s="3">
        <f>N(X154)*N(BI154)</f>
        <v/>
      </c>
      <c r="AQ154" s="3" t="n">
        <v>0.1014</v>
      </c>
      <c r="AR154" s="3" t="n">
        <v>0</v>
      </c>
      <c r="AS154" s="3" t="n">
        <v>-0</v>
      </c>
      <c r="AT154" s="3" t="n">
        <v>-0.1359103647373657</v>
      </c>
      <c r="AU154" s="3">
        <f>SUM(AN154:AT154)</f>
        <v/>
      </c>
      <c r="AV154" s="7">
        <f>IF(OR(N(W154)&lt;=0,N(BG154)=0),0,N(W154)*IF(N(R154)/N(W154)&gt;=60,N(BG154),1))</f>
        <v/>
      </c>
      <c r="AW154" s="7">
        <f>N(W154)*N(AF154)*N(BH154)</f>
        <v/>
      </c>
      <c r="AX154" s="7">
        <f>N(AL154)*(Assumptions!$B$13*N(BJ154)-(1-Assumptions!$B$13)*Assumptions!$B$14)+N(AM154)</f>
        <v/>
      </c>
      <c r="AY154" s="7">
        <f>N(AU154)*N(R154)/90+N(AV154)+N(AW154)+N(AX154)</f>
        <v/>
      </c>
      <c r="AZ154" s="3">
        <f>IF(N(R154)&lt;=0,0,(N(AY154)-N(AX154))*90/N(R154))</f>
        <v/>
      </c>
      <c r="BA154" s="7">
        <f>IFERROR(AY154-VLOOKUP($E154,Assumptions!$A$40:$C$43,3,FALSE),"")</f>
        <v/>
      </c>
      <c r="BB154" s="3">
        <f>IFERROR(BA154/H154,"")</f>
        <v/>
      </c>
      <c r="BC154">
        <f>IF(AND($G154=TRUE,$E154="GKP"),AY154,"")</f>
        <v/>
      </c>
      <c r="BD154">
        <f>IF(AND($G154=TRUE,$E154="DEF"),AY154,"")</f>
        <v/>
      </c>
      <c r="BE154">
        <f>IF(AND($G154=TRUE,$E154="MID"),AY154,"")</f>
        <v/>
      </c>
      <c r="BF154">
        <f>IF(AND($G154=TRUE,$E154="FWD"),AY154,"")</f>
        <v/>
      </c>
      <c r="BG154" t="n">
        <v>2</v>
      </c>
      <c r="BH154" t="n">
        <v>2</v>
      </c>
      <c r="BI154" t="n">
        <v>0</v>
      </c>
      <c r="BJ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s="4" t="n">
        <v>1440</v>
      </c>
      <c r="O155" s="4" t="n">
        <v>397</v>
      </c>
      <c r="P155" s="5" t="inlineStr">
        <is>
          <t>medium</t>
        </is>
      </c>
      <c r="Q155" t="inlineStr">
        <is>
          <t>flat</t>
        </is>
      </c>
      <c r="R155" s="6" t="n">
        <v>1440</v>
      </c>
      <c r="S155" t="inlineStr">
        <is>
          <t>research</t>
        </is>
      </c>
      <c r="T155" s="5" t="inlineStr">
        <is>
          <t>Hincapie's loan was made permanent on 1 July for a reported £34.5m on a deal to 2031. He played 1787 league minutes last season against Calafiori's 1697, splitting left-back with him and covering left centre-back when Gabriel was unavailable. Solio's 1043 is a sharp cut on a player who has just been bought outright, at a moment when Arseblog describes the defence as 'very, very light' with Saliba and Timber both out. Kept modest because Arseblog's list of available cover for the right side names only White and Mosquera, so Hincapie is not a direct replacement for Saliba's slot.</t>
        </is>
      </c>
      <c r="U155" s="6" t="n">
        <v>85.3</v>
      </c>
      <c r="V155" s="2" t="n">
        <v>20</v>
      </c>
      <c r="W155" s="7">
        <f>IF(N(U155)&lt;=0,0,MIN(Assumptions!$B$15,N(R155)/N(U155)))</f>
        <v/>
      </c>
      <c r="X155" s="6" t="n">
        <v>0.391</v>
      </c>
      <c r="Y155" s="3" t="n">
        <v>0.018</v>
      </c>
      <c r="Z155" t="inlineStr">
        <is>
          <t>adjusted xGOT</t>
        </is>
      </c>
      <c r="AA155" s="3" t="n">
        <v>1</v>
      </c>
      <c r="AB155" s="3" t="n">
        <v>0.993</v>
      </c>
      <c r="AC155" s="3" t="n">
        <v>0.4</v>
      </c>
      <c r="AD155" s="3" t="n">
        <v>0.0956</v>
      </c>
      <c r="AE155" s="3" t="n">
        <v>8.346</v>
      </c>
      <c r="AF155" s="3" t="n">
        <v>0.2722923131640878</v>
      </c>
      <c r="AG155" s="3" t="n">
        <v>0.2518</v>
      </c>
      <c r="AH155" s="3" t="n">
        <v>43</v>
      </c>
      <c r="AI155" s="3" t="n">
        <v>2.067</v>
      </c>
      <c r="AJ155" s="3" t="n">
        <v>0.9838</v>
      </c>
      <c r="AK155" s="3" t="n">
        <v>-0.15878379459564</v>
      </c>
      <c r="AL155" s="6" t="n">
        <v>0</v>
      </c>
      <c r="AM155" s="3" t="n">
        <v>0</v>
      </c>
      <c r="AN155" s="3" t="n">
        <v>0.108</v>
      </c>
      <c r="AO155" s="3" t="n">
        <v>0.378576</v>
      </c>
      <c r="AP155" s="3">
        <f>N(X155)*N(BI155)</f>
        <v/>
      </c>
      <c r="AQ155" s="3" t="n">
        <v>0.2518</v>
      </c>
      <c r="AR155" s="3" t="n">
        <v>0</v>
      </c>
      <c r="AS155" s="3" t="n">
        <v>-0.2768479886568037</v>
      </c>
      <c r="AT155" s="3" t="n">
        <v>-0.15878379459564</v>
      </c>
      <c r="AU155" s="3">
        <f>SUM(AN155:AT155)</f>
        <v/>
      </c>
      <c r="AV155" s="7">
        <f>IF(OR(N(W155)&lt;=0,N(BG155)=0),0,N(W155)*IF(N(R155)/N(W155)&gt;=60,N(BG155),1))</f>
        <v/>
      </c>
      <c r="AW155" s="7">
        <f>N(W155)*N(AF155)*N(BH155)</f>
        <v/>
      </c>
      <c r="AX155" s="7">
        <f>N(AL155)*(Assumptions!$B$13*N(BJ155)-(1-Assumptions!$B$13)*Assumptions!$B$14)+N(AM155)</f>
        <v/>
      </c>
      <c r="AY155" s="7">
        <f>N(AU155)*N(R155)/90+N(AV155)+N(AW155)+N(AX155)</f>
        <v/>
      </c>
      <c r="AZ155" s="3">
        <f>IF(N(R155)&lt;=0,0,(N(AY155)-N(AX155))*90/N(R155))</f>
        <v/>
      </c>
      <c r="BA155" s="7">
        <f>IFERROR(AY155-VLOOKUP($E155,Assumptions!$A$40:$C$43,3,FALSE),"")</f>
        <v/>
      </c>
      <c r="BB155" s="3">
        <f>IFERROR(BA155/H155,"")</f>
        <v/>
      </c>
      <c r="BC155">
        <f>IF(AND($G155=TRUE,$E155="GKP"),AY155,"")</f>
        <v/>
      </c>
      <c r="BD155">
        <f>IF(AND($G155=TRUE,$E155="DEF"),AY155,"")</f>
        <v/>
      </c>
      <c r="BE155">
        <f>IF(AND($G155=TRUE,$E155="MID"),AY155,"")</f>
        <v/>
      </c>
      <c r="BF155">
        <f>IF(AND($G155=TRUE,$E155="FWD"),AY155,"")</f>
        <v/>
      </c>
      <c r="BG155" t="n">
        <v>2</v>
      </c>
      <c r="BH155" t="n">
        <v>2</v>
      </c>
      <c r="BI155" t="n">
        <v>4</v>
      </c>
      <c r="BJ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s="8" t="n">
        <v>356</v>
      </c>
      <c r="O156" s="8" t="n">
        <v>0</v>
      </c>
      <c r="Q156" t="inlineStr">
        <is>
          <t>fade (losing his place)</t>
        </is>
      </c>
      <c r="R156" s="6" t="n">
        <v>356</v>
      </c>
      <c r="S156" t="inlineStr">
        <is>
          <t>Solio</t>
        </is>
      </c>
      <c r="U156" s="6" t="n">
        <v>79.40000000000001</v>
      </c>
      <c r="V156" s="2" t="n">
        <v>23</v>
      </c>
      <c r="W156" s="7">
        <f>IF(N(U156)&lt;=0,0,MIN(Assumptions!$B$15,N(R156)/N(U156)))</f>
        <v/>
      </c>
      <c r="X156" s="6" t="n">
        <v>0.286</v>
      </c>
      <c r="Y156" s="3" t="n">
        <v>0.0346</v>
      </c>
      <c r="Z156" t="inlineStr">
        <is>
          <t>adjusted xGOT</t>
        </is>
      </c>
      <c r="AA156" s="3" t="n">
        <v>1</v>
      </c>
      <c r="AB156" s="3" t="n">
        <v>1.004</v>
      </c>
      <c r="AC156" s="3" t="n">
        <v>6.4</v>
      </c>
      <c r="AD156" s="3" t="n">
        <v>0.0411</v>
      </c>
      <c r="AE156" s="3" t="n">
        <v>11.998</v>
      </c>
      <c r="AF156" s="3" t="n">
        <v>0.3713112201122564</v>
      </c>
      <c r="AG156" s="3" t="n">
        <v>0.1915</v>
      </c>
      <c r="AH156" s="3" t="n">
        <v>47</v>
      </c>
      <c r="AI156" s="3" t="n">
        <v>2.5739</v>
      </c>
      <c r="AJ156" s="3" t="n">
        <v>1.3096</v>
      </c>
      <c r="AK156" s="3" t="n">
        <v>-0.368584307643905</v>
      </c>
      <c r="AL156" s="6" t="n">
        <v>0</v>
      </c>
      <c r="AM156" s="3" t="n">
        <v>0</v>
      </c>
      <c r="AN156" s="3" t="n">
        <v>0.173</v>
      </c>
      <c r="AO156" s="3" t="n">
        <v>0.162756</v>
      </c>
      <c r="AP156" s="3">
        <f>N(X156)*N(BI156)</f>
        <v/>
      </c>
      <c r="AQ156" s="3" t="n">
        <v>0.1915</v>
      </c>
      <c r="AR156" s="3" t="n">
        <v>0</v>
      </c>
      <c r="AS156" s="3" t="n">
        <v>-0</v>
      </c>
      <c r="AT156" s="3" t="n">
        <v>-0.368584307643905</v>
      </c>
      <c r="AU156" s="3">
        <f>SUM(AN156:AT156)</f>
        <v/>
      </c>
      <c r="AV156" s="7">
        <f>IF(OR(N(W156)&lt;=0,N(BG156)=0),0,N(W156)*IF(N(R156)/N(W156)&gt;=60,N(BG156),1))</f>
        <v/>
      </c>
      <c r="AW156" s="7">
        <f>N(W156)*N(AF156)*N(BH156)</f>
        <v/>
      </c>
      <c r="AX156" s="7">
        <f>N(AL156)*(Assumptions!$B$13*N(BJ156)-(1-Assumptions!$B$13)*Assumptions!$B$14)+N(AM156)</f>
        <v/>
      </c>
      <c r="AY156" s="7">
        <f>N(AU156)*N(R156)/90+N(AV156)+N(AW156)+N(AX156)</f>
        <v/>
      </c>
      <c r="AZ156" s="3">
        <f>IF(N(R156)&lt;=0,0,(N(AY156)-N(AX156))*90/N(R156))</f>
        <v/>
      </c>
      <c r="BA156" s="7">
        <f>IFERROR(AY156-VLOOKUP($E156,Assumptions!$A$40:$C$43,3,FALSE),"")</f>
        <v/>
      </c>
      <c r="BB156" s="3">
        <f>IFERROR(BA156/H156,"")</f>
        <v/>
      </c>
      <c r="BC156">
        <f>IF(AND($G156=TRUE,$E156="GKP"),AY156,"")</f>
        <v/>
      </c>
      <c r="BD156">
        <f>IF(AND($G156=TRUE,$E156="DEF"),AY156,"")</f>
        <v/>
      </c>
      <c r="BE156">
        <f>IF(AND($G156=TRUE,$E156="MID"),AY156,"")</f>
        <v/>
      </c>
      <c r="BF156">
        <f>IF(AND($G156=TRUE,$E156="FWD"),AY156,"")</f>
        <v/>
      </c>
      <c r="BG156" t="n">
        <v>2</v>
      </c>
      <c r="BH156" t="n">
        <v>2</v>
      </c>
      <c r="BI156" t="n">
        <v>1</v>
      </c>
      <c r="BJ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s="8" t="n">
        <v>3137</v>
      </c>
      <c r="O157" s="8" t="n">
        <v>0</v>
      </c>
      <c r="Q157" t="inlineStr">
        <is>
          <t>flat</t>
        </is>
      </c>
      <c r="R157" s="6" t="n">
        <v>3137</v>
      </c>
      <c r="S157" t="inlineStr">
        <is>
          <t>Solio</t>
        </is>
      </c>
      <c r="U157" s="6" t="n">
        <v>81.09999999999999</v>
      </c>
      <c r="V157" s="2" t="n">
        <v>27</v>
      </c>
      <c r="W157" s="7">
        <f>IF(N(U157)&lt;=0,0,MIN(Assumptions!$B$15,N(R157)/N(U157)))</f>
        <v/>
      </c>
      <c r="X157" s="6" t="n">
        <v>0.342</v>
      </c>
      <c r="Y157" s="3" t="n">
        <v>0.0573</v>
      </c>
      <c r="Z157" t="inlineStr">
        <is>
          <t>adjusted xGOT</t>
        </is>
      </c>
      <c r="AA157" s="3" t="n">
        <v>1</v>
      </c>
      <c r="AB157" s="3" t="n">
        <v>0.954</v>
      </c>
      <c r="AC157" s="3" t="n">
        <v>3.4</v>
      </c>
      <c r="AD157" s="3" t="n">
        <v>0.051</v>
      </c>
      <c r="AE157" s="3" t="n">
        <v>5.922</v>
      </c>
      <c r="AF157" s="3" t="n">
        <v>0.04572860564221393</v>
      </c>
      <c r="AG157" s="3" t="n">
        <v>0.1199</v>
      </c>
      <c r="AH157" s="3" t="n">
        <v>57</v>
      </c>
      <c r="AI157" s="3" t="n">
        <v>2.409</v>
      </c>
      <c r="AJ157" s="3" t="n">
        <v>1.1228</v>
      </c>
      <c r="AK157" s="3" t="n">
        <v>-0.1730721735107377</v>
      </c>
      <c r="AL157" s="6" t="n">
        <v>0</v>
      </c>
      <c r="AM157" s="3" t="n">
        <v>0</v>
      </c>
      <c r="AN157" s="3" t="n">
        <v>0.3438</v>
      </c>
      <c r="AO157" s="3" t="n">
        <v>0.20196</v>
      </c>
      <c r="AP157" s="3">
        <f>N(X157)*N(BI157)</f>
        <v/>
      </c>
      <c r="AQ157" s="3" t="n">
        <v>0.1199</v>
      </c>
      <c r="AR157" s="3" t="n">
        <v>0</v>
      </c>
      <c r="AS157" s="3" t="n">
        <v>-0.3378660007281162</v>
      </c>
      <c r="AT157" s="3" t="n">
        <v>-0.1730721735107377</v>
      </c>
      <c r="AU157" s="3">
        <f>SUM(AN157:AT157)</f>
        <v/>
      </c>
      <c r="AV157" s="7">
        <f>IF(OR(N(W157)&lt;=0,N(BG157)=0),0,N(W157)*IF(N(R157)/N(W157)&gt;=60,N(BG157),1))</f>
        <v/>
      </c>
      <c r="AW157" s="7">
        <f>N(W157)*N(AF157)*N(BH157)</f>
        <v/>
      </c>
      <c r="AX157" s="7">
        <f>N(AL157)*(Assumptions!$B$13*N(BJ157)-(1-Assumptions!$B$13)*Assumptions!$B$14)+N(AM157)</f>
        <v/>
      </c>
      <c r="AY157" s="7">
        <f>N(AU157)*N(R157)/90+N(AV157)+N(AW157)+N(AX157)</f>
        <v/>
      </c>
      <c r="AZ157" s="3">
        <f>IF(N(R157)&lt;=0,0,(N(AY157)-N(AX157))*90/N(R157))</f>
        <v/>
      </c>
      <c r="BA157" s="7">
        <f>IFERROR(AY157-VLOOKUP($E157,Assumptions!$A$40:$C$43,3,FALSE),"")</f>
        <v/>
      </c>
      <c r="BB157" s="3">
        <f>IFERROR(BA157/H157,"")</f>
        <v/>
      </c>
      <c r="BC157">
        <f>IF(AND($G157=TRUE,$E157="GKP"),AY157,"")</f>
        <v/>
      </c>
      <c r="BD157">
        <f>IF(AND($G157=TRUE,$E157="DEF"),AY157,"")</f>
        <v/>
      </c>
      <c r="BE157">
        <f>IF(AND($G157=TRUE,$E157="MID"),AY157,"")</f>
        <v/>
      </c>
      <c r="BF157">
        <f>IF(AND($G157=TRUE,$E157="FWD"),AY157,"")</f>
        <v/>
      </c>
      <c r="BG157" t="n">
        <v>2</v>
      </c>
      <c r="BH157" t="n">
        <v>2</v>
      </c>
      <c r="BI157" t="n">
        <v>4</v>
      </c>
      <c r="BJ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s="4" t="n">
        <v>1150</v>
      </c>
      <c r="O158" s="4" t="n">
        <v>320</v>
      </c>
      <c r="P158" s="5" t="inlineStr">
        <is>
          <t>medium</t>
        </is>
      </c>
      <c r="Q158" t="inlineStr">
        <is>
          <t>fade (losing his place)</t>
        </is>
      </c>
      <c r="R158" s="6" t="n">
        <v>1150</v>
      </c>
      <c r="S158" t="inlineStr">
        <is>
          <t>research</t>
        </is>
      </c>
      <c r="T158" s="5" t="inlineStr">
        <is>
          <t>Flagged 'fade (losing his place)' by Solio at 830, but he started at left wing against Bologna on 15 Aug - the single enforced change from the Roma XI, forced by Minteh's injury - and came on at 60' against Roma. With Minteh out to around late November and Mitoma's return undated, he is currently covering two positions. Modest raise only, since his 2025/26 total was 1404 and Kadioglu is ahead of him at left-back.</t>
        </is>
      </c>
      <c r="U158" s="6" t="n">
        <v>75.59999999999999</v>
      </c>
      <c r="V158" s="2" t="n">
        <v>17</v>
      </c>
      <c r="W158" s="7">
        <f>IF(N(U158)&lt;=0,0,MIN(Assumptions!$B$15,N(R158)/N(U158)))</f>
        <v/>
      </c>
      <c r="X158" s="6" t="n">
        <v>0.252</v>
      </c>
      <c r="Y158" s="3" t="n">
        <v>0.109</v>
      </c>
      <c r="Z158" t="inlineStr">
        <is>
          <t>adjusted xGOT</t>
        </is>
      </c>
      <c r="AA158" s="3" t="n">
        <v>1</v>
      </c>
      <c r="AB158" s="3" t="n">
        <v>1.025</v>
      </c>
      <c r="AC158" s="3" t="n">
        <v>1.7</v>
      </c>
      <c r="AD158" s="3" t="n">
        <v>0.2809</v>
      </c>
      <c r="AE158" s="3" t="n">
        <v>5.317</v>
      </c>
      <c r="AF158" s="3" t="n">
        <v>0.01632471038188099</v>
      </c>
      <c r="AG158" s="3" t="n">
        <v>0.5769</v>
      </c>
      <c r="AH158" s="3" t="n">
        <v>42</v>
      </c>
      <c r="AI158" s="3" t="n">
        <v>2.8404</v>
      </c>
      <c r="AJ158" s="3" t="n">
        <v>1.439</v>
      </c>
      <c r="AK158" s="3" t="n">
        <v>-0.1773122607005057</v>
      </c>
      <c r="AL158" s="6" t="n">
        <v>0</v>
      </c>
      <c r="AM158" s="3" t="n">
        <v>0</v>
      </c>
      <c r="AN158" s="3" t="n">
        <v>0.654</v>
      </c>
      <c r="AO158" s="3" t="n">
        <v>1.112364</v>
      </c>
      <c r="AP158" s="3">
        <f>N(X158)*N(BI158)</f>
        <v/>
      </c>
      <c r="AQ158" s="3" t="n">
        <v>0.5769</v>
      </c>
      <c r="AR158" s="3" t="n">
        <v>0</v>
      </c>
      <c r="AS158" s="3" t="n">
        <v>-0.4835617861760246</v>
      </c>
      <c r="AT158" s="3" t="n">
        <v>-0.1773122607005057</v>
      </c>
      <c r="AU158" s="3">
        <f>SUM(AN158:AT158)</f>
        <v/>
      </c>
      <c r="AV158" s="7">
        <f>IF(OR(N(W158)&lt;=0,N(BG158)=0),0,N(W158)*IF(N(R158)/N(W158)&gt;=60,N(BG158),1))</f>
        <v/>
      </c>
      <c r="AW158" s="7">
        <f>N(W158)*N(AF158)*N(BH158)</f>
        <v/>
      </c>
      <c r="AX158" s="7">
        <f>N(AL158)*(Assumptions!$B$13*N(BJ158)-(1-Assumptions!$B$13)*Assumptions!$B$14)+N(AM158)</f>
        <v/>
      </c>
      <c r="AY158" s="7">
        <f>N(AU158)*N(R158)/90+N(AV158)+N(AW158)+N(AX158)</f>
        <v/>
      </c>
      <c r="AZ158" s="3">
        <f>IF(N(R158)&lt;=0,0,(N(AY158)-N(AX158))*90/N(R158))</f>
        <v/>
      </c>
      <c r="BA158" s="7">
        <f>IFERROR(AY158-VLOOKUP($E158,Assumptions!$A$40:$C$43,3,FALSE),"")</f>
        <v/>
      </c>
      <c r="BB158" s="3">
        <f>IFERROR(BA158/H158,"")</f>
        <v/>
      </c>
      <c r="BC158">
        <f>IF(AND($G158=TRUE,$E158="GKP"),AY158,"")</f>
        <v/>
      </c>
      <c r="BD158">
        <f>IF(AND($G158=TRUE,$E158="DEF"),AY158,"")</f>
        <v/>
      </c>
      <c r="BE158">
        <f>IF(AND($G158=TRUE,$E158="MID"),AY158,"")</f>
        <v/>
      </c>
      <c r="BF158">
        <f>IF(AND($G158=TRUE,$E158="FWD"),AY158,"")</f>
        <v/>
      </c>
      <c r="BG158" t="n">
        <v>2</v>
      </c>
      <c r="BH158" t="n">
        <v>2</v>
      </c>
      <c r="BI158" t="n">
        <v>4</v>
      </c>
      <c r="BJ158" t="n">
        <v>6</v>
      </c>
    </row>
    <row r="159">
      <c r="A159" s="9" t="inlineStr">
        <is>
          <t>Florentino</t>
        </is>
      </c>
      <c r="B159" t="inlineStr">
        <is>
          <t>IPS</t>
        </is>
      </c>
      <c r="C159" s="9" t="inlineStr">
        <is>
          <t>BUR</t>
        </is>
      </c>
      <c r="D159" t="b">
        <v>1</v>
      </c>
      <c r="E159" t="inlineStr">
        <is>
          <t>MID</t>
        </is>
      </c>
      <c r="F159" t="inlineStr">
        <is>
          <t>MID</t>
        </is>
      </c>
      <c r="G159" t="b">
        <v>1</v>
      </c>
      <c r="H159" s="2" t="n">
        <v>5</v>
      </c>
      <c r="I159" t="inlineStr">
        <is>
          <t>a</t>
        </is>
      </c>
      <c r="K159" s="2" t="n">
        <v>2100</v>
      </c>
      <c r="L159" t="n">
        <v>84</v>
      </c>
      <c r="M159" s="3" t="n">
        <v>1881</v>
      </c>
      <c r="N159" s="8" t="n">
        <v>1881</v>
      </c>
      <c r="O159" s="8" t="n">
        <v>0</v>
      </c>
      <c r="Q159" t="inlineStr">
        <is>
          <t>flat</t>
        </is>
      </c>
      <c r="R159" s="6" t="n">
        <v>1881</v>
      </c>
      <c r="S159" t="inlineStr">
        <is>
          <t>Solio</t>
        </is>
      </c>
      <c r="U159" s="6" t="n">
        <v>79.59999999999999</v>
      </c>
      <c r="V159" s="2" t="n">
        <v>25</v>
      </c>
      <c r="W159" s="7">
        <f>IF(N(U159)&lt;=0,0,MIN(Assumptions!$B$15,N(R159)/N(U159)))</f>
        <v/>
      </c>
      <c r="X159" s="6" t="n">
        <v>0.17</v>
      </c>
      <c r="Y159" s="10" t="n">
        <v>0.0257</v>
      </c>
      <c r="Z159" t="inlineStr">
        <is>
          <t>adjusted xGOT</t>
        </is>
      </c>
      <c r="AA159" s="3" t="n">
        <v>1</v>
      </c>
      <c r="AB159" s="3" t="n">
        <v>0.9379999999999999</v>
      </c>
      <c r="AC159" s="3" t="n">
        <v>0.6</v>
      </c>
      <c r="AD159" s="10" t="n">
        <v>0.0227</v>
      </c>
      <c r="AE159" s="3" t="n">
        <v>12.179</v>
      </c>
      <c r="AF159" s="3" t="n">
        <v>0.3934948723249607</v>
      </c>
      <c r="AG159" s="3" t="n">
        <v>0</v>
      </c>
      <c r="AH159" s="3" t="n">
        <v>54</v>
      </c>
      <c r="AI159" s="3" t="n">
        <v>3.5741</v>
      </c>
      <c r="AJ159" s="3" t="n">
        <v>1.8319</v>
      </c>
      <c r="AK159" s="3" t="n">
        <v>-0.2502924944666128</v>
      </c>
      <c r="AL159" s="6" t="n">
        <v>0</v>
      </c>
      <c r="AM159" s="3" t="n">
        <v>0</v>
      </c>
      <c r="AN159" s="10" t="n">
        <v>0.1285</v>
      </c>
      <c r="AO159" s="10" t="n">
        <v>0.08989200000000001</v>
      </c>
      <c r="AP159" s="3">
        <f>N(X159)*N(BI159)</f>
        <v/>
      </c>
      <c r="AQ159" s="3" t="n">
        <v>0</v>
      </c>
      <c r="AR159" s="3" t="n">
        <v>0</v>
      </c>
      <c r="AS159" s="3" t="n">
        <v>-0</v>
      </c>
      <c r="AT159" s="3" t="n">
        <v>-0.2502924944666128</v>
      </c>
      <c r="AU159" s="3">
        <f>SUM(AN159:AT159)</f>
        <v/>
      </c>
      <c r="AV159" s="7">
        <f>IF(OR(N(W159)&lt;=0,N(BG159)=0),0,N(W159)*IF(N(R159)/N(W159)&gt;=60,N(BG159),1))</f>
        <v/>
      </c>
      <c r="AW159" s="7">
        <f>N(W159)*N(AF159)*N(BH159)</f>
        <v/>
      </c>
      <c r="AX159" s="7">
        <f>N(AL159)*(Assumptions!$B$13*N(BJ159)-(1-Assumptions!$B$13)*Assumptions!$B$14)+N(AM159)</f>
        <v/>
      </c>
      <c r="AY159" s="7">
        <f>N(AU159)*N(R159)/90+N(AV159)+N(AW159)+N(AX159)</f>
        <v/>
      </c>
      <c r="AZ159" s="3">
        <f>IF(N(R159)&lt;=0,0,(N(AY159)-N(AX159))*90/N(R159))</f>
        <v/>
      </c>
      <c r="BA159" s="7">
        <f>IFERROR(AY159-VLOOKUP($E159,Assumptions!$A$40:$C$43,3,FALSE),"")</f>
        <v/>
      </c>
      <c r="BB159" s="3">
        <f>IFERROR(BA159/H159,"")</f>
        <v/>
      </c>
      <c r="BC159">
        <f>IF(AND($G159=TRUE,$E159="GKP"),AY159,"")</f>
        <v/>
      </c>
      <c r="BD159">
        <f>IF(AND($G159=TRUE,$E159="DEF"),AY159,"")</f>
        <v/>
      </c>
      <c r="BE159">
        <f>IF(AND($G159=TRUE,$E159="MID"),AY159,"")</f>
        <v/>
      </c>
      <c r="BF159">
        <f>IF(AND($G159=TRUE,$E159="FWD"),AY159,"")</f>
        <v/>
      </c>
      <c r="BG159" t="n">
        <v>2</v>
      </c>
      <c r="BH159" t="n">
        <v>2</v>
      </c>
      <c r="BI159" t="n">
        <v>1</v>
      </c>
      <c r="BJ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s="4" t="n">
        <v>2900</v>
      </c>
      <c r="O160" s="4" t="n">
        <v>-201</v>
      </c>
      <c r="P160" s="5" t="inlineStr">
        <is>
          <t>medium</t>
        </is>
      </c>
      <c r="Q160" t="inlineStr">
        <is>
          <t>flat</t>
        </is>
      </c>
      <c r="R160" s="6" t="n">
        <v>2900</v>
      </c>
      <c r="S160" t="inlineStr">
        <is>
          <t>research</t>
        </is>
      </c>
      <c r="T160" s="5" t="inlineStr">
        <is>
          <t>Confirmed starter in the back three, but Solio adds 971 minutes to a 2025-26 return of 2,130. Forest carry five senior centre-backs for three slots after the Diomande signing, so a modest allowance for the absences that actually occurred last season is warranted.</t>
        </is>
      </c>
      <c r="U160" s="6" t="n">
        <v>85.3</v>
      </c>
      <c r="V160" s="2" t="n">
        <v>25</v>
      </c>
      <c r="W160" s="7">
        <f>IF(N(U160)&lt;=0,0,MIN(Assumptions!$B$15,N(R160)/N(U160)))</f>
        <v/>
      </c>
      <c r="X160" s="6" t="n">
        <v>0.224</v>
      </c>
      <c r="Y160" s="3" t="n">
        <v>0.0299</v>
      </c>
      <c r="Z160" t="inlineStr">
        <is>
          <t>adjusted xGOT</t>
        </is>
      </c>
      <c r="AA160" s="3" t="n">
        <v>1</v>
      </c>
      <c r="AB160" s="3" t="n">
        <v>0.968</v>
      </c>
      <c r="AC160" s="3" t="n">
        <v>4</v>
      </c>
      <c r="AD160" s="3" t="n">
        <v>0.0163</v>
      </c>
      <c r="AE160" s="3" t="n">
        <v>8.984</v>
      </c>
      <c r="AF160" s="3" t="n">
        <v>0.3489538470900022</v>
      </c>
      <c r="AG160" s="3" t="n">
        <v>0.1268</v>
      </c>
      <c r="AH160" s="3" t="n">
        <v>48</v>
      </c>
      <c r="AI160" s="3" t="n">
        <v>3.1134</v>
      </c>
      <c r="AJ160" s="3" t="n">
        <v>1.5588</v>
      </c>
      <c r="AK160" s="3" t="n">
        <v>-0.2057759377817235</v>
      </c>
      <c r="AL160" s="6" t="n">
        <v>0</v>
      </c>
      <c r="AM160" s="3" t="n">
        <v>0</v>
      </c>
      <c r="AN160" s="3" t="n">
        <v>0.1794</v>
      </c>
      <c r="AO160" s="3" t="n">
        <v>0.06454800000000001</v>
      </c>
      <c r="AP160" s="3">
        <f>N(X160)*N(BI160)</f>
        <v/>
      </c>
      <c r="AQ160" s="3" t="n">
        <v>0.1268</v>
      </c>
      <c r="AR160" s="3" t="n">
        <v>0</v>
      </c>
      <c r="AS160" s="3" t="n">
        <v>-0.5404658182244797</v>
      </c>
      <c r="AT160" s="3" t="n">
        <v>-0.2057759377817235</v>
      </c>
      <c r="AU160" s="3">
        <f>SUM(AN160:AT160)</f>
        <v/>
      </c>
      <c r="AV160" s="7">
        <f>IF(OR(N(W160)&lt;=0,N(BG160)=0),0,N(W160)*IF(N(R160)/N(W160)&gt;=60,N(BG160),1))</f>
        <v/>
      </c>
      <c r="AW160" s="7">
        <f>N(W160)*N(AF160)*N(BH160)</f>
        <v/>
      </c>
      <c r="AX160" s="7">
        <f>N(AL160)*(Assumptions!$B$13*N(BJ160)-(1-Assumptions!$B$13)*Assumptions!$B$14)+N(AM160)</f>
        <v/>
      </c>
      <c r="AY160" s="7">
        <f>N(AU160)*N(R160)/90+N(AV160)+N(AW160)+N(AX160)</f>
        <v/>
      </c>
      <c r="AZ160" s="3">
        <f>IF(N(R160)&lt;=0,0,(N(AY160)-N(AX160))*90/N(R160))</f>
        <v/>
      </c>
      <c r="BA160" s="7">
        <f>IFERROR(AY160-VLOOKUP($E160,Assumptions!$A$40:$C$43,3,FALSE),"")</f>
        <v/>
      </c>
      <c r="BB160" s="3">
        <f>IFERROR(BA160/H160,"")</f>
        <v/>
      </c>
      <c r="BC160">
        <f>IF(AND($G160=TRUE,$E160="GKP"),AY160,"")</f>
        <v/>
      </c>
      <c r="BD160">
        <f>IF(AND($G160=TRUE,$E160="DEF"),AY160,"")</f>
        <v/>
      </c>
      <c r="BE160">
        <f>IF(AND($G160=TRUE,$E160="MID"),AY160,"")</f>
        <v/>
      </c>
      <c r="BF160">
        <f>IF(AND($G160=TRUE,$E160="FWD"),AY160,"")</f>
        <v/>
      </c>
      <c r="BG160" t="n">
        <v>2</v>
      </c>
      <c r="BH160" t="n">
        <v>2</v>
      </c>
      <c r="BI160" t="n">
        <v>4</v>
      </c>
      <c r="BJ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s="4" t="n">
        <v>2500</v>
      </c>
      <c r="O161" s="4" t="n">
        <v>237</v>
      </c>
      <c r="P161" s="5" t="inlineStr">
        <is>
          <t>medium</t>
        </is>
      </c>
      <c r="Q161" t="inlineStr">
        <is>
          <t>flat</t>
        </is>
      </c>
      <c r="R161" s="6" t="n">
        <v>2500</v>
      </c>
      <c r="S161" t="inlineStr">
        <is>
          <t>research</t>
        </is>
      </c>
      <c r="T161" s="5" t="inlineStr">
        <is>
          <t>Small upward move. Talbi started the final friendly in the front three and the Echo's opener preview favours him for the contested wide slot on the basis of his Premier League experience. Kept modest because he shares the flank with Angulo and because Sunderland are still targeting a right winger, which would compress the wide minutes further.</t>
        </is>
      </c>
      <c r="U161" s="6" t="n">
        <v>79.09999999999999</v>
      </c>
      <c r="V161" s="2" t="n">
        <v>16</v>
      </c>
      <c r="W161" s="7">
        <f>IF(N(U161)&lt;=0,0,MIN(Assumptions!$B$15,N(R161)/N(U161)))</f>
        <v/>
      </c>
      <c r="X161" s="6" t="n">
        <v>0.204</v>
      </c>
      <c r="Y161" s="3" t="n">
        <v>0.1438</v>
      </c>
      <c r="Z161" t="inlineStr">
        <is>
          <t>adjusted xGOT</t>
        </is>
      </c>
      <c r="AA161" s="3" t="n">
        <v>1</v>
      </c>
      <c r="AB161" s="3" t="n">
        <v>1.165</v>
      </c>
      <c r="AC161" s="3" t="n">
        <v>2.1</v>
      </c>
      <c r="AD161" s="3" t="n">
        <v>0.0516</v>
      </c>
      <c r="AE161" s="3" t="n">
        <v>6.36</v>
      </c>
      <c r="AF161" s="3" t="n">
        <v>0.0123265355904606</v>
      </c>
      <c r="AG161" s="3" t="n">
        <v>0.4057</v>
      </c>
      <c r="AH161" s="3" t="n">
        <v>44</v>
      </c>
      <c r="AI161" s="3" t="n">
        <v>3.3348</v>
      </c>
      <c r="AJ161" s="3" t="n">
        <v>1.6498</v>
      </c>
      <c r="AK161" s="3" t="n">
        <v>-0.1125747540818522</v>
      </c>
      <c r="AL161" s="6" t="n">
        <v>0</v>
      </c>
      <c r="AM161" s="3" t="n">
        <v>0</v>
      </c>
      <c r="AN161" s="3" t="n">
        <v>0.7190000000000001</v>
      </c>
      <c r="AO161" s="3" t="n">
        <v>0.204336</v>
      </c>
      <c r="AP161" s="3">
        <f>N(X161)*N(BI161)</f>
        <v/>
      </c>
      <c r="AQ161" s="3" t="n">
        <v>0.4057</v>
      </c>
      <c r="AR161" s="3" t="n">
        <v>0</v>
      </c>
      <c r="AS161" s="3" t="n">
        <v>-0</v>
      </c>
      <c r="AT161" s="3" t="n">
        <v>-0.1125747540818522</v>
      </c>
      <c r="AU161" s="3">
        <f>SUM(AN161:AT161)</f>
        <v/>
      </c>
      <c r="AV161" s="7">
        <f>IF(OR(N(W161)&lt;=0,N(BG161)=0),0,N(W161)*IF(N(R161)/N(W161)&gt;=60,N(BG161),1))</f>
        <v/>
      </c>
      <c r="AW161" s="7">
        <f>N(W161)*N(AF161)*N(BH161)</f>
        <v/>
      </c>
      <c r="AX161" s="7">
        <f>N(AL161)*(Assumptions!$B$13*N(BJ161)-(1-Assumptions!$B$13)*Assumptions!$B$14)+N(AM161)</f>
        <v/>
      </c>
      <c r="AY161" s="7">
        <f>N(AU161)*N(R161)/90+N(AV161)+N(AW161)+N(AX161)</f>
        <v/>
      </c>
      <c r="AZ161" s="3">
        <f>IF(N(R161)&lt;=0,0,(N(AY161)-N(AX161))*90/N(R161))</f>
        <v/>
      </c>
      <c r="BA161" s="7">
        <f>IFERROR(AY161-VLOOKUP($E161,Assumptions!$A$40:$C$43,3,FALSE),"")</f>
        <v/>
      </c>
      <c r="BB161" s="3">
        <f>IFERROR(BA161/H161,"")</f>
        <v/>
      </c>
      <c r="BC161">
        <f>IF(AND($G161=TRUE,$E161="GKP"),AY161,"")</f>
        <v/>
      </c>
      <c r="BD161">
        <f>IF(AND($G161=TRUE,$E161="DEF"),AY161,"")</f>
        <v/>
      </c>
      <c r="BE161">
        <f>IF(AND($G161=TRUE,$E161="MID"),AY161,"")</f>
        <v/>
      </c>
      <c r="BF161">
        <f>IF(AND($G161=TRUE,$E161="FWD"),AY161,"")</f>
        <v/>
      </c>
      <c r="BG161" t="n">
        <v>2</v>
      </c>
      <c r="BH161" t="n">
        <v>2</v>
      </c>
      <c r="BI161" t="n">
        <v>1</v>
      </c>
      <c r="BJ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s="4" t="n">
        <v>690</v>
      </c>
      <c r="O162" s="4" t="n">
        <v>247</v>
      </c>
      <c r="P162" s="5" t="inlineStr">
        <is>
          <t>low</t>
        </is>
      </c>
      <c r="Q162" t="inlineStr">
        <is>
          <t>flat</t>
        </is>
      </c>
      <c r="R162" s="6" t="n">
        <v>690</v>
      </c>
      <c r="S162" t="inlineStr">
        <is>
          <t>research</t>
        </is>
      </c>
      <c r="T162" s="5" t="inlineStr">
        <is>
          <t>A club-record GBP 37m signing who played 1,676 league minutes in 2025-26 and featured in Glasner's first pre-season XI in the ten role. He is out of the current first-choice XI, but 443 minutes understates the first reserve for two attacking-midfield slots.</t>
        </is>
      </c>
      <c r="U162" s="6" t="n">
        <v>78.8</v>
      </c>
      <c r="V162" s="2" t="n">
        <v>17</v>
      </c>
      <c r="W162" s="7">
        <f>IF(N(U162)&lt;=0,0,MIN(Assumptions!$B$15,N(R162)/N(U162)))</f>
        <v/>
      </c>
      <c r="X162" s="6" t="n">
        <v>0.224</v>
      </c>
      <c r="Y162" s="3" t="n">
        <v>0.1126</v>
      </c>
      <c r="Z162" t="inlineStr">
        <is>
          <t>adjusted xGOT</t>
        </is>
      </c>
      <c r="AA162" s="3" t="n">
        <v>1</v>
      </c>
      <c r="AB162" s="3" t="n">
        <v>1.043</v>
      </c>
      <c r="AC162" s="3" t="n">
        <v>4.9</v>
      </c>
      <c r="AD162" s="3" t="n">
        <v>0.2363</v>
      </c>
      <c r="AE162" s="3" t="n">
        <v>7.423</v>
      </c>
      <c r="AF162" s="3" t="n">
        <v>0.03385480945361452</v>
      </c>
      <c r="AG162" s="3" t="n">
        <v>0.1611</v>
      </c>
      <c r="AH162" s="3" t="n">
        <v>46</v>
      </c>
      <c r="AI162" s="3" t="n">
        <v>3.1134</v>
      </c>
      <c r="AJ162" s="3" t="n">
        <v>1.5588</v>
      </c>
      <c r="AK162" s="3" t="n">
        <v>-0.1552994984010327</v>
      </c>
      <c r="AL162" s="6" t="n">
        <v>0</v>
      </c>
      <c r="AM162" s="3" t="n">
        <v>0</v>
      </c>
      <c r="AN162" s="3" t="n">
        <v>0.5630000000000001</v>
      </c>
      <c r="AO162" s="3" t="n">
        <v>0.9357480000000001</v>
      </c>
      <c r="AP162" s="3">
        <f>N(X162)*N(BI162)</f>
        <v/>
      </c>
      <c r="AQ162" s="3" t="n">
        <v>0.1611</v>
      </c>
      <c r="AR162" s="3" t="n">
        <v>0</v>
      </c>
      <c r="AS162" s="3" t="n">
        <v>-0</v>
      </c>
      <c r="AT162" s="3" t="n">
        <v>-0.1552994984010327</v>
      </c>
      <c r="AU162" s="3">
        <f>SUM(AN162:AT162)</f>
        <v/>
      </c>
      <c r="AV162" s="7">
        <f>IF(OR(N(W162)&lt;=0,N(BG162)=0),0,N(W162)*IF(N(R162)/N(W162)&gt;=60,N(BG162),1))</f>
        <v/>
      </c>
      <c r="AW162" s="7">
        <f>N(W162)*N(AF162)*N(BH162)</f>
        <v/>
      </c>
      <c r="AX162" s="7">
        <f>N(AL162)*(Assumptions!$B$13*N(BJ162)-(1-Assumptions!$B$13)*Assumptions!$B$14)+N(AM162)</f>
        <v/>
      </c>
      <c r="AY162" s="7">
        <f>N(AU162)*N(R162)/90+N(AV162)+N(AW162)+N(AX162)</f>
        <v/>
      </c>
      <c r="AZ162" s="3">
        <f>IF(N(R162)&lt;=0,0,(N(AY162)-N(AX162))*90/N(R162))</f>
        <v/>
      </c>
      <c r="BA162" s="7">
        <f>IFERROR(AY162-VLOOKUP($E162,Assumptions!$A$40:$C$43,3,FALSE),"")</f>
        <v/>
      </c>
      <c r="BB162" s="3">
        <f>IFERROR(BA162/H162,"")</f>
        <v/>
      </c>
      <c r="BC162">
        <f>IF(AND($G162=TRUE,$E162="GKP"),AY162,"")</f>
        <v/>
      </c>
      <c r="BD162">
        <f>IF(AND($G162=TRUE,$E162="DEF"),AY162,"")</f>
        <v/>
      </c>
      <c r="BE162">
        <f>IF(AND($G162=TRUE,$E162="MID"),AY162,"")</f>
        <v/>
      </c>
      <c r="BF162">
        <f>IF(AND($G162=TRUE,$E162="FWD"),AY162,"")</f>
        <v/>
      </c>
      <c r="BG162" t="n">
        <v>2</v>
      </c>
      <c r="BH162" t="n">
        <v>2</v>
      </c>
      <c r="BI162" t="n">
        <v>1</v>
      </c>
      <c r="BJ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s="4" t="n">
        <v>1150</v>
      </c>
      <c r="O163" s="4" t="n">
        <v>-685</v>
      </c>
      <c r="P163" s="5" t="inlineStr">
        <is>
          <t>medium</t>
        </is>
      </c>
      <c r="Q163" t="inlineStr">
        <is>
          <t>flat</t>
        </is>
      </c>
      <c r="R163" s="6" t="n">
        <v>1150</v>
      </c>
      <c r="S163" t="inlineStr">
        <is>
          <t>research</t>
        </is>
      </c>
      <c r="T163" s="5" t="inlineStr">
        <is>
          <t>Solio's 1,835 reflects his standing as an Eddie Howe regular. Under Jaissle he was an unused substitute v Everton and was not in the matchday squad at all v Leverkusen, while Elanga started both. He is 31 with 12 months left on his contract, valued at around EUR 12m, and Everton have been interested. Not cut further because he is a genuine multi-position senior option and has said he wants to stay and fight for his place.</t>
        </is>
      </c>
      <c r="U163" s="6" t="n">
        <v>73.09999999999999</v>
      </c>
      <c r="V163" s="2" t="n">
        <v>19</v>
      </c>
      <c r="W163" s="7">
        <f>IF(N(U163)&lt;=0,0,MIN(Assumptions!$B$15,N(R163)/N(U163)))</f>
        <v/>
      </c>
      <c r="X163" s="6" t="n">
        <v>0.248</v>
      </c>
      <c r="Y163" s="3" t="n">
        <v>0.1588</v>
      </c>
      <c r="Z163" t="inlineStr">
        <is>
          <t>adjusted xGOT</t>
        </is>
      </c>
      <c r="AA163" s="3" t="n">
        <v>1</v>
      </c>
      <c r="AB163" s="3" t="n">
        <v>0.923</v>
      </c>
      <c r="AC163" s="3" t="n">
        <v>14.6</v>
      </c>
      <c r="AD163" s="3" t="n">
        <v>0.2086</v>
      </c>
      <c r="AE163" s="3" t="n">
        <v>6.137</v>
      </c>
      <c r="AF163" s="3" t="n">
        <v>0.005327393138960246</v>
      </c>
      <c r="AG163" s="3" t="n">
        <v>0.2802</v>
      </c>
      <c r="AH163" s="3" t="n">
        <v>50</v>
      </c>
      <c r="AI163" s="3" t="n">
        <v>3.0912</v>
      </c>
      <c r="AJ163" s="3" t="n">
        <v>1.4534</v>
      </c>
      <c r="AK163" s="3" t="n">
        <v>-0.1624120086980674</v>
      </c>
      <c r="AL163" s="6" t="n">
        <v>0</v>
      </c>
      <c r="AM163" s="3" t="n">
        <v>0</v>
      </c>
      <c r="AN163" s="3" t="n">
        <v>0.794</v>
      </c>
      <c r="AO163" s="3" t="n">
        <v>0.8260560000000001</v>
      </c>
      <c r="AP163" s="3">
        <f>N(X163)*N(BI163)</f>
        <v/>
      </c>
      <c r="AQ163" s="3" t="n">
        <v>0.2802</v>
      </c>
      <c r="AR163" s="3" t="n">
        <v>0</v>
      </c>
      <c r="AS163" s="3" t="n">
        <v>-0</v>
      </c>
      <c r="AT163" s="3" t="n">
        <v>-0.1624120086980674</v>
      </c>
      <c r="AU163" s="3">
        <f>SUM(AN163:AT163)</f>
        <v/>
      </c>
      <c r="AV163" s="7">
        <f>IF(OR(N(W163)&lt;=0,N(BG163)=0),0,N(W163)*IF(N(R163)/N(W163)&gt;=60,N(BG163),1))</f>
        <v/>
      </c>
      <c r="AW163" s="7">
        <f>N(W163)*N(AF163)*N(BH163)</f>
        <v/>
      </c>
      <c r="AX163" s="7">
        <f>N(AL163)*(Assumptions!$B$13*N(BJ163)-(1-Assumptions!$B$13)*Assumptions!$B$14)+N(AM163)</f>
        <v/>
      </c>
      <c r="AY163" s="7">
        <f>N(AU163)*N(R163)/90+N(AV163)+N(AW163)+N(AX163)</f>
        <v/>
      </c>
      <c r="AZ163" s="3">
        <f>IF(N(R163)&lt;=0,0,(N(AY163)-N(AX163))*90/N(R163))</f>
        <v/>
      </c>
      <c r="BA163" s="7">
        <f>IFERROR(AY163-VLOOKUP($E163,Assumptions!$A$40:$C$43,3,FALSE),"")</f>
        <v/>
      </c>
      <c r="BB163" s="3">
        <f>IFERROR(BA163/H163,"")</f>
        <v/>
      </c>
      <c r="BC163">
        <f>IF(AND($G163=TRUE,$E163="GKP"),AY163,"")</f>
        <v/>
      </c>
      <c r="BD163">
        <f>IF(AND($G163=TRUE,$E163="DEF"),AY163,"")</f>
        <v/>
      </c>
      <c r="BE163">
        <f>IF(AND($G163=TRUE,$E163="MID"),AY163,"")</f>
        <v/>
      </c>
      <c r="BF163">
        <f>IF(AND($G163=TRUE,$E163="FWD"),AY163,"")</f>
        <v/>
      </c>
      <c r="BG163" t="n">
        <v>2</v>
      </c>
      <c r="BH163" t="n">
        <v>2</v>
      </c>
      <c r="BI163" t="n">
        <v>1</v>
      </c>
      <c r="BJ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s="8" t="n">
        <v>1528</v>
      </c>
      <c r="O164" s="8" t="n">
        <v>0</v>
      </c>
      <c r="Q164" t="inlineStr">
        <is>
          <t>flat</t>
        </is>
      </c>
      <c r="R164" s="6" t="n">
        <v>1528</v>
      </c>
      <c r="S164" t="inlineStr">
        <is>
          <t>Solio</t>
        </is>
      </c>
      <c r="U164" s="6" t="n">
        <v>85.09999999999999</v>
      </c>
      <c r="V164" s="2" t="n">
        <v>21</v>
      </c>
      <c r="W164" s="7">
        <f>IF(N(U164)&lt;=0,0,MIN(Assumptions!$B$15,N(R164)/N(U164)))</f>
        <v/>
      </c>
      <c r="X164" s="6" t="n">
        <v>0.214</v>
      </c>
      <c r="Y164" s="3" t="n">
        <v>0.0396</v>
      </c>
      <c r="Z164" t="inlineStr">
        <is>
          <t>adjusted xGOT</t>
        </is>
      </c>
      <c r="AA164" s="3" t="n">
        <v>1</v>
      </c>
      <c r="AB164" s="3" t="n">
        <v>0.858</v>
      </c>
      <c r="AC164" s="3" t="n">
        <v>3.9</v>
      </c>
      <c r="AD164" s="3" t="n">
        <v>0.0605</v>
      </c>
      <c r="AE164" s="3" t="n">
        <v>8.118</v>
      </c>
      <c r="AF164" s="3" t="n">
        <v>0.244078093531879</v>
      </c>
      <c r="AG164" s="3" t="n">
        <v>0.2513</v>
      </c>
      <c r="AH164" s="3" t="n">
        <v>41</v>
      </c>
      <c r="AI164" s="3" t="n">
        <v>3.22</v>
      </c>
      <c r="AJ164" s="3" t="n">
        <v>1.6019</v>
      </c>
      <c r="AK164" s="3" t="n">
        <v>-0.1905925778562175</v>
      </c>
      <c r="AL164" s="6" t="n">
        <v>0</v>
      </c>
      <c r="AM164" s="3" t="n">
        <v>0</v>
      </c>
      <c r="AN164" s="3" t="n">
        <v>0.2376</v>
      </c>
      <c r="AO164" s="3" t="n">
        <v>0.23958</v>
      </c>
      <c r="AP164" s="3">
        <f>N(X164)*N(BI164)</f>
        <v/>
      </c>
      <c r="AQ164" s="3" t="n">
        <v>0.2513</v>
      </c>
      <c r="AR164" s="3" t="n">
        <v>0</v>
      </c>
      <c r="AS164" s="3" t="n">
        <v>-0.5611019003833156</v>
      </c>
      <c r="AT164" s="3" t="n">
        <v>-0.1905925778562175</v>
      </c>
      <c r="AU164" s="3">
        <f>SUM(AN164:AT164)</f>
        <v/>
      </c>
      <c r="AV164" s="7">
        <f>IF(OR(N(W164)&lt;=0,N(BG164)=0),0,N(W164)*IF(N(R164)/N(W164)&gt;=60,N(BG164),1))</f>
        <v/>
      </c>
      <c r="AW164" s="7">
        <f>N(W164)*N(AF164)*N(BH164)</f>
        <v/>
      </c>
      <c r="AX164" s="7">
        <f>N(AL164)*(Assumptions!$B$13*N(BJ164)-(1-Assumptions!$B$13)*Assumptions!$B$14)+N(AM164)</f>
        <v/>
      </c>
      <c r="AY164" s="7">
        <f>N(AU164)*N(R164)/90+N(AV164)+N(AW164)+N(AX164)</f>
        <v/>
      </c>
      <c r="AZ164" s="3">
        <f>IF(N(R164)&lt;=0,0,(N(AY164)-N(AX164))*90/N(R164))</f>
        <v/>
      </c>
      <c r="BA164" s="7">
        <f>IFERROR(AY164-VLOOKUP($E164,Assumptions!$A$40:$C$43,3,FALSE),"")</f>
        <v/>
      </c>
      <c r="BB164" s="3">
        <f>IFERROR(BA164/H164,"")</f>
        <v/>
      </c>
      <c r="BC164">
        <f>IF(AND($G164=TRUE,$E164="GKP"),AY164,"")</f>
        <v/>
      </c>
      <c r="BD164">
        <f>IF(AND($G164=TRUE,$E164="DEF"),AY164,"")</f>
        <v/>
      </c>
      <c r="BE164">
        <f>IF(AND($G164=TRUE,$E164="MID"),AY164,"")</f>
        <v/>
      </c>
      <c r="BF164">
        <f>IF(AND($G164=TRUE,$E164="FWD"),AY164,"")</f>
        <v/>
      </c>
      <c r="BG164" t="n">
        <v>2</v>
      </c>
      <c r="BH164" t="n">
        <v>2</v>
      </c>
      <c r="BI164" t="n">
        <v>4</v>
      </c>
      <c r="BJ164" t="n">
        <v>6</v>
      </c>
    </row>
    <row r="165">
      <c r="A165" s="9" t="inlineStr">
        <is>
          <t>Sandro Tonali</t>
        </is>
      </c>
      <c r="B165" t="inlineStr">
        <is>
          <t>TOT</t>
        </is>
      </c>
      <c r="C165" s="9" t="inlineStr">
        <is>
          <t>NEW</t>
        </is>
      </c>
      <c r="D165" t="b">
        <v>1</v>
      </c>
      <c r="E165" t="inlineStr">
        <is>
          <t>MID</t>
        </is>
      </c>
      <c r="F165" t="inlineStr">
        <is>
          <t>MID</t>
        </is>
      </c>
      <c r="G165" t="b">
        <v>1</v>
      </c>
      <c r="H165" s="2" t="n">
        <v>5.5</v>
      </c>
      <c r="I165" t="inlineStr">
        <is>
          <t>a</t>
        </is>
      </c>
      <c r="K165" s="2" t="n">
        <v>2534</v>
      </c>
      <c r="L165" t="n">
        <v>81</v>
      </c>
      <c r="M165" s="3" t="n">
        <v>2918</v>
      </c>
      <c r="N165" s="8" t="n">
        <v>2918</v>
      </c>
      <c r="O165" s="8" t="n">
        <v>0</v>
      </c>
      <c r="Q165" t="inlineStr">
        <is>
          <t>flat</t>
        </is>
      </c>
      <c r="R165" s="6" t="n">
        <v>2918</v>
      </c>
      <c r="S165" t="inlineStr">
        <is>
          <t>Solio</t>
        </is>
      </c>
      <c r="U165" s="6" t="n">
        <v>80.2</v>
      </c>
      <c r="V165" s="2" t="n">
        <v>31</v>
      </c>
      <c r="W165" s="7">
        <f>IF(N(U165)&lt;=0,0,MIN(Assumptions!$B$15,N(R165)/N(U165)))</f>
        <v/>
      </c>
      <c r="X165" s="6" t="n">
        <v>0.286</v>
      </c>
      <c r="Y165" s="10" t="n">
        <v>0.0645</v>
      </c>
      <c r="Z165" t="inlineStr">
        <is>
          <t>adjusted xGOT</t>
        </is>
      </c>
      <c r="AA165" s="3" t="n">
        <v>1</v>
      </c>
      <c r="AB165" s="3" t="n">
        <v>1.038</v>
      </c>
      <c r="AC165" s="3" t="n">
        <v>6.8</v>
      </c>
      <c r="AD165" s="10" t="n">
        <v>0.1177</v>
      </c>
      <c r="AE165" s="3" t="n">
        <v>9.006</v>
      </c>
      <c r="AF165" s="3" t="n">
        <v>0.1137624719081718</v>
      </c>
      <c r="AG165" s="3" t="n">
        <v>0.0355</v>
      </c>
      <c r="AH165" s="3" t="n">
        <v>62</v>
      </c>
      <c r="AI165" s="3" t="n">
        <v>2.5739</v>
      </c>
      <c r="AJ165" s="3" t="n">
        <v>1.3096</v>
      </c>
      <c r="AK165" s="3" t="n">
        <v>-0.1894479769331817</v>
      </c>
      <c r="AL165" s="6" t="n">
        <v>0</v>
      </c>
      <c r="AM165" s="3" t="n">
        <v>0</v>
      </c>
      <c r="AN165" s="10" t="n">
        <v>0.3225</v>
      </c>
      <c r="AO165" s="10" t="n">
        <v>0.466092</v>
      </c>
      <c r="AP165" s="3">
        <f>N(X165)*N(BI165)</f>
        <v/>
      </c>
      <c r="AQ165" s="3" t="n">
        <v>0.0355</v>
      </c>
      <c r="AR165" s="3" t="n">
        <v>0</v>
      </c>
      <c r="AS165" s="3" t="n">
        <v>-0</v>
      </c>
      <c r="AT165" s="3" t="n">
        <v>-0.1894479769331817</v>
      </c>
      <c r="AU165" s="3">
        <f>SUM(AN165:AT165)</f>
        <v/>
      </c>
      <c r="AV165" s="7">
        <f>IF(OR(N(W165)&lt;=0,N(BG165)=0),0,N(W165)*IF(N(R165)/N(W165)&gt;=60,N(BG165),1))</f>
        <v/>
      </c>
      <c r="AW165" s="7">
        <f>N(W165)*N(AF165)*N(BH165)</f>
        <v/>
      </c>
      <c r="AX165" s="7">
        <f>N(AL165)*(Assumptions!$B$13*N(BJ165)-(1-Assumptions!$B$13)*Assumptions!$B$14)+N(AM165)</f>
        <v/>
      </c>
      <c r="AY165" s="7">
        <f>N(AU165)*N(R165)/90+N(AV165)+N(AW165)+N(AX165)</f>
        <v/>
      </c>
      <c r="AZ165" s="3">
        <f>IF(N(R165)&lt;=0,0,(N(AY165)-N(AX165))*90/N(R165))</f>
        <v/>
      </c>
      <c r="BA165" s="7">
        <f>IFERROR(AY165-VLOOKUP($E165,Assumptions!$A$40:$C$43,3,FALSE),"")</f>
        <v/>
      </c>
      <c r="BB165" s="3">
        <f>IFERROR(BA165/H165,"")</f>
        <v/>
      </c>
      <c r="BC165">
        <f>IF(AND($G165=TRUE,$E165="GKP"),AY165,"")</f>
        <v/>
      </c>
      <c r="BD165">
        <f>IF(AND($G165=TRUE,$E165="DEF"),AY165,"")</f>
        <v/>
      </c>
      <c r="BE165">
        <f>IF(AND($G165=TRUE,$E165="MID"),AY165,"")</f>
        <v/>
      </c>
      <c r="BF165">
        <f>IF(AND($G165=TRUE,$E165="FWD"),AY165,"")</f>
        <v/>
      </c>
      <c r="BG165" t="n">
        <v>2</v>
      </c>
      <c r="BH165" t="n">
        <v>2</v>
      </c>
      <c r="BI165" t="n">
        <v>1</v>
      </c>
      <c r="BJ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s="4" t="n">
        <v>500</v>
      </c>
      <c r="O166" s="4" t="n">
        <v>-197</v>
      </c>
      <c r="P166" s="5" t="inlineStr">
        <is>
          <t>low</t>
        </is>
      </c>
      <c r="Q166" t="inlineStr">
        <is>
          <t>fade (losing his place)</t>
        </is>
      </c>
      <c r="R166" s="6" t="n">
        <v>500</v>
      </c>
      <c r="S166" t="inlineStr">
        <is>
          <t>research</t>
        </is>
      </c>
      <c r="T166" s="5" t="inlineStr">
        <is>
          <t>Jones is described by This Is Anfield as having a future 'far from certain', Opta's squad audit lists him as a potential departure with Inter linked, and he picked up a hip issue in the Monaco week. He is behind Gravenberch, Szoboszlai, Mac Allister and now Nyoni in the pivot. Small trim on Solio's 697.</t>
        </is>
      </c>
      <c r="U166" s="6" t="n">
        <v>82</v>
      </c>
      <c r="V166" s="2" t="n">
        <v>18</v>
      </c>
      <c r="W166" s="7">
        <f>IF(N(U166)&lt;=0,0,MIN(Assumptions!$B$15,N(R166)/N(U166)))</f>
        <v/>
      </c>
      <c r="X166" s="6" t="n">
        <v>0.342</v>
      </c>
      <c r="Y166" s="3" t="n">
        <v>0.1026</v>
      </c>
      <c r="Z166" t="inlineStr">
        <is>
          <t>adjusted xGOT</t>
        </is>
      </c>
      <c r="AA166" s="3" t="n">
        <v>1</v>
      </c>
      <c r="AB166" s="3" t="n">
        <v>0.992</v>
      </c>
      <c r="AC166" s="3" t="n">
        <v>10.4</v>
      </c>
      <c r="AD166" s="3" t="n">
        <v>0.1311</v>
      </c>
      <c r="AE166" s="3" t="n">
        <v>10.407</v>
      </c>
      <c r="AF166" s="3" t="n">
        <v>0.2460861372337647</v>
      </c>
      <c r="AG166" s="3" t="n">
        <v>0.2808</v>
      </c>
      <c r="AH166" s="3" t="n">
        <v>52</v>
      </c>
      <c r="AI166" s="3" t="n">
        <v>2.409</v>
      </c>
      <c r="AJ166" s="3" t="n">
        <v>1.1228</v>
      </c>
      <c r="AK166" s="3" t="n">
        <v>-0.1464470669376201</v>
      </c>
      <c r="AL166" s="6" t="n">
        <v>0</v>
      </c>
      <c r="AM166" s="3" t="n">
        <v>0</v>
      </c>
      <c r="AN166" s="3" t="n">
        <v>0.513</v>
      </c>
      <c r="AO166" s="3" t="n">
        <v>0.519156</v>
      </c>
      <c r="AP166" s="3">
        <f>N(X166)*N(BI166)</f>
        <v/>
      </c>
      <c r="AQ166" s="3" t="n">
        <v>0.2808</v>
      </c>
      <c r="AR166" s="3" t="n">
        <v>0</v>
      </c>
      <c r="AS166" s="3" t="n">
        <v>-0</v>
      </c>
      <c r="AT166" s="3" t="n">
        <v>-0.1464470669376201</v>
      </c>
      <c r="AU166" s="3">
        <f>SUM(AN166:AT166)</f>
        <v/>
      </c>
      <c r="AV166" s="7">
        <f>IF(OR(N(W166)&lt;=0,N(BG166)=0),0,N(W166)*IF(N(R166)/N(W166)&gt;=60,N(BG166),1))</f>
        <v/>
      </c>
      <c r="AW166" s="7">
        <f>N(W166)*N(AF166)*N(BH166)</f>
        <v/>
      </c>
      <c r="AX166" s="7">
        <f>N(AL166)*(Assumptions!$B$13*N(BJ166)-(1-Assumptions!$B$13)*Assumptions!$B$14)+N(AM166)</f>
        <v/>
      </c>
      <c r="AY166" s="7">
        <f>N(AU166)*N(R166)/90+N(AV166)+N(AW166)+N(AX166)</f>
        <v/>
      </c>
      <c r="AZ166" s="3">
        <f>IF(N(R166)&lt;=0,0,(N(AY166)-N(AX166))*90/N(R166))</f>
        <v/>
      </c>
      <c r="BA166" s="7">
        <f>IFERROR(AY166-VLOOKUP($E166,Assumptions!$A$40:$C$43,3,FALSE),"")</f>
        <v/>
      </c>
      <c r="BB166" s="3">
        <f>IFERROR(BA166/H166,"")</f>
        <v/>
      </c>
      <c r="BC166">
        <f>IF(AND($G166=TRUE,$E166="GKP"),AY166,"")</f>
        <v/>
      </c>
      <c r="BD166">
        <f>IF(AND($G166=TRUE,$E166="DEF"),AY166,"")</f>
        <v/>
      </c>
      <c r="BE166">
        <f>IF(AND($G166=TRUE,$E166="MID"),AY166,"")</f>
        <v/>
      </c>
      <c r="BF166">
        <f>IF(AND($G166=TRUE,$E166="FWD"),AY166,"")</f>
        <v/>
      </c>
      <c r="BG166" t="n">
        <v>2</v>
      </c>
      <c r="BH166" t="n">
        <v>2</v>
      </c>
      <c r="BI166" t="n">
        <v>1</v>
      </c>
      <c r="BJ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s="8" t="n">
        <v>2842</v>
      </c>
      <c r="O167" s="8" t="n">
        <v>0</v>
      </c>
      <c r="Q167" t="inlineStr">
        <is>
          <t>flat</t>
        </is>
      </c>
      <c r="R167" s="6" t="n">
        <v>2842</v>
      </c>
      <c r="S167" t="inlineStr">
        <is>
          <t>Solio</t>
        </is>
      </c>
      <c r="U167" s="6" t="n">
        <v>85.90000000000001</v>
      </c>
      <c r="V167" s="2" t="n">
        <v>33</v>
      </c>
      <c r="W167" s="7">
        <f>IF(N(U167)&lt;=0,0,MIN(Assumptions!$B$15,N(R167)/N(U167)))</f>
        <v/>
      </c>
      <c r="X167" s="6" t="n">
        <v>0.204</v>
      </c>
      <c r="Y167" s="3" t="n">
        <v>0.0411</v>
      </c>
      <c r="Z167" t="inlineStr">
        <is>
          <t>adjusted xGOT</t>
        </is>
      </c>
      <c r="AA167" s="3" t="n">
        <v>1</v>
      </c>
      <c r="AB167" s="3" t="n">
        <v>0.923</v>
      </c>
      <c r="AC167" s="3" t="n">
        <v>1.4</v>
      </c>
      <c r="AD167" s="3" t="n">
        <v>0.0372</v>
      </c>
      <c r="AE167" s="3" t="n">
        <v>7.891</v>
      </c>
      <c r="AF167" s="3" t="n">
        <v>0.08109952085823458</v>
      </c>
      <c r="AG167" s="3" t="n">
        <v>0</v>
      </c>
      <c r="AH167" s="3" t="n">
        <v>66</v>
      </c>
      <c r="AI167" s="3" t="n">
        <v>3.3348</v>
      </c>
      <c r="AJ167" s="3" t="n">
        <v>1.6498</v>
      </c>
      <c r="AK167" s="3" t="n">
        <v>-0.2699592457539504</v>
      </c>
      <c r="AL167" s="6" t="n">
        <v>0</v>
      </c>
      <c r="AM167" s="3" t="n">
        <v>0</v>
      </c>
      <c r="AN167" s="3" t="n">
        <v>0.2055</v>
      </c>
      <c r="AO167" s="3" t="n">
        <v>0.147312</v>
      </c>
      <c r="AP167" s="3">
        <f>N(X167)*N(BI167)</f>
        <v/>
      </c>
      <c r="AQ167" s="3" t="n">
        <v>0</v>
      </c>
      <c r="AR167" s="3" t="n">
        <v>0</v>
      </c>
      <c r="AS167" s="3" t="n">
        <v>-0</v>
      </c>
      <c r="AT167" s="3" t="n">
        <v>-0.2699592457539504</v>
      </c>
      <c r="AU167" s="3">
        <f>SUM(AN167:AT167)</f>
        <v/>
      </c>
      <c r="AV167" s="7">
        <f>IF(OR(N(W167)&lt;=0,N(BG167)=0),0,N(W167)*IF(N(R167)/N(W167)&gt;=60,N(BG167),1))</f>
        <v/>
      </c>
      <c r="AW167" s="7">
        <f>N(W167)*N(AF167)*N(BH167)</f>
        <v/>
      </c>
      <c r="AX167" s="7">
        <f>N(AL167)*(Assumptions!$B$13*N(BJ167)-(1-Assumptions!$B$13)*Assumptions!$B$14)+N(AM167)</f>
        <v/>
      </c>
      <c r="AY167" s="7">
        <f>N(AU167)*N(R167)/90+N(AV167)+N(AW167)+N(AX167)</f>
        <v/>
      </c>
      <c r="AZ167" s="3">
        <f>IF(N(R167)&lt;=0,0,(N(AY167)-N(AX167))*90/N(R167))</f>
        <v/>
      </c>
      <c r="BA167" s="7">
        <f>IFERROR(AY167-VLOOKUP($E167,Assumptions!$A$40:$C$43,3,FALSE),"")</f>
        <v/>
      </c>
      <c r="BB167" s="3">
        <f>IFERROR(BA167/H167,"")</f>
        <v/>
      </c>
      <c r="BC167">
        <f>IF(AND($G167=TRUE,$E167="GKP"),AY167,"")</f>
        <v/>
      </c>
      <c r="BD167">
        <f>IF(AND($G167=TRUE,$E167="DEF"),AY167,"")</f>
        <v/>
      </c>
      <c r="BE167">
        <f>IF(AND($G167=TRUE,$E167="MID"),AY167,"")</f>
        <v/>
      </c>
      <c r="BF167">
        <f>IF(AND($G167=TRUE,$E167="FWD"),AY167,"")</f>
        <v/>
      </c>
      <c r="BG167" t="n">
        <v>2</v>
      </c>
      <c r="BH167" t="n">
        <v>2</v>
      </c>
      <c r="BI167" t="n">
        <v>1</v>
      </c>
      <c r="BJ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s="4" t="n">
        <v>750</v>
      </c>
      <c r="O168" s="4" t="n">
        <v>-1410</v>
      </c>
      <c r="P168" s="5" t="inlineStr">
        <is>
          <t>high</t>
        </is>
      </c>
      <c r="Q168" t="inlineStr">
        <is>
          <t>ramp-up (injury / late WC return)</t>
        </is>
      </c>
      <c r="R168" s="6" t="n">
        <v>750</v>
      </c>
      <c r="S168" t="inlineStr">
        <is>
          <t>research</t>
        </is>
      </c>
      <c r="T168" s="5" t="inlineStr">
        <is>
          <t>Solio's 'ramp-up' pattern treats this as a short absence. It is not: Simons ruptured his ACL against Wolves on 25 April 2026, had surgery on 5 May, and Gold puts the return at 'early 2027 with the same nine month timeline'. Nine months from surgery is February 2027, leaving roughly a dozen fixtures, and clubs do not throw ACL returnees straight back into 90-minute games. 750 minutes assumes a February return easing in off the bench and a handful of late-season starts.</t>
        </is>
      </c>
      <c r="U168" s="6" t="n">
        <v>80.59999999999999</v>
      </c>
      <c r="V168" s="2" t="n">
        <v>18</v>
      </c>
      <c r="W168" s="7">
        <f>IF(N(U168)&lt;=0,0,MIN(Assumptions!$B$15,N(R168)/N(U168)))</f>
        <v/>
      </c>
      <c r="X168" s="6" t="n">
        <v>0.286</v>
      </c>
      <c r="Y168" s="3" t="n">
        <v>0.1625</v>
      </c>
      <c r="Z168" t="inlineStr">
        <is>
          <t>adjusted xGOT</t>
        </is>
      </c>
      <c r="AA168" s="3" t="n">
        <v>1</v>
      </c>
      <c r="AB168" s="3" t="n">
        <v>1.031</v>
      </c>
      <c r="AC168" s="3" t="n">
        <v>3.1</v>
      </c>
      <c r="AD168" s="3" t="n">
        <v>0.219</v>
      </c>
      <c r="AE168" s="3" t="n">
        <v>7.939</v>
      </c>
      <c r="AF168" s="3" t="n">
        <v>0.05846674060078405</v>
      </c>
      <c r="AG168" s="3" t="n">
        <v>0.3606</v>
      </c>
      <c r="AH168" s="3" t="n">
        <v>46</v>
      </c>
      <c r="AI168" s="3" t="n">
        <v>2.5739</v>
      </c>
      <c r="AJ168" s="3" t="n">
        <v>1.3096</v>
      </c>
      <c r="AK168" s="3" t="n">
        <v>-0.2479332834975935</v>
      </c>
      <c r="AL168" s="6" t="n">
        <v>0.3044840511740968</v>
      </c>
      <c r="AM168" s="3" t="n">
        <v>0</v>
      </c>
      <c r="AN168" s="3" t="n">
        <v>0.8125</v>
      </c>
      <c r="AO168" s="3" t="n">
        <v>0.8672400000000001</v>
      </c>
      <c r="AP168" s="3">
        <f>N(X168)*N(BI168)</f>
        <v/>
      </c>
      <c r="AQ168" s="3" t="n">
        <v>0.3606</v>
      </c>
      <c r="AR168" s="3" t="n">
        <v>0</v>
      </c>
      <c r="AS168" s="3" t="n">
        <v>-0</v>
      </c>
      <c r="AT168" s="3" t="n">
        <v>-0.2479332834975935</v>
      </c>
      <c r="AU168" s="3">
        <f>SUM(AN168:AT168)</f>
        <v/>
      </c>
      <c r="AV168" s="7">
        <f>IF(OR(N(W168)&lt;=0,N(BG168)=0),0,N(W168)*IF(N(R168)/N(W168)&gt;=60,N(BG168),1))</f>
        <v/>
      </c>
      <c r="AW168" s="7">
        <f>N(W168)*N(AF168)*N(BH168)</f>
        <v/>
      </c>
      <c r="AX168" s="7">
        <f>N(AL168)*(Assumptions!$B$13*N(BJ168)-(1-Assumptions!$B$13)*Assumptions!$B$14)+N(AM168)</f>
        <v/>
      </c>
      <c r="AY168" s="7">
        <f>N(AU168)*N(R168)/90+N(AV168)+N(AW168)+N(AX168)</f>
        <v/>
      </c>
      <c r="AZ168" s="3">
        <f>IF(N(R168)&lt;=0,0,(N(AY168)-N(AX168))*90/N(R168))</f>
        <v/>
      </c>
      <c r="BA168" s="7">
        <f>IFERROR(AY168-VLOOKUP($E168,Assumptions!$A$40:$C$43,3,FALSE),"")</f>
        <v/>
      </c>
      <c r="BB168" s="3">
        <f>IFERROR(BA168/H168,"")</f>
        <v/>
      </c>
      <c r="BC168">
        <f>IF(AND($G168=TRUE,$E168="GKP"),AY168,"")</f>
        <v/>
      </c>
      <c r="BD168">
        <f>IF(AND($G168=TRUE,$E168="DEF"),AY168,"")</f>
        <v/>
      </c>
      <c r="BE168">
        <f>IF(AND($G168=TRUE,$E168="MID"),AY168,"")</f>
        <v/>
      </c>
      <c r="BF168">
        <f>IF(AND($G168=TRUE,$E168="FWD"),AY168,"")</f>
        <v/>
      </c>
      <c r="BG168" t="n">
        <v>2</v>
      </c>
      <c r="BH168" t="n">
        <v>2</v>
      </c>
      <c r="BI168" t="n">
        <v>1</v>
      </c>
      <c r="BJ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s="4" t="n">
        <v>1450</v>
      </c>
      <c r="O169" s="4" t="n">
        <v>-294</v>
      </c>
      <c r="P169" s="5" t="inlineStr">
        <is>
          <t>low</t>
        </is>
      </c>
      <c r="Q169" t="inlineStr">
        <is>
          <t>flat</t>
        </is>
      </c>
      <c r="R169" s="6" t="n">
        <v>1450</v>
      </c>
      <c r="S169" t="inlineStr">
        <is>
          <t>research</t>
        </is>
      </c>
      <c r="T169" s="5" t="inlineStr">
        <is>
          <t>Started one of the last three friendlies (12 Aug v Malaga) and was absent from the 15 Aug squad. The attacking-midfield pool is now Iwobi, Bobb, Kevin, King and Palacios for three slots after Palacios' 3 Aug arrival, so Solio's 1744 sits above what a five-into-three contest supports.</t>
        </is>
      </c>
      <c r="U169" s="6" t="n">
        <v>75.3</v>
      </c>
      <c r="V169" s="2" t="n">
        <v>22</v>
      </c>
      <c r="W169" s="7">
        <f>IF(N(U169)&lt;=0,0,MIN(Assumptions!$B$15,N(R169)/N(U169)))</f>
        <v/>
      </c>
      <c r="X169" s="6" t="n">
        <v>0.214</v>
      </c>
      <c r="Y169" s="3" t="n">
        <v>0.2074</v>
      </c>
      <c r="Z169" t="inlineStr">
        <is>
          <t>adjusted xGOT</t>
        </is>
      </c>
      <c r="AA169" s="3" t="n">
        <v>1</v>
      </c>
      <c r="AB169" s="3" t="n">
        <v>0.9340000000000001</v>
      </c>
      <c r="AC169" s="3" t="n">
        <v>11.3</v>
      </c>
      <c r="AD169" s="3" t="n">
        <v>0.0598</v>
      </c>
      <c r="AE169" s="3" t="n">
        <v>7.416</v>
      </c>
      <c r="AF169" s="3" t="n">
        <v>0.02510988288805482</v>
      </c>
      <c r="AG169" s="3" t="n">
        <v>0.09429999999999999</v>
      </c>
      <c r="AH169" s="3" t="n">
        <v>56</v>
      </c>
      <c r="AI169" s="3" t="n">
        <v>3.22</v>
      </c>
      <c r="AJ169" s="3" t="n">
        <v>1.6019</v>
      </c>
      <c r="AK169" s="3" t="n">
        <v>-0.1311571127881695</v>
      </c>
      <c r="AL169" s="6" t="n">
        <v>0</v>
      </c>
      <c r="AM169" s="3" t="n">
        <v>0</v>
      </c>
      <c r="AN169" s="3" t="n">
        <v>1.037</v>
      </c>
      <c r="AO169" s="3" t="n">
        <v>0.236808</v>
      </c>
      <c r="AP169" s="3">
        <f>N(X169)*N(BI169)</f>
        <v/>
      </c>
      <c r="AQ169" s="3" t="n">
        <v>0.09429999999999999</v>
      </c>
      <c r="AR169" s="3" t="n">
        <v>0</v>
      </c>
      <c r="AS169" s="3" t="n">
        <v>-0</v>
      </c>
      <c r="AT169" s="3" t="n">
        <v>-0.1311571127881695</v>
      </c>
      <c r="AU169" s="3">
        <f>SUM(AN169:AT169)</f>
        <v/>
      </c>
      <c r="AV169" s="7">
        <f>IF(OR(N(W169)&lt;=0,N(BG169)=0),0,N(W169)*IF(N(R169)/N(W169)&gt;=60,N(BG169),1))</f>
        <v/>
      </c>
      <c r="AW169" s="7">
        <f>N(W169)*N(AF169)*N(BH169)</f>
        <v/>
      </c>
      <c r="AX169" s="7">
        <f>N(AL169)*(Assumptions!$B$13*N(BJ169)-(1-Assumptions!$B$13)*Assumptions!$B$14)+N(AM169)</f>
        <v/>
      </c>
      <c r="AY169" s="7">
        <f>N(AU169)*N(R169)/90+N(AV169)+N(AW169)+N(AX169)</f>
        <v/>
      </c>
      <c r="AZ169" s="3">
        <f>IF(N(R169)&lt;=0,0,(N(AY169)-N(AX169))*90/N(R169))</f>
        <v/>
      </c>
      <c r="BA169" s="7">
        <f>IFERROR(AY169-VLOOKUP($E169,Assumptions!$A$40:$C$43,3,FALSE),"")</f>
        <v/>
      </c>
      <c r="BB169" s="3">
        <f>IFERROR(BA169/H169,"")</f>
        <v/>
      </c>
      <c r="BC169">
        <f>IF(AND($G169=TRUE,$E169="GKP"),AY169,"")</f>
        <v/>
      </c>
      <c r="BD169">
        <f>IF(AND($G169=TRUE,$E169="DEF"),AY169,"")</f>
        <v/>
      </c>
      <c r="BE169">
        <f>IF(AND($G169=TRUE,$E169="MID"),AY169,"")</f>
        <v/>
      </c>
      <c r="BF169">
        <f>IF(AND($G169=TRUE,$E169="FWD"),AY169,"")</f>
        <v/>
      </c>
      <c r="BG169" t="n">
        <v>2</v>
      </c>
      <c r="BH169" t="n">
        <v>2</v>
      </c>
      <c r="BI169" t="n">
        <v>1</v>
      </c>
      <c r="BJ169" t="n">
        <v>5</v>
      </c>
    </row>
    <row r="170">
      <c r="A170" s="9" t="inlineStr">
        <is>
          <t>Callum Wilson</t>
        </is>
      </c>
      <c r="B170" t="inlineStr">
        <is>
          <t>BRE</t>
        </is>
      </c>
      <c r="C170" s="9" t="inlineStr">
        <is>
          <t>WHU</t>
        </is>
      </c>
      <c r="D170" t="b">
        <v>1</v>
      </c>
      <c r="E170" t="inlineStr">
        <is>
          <t>FWD</t>
        </is>
      </c>
      <c r="F170" t="inlineStr">
        <is>
          <t>FWD</t>
        </is>
      </c>
      <c r="G170" t="b">
        <v>1</v>
      </c>
      <c r="H170" s="2" t="n">
        <v>5.5</v>
      </c>
      <c r="I170" t="inlineStr">
        <is>
          <t>a</t>
        </is>
      </c>
      <c r="K170" s="2" t="n">
        <v>1234</v>
      </c>
      <c r="L170" t="n">
        <v>80</v>
      </c>
      <c r="M170" s="3" t="n">
        <v>258</v>
      </c>
      <c r="N170" s="4" t="n">
        <v>450</v>
      </c>
      <c r="O170" s="4" t="n">
        <v>192</v>
      </c>
      <c r="P170" s="5" t="inlineStr">
        <is>
          <t>low</t>
        </is>
      </c>
      <c r="Q170" t="inlineStr">
        <is>
          <t>flat</t>
        </is>
      </c>
      <c r="R170" s="6" t="n">
        <v>450</v>
      </c>
      <c r="S170" t="inlineStr">
        <is>
          <t>research</t>
        </is>
      </c>
      <c r="T170" s="5" t="inlineStr">
        <is>
          <t>Signed on a free from West Ham on 9 July as the specialist deputy to Thiago. Replaced Thiago at half-time against Rennes and provided two assists, and scored against Wycombe. 258 minutes is below what a fit backup centre-forward at 5.5m typically returns across 38 matches. Kept modest because Thiago is close to ever-present and Wilson is 34 with a long injury record.</t>
        </is>
      </c>
      <c r="U170" s="6" t="n">
        <v>73.5</v>
      </c>
      <c r="V170" s="2" t="n">
        <v>11</v>
      </c>
      <c r="W170" s="7">
        <f>IF(N(U170)&lt;=0,0,MIN(Assumptions!$B$15,N(R170)/N(U170)))</f>
        <v/>
      </c>
      <c r="X170" s="6" t="n">
        <v>0.228</v>
      </c>
      <c r="Y170" s="10" t="n">
        <v>0.5348000000000001</v>
      </c>
      <c r="Z170" t="inlineStr">
        <is>
          <t>adjusted xGOT</t>
        </is>
      </c>
      <c r="AA170" s="3" t="n">
        <v>1</v>
      </c>
      <c r="AB170" s="3" t="n">
        <v>0.965</v>
      </c>
      <c r="AC170" s="3" t="n">
        <v>33.4</v>
      </c>
      <c r="AD170" s="10" t="n">
        <v>0.0571</v>
      </c>
      <c r="AE170" s="3" t="n">
        <v>3.655</v>
      </c>
      <c r="AF170" s="3" t="n">
        <v>6.812024585123311e-05</v>
      </c>
      <c r="AG170" s="3" t="n">
        <v>0.6564</v>
      </c>
      <c r="AH170" s="3" t="n">
        <v>40</v>
      </c>
      <c r="AI170" s="3" t="n">
        <v>3.2371</v>
      </c>
      <c r="AJ170" s="3" t="n">
        <v>1.5396</v>
      </c>
      <c r="AK170" s="3" t="n">
        <v>-0.1600721827938566</v>
      </c>
      <c r="AL170" s="6" t="n">
        <v>0</v>
      </c>
      <c r="AM170" s="3" t="n">
        <v>0</v>
      </c>
      <c r="AN170" s="10" t="n">
        <v>2.1392</v>
      </c>
      <c r="AO170" s="10" t="n">
        <v>0.226116</v>
      </c>
      <c r="AP170" s="3">
        <f>N(X170)*N(BI170)</f>
        <v/>
      </c>
      <c r="AQ170" s="3" t="n">
        <v>0.6564</v>
      </c>
      <c r="AR170" s="3" t="n">
        <v>0</v>
      </c>
      <c r="AS170" s="3" t="n">
        <v>-0</v>
      </c>
      <c r="AT170" s="3" t="n">
        <v>-0.1600721827938566</v>
      </c>
      <c r="AU170" s="3">
        <f>SUM(AN170:AT170)</f>
        <v/>
      </c>
      <c r="AV170" s="7">
        <f>IF(OR(N(W170)&lt;=0,N(BG170)=0),0,N(W170)*IF(N(R170)/N(W170)&gt;=60,N(BG170),1))</f>
        <v/>
      </c>
      <c r="AW170" s="7">
        <f>N(W170)*N(AF170)*N(BH170)</f>
        <v/>
      </c>
      <c r="AX170" s="7">
        <f>N(AL170)*(Assumptions!$B$13*N(BJ170)-(1-Assumptions!$B$13)*Assumptions!$B$14)+N(AM170)</f>
        <v/>
      </c>
      <c r="AY170" s="7">
        <f>N(AU170)*N(R170)/90+N(AV170)+N(AW170)+N(AX170)</f>
        <v/>
      </c>
      <c r="AZ170" s="3">
        <f>IF(N(R170)&lt;=0,0,(N(AY170)-N(AX170))*90/N(R170))</f>
        <v/>
      </c>
      <c r="BA170" s="7">
        <f>IFERROR(AY170-VLOOKUP($E170,Assumptions!$A$40:$C$43,3,FALSE),"")</f>
        <v/>
      </c>
      <c r="BB170" s="3">
        <f>IFERROR(BA170/H170,"")</f>
        <v/>
      </c>
      <c r="BC170">
        <f>IF(AND($G170=TRUE,$E170="GKP"),AY170,"")</f>
        <v/>
      </c>
      <c r="BD170">
        <f>IF(AND($G170=TRUE,$E170="DEF"),AY170,"")</f>
        <v/>
      </c>
      <c r="BE170">
        <f>IF(AND($G170=TRUE,$E170="MID"),AY170,"")</f>
        <v/>
      </c>
      <c r="BF170">
        <f>IF(AND($G170=TRUE,$E170="FWD"),AY170,"")</f>
        <v/>
      </c>
      <c r="BG170" t="n">
        <v>2</v>
      </c>
      <c r="BH170" t="n">
        <v>2</v>
      </c>
      <c r="BI170" t="n">
        <v>0</v>
      </c>
      <c r="BJ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s="8" t="n">
        <v>2702</v>
      </c>
      <c r="O171" s="8" t="n">
        <v>0</v>
      </c>
      <c r="Q171" t="inlineStr">
        <is>
          <t>flat</t>
        </is>
      </c>
      <c r="R171" s="6" t="n">
        <v>2702</v>
      </c>
      <c r="S171" t="inlineStr">
        <is>
          <t>Solio</t>
        </is>
      </c>
      <c r="U171" s="6" t="n">
        <v>86</v>
      </c>
      <c r="V171" s="2" t="n">
        <v>24</v>
      </c>
      <c r="W171" s="7">
        <f>IF(N(U171)&lt;=0,0,MIN(Assumptions!$B$15,N(R171)/N(U171)))</f>
        <v/>
      </c>
      <c r="X171" s="6" t="n">
        <v>0.248</v>
      </c>
      <c r="Y171" s="3" t="n">
        <v>0.0413</v>
      </c>
      <c r="Z171" t="inlineStr">
        <is>
          <t>adjusted xGOT</t>
        </is>
      </c>
      <c r="AA171" s="3" t="n">
        <v>1</v>
      </c>
      <c r="AB171" s="3" t="n">
        <v>0.989</v>
      </c>
      <c r="AC171" s="3" t="n">
        <v>2.6</v>
      </c>
      <c r="AD171" s="3" t="n">
        <v>0.1099</v>
      </c>
      <c r="AE171" s="3" t="n">
        <v>7.287</v>
      </c>
      <c r="AF171" s="3" t="n">
        <v>0.1657853855670179</v>
      </c>
      <c r="AG171" s="3" t="n">
        <v>0.2068</v>
      </c>
      <c r="AH171" s="3" t="n">
        <v>53</v>
      </c>
      <c r="AI171" s="3" t="n">
        <v>3.0912</v>
      </c>
      <c r="AJ171" s="3" t="n">
        <v>1.4534</v>
      </c>
      <c r="AK171" s="3" t="n">
        <v>-0.1849993494642588</v>
      </c>
      <c r="AL171" s="6" t="n">
        <v>0</v>
      </c>
      <c r="AM171" s="3" t="n">
        <v>0</v>
      </c>
      <c r="AN171" s="3" t="n">
        <v>0.2478</v>
      </c>
      <c r="AO171" s="3" t="n">
        <v>0.435204</v>
      </c>
      <c r="AP171" s="3">
        <f>N(X171)*N(BI171)</f>
        <v/>
      </c>
      <c r="AQ171" s="3" t="n">
        <v>0.2068</v>
      </c>
      <c r="AR171" s="3" t="n">
        <v>0</v>
      </c>
      <c r="AS171" s="3" t="n">
        <v>-0.4903625828545308</v>
      </c>
      <c r="AT171" s="3" t="n">
        <v>-0.1849993494642588</v>
      </c>
      <c r="AU171" s="3">
        <f>SUM(AN171:AT171)</f>
        <v/>
      </c>
      <c r="AV171" s="7">
        <f>IF(OR(N(W171)&lt;=0,N(BG171)=0),0,N(W171)*IF(N(R171)/N(W171)&gt;=60,N(BG171),1))</f>
        <v/>
      </c>
      <c r="AW171" s="7">
        <f>N(W171)*N(AF171)*N(BH171)</f>
        <v/>
      </c>
      <c r="AX171" s="7">
        <f>N(AL171)*(Assumptions!$B$13*N(BJ171)-(1-Assumptions!$B$13)*Assumptions!$B$14)+N(AM171)</f>
        <v/>
      </c>
      <c r="AY171" s="7">
        <f>N(AU171)*N(R171)/90+N(AV171)+N(AW171)+N(AX171)</f>
        <v/>
      </c>
      <c r="AZ171" s="3">
        <f>IF(N(R171)&lt;=0,0,(N(AY171)-N(AX171))*90/N(R171))</f>
        <v/>
      </c>
      <c r="BA171" s="7">
        <f>IFERROR(AY171-VLOOKUP($E171,Assumptions!$A$40:$C$43,3,FALSE),"")</f>
        <v/>
      </c>
      <c r="BB171" s="3">
        <f>IFERROR(BA171/H171,"")</f>
        <v/>
      </c>
      <c r="BC171">
        <f>IF(AND($G171=TRUE,$E171="GKP"),AY171,"")</f>
        <v/>
      </c>
      <c r="BD171">
        <f>IF(AND($G171=TRUE,$E171="DEF"),AY171,"")</f>
        <v/>
      </c>
      <c r="BE171">
        <f>IF(AND($G171=TRUE,$E171="MID"),AY171,"")</f>
        <v/>
      </c>
      <c r="BF171">
        <f>IF(AND($G171=TRUE,$E171="FWD"),AY171,"")</f>
        <v/>
      </c>
      <c r="BG171" t="n">
        <v>2</v>
      </c>
      <c r="BH171" t="n">
        <v>2</v>
      </c>
      <c r="BI171" t="n">
        <v>4</v>
      </c>
      <c r="BJ171" t="n">
        <v>6</v>
      </c>
    </row>
    <row r="172">
      <c r="A172" s="9" t="inlineStr">
        <is>
          <t>Jack Grealish</t>
        </is>
      </c>
      <c r="B172" t="inlineStr">
        <is>
          <t>MCI</t>
        </is>
      </c>
      <c r="C172" s="9"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s="8" t="n">
        <v>27</v>
      </c>
      <c r="O172" s="8" t="n">
        <v>0</v>
      </c>
      <c r="Q172" t="inlineStr">
        <is>
          <t>flat</t>
        </is>
      </c>
      <c r="R172" s="6" t="n">
        <v>27</v>
      </c>
      <c r="S172" t="inlineStr">
        <is>
          <t>Solio</t>
        </is>
      </c>
      <c r="U172" s="6" t="n">
        <v>85.3</v>
      </c>
      <c r="V172" s="2" t="n">
        <v>17</v>
      </c>
      <c r="W172" s="7">
        <f>IF(N(U172)&lt;=0,0,MIN(Assumptions!$B$15,N(R172)/N(U172)))</f>
        <v/>
      </c>
      <c r="X172" s="6" t="n">
        <v>0.371</v>
      </c>
      <c r="Y172" s="10" t="n">
        <v>0.1214</v>
      </c>
      <c r="Z172" t="inlineStr">
        <is>
          <t>adjusted xGOT</t>
        </is>
      </c>
      <c r="AA172" s="3" t="n">
        <v>1</v>
      </c>
      <c r="AB172" s="3" t="n">
        <v>1.07</v>
      </c>
      <c r="AC172" s="3" t="n">
        <v>9.800000000000001</v>
      </c>
      <c r="AD172" s="10" t="n">
        <v>0.2193</v>
      </c>
      <c r="AE172" s="3" t="n">
        <v>7.808</v>
      </c>
      <c r="AF172" s="3" t="n">
        <v>0.07353942936150326</v>
      </c>
      <c r="AG172" s="3" t="n">
        <v>0.6637999999999999</v>
      </c>
      <c r="AH172" s="3" t="n">
        <v>38</v>
      </c>
      <c r="AI172" s="3" t="n">
        <v>1.9737</v>
      </c>
      <c r="AJ172" s="3" t="n">
        <v>1.0365</v>
      </c>
      <c r="AK172" s="3" t="n">
        <v>-0.2568969165359863</v>
      </c>
      <c r="AL172" s="6" t="n">
        <v>0</v>
      </c>
      <c r="AM172" s="3" t="n">
        <v>0</v>
      </c>
      <c r="AN172" s="10" t="n">
        <v>0.607</v>
      </c>
      <c r="AO172" s="10" t="n">
        <v>0.868428</v>
      </c>
      <c r="AP172" s="3">
        <f>N(X172)*N(BI172)</f>
        <v/>
      </c>
      <c r="AQ172" s="3" t="n">
        <v>0.6637999999999999</v>
      </c>
      <c r="AR172" s="3" t="n">
        <v>0</v>
      </c>
      <c r="AS172" s="3" t="n">
        <v>-0</v>
      </c>
      <c r="AT172" s="3" t="n">
        <v>-0.2568969165359863</v>
      </c>
      <c r="AU172" s="3">
        <f>SUM(AN172:AT172)</f>
        <v/>
      </c>
      <c r="AV172" s="7">
        <f>IF(OR(N(W172)&lt;=0,N(BG172)=0),0,N(W172)*IF(N(R172)/N(W172)&gt;=60,N(BG172),1))</f>
        <v/>
      </c>
      <c r="AW172" s="7">
        <f>N(W172)*N(AF172)*N(BH172)</f>
        <v/>
      </c>
      <c r="AX172" s="7">
        <f>N(AL172)*(Assumptions!$B$13*N(BJ172)-(1-Assumptions!$B$13)*Assumptions!$B$14)+N(AM172)</f>
        <v/>
      </c>
      <c r="AY172" s="7">
        <f>N(AU172)*N(R172)/90+N(AV172)+N(AW172)+N(AX172)</f>
        <v/>
      </c>
      <c r="AZ172" s="3">
        <f>IF(N(R172)&lt;=0,0,(N(AY172)-N(AX172))*90/N(R172))</f>
        <v/>
      </c>
      <c r="BA172" s="7">
        <f>IFERROR(AY172-VLOOKUP($E172,Assumptions!$A$40:$C$43,3,FALSE),"")</f>
        <v/>
      </c>
      <c r="BB172" s="3">
        <f>IFERROR(BA172/H172,"")</f>
        <v/>
      </c>
      <c r="BC172">
        <f>IF(AND($G172=TRUE,$E172="GKP"),AY172,"")</f>
        <v/>
      </c>
      <c r="BD172">
        <f>IF(AND($G172=TRUE,$E172="DEF"),AY172,"")</f>
        <v/>
      </c>
      <c r="BE172">
        <f>IF(AND($G172=TRUE,$E172="MID"),AY172,"")</f>
        <v/>
      </c>
      <c r="BF172">
        <f>IF(AND($G172=TRUE,$E172="FWD"),AY172,"")</f>
        <v/>
      </c>
      <c r="BG172" t="n">
        <v>2</v>
      </c>
      <c r="BH172" t="n">
        <v>2</v>
      </c>
      <c r="BI172" t="n">
        <v>1</v>
      </c>
      <c r="BJ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s="4" t="n">
        <v>2350</v>
      </c>
      <c r="O173" s="4" t="n">
        <v>-688</v>
      </c>
      <c r="P173" s="5" t="inlineStr">
        <is>
          <t>medium</t>
        </is>
      </c>
      <c r="Q173" t="inlineStr">
        <is>
          <t>flat</t>
        </is>
      </c>
      <c r="R173" s="6" t="n">
        <v>2350</v>
      </c>
      <c r="S173" t="inlineStr">
        <is>
          <t>research</t>
        </is>
      </c>
      <c r="T173" s="5" t="inlineStr">
        <is>
          <t>Solio makes him City's highest-minute defender, which implies he is nailed somewhere. The reporting does not support that at either position. Opta has O'Reilly as the first-choice left-back — 'arguably the best left-back in the Premier League' — with Gvardiol and Ait-Nouri as the cover; at centre-back he is one of four or five for two shirts that Maresca is expected to pick game-by-game. Versatile and certain to play a lot, but not guaranteed a weekly shirt. He started the two pre-season games at left-back with O'Reilly still away at the World Cup, which is not evidence he is ahead of him.</t>
        </is>
      </c>
      <c r="U173" s="6" t="n">
        <v>83.8</v>
      </c>
      <c r="V173" s="2" t="n">
        <v>16</v>
      </c>
      <c r="W173" s="7">
        <f>IF(N(U173)&lt;=0,0,MIN(Assumptions!$B$15,N(R173)/N(U173)))</f>
        <v/>
      </c>
      <c r="X173" s="6" t="n">
        <v>0.371</v>
      </c>
      <c r="Y173" s="3" t="n">
        <v>0.1364</v>
      </c>
      <c r="Z173" t="inlineStr">
        <is>
          <t>adjusted xGOT</t>
        </is>
      </c>
      <c r="AA173" s="3" t="n">
        <v>1</v>
      </c>
      <c r="AB173" s="3" t="n">
        <v>0.923</v>
      </c>
      <c r="AC173" s="3" t="n">
        <v>10</v>
      </c>
      <c r="AD173" s="3" t="n">
        <v>0.0374</v>
      </c>
      <c r="AE173" s="3" t="n">
        <v>7.083</v>
      </c>
      <c r="AF173" s="3" t="n">
        <v>0.1309214302814644</v>
      </c>
      <c r="AG173" s="3" t="n">
        <v>0.1971</v>
      </c>
      <c r="AH173" s="3" t="n">
        <v>32</v>
      </c>
      <c r="AI173" s="3" t="n">
        <v>1.9737</v>
      </c>
      <c r="AJ173" s="3" t="n">
        <v>1.0365</v>
      </c>
      <c r="AK173" s="3" t="n">
        <v>-0.1368318848300927</v>
      </c>
      <c r="AL173" s="6" t="n">
        <v>0</v>
      </c>
      <c r="AM173" s="3" t="n">
        <v>0</v>
      </c>
      <c r="AN173" s="3" t="n">
        <v>0.8184</v>
      </c>
      <c r="AO173" s="3" t="n">
        <v>0.148104</v>
      </c>
      <c r="AP173" s="3">
        <f>N(X173)*N(BI173)</f>
        <v/>
      </c>
      <c r="AQ173" s="3" t="n">
        <v>0.1971</v>
      </c>
      <c r="AR173" s="3" t="n">
        <v>0</v>
      </c>
      <c r="AS173" s="3" t="n">
        <v>-0.2997019479071323</v>
      </c>
      <c r="AT173" s="3" t="n">
        <v>-0.1368318848300927</v>
      </c>
      <c r="AU173" s="3">
        <f>SUM(AN173:AT173)</f>
        <v/>
      </c>
      <c r="AV173" s="7">
        <f>IF(OR(N(W173)&lt;=0,N(BG173)=0),0,N(W173)*IF(N(R173)/N(W173)&gt;=60,N(BG173),1))</f>
        <v/>
      </c>
      <c r="AW173" s="7">
        <f>N(W173)*N(AF173)*N(BH173)</f>
        <v/>
      </c>
      <c r="AX173" s="7">
        <f>N(AL173)*(Assumptions!$B$13*N(BJ173)-(1-Assumptions!$B$13)*Assumptions!$B$14)+N(AM173)</f>
        <v/>
      </c>
      <c r="AY173" s="7">
        <f>N(AU173)*N(R173)/90+N(AV173)+N(AW173)+N(AX173)</f>
        <v/>
      </c>
      <c r="AZ173" s="3">
        <f>IF(N(R173)&lt;=0,0,(N(AY173)-N(AX173))*90/N(R173))</f>
        <v/>
      </c>
      <c r="BA173" s="7">
        <f>IFERROR(AY173-VLOOKUP($E173,Assumptions!$A$40:$C$43,3,FALSE),"")</f>
        <v/>
      </c>
      <c r="BB173" s="3">
        <f>IFERROR(BA173/H173,"")</f>
        <v/>
      </c>
      <c r="BC173">
        <f>IF(AND($G173=TRUE,$E173="GKP"),AY173,"")</f>
        <v/>
      </c>
      <c r="BD173">
        <f>IF(AND($G173=TRUE,$E173="DEF"),AY173,"")</f>
        <v/>
      </c>
      <c r="BE173">
        <f>IF(AND($G173=TRUE,$E173="MID"),AY173,"")</f>
        <v/>
      </c>
      <c r="BF173">
        <f>IF(AND($G173=TRUE,$E173="FWD"),AY173,"")</f>
        <v/>
      </c>
      <c r="BG173" t="n">
        <v>2</v>
      </c>
      <c r="BH173" t="n">
        <v>2</v>
      </c>
      <c r="BI173" t="n">
        <v>4</v>
      </c>
      <c r="BJ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s="4" t="n">
        <v>2650</v>
      </c>
      <c r="O174" s="4" t="n">
        <v>-514</v>
      </c>
      <c r="P174" s="5" t="inlineStr">
        <is>
          <t>low</t>
        </is>
      </c>
      <c r="Q174" t="inlineStr">
        <is>
          <t>flat</t>
        </is>
      </c>
      <c r="R174" s="6" t="n">
        <v>2650</v>
      </c>
      <c r="S174" t="inlineStr">
        <is>
          <t>research</t>
        </is>
      </c>
      <c r="T174" s="5" t="inlineStr">
        <is>
          <t>Role is not in doubt - he captained both August friendlies from midfield - but Solio's 3164 is 92% of every available Premier League minute for a player who turned 35 in June 2026, in a season that adds Conference League group football to two domestic cups. The Guardian preview notes European demands create scheduling strain and that Gross is now one of only three veterans in the squad. Baleba, Ayari, Hinshelwood, Gomez and O'Riley all compete for central minutes. Direction is well founded; the size of the cut is a judgement call, hence low confidence.</t>
        </is>
      </c>
      <c r="U174" s="6" t="n">
        <v>86.40000000000001</v>
      </c>
      <c r="V174" s="2" t="n">
        <v>18</v>
      </c>
      <c r="W174" s="7">
        <f>IF(N(U174)&lt;=0,0,MIN(Assumptions!$B$15,N(R174)/N(U174)))</f>
        <v/>
      </c>
      <c r="X174" s="6" t="n">
        <v>0.252</v>
      </c>
      <c r="Y174" s="3" t="n">
        <v>0.0791</v>
      </c>
      <c r="Z174" t="inlineStr">
        <is>
          <t>adjusted xGOT</t>
        </is>
      </c>
      <c r="AA174" s="3" t="n">
        <v>1</v>
      </c>
      <c r="AB174" s="3" t="n">
        <v>1.034</v>
      </c>
      <c r="AC174" s="3" t="n">
        <v>13</v>
      </c>
      <c r="AD174" s="3" t="n">
        <v>0.1993</v>
      </c>
      <c r="AE174" s="3" t="n">
        <v>8.16</v>
      </c>
      <c r="AF174" s="3" t="n">
        <v>0.1002878454722812</v>
      </c>
      <c r="AG174" s="3" t="n">
        <v>0.5501</v>
      </c>
      <c r="AH174" s="3" t="n">
        <v>37</v>
      </c>
      <c r="AI174" s="3" t="n">
        <v>2.8404</v>
      </c>
      <c r="AJ174" s="3" t="n">
        <v>1.439</v>
      </c>
      <c r="AK174" s="3" t="n">
        <v>-0.174741672658704</v>
      </c>
      <c r="AL174" s="6" t="n">
        <v>4.494438105382158</v>
      </c>
      <c r="AM174" s="3" t="n">
        <v>0</v>
      </c>
      <c r="AN174" s="3" t="n">
        <v>0.3955</v>
      </c>
      <c r="AO174" s="3" t="n">
        <v>0.789228</v>
      </c>
      <c r="AP174" s="3">
        <f>N(X174)*N(BI174)</f>
        <v/>
      </c>
      <c r="AQ174" s="3" t="n">
        <v>0.5501</v>
      </c>
      <c r="AR174" s="3" t="n">
        <v>0</v>
      </c>
      <c r="AS174" s="3" t="n">
        <v>-0</v>
      </c>
      <c r="AT174" s="3" t="n">
        <v>-0.174741672658704</v>
      </c>
      <c r="AU174" s="3">
        <f>SUM(AN174:AT174)</f>
        <v/>
      </c>
      <c r="AV174" s="7">
        <f>IF(OR(N(W174)&lt;=0,N(BG174)=0),0,N(W174)*IF(N(R174)/N(W174)&gt;=60,N(BG174),1))</f>
        <v/>
      </c>
      <c r="AW174" s="7">
        <f>N(W174)*N(AF174)*N(BH174)</f>
        <v/>
      </c>
      <c r="AX174" s="7">
        <f>N(AL174)*(Assumptions!$B$13*N(BJ174)-(1-Assumptions!$B$13)*Assumptions!$B$14)+N(AM174)</f>
        <v/>
      </c>
      <c r="AY174" s="7">
        <f>N(AU174)*N(R174)/90+N(AV174)+N(AW174)+N(AX174)</f>
        <v/>
      </c>
      <c r="AZ174" s="3">
        <f>IF(N(R174)&lt;=0,0,(N(AY174)-N(AX174))*90/N(R174))</f>
        <v/>
      </c>
      <c r="BA174" s="7">
        <f>IFERROR(AY174-VLOOKUP($E174,Assumptions!$A$40:$C$43,3,FALSE),"")</f>
        <v/>
      </c>
      <c r="BB174" s="3">
        <f>IFERROR(BA174/H174,"")</f>
        <v/>
      </c>
      <c r="BC174">
        <f>IF(AND($G174=TRUE,$E174="GKP"),AY174,"")</f>
        <v/>
      </c>
      <c r="BD174">
        <f>IF(AND($G174=TRUE,$E174="DEF"),AY174,"")</f>
        <v/>
      </c>
      <c r="BE174">
        <f>IF(AND($G174=TRUE,$E174="MID"),AY174,"")</f>
        <v/>
      </c>
      <c r="BF174">
        <f>IF(AND($G174=TRUE,$E174="FWD"),AY174,"")</f>
        <v/>
      </c>
      <c r="BG174" t="n">
        <v>2</v>
      </c>
      <c r="BH174" t="n">
        <v>2</v>
      </c>
      <c r="BI174" t="n">
        <v>1</v>
      </c>
      <c r="BJ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s="4" t="n">
        <v>1400</v>
      </c>
      <c r="O175" s="4" t="n">
        <v>303</v>
      </c>
      <c r="P175" s="5" t="inlineStr">
        <is>
          <t>low</t>
        </is>
      </c>
      <c r="Q175" t="inlineStr">
        <is>
          <t>fade (losing his place)</t>
        </is>
      </c>
      <c r="R175" s="6" t="n">
        <v>1400</v>
      </c>
      <c r="S175" t="inlineStr">
        <is>
          <t>research</t>
        </is>
      </c>
      <c r="T175" s="5" t="inlineStr">
        <is>
          <t>Solio flags Tel as losing his place; he has instead started on the left wing in both August friendlies and produced a goal and an assist in pre-season. Raised only modestly because Tottenham have an agreement in principle with Cody Gakpo, who would play in this position.</t>
        </is>
      </c>
      <c r="U175" s="6" t="n">
        <v>78.90000000000001</v>
      </c>
      <c r="V175" s="2" t="n">
        <v>13</v>
      </c>
      <c r="W175" s="7">
        <f>IF(N(U175)&lt;=0,0,MIN(Assumptions!$B$15,N(R175)/N(U175)))</f>
        <v/>
      </c>
      <c r="X175" s="6" t="n">
        <v>0.286</v>
      </c>
      <c r="Y175" s="3" t="n">
        <v>0.1737</v>
      </c>
      <c r="Z175" t="inlineStr">
        <is>
          <t>adjusted xGOT</t>
        </is>
      </c>
      <c r="AA175" s="3" t="n">
        <v>1</v>
      </c>
      <c r="AB175" s="3" t="n">
        <v>1.042</v>
      </c>
      <c r="AC175" s="3" t="n">
        <v>5.4</v>
      </c>
      <c r="AD175" s="3" t="n">
        <v>0.1971</v>
      </c>
      <c r="AE175" s="3" t="n">
        <v>7.87</v>
      </c>
      <c r="AF175" s="3" t="n">
        <v>0.04893378953511118</v>
      </c>
      <c r="AG175" s="3" t="n">
        <v>0.4048</v>
      </c>
      <c r="AH175" s="3" t="n">
        <v>43</v>
      </c>
      <c r="AI175" s="3" t="n">
        <v>2.5739</v>
      </c>
      <c r="AJ175" s="3" t="n">
        <v>1.3096</v>
      </c>
      <c r="AK175" s="3" t="n">
        <v>-0.162816629657591</v>
      </c>
      <c r="AL175" s="6" t="n">
        <v>0</v>
      </c>
      <c r="AM175" s="3" t="n">
        <v>0</v>
      </c>
      <c r="AN175" s="3" t="n">
        <v>0.8684999999999999</v>
      </c>
      <c r="AO175" s="3" t="n">
        <v>0.780516</v>
      </c>
      <c r="AP175" s="3">
        <f>N(X175)*N(BI175)</f>
        <v/>
      </c>
      <c r="AQ175" s="3" t="n">
        <v>0.4048</v>
      </c>
      <c r="AR175" s="3" t="n">
        <v>0</v>
      </c>
      <c r="AS175" s="3" t="n">
        <v>-0</v>
      </c>
      <c r="AT175" s="3" t="n">
        <v>-0.162816629657591</v>
      </c>
      <c r="AU175" s="3">
        <f>SUM(AN175:AT175)</f>
        <v/>
      </c>
      <c r="AV175" s="7">
        <f>IF(OR(N(W175)&lt;=0,N(BG175)=0),0,N(W175)*IF(N(R175)/N(W175)&gt;=60,N(BG175),1))</f>
        <v/>
      </c>
      <c r="AW175" s="7">
        <f>N(W175)*N(AF175)*N(BH175)</f>
        <v/>
      </c>
      <c r="AX175" s="7">
        <f>N(AL175)*(Assumptions!$B$13*N(BJ175)-(1-Assumptions!$B$13)*Assumptions!$B$14)+N(AM175)</f>
        <v/>
      </c>
      <c r="AY175" s="7">
        <f>N(AU175)*N(R175)/90+N(AV175)+N(AW175)+N(AX175)</f>
        <v/>
      </c>
      <c r="AZ175" s="3">
        <f>IF(N(R175)&lt;=0,0,(N(AY175)-N(AX175))*90/N(R175))</f>
        <v/>
      </c>
      <c r="BA175" s="7">
        <f>IFERROR(AY175-VLOOKUP($E175,Assumptions!$A$40:$C$43,3,FALSE),"")</f>
        <v/>
      </c>
      <c r="BB175" s="3">
        <f>IFERROR(BA175/H175,"")</f>
        <v/>
      </c>
      <c r="BC175">
        <f>IF(AND($G175=TRUE,$E175="GKP"),AY175,"")</f>
        <v/>
      </c>
      <c r="BD175">
        <f>IF(AND($G175=TRUE,$E175="DEF"),AY175,"")</f>
        <v/>
      </c>
      <c r="BE175">
        <f>IF(AND($G175=TRUE,$E175="MID"),AY175,"")</f>
        <v/>
      </c>
      <c r="BF175">
        <f>IF(AND($G175=TRUE,$E175="FWD"),AY175,"")</f>
        <v/>
      </c>
      <c r="BG175" t="n">
        <v>2</v>
      </c>
      <c r="BH175" t="n">
        <v>2</v>
      </c>
      <c r="BI175" t="n">
        <v>1</v>
      </c>
      <c r="BJ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s="4" t="n">
        <v>0</v>
      </c>
      <c r="O176" s="4" t="n">
        <v>-1955</v>
      </c>
      <c r="P176" s="5" t="inlineStr">
        <is>
          <t>high</t>
        </is>
      </c>
      <c r="Q176" t="inlineStr">
        <is>
          <t>flat</t>
        </is>
      </c>
      <c r="R176" s="6" t="n">
        <v>0</v>
      </c>
      <c r="S176" t="inlineStr">
        <is>
          <t>research</t>
        </is>
      </c>
      <c r="T176" s="5" t="inlineStr">
        <is>
          <t>Sold. Spence completed a GBP 30m move to Inter Milan on 15 August 2026, signing a five-year deal. Solio's file predates the sale. He is no longer a Tottenham player and can record zero Premier League minutes for the club.</t>
        </is>
      </c>
      <c r="U176" s="6" t="n">
        <v>83.8</v>
      </c>
      <c r="V176" s="2" t="n">
        <v>23</v>
      </c>
      <c r="W176" s="7">
        <f>IF(N(U176)&lt;=0,0,MIN(Assumptions!$B$15,N(R176)/N(U176)))</f>
        <v/>
      </c>
      <c r="X176" s="6" t="n">
        <v>0.286</v>
      </c>
      <c r="Y176" s="3" t="n">
        <v>0.041</v>
      </c>
      <c r="Z176" t="inlineStr">
        <is>
          <t>adjusted xGOT</t>
        </is>
      </c>
      <c r="AA176" s="3" t="n">
        <v>1</v>
      </c>
      <c r="AB176" s="3" t="n">
        <v>1.038</v>
      </c>
      <c r="AC176" s="3" t="n">
        <v>1.5</v>
      </c>
      <c r="AD176" s="3" t="n">
        <v>0.07969999999999999</v>
      </c>
      <c r="AE176" s="3" t="n">
        <v>5.769</v>
      </c>
      <c r="AF176" s="3" t="n">
        <v>0.04738693091475255</v>
      </c>
      <c r="AG176" s="3" t="n">
        <v>0.1318</v>
      </c>
      <c r="AH176" s="3" t="n">
        <v>52</v>
      </c>
      <c r="AI176" s="3" t="n">
        <v>2.5739</v>
      </c>
      <c r="AJ176" s="3" t="n">
        <v>1.3096</v>
      </c>
      <c r="AK176" s="3" t="n">
        <v>-0.1816167509287117</v>
      </c>
      <c r="AL176" s="6" t="n">
        <v>0</v>
      </c>
      <c r="AM176" s="3" t="n">
        <v>0</v>
      </c>
      <c r="AN176" s="3" t="n">
        <v>0.246</v>
      </c>
      <c r="AO176" s="3" t="n">
        <v>0.315612</v>
      </c>
      <c r="AP176" s="3">
        <f>N(X176)*N(BI176)</f>
        <v/>
      </c>
      <c r="AQ176" s="3" t="n">
        <v>0.1318</v>
      </c>
      <c r="AR176" s="3" t="n">
        <v>0</v>
      </c>
      <c r="AS176" s="3" t="n">
        <v>-0.4230152821052008</v>
      </c>
      <c r="AT176" s="3" t="n">
        <v>-0.1816167509287117</v>
      </c>
      <c r="AU176" s="3">
        <f>SUM(AN176:AT176)</f>
        <v/>
      </c>
      <c r="AV176" s="7">
        <f>IF(OR(N(W176)&lt;=0,N(BG176)=0),0,N(W176)*IF(N(R176)/N(W176)&gt;=60,N(BG176),1))</f>
        <v/>
      </c>
      <c r="AW176" s="7">
        <f>N(W176)*N(AF176)*N(BH176)</f>
        <v/>
      </c>
      <c r="AX176" s="7">
        <f>N(AL176)*(Assumptions!$B$13*N(BJ176)-(1-Assumptions!$B$13)*Assumptions!$B$14)+N(AM176)</f>
        <v/>
      </c>
      <c r="AY176" s="7">
        <f>N(AU176)*N(R176)/90+N(AV176)+N(AW176)+N(AX176)</f>
        <v/>
      </c>
      <c r="AZ176" s="3">
        <f>IF(N(R176)&lt;=0,0,(N(AY176)-N(AX176))*90/N(R176))</f>
        <v/>
      </c>
      <c r="BA176" s="7">
        <f>IFERROR(AY176-VLOOKUP($E176,Assumptions!$A$40:$C$43,3,FALSE),"")</f>
        <v/>
      </c>
      <c r="BB176" s="3">
        <f>IFERROR(BA176/H176,"")</f>
        <v/>
      </c>
      <c r="BC176">
        <f>IF(AND($G176=TRUE,$E176="GKP"),AY176,"")</f>
        <v/>
      </c>
      <c r="BD176">
        <f>IF(AND($G176=TRUE,$E176="DEF"),AY176,"")</f>
        <v/>
      </c>
      <c r="BE176">
        <f>IF(AND($G176=TRUE,$E176="MID"),AY176,"")</f>
        <v/>
      </c>
      <c r="BF176">
        <f>IF(AND($G176=TRUE,$E176="FWD"),AY176,"")</f>
        <v/>
      </c>
      <c r="BG176" t="n">
        <v>2</v>
      </c>
      <c r="BH176" t="n">
        <v>2</v>
      </c>
      <c r="BI176" t="n">
        <v>4</v>
      </c>
      <c r="BJ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s="4" t="n">
        <v>1800</v>
      </c>
      <c r="O177" s="4" t="n">
        <v>-833</v>
      </c>
      <c r="P177" s="5" t="inlineStr">
        <is>
          <t>medium</t>
        </is>
      </c>
      <c r="Q177" t="inlineStr">
        <is>
          <t>flat</t>
        </is>
      </c>
      <c r="R177" s="6" t="n">
        <v>1800</v>
      </c>
      <c r="S177" t="inlineStr">
        <is>
          <t>research</t>
        </is>
      </c>
      <c r="T177" s="5" t="inlineStr">
        <is>
          <t>Currently flagged as a 75% doubt with an unspecified injury and absent from both the 8 Aug and 15 Aug friendly squads; Rose said on 10 Aug that Adams was 'to be assessed over the coming days'. He also managed only 1769 Premier League minutes last season and is the subject of reported Manchester United interest at around GBP 35m before the 1 Sept deadline. Solio's 2633 assumes a near-nailed, near-fit season that neither his availability record nor his current flag supports.</t>
        </is>
      </c>
      <c r="U177" s="6" t="n">
        <v>79.40000000000001</v>
      </c>
      <c r="V177" s="2" t="n">
        <v>21</v>
      </c>
      <c r="W177" s="7">
        <f>IF(N(U177)&lt;=0,0,MIN(Assumptions!$B$15,N(R177)/N(U177)))</f>
        <v/>
      </c>
      <c r="X177" s="6" t="n">
        <v>0.23</v>
      </c>
      <c r="Y177" s="3" t="n">
        <v>0.034</v>
      </c>
      <c r="Z177" t="inlineStr">
        <is>
          <t>adjusted xGOT</t>
        </is>
      </c>
      <c r="AA177" s="3" t="n">
        <v>1</v>
      </c>
      <c r="AB177" s="3" t="n">
        <v>1.063</v>
      </c>
      <c r="AC177" s="3" t="n">
        <v>2.1</v>
      </c>
      <c r="AD177" s="3" t="n">
        <v>0.0473</v>
      </c>
      <c r="AE177" s="3" t="n">
        <v>10.87</v>
      </c>
      <c r="AF177" s="3" t="n">
        <v>0.2576504062683485</v>
      </c>
      <c r="AG177" s="3" t="n">
        <v>0.1526</v>
      </c>
      <c r="AH177" s="3" t="n">
        <v>45</v>
      </c>
      <c r="AI177" s="3" t="n">
        <v>3.0957</v>
      </c>
      <c r="AJ177" s="3" t="n">
        <v>1.53</v>
      </c>
      <c r="AK177" s="3" t="n">
        <v>-0.3291964405902342</v>
      </c>
      <c r="AL177" s="6" t="n">
        <v>0</v>
      </c>
      <c r="AM177" s="3" t="n">
        <v>0</v>
      </c>
      <c r="AN177" s="3" t="n">
        <v>0.17</v>
      </c>
      <c r="AO177" s="3" t="n">
        <v>0.187308</v>
      </c>
      <c r="AP177" s="3">
        <f>N(X177)*N(BI177)</f>
        <v/>
      </c>
      <c r="AQ177" s="3" t="n">
        <v>0.1526</v>
      </c>
      <c r="AR177" s="3" t="n">
        <v>0</v>
      </c>
      <c r="AS177" s="3" t="n">
        <v>-0</v>
      </c>
      <c r="AT177" s="3" t="n">
        <v>-0.3291964405902342</v>
      </c>
      <c r="AU177" s="3">
        <f>SUM(AN177:AT177)</f>
        <v/>
      </c>
      <c r="AV177" s="7">
        <f>IF(OR(N(W177)&lt;=0,N(BG177)=0),0,N(W177)*IF(N(R177)/N(W177)&gt;=60,N(BG177),1))</f>
        <v/>
      </c>
      <c r="AW177" s="7">
        <f>N(W177)*N(AF177)*N(BH177)</f>
        <v/>
      </c>
      <c r="AX177" s="7">
        <f>N(AL177)*(Assumptions!$B$13*N(BJ177)-(1-Assumptions!$B$13)*Assumptions!$B$14)+N(AM177)</f>
        <v/>
      </c>
      <c r="AY177" s="7">
        <f>N(AU177)*N(R177)/90+N(AV177)+N(AW177)+N(AX177)</f>
        <v/>
      </c>
      <c r="AZ177" s="3">
        <f>IF(N(R177)&lt;=0,0,(N(AY177)-N(AX177))*90/N(R177))</f>
        <v/>
      </c>
      <c r="BA177" s="7">
        <f>IFERROR(AY177-VLOOKUP($E177,Assumptions!$A$40:$C$43,3,FALSE),"")</f>
        <v/>
      </c>
      <c r="BB177" s="3">
        <f>IFERROR(BA177/H177,"")</f>
        <v/>
      </c>
      <c r="BC177">
        <f>IF(AND($G177=TRUE,$E177="GKP"),AY177,"")</f>
        <v/>
      </c>
      <c r="BD177">
        <f>IF(AND($G177=TRUE,$E177="DEF"),AY177,"")</f>
        <v/>
      </c>
      <c r="BE177">
        <f>IF(AND($G177=TRUE,$E177="MID"),AY177,"")</f>
        <v/>
      </c>
      <c r="BF177">
        <f>IF(AND($G177=TRUE,$E177="FWD"),AY177,"")</f>
        <v/>
      </c>
      <c r="BG177" t="n">
        <v>2</v>
      </c>
      <c r="BH177" t="n">
        <v>2</v>
      </c>
      <c r="BI177" t="n">
        <v>1</v>
      </c>
      <c r="BJ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s="4" t="n">
        <v>1600</v>
      </c>
      <c r="O178" s="4" t="n">
        <v>-771</v>
      </c>
      <c r="P178" s="5" t="inlineStr">
        <is>
          <t>medium</t>
        </is>
      </c>
      <c r="Q178" t="inlineStr">
        <is>
          <t>flat</t>
        </is>
      </c>
      <c r="R178" s="6" t="n">
        <v>1600</v>
      </c>
      <c r="S178" t="inlineStr">
        <is>
          <t>research</t>
        </is>
      </c>
      <c r="T178" s="5" t="inlineStr">
        <is>
          <t>Same cause as Sarr. Three wide or attacking players arrived after Solio's data cut-off and Pino did not appear in the XI or the substitutions listed for the final friendly at Freiburg. He is the most directly displaced by McNeil arriving on the left.</t>
        </is>
      </c>
      <c r="U178" s="6" t="n">
        <v>74.90000000000001</v>
      </c>
      <c r="V178" s="2" t="n">
        <v>26</v>
      </c>
      <c r="W178" s="7">
        <f>IF(N(U178)&lt;=0,0,MIN(Assumptions!$B$15,N(R178)/N(U178)))</f>
        <v/>
      </c>
      <c r="X178" s="6" t="n">
        <v>0.216</v>
      </c>
      <c r="Y178" s="3" t="n">
        <v>0.1914</v>
      </c>
      <c r="Z178" t="inlineStr">
        <is>
          <t>adjusted xGOT</t>
        </is>
      </c>
      <c r="AA178" s="3" t="n">
        <v>1</v>
      </c>
      <c r="AB178" s="3" t="n">
        <v>0.974</v>
      </c>
      <c r="AC178" s="3" t="n">
        <v>4.5</v>
      </c>
      <c r="AD178" s="3" t="n">
        <v>0.3173</v>
      </c>
      <c r="AE178" s="3" t="n">
        <v>7.59</v>
      </c>
      <c r="AF178" s="3" t="n">
        <v>0.02821000820564934</v>
      </c>
      <c r="AG178" s="3" t="n">
        <v>0.1302</v>
      </c>
      <c r="AH178" s="3" t="n">
        <v>53</v>
      </c>
      <c r="AI178" s="3" t="n">
        <v>3.2035</v>
      </c>
      <c r="AJ178" s="3" t="n">
        <v>1.5923</v>
      </c>
      <c r="AK178" s="3" t="n">
        <v>-0.2007976459051203</v>
      </c>
      <c r="AL178" s="6" t="n">
        <v>0</v>
      </c>
      <c r="AM178" s="3" t="n">
        <v>0</v>
      </c>
      <c r="AN178" s="3" t="n">
        <v>0.957</v>
      </c>
      <c r="AO178" s="3" t="n">
        <v>1.256508</v>
      </c>
      <c r="AP178" s="3">
        <f>N(X178)*N(BI178)</f>
        <v/>
      </c>
      <c r="AQ178" s="3" t="n">
        <v>0.1302</v>
      </c>
      <c r="AR178" s="3" t="n">
        <v>0</v>
      </c>
      <c r="AS178" s="3" t="n">
        <v>-0</v>
      </c>
      <c r="AT178" s="3" t="n">
        <v>-0.2007976459051203</v>
      </c>
      <c r="AU178" s="3">
        <f>SUM(AN178:AT178)</f>
        <v/>
      </c>
      <c r="AV178" s="7">
        <f>IF(OR(N(W178)&lt;=0,N(BG178)=0),0,N(W178)*IF(N(R178)/N(W178)&gt;=60,N(BG178),1))</f>
        <v/>
      </c>
      <c r="AW178" s="7">
        <f>N(W178)*N(AF178)*N(BH178)</f>
        <v/>
      </c>
      <c r="AX178" s="7">
        <f>N(AL178)*(Assumptions!$B$13*N(BJ178)-(1-Assumptions!$B$13)*Assumptions!$B$14)+N(AM178)</f>
        <v/>
      </c>
      <c r="AY178" s="7">
        <f>N(AU178)*N(R178)/90+N(AV178)+N(AW178)+N(AX178)</f>
        <v/>
      </c>
      <c r="AZ178" s="3">
        <f>IF(N(R178)&lt;=0,0,(N(AY178)-N(AX178))*90/N(R178))</f>
        <v/>
      </c>
      <c r="BA178" s="7">
        <f>IFERROR(AY178-VLOOKUP($E178,Assumptions!$A$40:$C$43,3,FALSE),"")</f>
        <v/>
      </c>
      <c r="BB178" s="3">
        <f>IFERROR(BA178/H178,"")</f>
        <v/>
      </c>
      <c r="BC178">
        <f>IF(AND($G178=TRUE,$E178="GKP"),AY178,"")</f>
        <v/>
      </c>
      <c r="BD178">
        <f>IF(AND($G178=TRUE,$E178="DEF"),AY178,"")</f>
        <v/>
      </c>
      <c r="BE178">
        <f>IF(AND($G178=TRUE,$E178="MID"),AY178,"")</f>
        <v/>
      </c>
      <c r="BF178">
        <f>IF(AND($G178=TRUE,$E178="FWD"),AY178,"")</f>
        <v/>
      </c>
      <c r="BG178" t="n">
        <v>2</v>
      </c>
      <c r="BH178" t="n">
        <v>2</v>
      </c>
      <c r="BI178" t="n">
        <v>1</v>
      </c>
      <c r="BJ178" t="n">
        <v>5</v>
      </c>
    </row>
    <row r="179">
      <c r="A179" s="9" t="inlineStr">
        <is>
          <t>Jordan Henderson</t>
        </is>
      </c>
      <c r="B179" t="inlineStr">
        <is>
          <t>CHE</t>
        </is>
      </c>
      <c r="C179" s="9"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s="8" t="n">
        <v>137</v>
      </c>
      <c r="O179" s="8" t="n">
        <v>0</v>
      </c>
      <c r="Q179" t="inlineStr">
        <is>
          <t>flat</t>
        </is>
      </c>
      <c r="R179" s="6" t="n">
        <v>137</v>
      </c>
      <c r="S179" t="inlineStr">
        <is>
          <t>Solio</t>
        </is>
      </c>
      <c r="U179" s="6" t="n">
        <v>79.3</v>
      </c>
      <c r="V179" s="2" t="n">
        <v>22</v>
      </c>
      <c r="W179" s="7">
        <f>IF(N(U179)&lt;=0,0,MIN(Assumptions!$B$15,N(R179)/N(U179)))</f>
        <v/>
      </c>
      <c r="X179" s="6" t="n">
        <v>0.322</v>
      </c>
      <c r="Y179" s="10" t="n">
        <v>0.0143</v>
      </c>
      <c r="Z179" t="inlineStr">
        <is>
          <t>adjusted xGOT</t>
        </is>
      </c>
      <c r="AA179" s="3" t="n">
        <v>1</v>
      </c>
      <c r="AB179" s="3" t="n">
        <v>0.919</v>
      </c>
      <c r="AC179" s="3" t="n">
        <v>1.7</v>
      </c>
      <c r="AD179" s="10" t="n">
        <v>0.1326</v>
      </c>
      <c r="AE179" s="3" t="n">
        <v>8.606999999999999</v>
      </c>
      <c r="AF179" s="3" t="n">
        <v>0.08423668579325738</v>
      </c>
      <c r="AG179" s="3" t="n">
        <v>0.2355</v>
      </c>
      <c r="AH179" s="3" t="n">
        <v>51</v>
      </c>
      <c r="AI179" s="3" t="n">
        <v>2.4232</v>
      </c>
      <c r="AJ179" s="3" t="n">
        <v>1.1851</v>
      </c>
      <c r="AK179" s="3" t="n">
        <v>-0.2634710440072666</v>
      </c>
      <c r="AL179" s="6" t="n">
        <v>0</v>
      </c>
      <c r="AM179" s="3" t="n">
        <v>0</v>
      </c>
      <c r="AN179" s="10" t="n">
        <v>0.07150000000000001</v>
      </c>
      <c r="AO179" s="10" t="n">
        <v>0.525096</v>
      </c>
      <c r="AP179" s="3">
        <f>N(X179)*N(BI179)</f>
        <v/>
      </c>
      <c r="AQ179" s="3" t="n">
        <v>0.2355</v>
      </c>
      <c r="AR179" s="3" t="n">
        <v>0</v>
      </c>
      <c r="AS179" s="3" t="n">
        <v>-0</v>
      </c>
      <c r="AT179" s="3" t="n">
        <v>-0.2634710440072666</v>
      </c>
      <c r="AU179" s="3">
        <f>SUM(AN179:AT179)</f>
        <v/>
      </c>
      <c r="AV179" s="7">
        <f>IF(OR(N(W179)&lt;=0,N(BG179)=0),0,N(W179)*IF(N(R179)/N(W179)&gt;=60,N(BG179),1))</f>
        <v/>
      </c>
      <c r="AW179" s="7">
        <f>N(W179)*N(AF179)*N(BH179)</f>
        <v/>
      </c>
      <c r="AX179" s="7">
        <f>N(AL179)*(Assumptions!$B$13*N(BJ179)-(1-Assumptions!$B$13)*Assumptions!$B$14)+N(AM179)</f>
        <v/>
      </c>
      <c r="AY179" s="7">
        <f>N(AU179)*N(R179)/90+N(AV179)+N(AW179)+N(AX179)</f>
        <v/>
      </c>
      <c r="AZ179" s="3">
        <f>IF(N(R179)&lt;=0,0,(N(AY179)-N(AX179))*90/N(R179))</f>
        <v/>
      </c>
      <c r="BA179" s="7">
        <f>IFERROR(AY179-VLOOKUP($E179,Assumptions!$A$40:$C$43,3,FALSE),"")</f>
        <v/>
      </c>
      <c r="BB179" s="3">
        <f>IFERROR(BA179/H179,"")</f>
        <v/>
      </c>
      <c r="BC179">
        <f>IF(AND($G179=TRUE,$E179="GKP"),AY179,"")</f>
        <v/>
      </c>
      <c r="BD179">
        <f>IF(AND($G179=TRUE,$E179="DEF"),AY179,"")</f>
        <v/>
      </c>
      <c r="BE179">
        <f>IF(AND($G179=TRUE,$E179="MID"),AY179,"")</f>
        <v/>
      </c>
      <c r="BF179">
        <f>IF(AND($G179=TRUE,$E179="FWD"),AY179,"")</f>
        <v/>
      </c>
      <c r="BG179" t="n">
        <v>2</v>
      </c>
      <c r="BH179" t="n">
        <v>2</v>
      </c>
      <c r="BI179" t="n">
        <v>1</v>
      </c>
      <c r="BJ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s="4" t="n">
        <v>150</v>
      </c>
      <c r="O180" s="4" t="n">
        <v>-1135</v>
      </c>
      <c r="P180" s="5" t="inlineStr">
        <is>
          <t>high</t>
        </is>
      </c>
      <c r="Q180" t="inlineStr">
        <is>
          <t>ramp-up (injury / late WC return)</t>
        </is>
      </c>
      <c r="R180" s="6" t="n">
        <v>150</v>
      </c>
      <c r="S180" t="inlineStr">
        <is>
          <t>research</t>
        </is>
      </c>
      <c r="T180" s="5" t="inlineStr">
        <is>
          <t>Tore his cruciate ligament during the 2026 World Cup and is out for nine months, which puts a best-case return in late March 2027 with no match fitness behind it. Realistically a handful of late-season cameos, not 1,285 minutes.</t>
        </is>
      </c>
      <c r="U180" s="6" t="n">
        <v>80.40000000000001</v>
      </c>
      <c r="V180" s="2" t="n">
        <v>21</v>
      </c>
      <c r="W180" s="7">
        <f>IF(N(U180)&lt;=0,0,MIN(Assumptions!$B$15,N(R180)/N(U180)))</f>
        <v/>
      </c>
      <c r="X180" s="6" t="n">
        <v>0.273</v>
      </c>
      <c r="Y180" s="3" t="n">
        <v>0.0853</v>
      </c>
      <c r="Z180" t="inlineStr">
        <is>
          <t>adjusted xGOT</t>
        </is>
      </c>
      <c r="AA180" s="3" t="n">
        <v>1</v>
      </c>
      <c r="AB180" s="3" t="n">
        <v>0.99</v>
      </c>
      <c r="AC180" s="3" t="n">
        <v>9</v>
      </c>
      <c r="AD180" s="3" t="n">
        <v>0.0306</v>
      </c>
      <c r="AE180" s="3" t="n">
        <v>10.459</v>
      </c>
      <c r="AF180" s="3" t="n">
        <v>0.2315175242686877</v>
      </c>
      <c r="AG180" s="3" t="n">
        <v>0.2051</v>
      </c>
      <c r="AH180" s="3" t="n">
        <v>45</v>
      </c>
      <c r="AI180" s="3" t="n">
        <v>2.7451</v>
      </c>
      <c r="AJ180" s="3" t="n">
        <v>1.3575</v>
      </c>
      <c r="AK180" s="3" t="n">
        <v>-0.2073865052544347</v>
      </c>
      <c r="AL180" s="6" t="n">
        <v>0</v>
      </c>
      <c r="AM180" s="3" t="n">
        <v>0</v>
      </c>
      <c r="AN180" s="3" t="n">
        <v>0.4265</v>
      </c>
      <c r="AO180" s="3" t="n">
        <v>0.121176</v>
      </c>
      <c r="AP180" s="3">
        <f>N(X180)*N(BI180)</f>
        <v/>
      </c>
      <c r="AQ180" s="3" t="n">
        <v>0.2051</v>
      </c>
      <c r="AR180" s="3" t="n">
        <v>0</v>
      </c>
      <c r="AS180" s="3" t="n">
        <v>-0</v>
      </c>
      <c r="AT180" s="3" t="n">
        <v>-0.2073865052544347</v>
      </c>
      <c r="AU180" s="3">
        <f>SUM(AN180:AT180)</f>
        <v/>
      </c>
      <c r="AV180" s="7">
        <f>IF(OR(N(W180)&lt;=0,N(BG180)=0),0,N(W180)*IF(N(R180)/N(W180)&gt;=60,N(BG180),1))</f>
        <v/>
      </c>
      <c r="AW180" s="7">
        <f>N(W180)*N(AF180)*N(BH180)</f>
        <v/>
      </c>
      <c r="AX180" s="7">
        <f>N(AL180)*(Assumptions!$B$13*N(BJ180)-(1-Assumptions!$B$13)*Assumptions!$B$14)+N(AM180)</f>
        <v/>
      </c>
      <c r="AY180" s="7">
        <f>N(AU180)*N(R180)/90+N(AV180)+N(AW180)+N(AX180)</f>
        <v/>
      </c>
      <c r="AZ180" s="3">
        <f>IF(N(R180)&lt;=0,0,(N(AY180)-N(AX180))*90/N(R180))</f>
        <v/>
      </c>
      <c r="BA180" s="7">
        <f>IFERROR(AY180-VLOOKUP($E180,Assumptions!$A$40:$C$43,3,FALSE),"")</f>
        <v/>
      </c>
      <c r="BB180" s="3">
        <f>IFERROR(BA180/H180,"")</f>
        <v/>
      </c>
      <c r="BC180">
        <f>IF(AND($G180=TRUE,$E180="GKP"),AY180,"")</f>
        <v/>
      </c>
      <c r="BD180">
        <f>IF(AND($G180=TRUE,$E180="DEF"),AY180,"")</f>
        <v/>
      </c>
      <c r="BE180">
        <f>IF(AND($G180=TRUE,$E180="MID"),AY180,"")</f>
        <v/>
      </c>
      <c r="BF180">
        <f>IF(AND($G180=TRUE,$E180="FWD"),AY180,"")</f>
        <v/>
      </c>
      <c r="BG180" t="n">
        <v>2</v>
      </c>
      <c r="BH180" t="n">
        <v>2</v>
      </c>
      <c r="BI180" t="n">
        <v>1</v>
      </c>
      <c r="BJ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s="8" t="n">
        <v>2069</v>
      </c>
      <c r="O181" s="8" t="n">
        <v>0</v>
      </c>
      <c r="Q181" t="inlineStr">
        <is>
          <t>flat</t>
        </is>
      </c>
      <c r="R181" s="6" t="n">
        <v>2069</v>
      </c>
      <c r="S181" t="inlineStr">
        <is>
          <t>Solio</t>
        </is>
      </c>
      <c r="U181" s="6" t="n">
        <v>77.7</v>
      </c>
      <c r="V181" s="2" t="n">
        <v>8</v>
      </c>
      <c r="W181" s="7">
        <f>IF(N(U181)&lt;=0,0,MIN(Assumptions!$B$15,N(R181)/N(U181)))</f>
        <v/>
      </c>
      <c r="X181" s="6" t="n">
        <v>0.248</v>
      </c>
      <c r="Y181" s="3" t="n">
        <v>0.5302</v>
      </c>
      <c r="Z181" t="inlineStr">
        <is>
          <t>adjusted xGOT</t>
        </is>
      </c>
      <c r="AA181" s="3" t="n">
        <v>1</v>
      </c>
      <c r="AB181" s="3" t="n">
        <v>1.108</v>
      </c>
      <c r="AC181" s="3" t="n">
        <v>6.1</v>
      </c>
      <c r="AD181" s="3" t="n">
        <v>0.0596</v>
      </c>
      <c r="AE181" s="3" t="n">
        <v>4.092</v>
      </c>
      <c r="AF181" s="3" t="n">
        <v>0.000313776039483793</v>
      </c>
      <c r="AG181" s="3" t="n">
        <v>1.4534</v>
      </c>
      <c r="AH181" s="3" t="n">
        <v>32</v>
      </c>
      <c r="AI181" s="3" t="n">
        <v>3.0912</v>
      </c>
      <c r="AJ181" s="3" t="n">
        <v>1.4534</v>
      </c>
      <c r="AK181" s="3" t="n">
        <v>-0.1556289932753388</v>
      </c>
      <c r="AL181" s="6" t="n">
        <v>0.8910399935823637</v>
      </c>
      <c r="AM181" s="3" t="n">
        <v>0</v>
      </c>
      <c r="AN181" s="3" t="n">
        <v>2.1208</v>
      </c>
      <c r="AO181" s="3" t="n">
        <v>0.236016</v>
      </c>
      <c r="AP181" s="3">
        <f>N(X181)*N(BI181)</f>
        <v/>
      </c>
      <c r="AQ181" s="3" t="n">
        <v>1.4534</v>
      </c>
      <c r="AR181" s="3" t="n">
        <v>0</v>
      </c>
      <c r="AS181" s="3" t="n">
        <v>-0</v>
      </c>
      <c r="AT181" s="3" t="n">
        <v>-0.1556289932753388</v>
      </c>
      <c r="AU181" s="3">
        <f>SUM(AN181:AT181)</f>
        <v/>
      </c>
      <c r="AV181" s="7">
        <f>IF(OR(N(W181)&lt;=0,N(BG181)=0),0,N(W181)*IF(N(R181)/N(W181)&gt;=60,N(BG181),1))</f>
        <v/>
      </c>
      <c r="AW181" s="7">
        <f>N(W181)*N(AF181)*N(BH181)</f>
        <v/>
      </c>
      <c r="AX181" s="7">
        <f>N(AL181)*(Assumptions!$B$13*N(BJ181)-(1-Assumptions!$B$13)*Assumptions!$B$14)+N(AM181)</f>
        <v/>
      </c>
      <c r="AY181" s="7">
        <f>N(AU181)*N(R181)/90+N(AV181)+N(AW181)+N(AX181)</f>
        <v/>
      </c>
      <c r="AZ181" s="3">
        <f>IF(N(R181)&lt;=0,0,(N(AY181)-N(AX181))*90/N(R181))</f>
        <v/>
      </c>
      <c r="BA181" s="7">
        <f>IFERROR(AY181-VLOOKUP($E181,Assumptions!$A$40:$C$43,3,FALSE),"")</f>
        <v/>
      </c>
      <c r="BB181" s="3">
        <f>IFERROR(BA181/H181,"")</f>
        <v/>
      </c>
      <c r="BC181">
        <f>IF(AND($G181=TRUE,$E181="GKP"),AY181,"")</f>
        <v/>
      </c>
      <c r="BD181">
        <f>IF(AND($G181=TRUE,$E181="DEF"),AY181,"")</f>
        <v/>
      </c>
      <c r="BE181">
        <f>IF(AND($G181=TRUE,$E181="MID"),AY181,"")</f>
        <v/>
      </c>
      <c r="BF181">
        <f>IF(AND($G181=TRUE,$E181="FWD"),AY181,"")</f>
        <v/>
      </c>
      <c r="BG181" t="n">
        <v>2</v>
      </c>
      <c r="BH181" t="n">
        <v>2</v>
      </c>
      <c r="BI181" t="n">
        <v>0</v>
      </c>
      <c r="BJ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s="4" t="n">
        <v>2150</v>
      </c>
      <c r="O182" s="4" t="n">
        <v>531</v>
      </c>
      <c r="P182" s="5" t="inlineStr">
        <is>
          <t>medium</t>
        </is>
      </c>
      <c r="Q182" t="inlineStr">
        <is>
          <t>fade (losing his place)</t>
        </is>
      </c>
      <c r="R182" s="6" t="n">
        <v>2150</v>
      </c>
      <c r="S182" t="inlineStr">
        <is>
          <t>research</t>
        </is>
      </c>
      <c r="T182" s="5" t="inlineStr">
        <is>
          <t>Solio labels him 'fade (losing his place)', but with van den Berg out until roughly mid-October Ajer is the man who takes that place. He started the 15 Aug friendly at centre-back next to Collins, which is the pairing multiple previews name as the fallback when van den Berg is unavailable. He should be close to nailed for the opening two months and a rotation option thereafter.</t>
        </is>
      </c>
      <c r="U182" s="6" t="n">
        <v>84.2</v>
      </c>
      <c r="V182" s="2" t="n">
        <v>20</v>
      </c>
      <c r="W182" s="7">
        <f>IF(N(U182)&lt;=0,0,MIN(Assumptions!$B$15,N(R182)/N(U182)))</f>
        <v/>
      </c>
      <c r="X182" s="6" t="n">
        <v>0.228</v>
      </c>
      <c r="Y182" s="3" t="n">
        <v>0.0362</v>
      </c>
      <c r="Z182" t="inlineStr">
        <is>
          <t>adjusted xGOT</t>
        </is>
      </c>
      <c r="AA182" s="3" t="n">
        <v>1</v>
      </c>
      <c r="AB182" s="3" t="n">
        <v>1.053</v>
      </c>
      <c r="AC182" s="3" t="n">
        <v>2.9</v>
      </c>
      <c r="AD182" s="3" t="n">
        <v>0.0407</v>
      </c>
      <c r="AE182" s="3" t="n">
        <v>9.035</v>
      </c>
      <c r="AF182" s="3" t="n">
        <v>0.3408981349397984</v>
      </c>
      <c r="AG182" s="3" t="n">
        <v>0.0499</v>
      </c>
      <c r="AH182" s="3" t="n">
        <v>46</v>
      </c>
      <c r="AI182" s="3" t="n">
        <v>3.2371</v>
      </c>
      <c r="AJ182" s="3" t="n">
        <v>1.5396</v>
      </c>
      <c r="AK182" s="3" t="n">
        <v>-0.2433172600094551</v>
      </c>
      <c r="AL182" s="6" t="n">
        <v>0</v>
      </c>
      <c r="AM182" s="3" t="n">
        <v>0</v>
      </c>
      <c r="AN182" s="3" t="n">
        <v>0.2172</v>
      </c>
      <c r="AO182" s="3" t="n">
        <v>0.161172</v>
      </c>
      <c r="AP182" s="3">
        <f>N(X182)*N(BI182)</f>
        <v/>
      </c>
      <c r="AQ182" s="3" t="n">
        <v>0.0499</v>
      </c>
      <c r="AR182" s="3" t="n">
        <v>0</v>
      </c>
      <c r="AS182" s="3" t="n">
        <v>-0.5312990096912251</v>
      </c>
      <c r="AT182" s="3" t="n">
        <v>-0.2433172600094551</v>
      </c>
      <c r="AU182" s="3">
        <f>SUM(AN182:AT182)</f>
        <v/>
      </c>
      <c r="AV182" s="7">
        <f>IF(OR(N(W182)&lt;=0,N(BG182)=0),0,N(W182)*IF(N(R182)/N(W182)&gt;=60,N(BG182),1))</f>
        <v/>
      </c>
      <c r="AW182" s="7">
        <f>N(W182)*N(AF182)*N(BH182)</f>
        <v/>
      </c>
      <c r="AX182" s="7">
        <f>N(AL182)*(Assumptions!$B$13*N(BJ182)-(1-Assumptions!$B$13)*Assumptions!$B$14)+N(AM182)</f>
        <v/>
      </c>
      <c r="AY182" s="7">
        <f>N(AU182)*N(R182)/90+N(AV182)+N(AW182)+N(AX182)</f>
        <v/>
      </c>
      <c r="AZ182" s="3">
        <f>IF(N(R182)&lt;=0,0,(N(AY182)-N(AX182))*90/N(R182))</f>
        <v/>
      </c>
      <c r="BA182" s="7">
        <f>IFERROR(AY182-VLOOKUP($E182,Assumptions!$A$40:$C$43,3,FALSE),"")</f>
        <v/>
      </c>
      <c r="BB182" s="3">
        <f>IFERROR(BA182/H182,"")</f>
        <v/>
      </c>
      <c r="BC182">
        <f>IF(AND($G182=TRUE,$E182="GKP"),AY182,"")</f>
        <v/>
      </c>
      <c r="BD182">
        <f>IF(AND($G182=TRUE,$E182="DEF"),AY182,"")</f>
        <v/>
      </c>
      <c r="BE182">
        <f>IF(AND($G182=TRUE,$E182="MID"),AY182,"")</f>
        <v/>
      </c>
      <c r="BF182">
        <f>IF(AND($G182=TRUE,$E182="FWD"),AY182,"")</f>
        <v/>
      </c>
      <c r="BG182" t="n">
        <v>2</v>
      </c>
      <c r="BH182" t="n">
        <v>2</v>
      </c>
      <c r="BI182" t="n">
        <v>4</v>
      </c>
      <c r="BJ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s="4" t="n">
        <v>1950</v>
      </c>
      <c r="O183" s="4" t="n">
        <v>997</v>
      </c>
      <c r="P183" s="5" t="inlineStr">
        <is>
          <t>medium</t>
        </is>
      </c>
      <c r="Q183" t="inlineStr">
        <is>
          <t>flat</t>
        </is>
      </c>
      <c r="R183" s="6" t="n">
        <v>1950</v>
      </c>
      <c r="S183" t="inlineStr">
        <is>
          <t>research</t>
        </is>
      </c>
      <c r="T183" s="5" t="inlineStr">
        <is>
          <t>Solio has the club-record signing at roughly a quarter of a season. He cost a fixed GBP 43m plus GBP 5m in add-ons in January on a four-and-a-half-year deal, and he started the final pre-season friendly at centre-forward while Mateta, back from the World Cup, did not. Palace-focused analysis in July described him as the long-term number nine whose vertical, box-presence profile fits Sage's system. Set at 1950 rather than a full starter's load because the striker slot is genuinely shared three ways.</t>
        </is>
      </c>
      <c r="U183" s="6" t="n">
        <v>77.59999999999999</v>
      </c>
      <c r="V183" s="2" t="n">
        <v>26</v>
      </c>
      <c r="W183" s="7">
        <f>IF(N(U183)&lt;=0,0,MIN(Assumptions!$B$15,N(R183)/N(U183)))</f>
        <v/>
      </c>
      <c r="X183" s="6" t="n">
        <v>0.216</v>
      </c>
      <c r="Y183" s="3" t="n">
        <v>0.1776</v>
      </c>
      <c r="Z183" t="inlineStr">
        <is>
          <t>adjusted xGOT</t>
        </is>
      </c>
      <c r="AA183" s="3" t="n">
        <v>0.766</v>
      </c>
      <c r="AB183" s="3" t="n">
        <v>1.118</v>
      </c>
      <c r="AC183" s="3" t="n">
        <v>15.4</v>
      </c>
      <c r="AD183" s="3" t="n">
        <v>0.0353</v>
      </c>
      <c r="AE183" s="3" t="n">
        <v>3.973</v>
      </c>
      <c r="AF183" s="3" t="n">
        <v>0.0002388066895152585</v>
      </c>
      <c r="AG183" s="3" t="n">
        <v>0.1173</v>
      </c>
      <c r="AH183" s="3" t="n">
        <v>59</v>
      </c>
      <c r="AI183" s="3" t="n">
        <v>3.2035</v>
      </c>
      <c r="AJ183" s="3" t="n">
        <v>1.5923</v>
      </c>
      <c r="AK183" s="3" t="n">
        <v>-0.1648064653887614</v>
      </c>
      <c r="AL183" s="6" t="n">
        <v>0</v>
      </c>
      <c r="AM183" s="3" t="n">
        <v>0</v>
      </c>
      <c r="AN183" s="3" t="n">
        <v>0.7104</v>
      </c>
      <c r="AO183" s="3" t="n">
        <v>0.139788</v>
      </c>
      <c r="AP183" s="3">
        <f>N(X183)*N(BI183)</f>
        <v/>
      </c>
      <c r="AQ183" s="3" t="n">
        <v>0.1173</v>
      </c>
      <c r="AR183" s="3" t="n">
        <v>0</v>
      </c>
      <c r="AS183" s="3" t="n">
        <v>-0</v>
      </c>
      <c r="AT183" s="3" t="n">
        <v>-0.1648064653887614</v>
      </c>
      <c r="AU183" s="3">
        <f>SUM(AN183:AT183)</f>
        <v/>
      </c>
      <c r="AV183" s="7">
        <f>IF(OR(N(W183)&lt;=0,N(BG183)=0),0,N(W183)*IF(N(R183)/N(W183)&gt;=60,N(BG183),1))</f>
        <v/>
      </c>
      <c r="AW183" s="7">
        <f>N(W183)*N(AF183)*N(BH183)</f>
        <v/>
      </c>
      <c r="AX183" s="7">
        <f>N(AL183)*(Assumptions!$B$13*N(BJ183)-(1-Assumptions!$B$13)*Assumptions!$B$14)+N(AM183)</f>
        <v/>
      </c>
      <c r="AY183" s="7">
        <f>N(AU183)*N(R183)/90+N(AV183)+N(AW183)+N(AX183)</f>
        <v/>
      </c>
      <c r="AZ183" s="3">
        <f>IF(N(R183)&lt;=0,0,(N(AY183)-N(AX183))*90/N(R183))</f>
        <v/>
      </c>
      <c r="BA183" s="7">
        <f>IFERROR(AY183-VLOOKUP($E183,Assumptions!$A$40:$C$43,3,FALSE),"")</f>
        <v/>
      </c>
      <c r="BB183" s="3">
        <f>IFERROR(BA183/H183,"")</f>
        <v/>
      </c>
      <c r="BC183">
        <f>IF(AND($G183=TRUE,$E183="GKP"),AY183,"")</f>
        <v/>
      </c>
      <c r="BD183">
        <f>IF(AND($G183=TRUE,$E183="DEF"),AY183,"")</f>
        <v/>
      </c>
      <c r="BE183">
        <f>IF(AND($G183=TRUE,$E183="MID"),AY183,"")</f>
        <v/>
      </c>
      <c r="BF183">
        <f>IF(AND($G183=TRUE,$E183="FWD"),AY183,"")</f>
        <v/>
      </c>
      <c r="BG183" t="n">
        <v>2</v>
      </c>
      <c r="BH183" t="n">
        <v>2</v>
      </c>
      <c r="BI183" t="n">
        <v>0</v>
      </c>
      <c r="BJ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s="8" t="n">
        <v>1858</v>
      </c>
      <c r="O184" s="8" t="n">
        <v>0</v>
      </c>
      <c r="Q184" t="inlineStr">
        <is>
          <t>flat</t>
        </is>
      </c>
      <c r="R184" s="6" t="n">
        <v>1858</v>
      </c>
      <c r="S184" t="inlineStr">
        <is>
          <t>Solio</t>
        </is>
      </c>
      <c r="U184" s="6" t="n">
        <v>80.59999999999999</v>
      </c>
      <c r="V184" s="2" t="n">
        <v>19</v>
      </c>
      <c r="W184" s="7">
        <f>IF(N(U184)&lt;=0,0,MIN(Assumptions!$B$15,N(R184)/N(U184)))</f>
        <v/>
      </c>
      <c r="X184" s="6" t="n">
        <v>0.286</v>
      </c>
      <c r="Y184" s="3" t="n">
        <v>0.1118</v>
      </c>
      <c r="Z184" t="inlineStr">
        <is>
          <t>adjusted xGOT</t>
        </is>
      </c>
      <c r="AA184" s="3" t="n">
        <v>1</v>
      </c>
      <c r="AB184" s="3" t="n">
        <v>0.993</v>
      </c>
      <c r="AC184" s="3" t="n">
        <v>14</v>
      </c>
      <c r="AD184" s="3" t="n">
        <v>0.1461</v>
      </c>
      <c r="AE184" s="3" t="n">
        <v>8.047000000000001</v>
      </c>
      <c r="AF184" s="3" t="n">
        <v>0.06323590884806507</v>
      </c>
      <c r="AG184" s="3" t="n">
        <v>0.4691</v>
      </c>
      <c r="AH184" s="3" t="n">
        <v>36</v>
      </c>
      <c r="AI184" s="3" t="n">
        <v>2.5739</v>
      </c>
      <c r="AJ184" s="3" t="n">
        <v>1.3096</v>
      </c>
      <c r="AK184" s="3" t="n">
        <v>-0.1761937016347322</v>
      </c>
      <c r="AL184" s="6" t="n">
        <v>0.5734579585226187</v>
      </c>
      <c r="AM184" s="3" t="n">
        <v>0</v>
      </c>
      <c r="AN184" s="3" t="n">
        <v>0.5589999999999999</v>
      </c>
      <c r="AO184" s="3" t="n">
        <v>0.5785560000000001</v>
      </c>
      <c r="AP184" s="3">
        <f>N(X184)*N(BI184)</f>
        <v/>
      </c>
      <c r="AQ184" s="3" t="n">
        <v>0.4691</v>
      </c>
      <c r="AR184" s="3" t="n">
        <v>0</v>
      </c>
      <c r="AS184" s="3" t="n">
        <v>-0</v>
      </c>
      <c r="AT184" s="3" t="n">
        <v>-0.1761937016347322</v>
      </c>
      <c r="AU184" s="3">
        <f>SUM(AN184:AT184)</f>
        <v/>
      </c>
      <c r="AV184" s="7">
        <f>IF(OR(N(W184)&lt;=0,N(BG184)=0),0,N(W184)*IF(N(R184)/N(W184)&gt;=60,N(BG184),1))</f>
        <v/>
      </c>
      <c r="AW184" s="7">
        <f>N(W184)*N(AF184)*N(BH184)</f>
        <v/>
      </c>
      <c r="AX184" s="7">
        <f>N(AL184)*(Assumptions!$B$13*N(BJ184)-(1-Assumptions!$B$13)*Assumptions!$B$14)+N(AM184)</f>
        <v/>
      </c>
      <c r="AY184" s="7">
        <f>N(AU184)*N(R184)/90+N(AV184)+N(AW184)+N(AX184)</f>
        <v/>
      </c>
      <c r="AZ184" s="3">
        <f>IF(N(R184)&lt;=0,0,(N(AY184)-N(AX184))*90/N(R184))</f>
        <v/>
      </c>
      <c r="BA184" s="7">
        <f>IFERROR(AY184-VLOOKUP($E184,Assumptions!$A$40:$C$43,3,FALSE),"")</f>
        <v/>
      </c>
      <c r="BB184" s="3">
        <f>IFERROR(BA184/H184,"")</f>
        <v/>
      </c>
      <c r="BC184">
        <f>IF(AND($G184=TRUE,$E184="GKP"),AY184,"")</f>
        <v/>
      </c>
      <c r="BD184">
        <f>IF(AND($G184=TRUE,$E184="DEF"),AY184,"")</f>
        <v/>
      </c>
      <c r="BE184">
        <f>IF(AND($G184=TRUE,$E184="MID"),AY184,"")</f>
        <v/>
      </c>
      <c r="BF184">
        <f>IF(AND($G184=TRUE,$E184="FWD"),AY184,"")</f>
        <v/>
      </c>
      <c r="BG184" t="n">
        <v>2</v>
      </c>
      <c r="BH184" t="n">
        <v>2</v>
      </c>
      <c r="BI184" t="n">
        <v>1</v>
      </c>
      <c r="BJ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s="8" t="n">
        <v>1864</v>
      </c>
      <c r="O185" s="8" t="n">
        <v>0</v>
      </c>
      <c r="Q185" t="inlineStr">
        <is>
          <t>flat</t>
        </is>
      </c>
      <c r="R185" s="6" t="n">
        <v>1864</v>
      </c>
      <c r="S185" t="inlineStr">
        <is>
          <t>Solio</t>
        </is>
      </c>
      <c r="U185" s="6" t="n">
        <v>75.40000000000001</v>
      </c>
      <c r="V185" s="2" t="n">
        <v>16</v>
      </c>
      <c r="W185" s="7">
        <f>IF(N(U185)&lt;=0,0,MIN(Assumptions!$B$15,N(R185)/N(U185)))</f>
        <v/>
      </c>
      <c r="X185" s="6" t="n">
        <v>0.391</v>
      </c>
      <c r="Y185" s="3" t="n">
        <v>0.0789</v>
      </c>
      <c r="Z185" t="inlineStr">
        <is>
          <t>adjusted xGOT</t>
        </is>
      </c>
      <c r="AA185" s="3" t="n">
        <v>1</v>
      </c>
      <c r="AB185" s="3" t="n">
        <v>0.956</v>
      </c>
      <c r="AC185" s="3" t="n">
        <v>23.4</v>
      </c>
      <c r="AD185" s="3" t="n">
        <v>0.2849</v>
      </c>
      <c r="AE185" s="3" t="n">
        <v>7.372</v>
      </c>
      <c r="AF185" s="3" t="n">
        <v>0.02435825203434494</v>
      </c>
      <c r="AG185" s="3" t="n">
        <v>0.3302</v>
      </c>
      <c r="AH185" s="3" t="n">
        <v>35</v>
      </c>
      <c r="AI185" s="3" t="n">
        <v>2.067</v>
      </c>
      <c r="AJ185" s="3" t="n">
        <v>0.9838</v>
      </c>
      <c r="AK185" s="3" t="n">
        <v>-0.1224617090783342</v>
      </c>
      <c r="AL185" s="6" t="n">
        <v>0.3597186046144329</v>
      </c>
      <c r="AM185" s="3" t="n">
        <v>0</v>
      </c>
      <c r="AN185" s="3" t="n">
        <v>0.3945</v>
      </c>
      <c r="AO185" s="3" t="n">
        <v>1.128204</v>
      </c>
      <c r="AP185" s="3">
        <f>N(X185)*N(BI185)</f>
        <v/>
      </c>
      <c r="AQ185" s="3" t="n">
        <v>0.3302</v>
      </c>
      <c r="AR185" s="3" t="n">
        <v>0</v>
      </c>
      <c r="AS185" s="3" t="n">
        <v>-0</v>
      </c>
      <c r="AT185" s="3" t="n">
        <v>-0.1224617090783342</v>
      </c>
      <c r="AU185" s="3">
        <f>SUM(AN185:AT185)</f>
        <v/>
      </c>
      <c r="AV185" s="7">
        <f>IF(OR(N(W185)&lt;=0,N(BG185)=0),0,N(W185)*IF(N(R185)/N(W185)&gt;=60,N(BG185),1))</f>
        <v/>
      </c>
      <c r="AW185" s="7">
        <f>N(W185)*N(AF185)*N(BH185)</f>
        <v/>
      </c>
      <c r="AX185" s="7">
        <f>N(AL185)*(Assumptions!$B$13*N(BJ185)-(1-Assumptions!$B$13)*Assumptions!$B$14)+N(AM185)</f>
        <v/>
      </c>
      <c r="AY185" s="7">
        <f>N(AU185)*N(R185)/90+N(AV185)+N(AW185)+N(AX185)</f>
        <v/>
      </c>
      <c r="AZ185" s="3">
        <f>IF(N(R185)&lt;=0,0,(N(AY185)-N(AX185))*90/N(R185))</f>
        <v/>
      </c>
      <c r="BA185" s="7">
        <f>IFERROR(AY185-VLOOKUP($E185,Assumptions!$A$40:$C$43,3,FALSE),"")</f>
        <v/>
      </c>
      <c r="BB185" s="3">
        <f>IFERROR(BA185/H185,"")</f>
        <v/>
      </c>
      <c r="BC185">
        <f>IF(AND($G185=TRUE,$E185="GKP"),AY185,"")</f>
        <v/>
      </c>
      <c r="BD185">
        <f>IF(AND($G185=TRUE,$E185="DEF"),AY185,"")</f>
        <v/>
      </c>
      <c r="BE185">
        <f>IF(AND($G185=TRUE,$E185="MID"),AY185,"")</f>
        <v/>
      </c>
      <c r="BF185">
        <f>IF(AND($G185=TRUE,$E185="FWD"),AY185,"")</f>
        <v/>
      </c>
      <c r="BG185" t="n">
        <v>2</v>
      </c>
      <c r="BH185" t="n">
        <v>2</v>
      </c>
      <c r="BI185" t="n">
        <v>1</v>
      </c>
      <c r="BJ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s="4" t="n">
        <v>1000</v>
      </c>
      <c r="O186" s="4" t="n">
        <v>519</v>
      </c>
      <c r="P186" s="5" t="inlineStr">
        <is>
          <t>high</t>
        </is>
      </c>
      <c r="Q186" t="inlineStr">
        <is>
          <t>flat</t>
        </is>
      </c>
      <c r="R186" s="6" t="n">
        <v>1000</v>
      </c>
      <c r="S186" t="inlineStr">
        <is>
          <t>research</t>
        </is>
      </c>
      <c r="T186" s="5" t="inlineStr">
        <is>
          <t>Solio's 481 minutes is a departure assumption that the club has explicitly contradicted. Sky Sports reported on 4 Aug that Sunderland made clear Isidor is not for sale; a Hull City bid around GBP10m was rejected and West Ham were rebuffed; Le Bris shut the speculation down after the Lens win, in which Isidor scored. He came on for Brobbey on 72' against Rennes. The structural point is that Eliezer Mayenda was sold to Rennes for GBP22m on 5 Jul and Nazariy Rusyn and Ahmed Abdullahi also left, leaving Brobbey and Isidor as the only two senior strikers for one starting slot plus a Europa League league phase. Isidor played 1,148 Premier League minutes last season behind Mayenda; with Mayenda gone he should not be modelled below that by more than half.</t>
        </is>
      </c>
      <c r="U186" s="6" t="n">
        <v>74.7</v>
      </c>
      <c r="V186" s="2" t="n">
        <v>11</v>
      </c>
      <c r="W186" s="7">
        <f>IF(N(U186)&lt;=0,0,MIN(Assumptions!$B$15,N(R186)/N(U186)))</f>
        <v/>
      </c>
      <c r="X186" s="6" t="n">
        <v>0.204</v>
      </c>
      <c r="Y186" s="3" t="n">
        <v>0.383</v>
      </c>
      <c r="Z186" t="inlineStr">
        <is>
          <t>adjusted xGOT</t>
        </is>
      </c>
      <c r="AA186" s="3" t="n">
        <v>1</v>
      </c>
      <c r="AB186" s="3" t="n">
        <v>1.039</v>
      </c>
      <c r="AC186" s="3" t="n">
        <v>4.7</v>
      </c>
      <c r="AD186" s="3" t="n">
        <v>0.0149</v>
      </c>
      <c r="AE186" s="3" t="n">
        <v>4.305</v>
      </c>
      <c r="AF186" s="3" t="n">
        <v>0.0003467886689056954</v>
      </c>
      <c r="AG186" s="3" t="n">
        <v>0.6272</v>
      </c>
      <c r="AH186" s="3" t="n">
        <v>41</v>
      </c>
      <c r="AI186" s="3" t="n">
        <v>3.3348</v>
      </c>
      <c r="AJ186" s="3" t="n">
        <v>1.6498</v>
      </c>
      <c r="AK186" s="3" t="n">
        <v>-0.1371338303963969</v>
      </c>
      <c r="AL186" s="6" t="n">
        <v>0</v>
      </c>
      <c r="AM186" s="3" t="n">
        <v>0</v>
      </c>
      <c r="AN186" s="3" t="n">
        <v>1.532</v>
      </c>
      <c r="AO186" s="3" t="n">
        <v>0.05900400000000001</v>
      </c>
      <c r="AP186" s="3">
        <f>N(X186)*N(BI186)</f>
        <v/>
      </c>
      <c r="AQ186" s="3" t="n">
        <v>0.6272</v>
      </c>
      <c r="AR186" s="3" t="n">
        <v>0</v>
      </c>
      <c r="AS186" s="3" t="n">
        <v>-0</v>
      </c>
      <c r="AT186" s="3" t="n">
        <v>-0.1371338303963969</v>
      </c>
      <c r="AU186" s="3">
        <f>SUM(AN186:AT186)</f>
        <v/>
      </c>
      <c r="AV186" s="7">
        <f>IF(OR(N(W186)&lt;=0,N(BG186)=0),0,N(W186)*IF(N(R186)/N(W186)&gt;=60,N(BG186),1))</f>
        <v/>
      </c>
      <c r="AW186" s="7">
        <f>N(W186)*N(AF186)*N(BH186)</f>
        <v/>
      </c>
      <c r="AX186" s="7">
        <f>N(AL186)*(Assumptions!$B$13*N(BJ186)-(1-Assumptions!$B$13)*Assumptions!$B$14)+N(AM186)</f>
        <v/>
      </c>
      <c r="AY186" s="7">
        <f>N(AU186)*N(R186)/90+N(AV186)+N(AW186)+N(AX186)</f>
        <v/>
      </c>
      <c r="AZ186" s="3">
        <f>IF(N(R186)&lt;=0,0,(N(AY186)-N(AX186))*90/N(R186))</f>
        <v/>
      </c>
      <c r="BA186" s="7">
        <f>IFERROR(AY186-VLOOKUP($E186,Assumptions!$A$40:$C$43,3,FALSE),"")</f>
        <v/>
      </c>
      <c r="BB186" s="3">
        <f>IFERROR(BA186/H186,"")</f>
        <v/>
      </c>
      <c r="BC186">
        <f>IF(AND($G186=TRUE,$E186="GKP"),AY186,"")</f>
        <v/>
      </c>
      <c r="BD186">
        <f>IF(AND($G186=TRUE,$E186="DEF"),AY186,"")</f>
        <v/>
      </c>
      <c r="BE186">
        <f>IF(AND($G186=TRUE,$E186="MID"),AY186,"")</f>
        <v/>
      </c>
      <c r="BF186">
        <f>IF(AND($G186=TRUE,$E186="FWD"),AY186,"")</f>
        <v/>
      </c>
      <c r="BG186" t="n">
        <v>2</v>
      </c>
      <c r="BH186" t="n">
        <v>2</v>
      </c>
      <c r="BI186" t="n">
        <v>0</v>
      </c>
      <c r="BJ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s="4" t="n">
        <v>2100</v>
      </c>
      <c r="O187" s="4" t="n">
        <v>-967</v>
      </c>
      <c r="P187" s="5" t="inlineStr">
        <is>
          <t>medium</t>
        </is>
      </c>
      <c r="Q187" t="inlineStr">
        <is>
          <t>flat</t>
        </is>
      </c>
      <c r="R187" s="6" t="n">
        <v>2100</v>
      </c>
      <c r="S187" t="inlineStr">
        <is>
          <t>research</t>
        </is>
      </c>
      <c r="T187" s="5" t="inlineStr">
        <is>
          <t>Solio projects Reinildo for 3,067 minutes, well above the 1,966 he actually played in 2025/26, on the assumption that left-back is his uncontested. It is not: Sunderland have a full agreement with Toulouse worth GBP25.6m (GBP23.9m plus GBP1.7m add-ons) for 20-year-old left-back Dayann Methalie, with the medical imminent, and the Echo separately reports the club is pursuing both a left-back and a left-sided centre-half. A fee of that size, at a club whose only other window business was a free transfer, is a starter being bought. Reinildo starts the opener but should not be modelled as owning the position for 38 games. Note that Methalie is not yet in the FPL bootstrap and therefore has no code, so his minutes are not represented anywhere in this allocation.</t>
        </is>
      </c>
      <c r="U187" s="6" t="n">
        <v>85.7</v>
      </c>
      <c r="V187" s="2" t="n">
        <v>22</v>
      </c>
      <c r="W187" s="7">
        <f>IF(N(U187)&lt;=0,0,MIN(Assumptions!$B$15,N(R187)/N(U187)))</f>
        <v/>
      </c>
      <c r="X187" s="6" t="n">
        <v>0.204</v>
      </c>
      <c r="Y187" s="3" t="n">
        <v>0.0059</v>
      </c>
      <c r="Z187" t="inlineStr">
        <is>
          <t>adjusted xGOT</t>
        </is>
      </c>
      <c r="AA187" s="3" t="n">
        <v>1</v>
      </c>
      <c r="AB187" s="3" t="n">
        <v>0.984</v>
      </c>
      <c r="AC187" s="3" t="n">
        <v>0.1</v>
      </c>
      <c r="AD187" s="3" t="n">
        <v>0.021</v>
      </c>
      <c r="AE187" s="3" t="n">
        <v>7.555</v>
      </c>
      <c r="AF187" s="3" t="n">
        <v>0.1897128650427657</v>
      </c>
      <c r="AG187" s="3" t="n">
        <v>0.2289</v>
      </c>
      <c r="AH187" s="3" t="n">
        <v>46</v>
      </c>
      <c r="AI187" s="3" t="n">
        <v>3.3348</v>
      </c>
      <c r="AJ187" s="3" t="n">
        <v>1.6498</v>
      </c>
      <c r="AK187" s="3" t="n">
        <v>-0.2836729110137559</v>
      </c>
      <c r="AL187" s="6" t="n">
        <v>0</v>
      </c>
      <c r="AM187" s="3" t="n">
        <v>0</v>
      </c>
      <c r="AN187" s="3" t="n">
        <v>0.0354</v>
      </c>
      <c r="AO187" s="3" t="n">
        <v>0.08316</v>
      </c>
      <c r="AP187" s="3">
        <f>N(X187)*N(BI187)</f>
        <v/>
      </c>
      <c r="AQ187" s="3" t="n">
        <v>0.2289</v>
      </c>
      <c r="AR187" s="3" t="n">
        <v>0</v>
      </c>
      <c r="AS187" s="3" t="n">
        <v>-0.5841244809045405</v>
      </c>
      <c r="AT187" s="3" t="n">
        <v>-0.2836729110137559</v>
      </c>
      <c r="AU187" s="3">
        <f>SUM(AN187:AT187)</f>
        <v/>
      </c>
      <c r="AV187" s="7">
        <f>IF(OR(N(W187)&lt;=0,N(BG187)=0),0,N(W187)*IF(N(R187)/N(W187)&gt;=60,N(BG187),1))</f>
        <v/>
      </c>
      <c r="AW187" s="7">
        <f>N(W187)*N(AF187)*N(BH187)</f>
        <v/>
      </c>
      <c r="AX187" s="7">
        <f>N(AL187)*(Assumptions!$B$13*N(BJ187)-(1-Assumptions!$B$13)*Assumptions!$B$14)+N(AM187)</f>
        <v/>
      </c>
      <c r="AY187" s="7">
        <f>N(AU187)*N(R187)/90+N(AV187)+N(AW187)+N(AX187)</f>
        <v/>
      </c>
      <c r="AZ187" s="3">
        <f>IF(N(R187)&lt;=0,0,(N(AY187)-N(AX187))*90/N(R187))</f>
        <v/>
      </c>
      <c r="BA187" s="7">
        <f>IFERROR(AY187-VLOOKUP($E187,Assumptions!$A$40:$C$43,3,FALSE),"")</f>
        <v/>
      </c>
      <c r="BB187" s="3">
        <f>IFERROR(BA187/H187,"")</f>
        <v/>
      </c>
      <c r="BC187">
        <f>IF(AND($G187=TRUE,$E187="GKP"),AY187,"")</f>
        <v/>
      </c>
      <c r="BD187">
        <f>IF(AND($G187=TRUE,$E187="DEF"),AY187,"")</f>
        <v/>
      </c>
      <c r="BE187">
        <f>IF(AND($G187=TRUE,$E187="MID"),AY187,"")</f>
        <v/>
      </c>
      <c r="BF187">
        <f>IF(AND($G187=TRUE,$E187="FWD"),AY187,"")</f>
        <v/>
      </c>
      <c r="BG187" t="n">
        <v>2</v>
      </c>
      <c r="BH187" t="n">
        <v>2</v>
      </c>
      <c r="BI187" t="n">
        <v>4</v>
      </c>
      <c r="BJ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s="4" t="n">
        <v>1050</v>
      </c>
      <c r="O188" s="4" t="n">
        <v>270</v>
      </c>
      <c r="P188" s="5" t="inlineStr">
        <is>
          <t>medium</t>
        </is>
      </c>
      <c r="Q188" t="inlineStr">
        <is>
          <t>fade (losing his place)</t>
        </is>
      </c>
      <c r="R188" s="6" t="n">
        <v>1050</v>
      </c>
      <c r="S188" t="inlineStr">
        <is>
          <t>research</t>
        </is>
      </c>
      <c r="T188" s="5" t="inlineStr">
        <is>
          <t>Solio flags him 'fade (losing his place)' at 780 minutes, but he started the final pre-season friendly in a midfield three with Sangare and Jensen. Modest upgrade only - a single friendly start is thin evidence and he did drop from 1434 minutes last season - but 780 looks too low for a starter in the last rehearsal before the opener.</t>
        </is>
      </c>
      <c r="U188" s="6" t="n">
        <v>81.5</v>
      </c>
      <c r="V188" s="2" t="n">
        <v>15</v>
      </c>
      <c r="W188" s="7">
        <f>IF(N(U188)&lt;=0,0,MIN(Assumptions!$B$15,N(R188)/N(U188)))</f>
        <v/>
      </c>
      <c r="X188" s="6" t="n">
        <v>0.228</v>
      </c>
      <c r="Y188" s="3" t="n">
        <v>0.0522</v>
      </c>
      <c r="Z188" t="inlineStr">
        <is>
          <t>adjusted xGOT</t>
        </is>
      </c>
      <c r="AA188" s="3" t="n">
        <v>1</v>
      </c>
      <c r="AB188" s="3" t="n">
        <v>1.014</v>
      </c>
      <c r="AC188" s="3" t="n">
        <v>5.8</v>
      </c>
      <c r="AD188" s="3" t="n">
        <v>0.1908</v>
      </c>
      <c r="AE188" s="3" t="n">
        <v>10.513</v>
      </c>
      <c r="AF188" s="3" t="n">
        <v>0.2501582624829672</v>
      </c>
      <c r="AG188" s="3" t="n">
        <v>0.3766</v>
      </c>
      <c r="AH188" s="3" t="n">
        <v>40</v>
      </c>
      <c r="AI188" s="3" t="n">
        <v>3.2371</v>
      </c>
      <c r="AJ188" s="3" t="n">
        <v>1.5396</v>
      </c>
      <c r="AK188" s="3" t="n">
        <v>-0.2841879718516938</v>
      </c>
      <c r="AL188" s="6" t="n">
        <v>0</v>
      </c>
      <c r="AM188" s="3" t="n">
        <v>0</v>
      </c>
      <c r="AN188" s="3" t="n">
        <v>0.261</v>
      </c>
      <c r="AO188" s="3" t="n">
        <v>0.755568</v>
      </c>
      <c r="AP188" s="3">
        <f>N(X188)*N(BI188)</f>
        <v/>
      </c>
      <c r="AQ188" s="3" t="n">
        <v>0.3766</v>
      </c>
      <c r="AR188" s="3" t="n">
        <v>0</v>
      </c>
      <c r="AS188" s="3" t="n">
        <v>-0</v>
      </c>
      <c r="AT188" s="3" t="n">
        <v>-0.2841879718516938</v>
      </c>
      <c r="AU188" s="3">
        <f>SUM(AN188:AT188)</f>
        <v/>
      </c>
      <c r="AV188" s="7">
        <f>IF(OR(N(W188)&lt;=0,N(BG188)=0),0,N(W188)*IF(N(R188)/N(W188)&gt;=60,N(BG188),1))</f>
        <v/>
      </c>
      <c r="AW188" s="7">
        <f>N(W188)*N(AF188)*N(BH188)</f>
        <v/>
      </c>
      <c r="AX188" s="7">
        <f>N(AL188)*(Assumptions!$B$13*N(BJ188)-(1-Assumptions!$B$13)*Assumptions!$B$14)+N(AM188)</f>
        <v/>
      </c>
      <c r="AY188" s="7">
        <f>N(AU188)*N(R188)/90+N(AV188)+N(AW188)+N(AX188)</f>
        <v/>
      </c>
      <c r="AZ188" s="3">
        <f>IF(N(R188)&lt;=0,0,(N(AY188)-N(AX188))*90/N(R188))</f>
        <v/>
      </c>
      <c r="BA188" s="7">
        <f>IFERROR(AY188-VLOOKUP($E188,Assumptions!$A$40:$C$43,3,FALSE),"")</f>
        <v/>
      </c>
      <c r="BB188" s="3">
        <f>IFERROR(BA188/H188,"")</f>
        <v/>
      </c>
      <c r="BC188">
        <f>IF(AND($G188=TRUE,$E188="GKP"),AY188,"")</f>
        <v/>
      </c>
      <c r="BD188">
        <f>IF(AND($G188=TRUE,$E188="DEF"),AY188,"")</f>
        <v/>
      </c>
      <c r="BE188">
        <f>IF(AND($G188=TRUE,$E188="MID"),AY188,"")</f>
        <v/>
      </c>
      <c r="BF188">
        <f>IF(AND($G188=TRUE,$E188="FWD"),AY188,"")</f>
        <v/>
      </c>
      <c r="BG188" t="n">
        <v>2</v>
      </c>
      <c r="BH188" t="n">
        <v>2</v>
      </c>
      <c r="BI188" t="n">
        <v>1</v>
      </c>
      <c r="BJ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s="4" t="n">
        <v>1900</v>
      </c>
      <c r="O189" s="4" t="n">
        <v>452</v>
      </c>
      <c r="P189" s="5" t="inlineStr">
        <is>
          <t>medium</t>
        </is>
      </c>
      <c r="Q189" t="inlineStr">
        <is>
          <t>flat</t>
        </is>
      </c>
      <c r="R189" s="6" t="n">
        <v>1900</v>
      </c>
      <c r="S189" t="inlineStr">
        <is>
          <t>research</t>
        </is>
      </c>
      <c r="T189" s="5" t="inlineStr">
        <is>
          <t>Solio has him at 1,448, below his 1,950 minutes in 2025/26, at a moment when the midfield has been stripped out rather than reinforced. He captained the side v Everton on 12 Aug, and the VAVEL season preview XI names him as one of the two experienced central midfielders after Bruno Guimaraes and Sandro Tonali were both sold. Raised only moderately because his injury record is the genuine constraint.</t>
        </is>
      </c>
      <c r="U189" s="6" t="n">
        <v>80.59999999999999</v>
      </c>
      <c r="V189" s="2" t="n">
        <v>23</v>
      </c>
      <c r="W189" s="7">
        <f>IF(N(U189)&lt;=0,0,MIN(Assumptions!$B$15,N(R189)/N(U189)))</f>
        <v/>
      </c>
      <c r="X189" s="6" t="n">
        <v>0.248</v>
      </c>
      <c r="Y189" s="3" t="n">
        <v>0.1074</v>
      </c>
      <c r="Z189" t="inlineStr">
        <is>
          <t>adjusted xGOT</t>
        </is>
      </c>
      <c r="AA189" s="3" t="n">
        <v>1</v>
      </c>
      <c r="AB189" s="3" t="n">
        <v>0.986</v>
      </c>
      <c r="AC189" s="3" t="n">
        <v>16</v>
      </c>
      <c r="AD189" s="3" t="n">
        <v>0.0741</v>
      </c>
      <c r="AE189" s="3" t="n">
        <v>10.335</v>
      </c>
      <c r="AF189" s="3" t="n">
        <v>0.2224666535502605</v>
      </c>
      <c r="AG189" s="3" t="n">
        <v>0.09229999999999999</v>
      </c>
      <c r="AH189" s="3" t="n">
        <v>47</v>
      </c>
      <c r="AI189" s="3" t="n">
        <v>3.0912</v>
      </c>
      <c r="AJ189" s="3" t="n">
        <v>1.4534</v>
      </c>
      <c r="AK189" s="3" t="n">
        <v>-0.380738400166716</v>
      </c>
      <c r="AL189" s="6" t="n">
        <v>0</v>
      </c>
      <c r="AM189" s="3" t="n">
        <v>0</v>
      </c>
      <c r="AN189" s="3" t="n">
        <v>0.5369999999999999</v>
      </c>
      <c r="AO189" s="3" t="n">
        <v>0.293436</v>
      </c>
      <c r="AP189" s="3">
        <f>N(X189)*N(BI189)</f>
        <v/>
      </c>
      <c r="AQ189" s="3" t="n">
        <v>0.09229999999999999</v>
      </c>
      <c r="AR189" s="3" t="n">
        <v>0</v>
      </c>
      <c r="AS189" s="3" t="n">
        <v>-0</v>
      </c>
      <c r="AT189" s="3" t="n">
        <v>-0.380738400166716</v>
      </c>
      <c r="AU189" s="3">
        <f>SUM(AN189:AT189)</f>
        <v/>
      </c>
      <c r="AV189" s="7">
        <f>IF(OR(N(W189)&lt;=0,N(BG189)=0),0,N(W189)*IF(N(R189)/N(W189)&gt;=60,N(BG189),1))</f>
        <v/>
      </c>
      <c r="AW189" s="7">
        <f>N(W189)*N(AF189)*N(BH189)</f>
        <v/>
      </c>
      <c r="AX189" s="7">
        <f>N(AL189)*(Assumptions!$B$13*N(BJ189)-(1-Assumptions!$B$13)*Assumptions!$B$14)+N(AM189)</f>
        <v/>
      </c>
      <c r="AY189" s="7">
        <f>N(AU189)*N(R189)/90+N(AV189)+N(AW189)+N(AX189)</f>
        <v/>
      </c>
      <c r="AZ189" s="3">
        <f>IF(N(R189)&lt;=0,0,(N(AY189)-N(AX189))*90/N(R189))</f>
        <v/>
      </c>
      <c r="BA189" s="7">
        <f>IFERROR(AY189-VLOOKUP($E189,Assumptions!$A$40:$C$43,3,FALSE),"")</f>
        <v/>
      </c>
      <c r="BB189" s="3">
        <f>IFERROR(BA189/H189,"")</f>
        <v/>
      </c>
      <c r="BC189">
        <f>IF(AND($G189=TRUE,$E189="GKP"),AY189,"")</f>
        <v/>
      </c>
      <c r="BD189">
        <f>IF(AND($G189=TRUE,$E189="DEF"),AY189,"")</f>
        <v/>
      </c>
      <c r="BE189">
        <f>IF(AND($G189=TRUE,$E189="MID"),AY189,"")</f>
        <v/>
      </c>
      <c r="BF189">
        <f>IF(AND($G189=TRUE,$E189="FWD"),AY189,"")</f>
        <v/>
      </c>
      <c r="BG189" t="n">
        <v>2</v>
      </c>
      <c r="BH189" t="n">
        <v>2</v>
      </c>
      <c r="BI189" t="n">
        <v>1</v>
      </c>
      <c r="BJ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s="4" t="n">
        <v>1200</v>
      </c>
      <c r="O190" s="4" t="n">
        <v>509</v>
      </c>
      <c r="P190" s="5" t="inlineStr">
        <is>
          <t>low</t>
        </is>
      </c>
      <c r="Q190" t="inlineStr">
        <is>
          <t>flat</t>
        </is>
      </c>
      <c r="R190" s="6" t="n">
        <v>1200</v>
      </c>
      <c r="S190" t="inlineStr">
        <is>
          <t>research</t>
        </is>
      </c>
      <c r="T190" s="5" t="inlineStr">
        <is>
          <t>Solio's 691 minutes is 18% of a season for a player who managed 1,653 last term and whom Carrick restored to the side on arrival after Amorim had frozen him out. He is named as a live contender for the second pivot slot, and one report states United have decided he is their central midfield figure and undroppable when fit. He is on 1,200 rather than higher because he was late back from the World Cup, made no pre-season start, and Tielemans is ahead of him today.</t>
        </is>
      </c>
      <c r="U190" s="6" t="n">
        <v>85.59999999999999</v>
      </c>
      <c r="V190" s="2" t="n">
        <v>16</v>
      </c>
      <c r="W190" s="7">
        <f>IF(N(U190)&lt;=0,0,MIN(Assumptions!$B$15,N(R190)/N(U190)))</f>
        <v/>
      </c>
      <c r="X190" s="6" t="n">
        <v>0.334</v>
      </c>
      <c r="Y190" s="3" t="n">
        <v>0.0256</v>
      </c>
      <c r="Z190" t="inlineStr">
        <is>
          <t>adjusted xGOT</t>
        </is>
      </c>
      <c r="AA190" s="3" t="n">
        <v>1</v>
      </c>
      <c r="AB190" s="3" t="n">
        <v>0.981</v>
      </c>
      <c r="AC190" s="3" t="n">
        <v>2.2</v>
      </c>
      <c r="AD190" s="3" t="n">
        <v>0.067</v>
      </c>
      <c r="AE190" s="3" t="n">
        <v>9.695</v>
      </c>
      <c r="AF190" s="3" t="n">
        <v>0.2189462698811546</v>
      </c>
      <c r="AG190" s="3" t="n">
        <v>0.1089</v>
      </c>
      <c r="AH190" s="3" t="n">
        <v>44</v>
      </c>
      <c r="AI190" s="3" t="n">
        <v>2.2165</v>
      </c>
      <c r="AJ190" s="3" t="n">
        <v>1.1467</v>
      </c>
      <c r="AK190" s="3" t="n">
        <v>-0.1908418603439011</v>
      </c>
      <c r="AL190" s="6" t="n">
        <v>0</v>
      </c>
      <c r="AM190" s="3" t="n">
        <v>0</v>
      </c>
      <c r="AN190" s="3" t="n">
        <v>0.128</v>
      </c>
      <c r="AO190" s="3" t="n">
        <v>0.2653200000000001</v>
      </c>
      <c r="AP190" s="3">
        <f>N(X190)*N(BI190)</f>
        <v/>
      </c>
      <c r="AQ190" s="3" t="n">
        <v>0.1089</v>
      </c>
      <c r="AR190" s="3" t="n">
        <v>0</v>
      </c>
      <c r="AS190" s="3" t="n">
        <v>-0</v>
      </c>
      <c r="AT190" s="3" t="n">
        <v>-0.1908418603439011</v>
      </c>
      <c r="AU190" s="3">
        <f>SUM(AN190:AT190)</f>
        <v/>
      </c>
      <c r="AV190" s="7">
        <f>IF(OR(N(W190)&lt;=0,N(BG190)=0),0,N(W190)*IF(N(R190)/N(W190)&gt;=60,N(BG190),1))</f>
        <v/>
      </c>
      <c r="AW190" s="7">
        <f>N(W190)*N(AF190)*N(BH190)</f>
        <v/>
      </c>
      <c r="AX190" s="7">
        <f>N(AL190)*(Assumptions!$B$13*N(BJ190)-(1-Assumptions!$B$13)*Assumptions!$B$14)+N(AM190)</f>
        <v/>
      </c>
      <c r="AY190" s="7">
        <f>N(AU190)*N(R190)/90+N(AV190)+N(AW190)+N(AX190)</f>
        <v/>
      </c>
      <c r="AZ190" s="3">
        <f>IF(N(R190)&lt;=0,0,(N(AY190)-N(AX190))*90/N(R190))</f>
        <v/>
      </c>
      <c r="BA190" s="7">
        <f>IFERROR(AY190-VLOOKUP($E190,Assumptions!$A$40:$C$43,3,FALSE),"")</f>
        <v/>
      </c>
      <c r="BB190" s="3">
        <f>IFERROR(BA190/H190,"")</f>
        <v/>
      </c>
      <c r="BC190">
        <f>IF(AND($G190=TRUE,$E190="GKP"),AY190,"")</f>
        <v/>
      </c>
      <c r="BD190">
        <f>IF(AND($G190=TRUE,$E190="DEF"),AY190,"")</f>
        <v/>
      </c>
      <c r="BE190">
        <f>IF(AND($G190=TRUE,$E190="MID"),AY190,"")</f>
        <v/>
      </c>
      <c r="BF190">
        <f>IF(AND($G190=TRUE,$E190="FWD"),AY190,"")</f>
        <v/>
      </c>
      <c r="BG190" t="n">
        <v>2</v>
      </c>
      <c r="BH190" t="n">
        <v>2</v>
      </c>
      <c r="BI190" t="n">
        <v>1</v>
      </c>
      <c r="BJ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s="8" t="n">
        <v>268</v>
      </c>
      <c r="O191" s="8" t="n">
        <v>0</v>
      </c>
      <c r="Q191" t="inlineStr">
        <is>
          <t>flat</t>
        </is>
      </c>
      <c r="R191" s="6" t="n">
        <v>268</v>
      </c>
      <c r="S191" t="inlineStr">
        <is>
          <t>Solio</t>
        </is>
      </c>
      <c r="U191" s="6" t="n">
        <v>74.8</v>
      </c>
      <c r="V191" s="2" t="n">
        <v>10</v>
      </c>
      <c r="W191" s="7">
        <f>IF(N(U191)&lt;=0,0,MIN(Assumptions!$B$15,N(R191)/N(U191)))</f>
        <v/>
      </c>
      <c r="X191" s="6" t="n">
        <v>0.218</v>
      </c>
      <c r="Y191" s="3" t="n">
        <v>0.4625</v>
      </c>
      <c r="Z191" t="inlineStr">
        <is>
          <t>adjusted xGOT</t>
        </is>
      </c>
      <c r="AA191" s="3" t="n">
        <v>0.719</v>
      </c>
      <c r="AB191" s="3" t="n">
        <v>1.049</v>
      </c>
      <c r="AC191" s="3" t="n">
        <v>7.2</v>
      </c>
      <c r="AD191" s="3" t="n">
        <v>0.1379</v>
      </c>
      <c r="AE191" s="3" t="n">
        <v>4.807</v>
      </c>
      <c r="AF191" s="3" t="n">
        <v>0.0009059367876014246</v>
      </c>
      <c r="AG191" s="3" t="n">
        <v>0.6761</v>
      </c>
      <c r="AH191" s="3" t="n">
        <v>40</v>
      </c>
      <c r="AI191" s="3" t="n">
        <v>3.0611</v>
      </c>
      <c r="AJ191" s="3" t="n">
        <v>1.5875</v>
      </c>
      <c r="AK191" s="3" t="n">
        <v>-0.1053642225327288</v>
      </c>
      <c r="AL191" s="6" t="n">
        <v>0.0329284026885676</v>
      </c>
      <c r="AM191" s="3" t="n">
        <v>0</v>
      </c>
      <c r="AN191" s="3" t="n">
        <v>1.85</v>
      </c>
      <c r="AO191" s="3" t="n">
        <v>0.546084</v>
      </c>
      <c r="AP191" s="3">
        <f>N(X191)*N(BI191)</f>
        <v/>
      </c>
      <c r="AQ191" s="3" t="n">
        <v>0.6761</v>
      </c>
      <c r="AR191" s="3" t="n">
        <v>0</v>
      </c>
      <c r="AS191" s="3" t="n">
        <v>-0</v>
      </c>
      <c r="AT191" s="3" t="n">
        <v>-0.1053642225327288</v>
      </c>
      <c r="AU191" s="3">
        <f>SUM(AN191:AT191)</f>
        <v/>
      </c>
      <c r="AV191" s="7">
        <f>IF(OR(N(W191)&lt;=0,N(BG191)=0),0,N(W191)*IF(N(R191)/N(W191)&gt;=60,N(BG191),1))</f>
        <v/>
      </c>
      <c r="AW191" s="7">
        <f>N(W191)*N(AF191)*N(BH191)</f>
        <v/>
      </c>
      <c r="AX191" s="7">
        <f>N(AL191)*(Assumptions!$B$13*N(BJ191)-(1-Assumptions!$B$13)*Assumptions!$B$14)+N(AM191)</f>
        <v/>
      </c>
      <c r="AY191" s="7">
        <f>N(AU191)*N(R191)/90+N(AV191)+N(AW191)+N(AX191)</f>
        <v/>
      </c>
      <c r="AZ191" s="3">
        <f>IF(N(R191)&lt;=0,0,(N(AY191)-N(AX191))*90/N(R191))</f>
        <v/>
      </c>
      <c r="BA191" s="7">
        <f>IFERROR(AY191-VLOOKUP($E191,Assumptions!$A$40:$C$43,3,FALSE),"")</f>
        <v/>
      </c>
      <c r="BB191" s="3">
        <f>IFERROR(BA191/H191,"")</f>
        <v/>
      </c>
      <c r="BC191">
        <f>IF(AND($G191=TRUE,$E191="GKP"),AY191,"")</f>
        <v/>
      </c>
      <c r="BD191">
        <f>IF(AND($G191=TRUE,$E191="DEF"),AY191,"")</f>
        <v/>
      </c>
      <c r="BE191">
        <f>IF(AND($G191=TRUE,$E191="MID"),AY191,"")</f>
        <v/>
      </c>
      <c r="BF191">
        <f>IF(AND($G191=TRUE,$E191="FWD"),AY191,"")</f>
        <v/>
      </c>
      <c r="BG191" t="n">
        <v>2</v>
      </c>
      <c r="BH191" t="n">
        <v>2</v>
      </c>
      <c r="BI191" t="n">
        <v>0</v>
      </c>
      <c r="BJ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s="8" t="n">
        <v>600</v>
      </c>
      <c r="O192" s="8" t="n">
        <v>0</v>
      </c>
      <c r="Q192" t="inlineStr">
        <is>
          <t>fade (losing his place)</t>
        </is>
      </c>
      <c r="R192" s="6" t="n">
        <v>600</v>
      </c>
      <c r="S192" t="inlineStr">
        <is>
          <t>Solio</t>
        </is>
      </c>
      <c r="U192" s="6" t="n">
        <v>70.40000000000001</v>
      </c>
      <c r="V192" s="2" t="n">
        <v>16</v>
      </c>
      <c r="W192" s="7">
        <f>IF(N(U192)&lt;=0,0,MIN(Assumptions!$B$15,N(R192)/N(U192)))</f>
        <v/>
      </c>
      <c r="X192" s="6" t="n">
        <v>0.391</v>
      </c>
      <c r="Y192" s="3" t="n">
        <v>0.0982</v>
      </c>
      <c r="Z192" t="inlineStr">
        <is>
          <t>adjusted xGOT</t>
        </is>
      </c>
      <c r="AA192" s="3" t="n">
        <v>1</v>
      </c>
      <c r="AB192" s="3" t="n">
        <v>1.069</v>
      </c>
      <c r="AC192" s="3" t="n">
        <v>14.3</v>
      </c>
      <c r="AD192" s="3" t="n">
        <v>0.2566</v>
      </c>
      <c r="AE192" s="3" t="n">
        <v>6.481</v>
      </c>
      <c r="AF192" s="3" t="n">
        <v>0.006051009821478992</v>
      </c>
      <c r="AG192" s="3" t="n">
        <v>0.6722</v>
      </c>
      <c r="AH192" s="3" t="n">
        <v>37</v>
      </c>
      <c r="AI192" s="3" t="n">
        <v>2.067</v>
      </c>
      <c r="AJ192" s="3" t="n">
        <v>0.9838</v>
      </c>
      <c r="AK192" s="3" t="n">
        <v>-0.138415465216067</v>
      </c>
      <c r="AL192" s="6" t="n">
        <v>0</v>
      </c>
      <c r="AM192" s="3" t="n">
        <v>0</v>
      </c>
      <c r="AN192" s="3" t="n">
        <v>0.491</v>
      </c>
      <c r="AO192" s="3" t="n">
        <v>1.016136</v>
      </c>
      <c r="AP192" s="3">
        <f>N(X192)*N(BI192)</f>
        <v/>
      </c>
      <c r="AQ192" s="3" t="n">
        <v>0.6722</v>
      </c>
      <c r="AR192" s="3" t="n">
        <v>0</v>
      </c>
      <c r="AS192" s="3" t="n">
        <v>-0</v>
      </c>
      <c r="AT192" s="3" t="n">
        <v>-0.138415465216067</v>
      </c>
      <c r="AU192" s="3">
        <f>SUM(AN192:AT192)</f>
        <v/>
      </c>
      <c r="AV192" s="7">
        <f>IF(OR(N(W192)&lt;=0,N(BG192)=0),0,N(W192)*IF(N(R192)/N(W192)&gt;=60,N(BG192),1))</f>
        <v/>
      </c>
      <c r="AW192" s="7">
        <f>N(W192)*N(AF192)*N(BH192)</f>
        <v/>
      </c>
      <c r="AX192" s="7">
        <f>N(AL192)*(Assumptions!$B$13*N(BJ192)-(1-Assumptions!$B$13)*Assumptions!$B$14)+N(AM192)</f>
        <v/>
      </c>
      <c r="AY192" s="7">
        <f>N(AU192)*N(R192)/90+N(AV192)+N(AW192)+N(AX192)</f>
        <v/>
      </c>
      <c r="AZ192" s="3">
        <f>IF(N(R192)&lt;=0,0,(N(AY192)-N(AX192))*90/N(R192))</f>
        <v/>
      </c>
      <c r="BA192" s="7">
        <f>IFERROR(AY192-VLOOKUP($E192,Assumptions!$A$40:$C$43,3,FALSE),"")</f>
        <v/>
      </c>
      <c r="BB192" s="3">
        <f>IFERROR(BA192/H192,"")</f>
        <v/>
      </c>
      <c r="BC192">
        <f>IF(AND($G192=TRUE,$E192="GKP"),AY192,"")</f>
        <v/>
      </c>
      <c r="BD192">
        <f>IF(AND($G192=TRUE,$E192="DEF"),AY192,"")</f>
        <v/>
      </c>
      <c r="BE192">
        <f>IF(AND($G192=TRUE,$E192="MID"),AY192,"")</f>
        <v/>
      </c>
      <c r="BF192">
        <f>IF(AND($G192=TRUE,$E192="FWD"),AY192,"")</f>
        <v/>
      </c>
      <c r="BG192" t="n">
        <v>2</v>
      </c>
      <c r="BH192" t="n">
        <v>2</v>
      </c>
      <c r="BI192" t="n">
        <v>1</v>
      </c>
      <c r="BJ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s="4" t="n">
        <v>3050</v>
      </c>
      <c r="O193" s="4" t="n">
        <v>-199</v>
      </c>
      <c r="P193" s="5" t="inlineStr">
        <is>
          <t>low</t>
        </is>
      </c>
      <c r="Q193" t="inlineStr">
        <is>
          <t>flat</t>
        </is>
      </c>
      <c r="R193" s="6" t="n">
        <v>3050</v>
      </c>
      <c r="S193" t="inlineStr">
        <is>
          <t>research</t>
        </is>
      </c>
      <c r="T193" s="5" t="inlineStr">
        <is>
          <t>Same rotation haircut. The direction of Solio's promotion from 1331 minutes is right given Lacroix's sale, but 3249 asks a 2025/26 part-starter to play 36 full Premier League matches in a Europa League season with Riad, Tomiyasu and Mingueza all available behind him.</t>
        </is>
      </c>
      <c r="U193" s="6" t="n">
        <v>86.59999999999999</v>
      </c>
      <c r="V193" s="2" t="n">
        <v>14</v>
      </c>
      <c r="W193" s="7">
        <f>IF(N(U193)&lt;=0,0,MIN(Assumptions!$B$15,N(R193)/N(U193)))</f>
        <v/>
      </c>
      <c r="X193" s="6" t="n">
        <v>0.216</v>
      </c>
      <c r="Y193" s="3" t="n">
        <v>0.0876</v>
      </c>
      <c r="Z193" t="inlineStr">
        <is>
          <t>adjusted xGOT</t>
        </is>
      </c>
      <c r="AA193" s="3" t="n">
        <v>1</v>
      </c>
      <c r="AB193" s="3" t="n">
        <v>0.876</v>
      </c>
      <c r="AC193" s="3" t="n">
        <v>1.5</v>
      </c>
      <c r="AD193" s="3" t="n">
        <v>0.0139</v>
      </c>
      <c r="AE193" s="3" t="n">
        <v>10.114</v>
      </c>
      <c r="AF193" s="3" t="n">
        <v>0.5081139668822136</v>
      </c>
      <c r="AG193" s="3" t="n">
        <v>0.4733</v>
      </c>
      <c r="AH193" s="3" t="n">
        <v>34</v>
      </c>
      <c r="AI193" s="3" t="n">
        <v>3.2035</v>
      </c>
      <c r="AJ193" s="3" t="n">
        <v>1.5923</v>
      </c>
      <c r="AK193" s="3" t="n">
        <v>-0.2139042002391527</v>
      </c>
      <c r="AL193" s="6" t="n">
        <v>0</v>
      </c>
      <c r="AM193" s="3" t="n">
        <v>0</v>
      </c>
      <c r="AN193" s="3" t="n">
        <v>0.5256</v>
      </c>
      <c r="AO193" s="3" t="n">
        <v>0.055044</v>
      </c>
      <c r="AP193" s="3">
        <f>N(X193)*N(BI193)</f>
        <v/>
      </c>
      <c r="AQ193" s="3" t="n">
        <v>0.4733</v>
      </c>
      <c r="AR193" s="3" t="n">
        <v>0</v>
      </c>
      <c r="AS193" s="3" t="n">
        <v>-0.5564987001023466</v>
      </c>
      <c r="AT193" s="3" t="n">
        <v>-0.2139042002391527</v>
      </c>
      <c r="AU193" s="3">
        <f>SUM(AN193:AT193)</f>
        <v/>
      </c>
      <c r="AV193" s="7">
        <f>IF(OR(N(W193)&lt;=0,N(BG193)=0),0,N(W193)*IF(N(R193)/N(W193)&gt;=60,N(BG193),1))</f>
        <v/>
      </c>
      <c r="AW193" s="7">
        <f>N(W193)*N(AF193)*N(BH193)</f>
        <v/>
      </c>
      <c r="AX193" s="7">
        <f>N(AL193)*(Assumptions!$B$13*N(BJ193)-(1-Assumptions!$B$13)*Assumptions!$B$14)+N(AM193)</f>
        <v/>
      </c>
      <c r="AY193" s="7">
        <f>N(AU193)*N(R193)/90+N(AV193)+N(AW193)+N(AX193)</f>
        <v/>
      </c>
      <c r="AZ193" s="3">
        <f>IF(N(R193)&lt;=0,0,(N(AY193)-N(AX193))*90/N(R193))</f>
        <v/>
      </c>
      <c r="BA193" s="7">
        <f>IFERROR(AY193-VLOOKUP($E193,Assumptions!$A$40:$C$43,3,FALSE),"")</f>
        <v/>
      </c>
      <c r="BB193" s="3">
        <f>IFERROR(BA193/H193,"")</f>
        <v/>
      </c>
      <c r="BC193">
        <f>IF(AND($G193=TRUE,$E193="GKP"),AY193,"")</f>
        <v/>
      </c>
      <c r="BD193">
        <f>IF(AND($G193=TRUE,$E193="DEF"),AY193,"")</f>
        <v/>
      </c>
      <c r="BE193">
        <f>IF(AND($G193=TRUE,$E193="MID"),AY193,"")</f>
        <v/>
      </c>
      <c r="BF193">
        <f>IF(AND($G193=TRUE,$E193="FWD"),AY193,"")</f>
        <v/>
      </c>
      <c r="BG193" t="n">
        <v>2</v>
      </c>
      <c r="BH193" t="n">
        <v>2</v>
      </c>
      <c r="BI193" t="n">
        <v>4</v>
      </c>
      <c r="BJ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s="4" t="n">
        <v>2090</v>
      </c>
      <c r="O194" s="4" t="n">
        <v>300</v>
      </c>
      <c r="P194" s="5" t="inlineStr">
        <is>
          <t>medium</t>
        </is>
      </c>
      <c r="Q194" t="inlineStr">
        <is>
          <t>flat</t>
        </is>
      </c>
      <c r="R194" s="6" t="n">
        <v>2090</v>
      </c>
      <c r="S194" t="inlineStr">
        <is>
          <t>research</t>
        </is>
      </c>
      <c r="T194" s="5" t="inlineStr">
        <is>
          <t>FPL still lists him as injured with a 30 Aug return, but that flag is stale: he started v Leverkusen on 15 Aug, played 45 minutes on his comeback from the fractured fibula that ended his 2025/26, and beat reporting on 13 Aug expected him fit for the Liverpool opener. The VAVEL preview XI starts him in the double pivot. Small raise only - his injury record is real and Bamba and Steur are direct competition.</t>
        </is>
      </c>
      <c r="U194" s="6" t="n">
        <v>84.8</v>
      </c>
      <c r="V194" s="2" t="n">
        <v>15</v>
      </c>
      <c r="W194" s="7">
        <f>IF(N(U194)&lt;=0,0,MIN(Assumptions!$B$15,N(R194)/N(U194)))</f>
        <v/>
      </c>
      <c r="X194" s="6" t="n">
        <v>0.248</v>
      </c>
      <c r="Y194" s="3" t="n">
        <v>0.0788</v>
      </c>
      <c r="Z194" t="inlineStr">
        <is>
          <t>adjusted xGOT</t>
        </is>
      </c>
      <c r="AA194" s="3" t="n">
        <v>1</v>
      </c>
      <c r="AB194" s="3" t="n">
        <v>0.962</v>
      </c>
      <c r="AC194" s="3" t="n">
        <v>3.2</v>
      </c>
      <c r="AD194" s="3" t="n">
        <v>0.1333</v>
      </c>
      <c r="AE194" s="3" t="n">
        <v>9.093999999999999</v>
      </c>
      <c r="AF194" s="3" t="n">
        <v>0.1572455569430231</v>
      </c>
      <c r="AG194" s="3" t="n">
        <v>0.3014</v>
      </c>
      <c r="AH194" s="3" t="n">
        <v>38</v>
      </c>
      <c r="AI194" s="3" t="n">
        <v>3.0912</v>
      </c>
      <c r="AJ194" s="3" t="n">
        <v>1.4534</v>
      </c>
      <c r="AK194" s="3" t="n">
        <v>-0.1064830549749539</v>
      </c>
      <c r="AL194" s="6" t="n">
        <v>0</v>
      </c>
      <c r="AM194" s="3" t="n">
        <v>0</v>
      </c>
      <c r="AN194" s="3" t="n">
        <v>0.394</v>
      </c>
      <c r="AO194" s="3" t="n">
        <v>0.5278680000000001</v>
      </c>
      <c r="AP194" s="3">
        <f>N(X194)*N(BI194)</f>
        <v/>
      </c>
      <c r="AQ194" s="3" t="n">
        <v>0.3014</v>
      </c>
      <c r="AR194" s="3" t="n">
        <v>0</v>
      </c>
      <c r="AS194" s="3" t="n">
        <v>-0</v>
      </c>
      <c r="AT194" s="3" t="n">
        <v>-0.1064830549749539</v>
      </c>
      <c r="AU194" s="3">
        <f>SUM(AN194:AT194)</f>
        <v/>
      </c>
      <c r="AV194" s="7">
        <f>IF(OR(N(W194)&lt;=0,N(BG194)=0),0,N(W194)*IF(N(R194)/N(W194)&gt;=60,N(BG194),1))</f>
        <v/>
      </c>
      <c r="AW194" s="7">
        <f>N(W194)*N(AF194)*N(BH194)</f>
        <v/>
      </c>
      <c r="AX194" s="7">
        <f>N(AL194)*(Assumptions!$B$13*N(BJ194)-(1-Assumptions!$B$13)*Assumptions!$B$14)+N(AM194)</f>
        <v/>
      </c>
      <c r="AY194" s="7">
        <f>N(AU194)*N(R194)/90+N(AV194)+N(AW194)+N(AX194)</f>
        <v/>
      </c>
      <c r="AZ194" s="3">
        <f>IF(N(R194)&lt;=0,0,(N(AY194)-N(AX194))*90/N(R194))</f>
        <v/>
      </c>
      <c r="BA194" s="7">
        <f>IFERROR(AY194-VLOOKUP($E194,Assumptions!$A$40:$C$43,3,FALSE),"")</f>
        <v/>
      </c>
      <c r="BB194" s="3">
        <f>IFERROR(BA194/H194,"")</f>
        <v/>
      </c>
      <c r="BC194">
        <f>IF(AND($G194=TRUE,$E194="GKP"),AY194,"")</f>
        <v/>
      </c>
      <c r="BD194">
        <f>IF(AND($G194=TRUE,$E194="DEF"),AY194,"")</f>
        <v/>
      </c>
      <c r="BE194">
        <f>IF(AND($G194=TRUE,$E194="MID"),AY194,"")</f>
        <v/>
      </c>
      <c r="BF194">
        <f>IF(AND($G194=TRUE,$E194="FWD"),AY194,"")</f>
        <v/>
      </c>
      <c r="BG194" t="n">
        <v>2</v>
      </c>
      <c r="BH194" t="n">
        <v>2</v>
      </c>
      <c r="BI194" t="n">
        <v>1</v>
      </c>
      <c r="BJ194" t="n">
        <v>5</v>
      </c>
    </row>
    <row r="195">
      <c r="A195" s="9" t="inlineStr">
        <is>
          <t>Karl Darlow</t>
        </is>
      </c>
      <c r="B195" t="inlineStr">
        <is>
          <t>MUN</t>
        </is>
      </c>
      <c r="C195" s="9"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s="8" t="n">
        <v>35</v>
      </c>
      <c r="O195" s="8" t="n">
        <v>0</v>
      </c>
      <c r="Q195" t="inlineStr">
        <is>
          <t>flat</t>
        </is>
      </c>
      <c r="R195" s="6" t="n">
        <v>35</v>
      </c>
      <c r="S195" t="inlineStr">
        <is>
          <t>Solio</t>
        </is>
      </c>
      <c r="U195" s="6" t="n">
        <v>89.90000000000001</v>
      </c>
      <c r="V195" s="2" t="n">
        <v>22</v>
      </c>
      <c r="W195" s="7">
        <f>IF(N(U195)&lt;=0,0,MIN(Assumptions!$B$15,N(R195)/N(U195)))</f>
        <v/>
      </c>
      <c r="X195" s="6" t="n">
        <v>0.334</v>
      </c>
      <c r="Y195" s="10" t="n">
        <v>0</v>
      </c>
      <c r="Z195" t="inlineStr">
        <is>
          <t>blended xG</t>
        </is>
      </c>
      <c r="AA195" s="3" t="n">
        <v>1</v>
      </c>
      <c r="AB195" s="3" t="n">
        <v>1</v>
      </c>
      <c r="AC195" s="3" t="n">
        <v>0</v>
      </c>
      <c r="AD195" s="10" t="n">
        <v>0.0011</v>
      </c>
      <c r="AE195" s="3" t="n">
        <v>0</v>
      </c>
      <c r="AF195" s="3" t="n">
        <v>0</v>
      </c>
      <c r="AG195" s="3" t="n">
        <v>0.2273</v>
      </c>
      <c r="AH195" s="3" t="n">
        <v>44</v>
      </c>
      <c r="AI195" s="3" t="n">
        <v>2.2165</v>
      </c>
      <c r="AJ195" s="3" t="n">
        <v>1.1467</v>
      </c>
      <c r="AK195" s="3" t="n">
        <v>-0.0601653404837744</v>
      </c>
      <c r="AL195" s="6" t="n">
        <v>0</v>
      </c>
      <c r="AM195" s="3" t="n">
        <v>0.0250532964057661</v>
      </c>
      <c r="AN195" s="10" t="n">
        <v>0</v>
      </c>
      <c r="AO195" s="10" t="n">
        <v>0.004356</v>
      </c>
      <c r="AP195" s="3">
        <f>N(X195)*N(BI195)</f>
        <v/>
      </c>
      <c r="AQ195" s="3" t="n">
        <v>0.2273</v>
      </c>
      <c r="AR195" s="3" t="n">
        <v>0.407909225741714</v>
      </c>
      <c r="AS195" s="3" t="n">
        <v>-0.348580685135232</v>
      </c>
      <c r="AT195" s="3" t="n">
        <v>-0.0601653404837744</v>
      </c>
      <c r="AU195" s="3">
        <f>SUM(AN195:AT195)</f>
        <v/>
      </c>
      <c r="AV195" s="7">
        <f>IF(OR(N(W195)&lt;=0,N(BG195)=0),0,N(W195)*IF(N(R195)/N(W195)&gt;=60,N(BG195),1))</f>
        <v/>
      </c>
      <c r="AW195" s="7">
        <f>N(W195)*N(AF195)*N(BH195)</f>
        <v/>
      </c>
      <c r="AX195" s="7">
        <f>N(AL195)*(Assumptions!$B$13*N(BJ195)-(1-Assumptions!$B$13)*Assumptions!$B$14)+N(AM195)</f>
        <v/>
      </c>
      <c r="AY195" s="7">
        <f>N(AU195)*N(R195)/90+N(AV195)+N(AW195)+N(AX195)</f>
        <v/>
      </c>
      <c r="AZ195" s="3">
        <f>IF(N(R195)&lt;=0,0,(N(AY195)-N(AX195))*90/N(R195))</f>
        <v/>
      </c>
      <c r="BA195" s="7">
        <f>IFERROR(AY195-VLOOKUP($E195,Assumptions!$A$40:$C$43,3,FALSE),"")</f>
        <v/>
      </c>
      <c r="BB195" s="3">
        <f>IFERROR(BA195/H195,"")</f>
        <v/>
      </c>
      <c r="BC195">
        <f>IF(AND($G195=TRUE,$E195="GKP"),AY195,"")</f>
        <v/>
      </c>
      <c r="BD195">
        <f>IF(AND($G195=TRUE,$E195="DEF"),AY195,"")</f>
        <v/>
      </c>
      <c r="BE195">
        <f>IF(AND($G195=TRUE,$E195="MID"),AY195,"")</f>
        <v/>
      </c>
      <c r="BF195">
        <f>IF(AND($G195=TRUE,$E195="FWD"),AY195,"")</f>
        <v/>
      </c>
      <c r="BG195" t="n">
        <v>2</v>
      </c>
      <c r="BH195" t="n">
        <v>0</v>
      </c>
      <c r="BI195" t="n">
        <v>4</v>
      </c>
      <c r="BJ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s="8" t="n">
        <v>174</v>
      </c>
      <c r="O196" s="8" t="n">
        <v>0</v>
      </c>
      <c r="Q196" t="inlineStr">
        <is>
          <t>flat</t>
        </is>
      </c>
      <c r="R196" s="6" t="n">
        <v>174</v>
      </c>
      <c r="S196" t="inlineStr">
        <is>
          <t>Solio</t>
        </is>
      </c>
      <c r="U196" s="6" t="n">
        <v>84.90000000000001</v>
      </c>
      <c r="V196" s="2" t="n">
        <v>13</v>
      </c>
      <c r="W196" s="7">
        <f>IF(N(U196)&lt;=0,0,MIN(Assumptions!$B$15,N(R196)/N(U196)))</f>
        <v/>
      </c>
      <c r="X196" s="6" t="n">
        <v>0.286</v>
      </c>
      <c r="Y196" s="3" t="n">
        <v>0.1013</v>
      </c>
      <c r="Z196" t="inlineStr">
        <is>
          <t>adjusted xGOT</t>
        </is>
      </c>
      <c r="AA196" s="3" t="n">
        <v>1</v>
      </c>
      <c r="AB196" s="3" t="n">
        <v>0.959</v>
      </c>
      <c r="AC196" s="3" t="n">
        <v>8.6</v>
      </c>
      <c r="AD196" s="3" t="n">
        <v>0.1149</v>
      </c>
      <c r="AE196" s="3" t="n">
        <v>10.743</v>
      </c>
      <c r="AF196" s="3" t="n">
        <v>0.3185885548983641</v>
      </c>
      <c r="AG196" s="3" t="n">
        <v>0.1297</v>
      </c>
      <c r="AH196" s="3" t="n">
        <v>39</v>
      </c>
      <c r="AI196" s="3" t="n">
        <v>2.5739</v>
      </c>
      <c r="AJ196" s="3" t="n">
        <v>1.3096</v>
      </c>
      <c r="AK196" s="3" t="n">
        <v>-0.2680320500317106</v>
      </c>
      <c r="AL196" s="6" t="n">
        <v>0</v>
      </c>
      <c r="AM196" s="3" t="n">
        <v>0</v>
      </c>
      <c r="AN196" s="3" t="n">
        <v>0.5065</v>
      </c>
      <c r="AO196" s="3" t="n">
        <v>0.455004</v>
      </c>
      <c r="AP196" s="3">
        <f>N(X196)*N(BI196)</f>
        <v/>
      </c>
      <c r="AQ196" s="3" t="n">
        <v>0.1297</v>
      </c>
      <c r="AR196" s="3" t="n">
        <v>0</v>
      </c>
      <c r="AS196" s="3" t="n">
        <v>-0</v>
      </c>
      <c r="AT196" s="3" t="n">
        <v>-0.2680320500317106</v>
      </c>
      <c r="AU196" s="3">
        <f>SUM(AN196:AT196)</f>
        <v/>
      </c>
      <c r="AV196" s="7">
        <f>IF(OR(N(W196)&lt;=0,N(BG196)=0),0,N(W196)*IF(N(R196)/N(W196)&gt;=60,N(BG196),1))</f>
        <v/>
      </c>
      <c r="AW196" s="7">
        <f>N(W196)*N(AF196)*N(BH196)</f>
        <v/>
      </c>
      <c r="AX196" s="7">
        <f>N(AL196)*(Assumptions!$B$13*N(BJ196)-(1-Assumptions!$B$13)*Assumptions!$B$14)+N(AM196)</f>
        <v/>
      </c>
      <c r="AY196" s="7">
        <f>N(AU196)*N(R196)/90+N(AV196)+N(AW196)+N(AX196)</f>
        <v/>
      </c>
      <c r="AZ196" s="3">
        <f>IF(N(R196)&lt;=0,0,(N(AY196)-N(AX196))*90/N(R196))</f>
        <v/>
      </c>
      <c r="BA196" s="7">
        <f>IFERROR(AY196-VLOOKUP($E196,Assumptions!$A$40:$C$43,3,FALSE),"")</f>
        <v/>
      </c>
      <c r="BB196" s="3">
        <f>IFERROR(BA196/H196,"")</f>
        <v/>
      </c>
      <c r="BC196">
        <f>IF(AND($G196=TRUE,$E196="GKP"),AY196,"")</f>
        <v/>
      </c>
      <c r="BD196">
        <f>IF(AND($G196=TRUE,$E196="DEF"),AY196,"")</f>
        <v/>
      </c>
      <c r="BE196">
        <f>IF(AND($G196=TRUE,$E196="MID"),AY196,"")</f>
        <v/>
      </c>
      <c r="BF196">
        <f>IF(AND($G196=TRUE,$E196="FWD"),AY196,"")</f>
        <v/>
      </c>
      <c r="BG196" t="n">
        <v>2</v>
      </c>
      <c r="BH196" t="n">
        <v>2</v>
      </c>
      <c r="BI196" t="n">
        <v>1</v>
      </c>
      <c r="BJ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s="8" t="n">
        <v>528</v>
      </c>
      <c r="O197" s="8" t="n">
        <v>0</v>
      </c>
      <c r="Q197" t="inlineStr">
        <is>
          <t>flat</t>
        </is>
      </c>
      <c r="R197" s="6" t="n">
        <v>528</v>
      </c>
      <c r="S197" t="inlineStr">
        <is>
          <t>Solio</t>
        </is>
      </c>
      <c r="U197" s="6" t="n">
        <v>82.2</v>
      </c>
      <c r="V197" s="2" t="n">
        <v>18</v>
      </c>
      <c r="W197" s="7">
        <f>IF(N(U197)&lt;=0,0,MIN(Assumptions!$B$15,N(R197)/N(U197)))</f>
        <v/>
      </c>
      <c r="X197" s="6" t="n">
        <v>0.216</v>
      </c>
      <c r="Y197" s="3" t="n">
        <v>0.083</v>
      </c>
      <c r="Z197" t="inlineStr">
        <is>
          <t>adjusted xGOT</t>
        </is>
      </c>
      <c r="AA197" s="3" t="n">
        <v>1</v>
      </c>
      <c r="AB197" s="3" t="n">
        <v>0.863</v>
      </c>
      <c r="AC197" s="3" t="n">
        <v>8.1</v>
      </c>
      <c r="AD197" s="3" t="n">
        <v>0.0853</v>
      </c>
      <c r="AE197" s="3" t="n">
        <v>10.637</v>
      </c>
      <c r="AF197" s="3" t="n">
        <v>0.2713283425811619</v>
      </c>
      <c r="AG197" s="3" t="n">
        <v>0.1568</v>
      </c>
      <c r="AH197" s="3" t="n">
        <v>47</v>
      </c>
      <c r="AI197" s="3" t="n">
        <v>3.2035</v>
      </c>
      <c r="AJ197" s="3" t="n">
        <v>1.5923</v>
      </c>
      <c r="AK197" s="3" t="n">
        <v>-0.3250358652709306</v>
      </c>
      <c r="AL197" s="6" t="n">
        <v>0</v>
      </c>
      <c r="AM197" s="3" t="n">
        <v>0</v>
      </c>
      <c r="AN197" s="3" t="n">
        <v>0.415</v>
      </c>
      <c r="AO197" s="3" t="n">
        <v>0.337788</v>
      </c>
      <c r="AP197" s="3">
        <f>N(X197)*N(BI197)</f>
        <v/>
      </c>
      <c r="AQ197" s="3" t="n">
        <v>0.1568</v>
      </c>
      <c r="AR197" s="3" t="n">
        <v>0</v>
      </c>
      <c r="AS197" s="3" t="n">
        <v>-0</v>
      </c>
      <c r="AT197" s="3" t="n">
        <v>-0.3250358652709306</v>
      </c>
      <c r="AU197" s="3">
        <f>SUM(AN197:AT197)</f>
        <v/>
      </c>
      <c r="AV197" s="7">
        <f>IF(OR(N(W197)&lt;=0,N(BG197)=0),0,N(W197)*IF(N(R197)/N(W197)&gt;=60,N(BG197),1))</f>
        <v/>
      </c>
      <c r="AW197" s="7">
        <f>N(W197)*N(AF197)*N(BH197)</f>
        <v/>
      </c>
      <c r="AX197" s="7">
        <f>N(AL197)*(Assumptions!$B$13*N(BJ197)-(1-Assumptions!$B$13)*Assumptions!$B$14)+N(AM197)</f>
        <v/>
      </c>
      <c r="AY197" s="7">
        <f>N(AU197)*N(R197)/90+N(AV197)+N(AW197)+N(AX197)</f>
        <v/>
      </c>
      <c r="AZ197" s="3">
        <f>IF(N(R197)&lt;=0,0,(N(AY197)-N(AX197))*90/N(R197))</f>
        <v/>
      </c>
      <c r="BA197" s="7">
        <f>IFERROR(AY197-VLOOKUP($E197,Assumptions!$A$40:$C$43,3,FALSE),"")</f>
        <v/>
      </c>
      <c r="BB197" s="3">
        <f>IFERROR(BA197/H197,"")</f>
        <v/>
      </c>
      <c r="BC197">
        <f>IF(AND($G197=TRUE,$E197="GKP"),AY197,"")</f>
        <v/>
      </c>
      <c r="BD197">
        <f>IF(AND($G197=TRUE,$E197="DEF"),AY197,"")</f>
        <v/>
      </c>
      <c r="BE197">
        <f>IF(AND($G197=TRUE,$E197="MID"),AY197,"")</f>
        <v/>
      </c>
      <c r="BF197">
        <f>IF(AND($G197=TRUE,$E197="FWD"),AY197,"")</f>
        <v/>
      </c>
      <c r="BG197" t="n">
        <v>2</v>
      </c>
      <c r="BH197" t="n">
        <v>2</v>
      </c>
      <c r="BI197" t="n">
        <v>1</v>
      </c>
      <c r="BJ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s="4" t="n">
        <v>1600</v>
      </c>
      <c r="O198" s="4" t="n">
        <v>-1204</v>
      </c>
      <c r="P198" s="5" t="inlineStr">
        <is>
          <t>medium</t>
        </is>
      </c>
      <c r="Q198" t="inlineStr">
        <is>
          <t>ramp-up (injury / late WC return)</t>
        </is>
      </c>
      <c r="R198" s="6" t="n">
        <v>1600</v>
      </c>
      <c r="S198" t="inlineStr">
        <is>
          <t>research</t>
        </is>
      </c>
      <c r="T198" s="5" t="inlineStr">
        <is>
          <t>Two independent hits on the same number. Fitness: he had back surgery after the World Cup and Sky report he misses both the Community Shield and the opening league fixture. Transfer: one year left on his deal, Barcelona have bid three times (rising to around €70m) and Real Madrid have offered more, with City resisting rather than refusing; ESPN's Manchester correspondent and two other panellists all predicted he would not be a City player when the window shuts. 2,804 minutes prices in neither. This is a probability-weighted number across stays-and-ramps-up and leaves-in-August, not a prediction that he plays 1,600.</t>
        </is>
      </c>
      <c r="U198" s="6" t="n">
        <v>82.40000000000001</v>
      </c>
      <c r="V198" s="2" t="n">
        <v>17</v>
      </c>
      <c r="W198" s="7">
        <f>IF(N(U198)&lt;=0,0,MIN(Assumptions!$B$15,N(R198)/N(U198)))</f>
        <v/>
      </c>
      <c r="X198" s="6" t="n">
        <v>0.371</v>
      </c>
      <c r="Y198" s="3" t="n">
        <v>0.0659</v>
      </c>
      <c r="Z198" t="inlineStr">
        <is>
          <t>adjusted xGOT</t>
        </is>
      </c>
      <c r="AA198" s="3" t="n">
        <v>1</v>
      </c>
      <c r="AB198" s="3" t="n">
        <v>0.962</v>
      </c>
      <c r="AC198" s="3" t="n">
        <v>9.699999999999999</v>
      </c>
      <c r="AD198" s="3" t="n">
        <v>0.1408</v>
      </c>
      <c r="AE198" s="3" t="n">
        <v>11.083</v>
      </c>
      <c r="AF198" s="3" t="n">
        <v>0.320071733649598</v>
      </c>
      <c r="AG198" s="3" t="n">
        <v>0.3576</v>
      </c>
      <c r="AH198" s="3" t="n">
        <v>37</v>
      </c>
      <c r="AI198" s="3" t="n">
        <v>1.9737</v>
      </c>
      <c r="AJ198" s="3" t="n">
        <v>1.0365</v>
      </c>
      <c r="AK198" s="3" t="n">
        <v>-0.219522304299945</v>
      </c>
      <c r="AL198" s="6" t="n">
        <v>0</v>
      </c>
      <c r="AM198" s="3" t="n">
        <v>0</v>
      </c>
      <c r="AN198" s="3" t="n">
        <v>0.3295</v>
      </c>
      <c r="AO198" s="3" t="n">
        <v>0.5575680000000001</v>
      </c>
      <c r="AP198" s="3">
        <f>N(X198)*N(BI198)</f>
        <v/>
      </c>
      <c r="AQ198" s="3" t="n">
        <v>0.3576</v>
      </c>
      <c r="AR198" s="3" t="n">
        <v>0</v>
      </c>
      <c r="AS198" s="3" t="n">
        <v>-0</v>
      </c>
      <c r="AT198" s="3" t="n">
        <v>-0.219522304299945</v>
      </c>
      <c r="AU198" s="3">
        <f>SUM(AN198:AT198)</f>
        <v/>
      </c>
      <c r="AV198" s="7">
        <f>IF(OR(N(W198)&lt;=0,N(BG198)=0),0,N(W198)*IF(N(R198)/N(W198)&gt;=60,N(BG198),1))</f>
        <v/>
      </c>
      <c r="AW198" s="7">
        <f>N(W198)*N(AF198)*N(BH198)</f>
        <v/>
      </c>
      <c r="AX198" s="7">
        <f>N(AL198)*(Assumptions!$B$13*N(BJ198)-(1-Assumptions!$B$13)*Assumptions!$B$14)+N(AM198)</f>
        <v/>
      </c>
      <c r="AY198" s="7">
        <f>N(AU198)*N(R198)/90+N(AV198)+N(AW198)+N(AX198)</f>
        <v/>
      </c>
      <c r="AZ198" s="3">
        <f>IF(N(R198)&lt;=0,0,(N(AY198)-N(AX198))*90/N(R198))</f>
        <v/>
      </c>
      <c r="BA198" s="7">
        <f>IFERROR(AY198-VLOOKUP($E198,Assumptions!$A$40:$C$43,3,FALSE),"")</f>
        <v/>
      </c>
      <c r="BB198" s="3">
        <f>IFERROR(BA198/H198,"")</f>
        <v/>
      </c>
      <c r="BC198">
        <f>IF(AND($G198=TRUE,$E198="GKP"),AY198,"")</f>
        <v/>
      </c>
      <c r="BD198">
        <f>IF(AND($G198=TRUE,$E198="DEF"),AY198,"")</f>
        <v/>
      </c>
      <c r="BE198">
        <f>IF(AND($G198=TRUE,$E198="MID"),AY198,"")</f>
        <v/>
      </c>
      <c r="BF198">
        <f>IF(AND($G198=TRUE,$E198="FWD"),AY198,"")</f>
        <v/>
      </c>
      <c r="BG198" t="n">
        <v>2</v>
      </c>
      <c r="BH198" t="n">
        <v>2</v>
      </c>
      <c r="BI198" t="n">
        <v>1</v>
      </c>
      <c r="BJ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s="4" t="n">
        <v>2500</v>
      </c>
      <c r="O199" s="4" t="n">
        <v>-270</v>
      </c>
      <c r="P199" s="5" t="inlineStr">
        <is>
          <t>medium</t>
        </is>
      </c>
      <c r="Q199" t="inlineStr">
        <is>
          <t>flat</t>
        </is>
      </c>
      <c r="R199" s="6" t="n">
        <v>2500</v>
      </c>
      <c r="S199" t="inlineStr">
        <is>
          <t>research</t>
        </is>
      </c>
      <c r="T199" s="5" t="inlineStr">
        <is>
          <t>Hamstring injury sustained in the 4-2 friendly win over Liverpool on 2 Aug. FPL says back 30 Aug (so GW1 out, GW2 borderline) and local press on 15 Aug said he is 'out for an extended period and likely to miss the season opener'. James Justin has covered at left wing-back in both August friendlies. Solio's 2770 is 81% of a full season, which leaves too little room for a hamstring that has already cost him the start of the campaign plus the reported acceleration of Leeds' left-back search.</t>
        </is>
      </c>
      <c r="U199" s="6" t="n">
        <v>85.59999999999999</v>
      </c>
      <c r="V199" s="2" t="n">
        <v>30</v>
      </c>
      <c r="W199" s="7">
        <f>IF(N(U199)&lt;=0,0,MIN(Assumptions!$B$15,N(R199)/N(U199)))</f>
        <v/>
      </c>
      <c r="X199" s="6" t="n">
        <v>0.218</v>
      </c>
      <c r="Y199" s="3" t="n">
        <v>0.0334</v>
      </c>
      <c r="Z199" t="inlineStr">
        <is>
          <t>adjusted xGOT</t>
        </is>
      </c>
      <c r="AA199" s="3" t="n">
        <v>1</v>
      </c>
      <c r="AB199" s="3" t="n">
        <v>0.89</v>
      </c>
      <c r="AC199" s="3" t="n">
        <v>1.1</v>
      </c>
      <c r="AD199" s="3" t="n">
        <v>0.1022</v>
      </c>
      <c r="AE199" s="3" t="n">
        <v>6.581</v>
      </c>
      <c r="AF199" s="3" t="n">
        <v>0.102925857411015</v>
      </c>
      <c r="AG199" s="3" t="n">
        <v>0.273</v>
      </c>
      <c r="AH199" s="3" t="n">
        <v>60</v>
      </c>
      <c r="AI199" s="3" t="n">
        <v>3.0611</v>
      </c>
      <c r="AJ199" s="3" t="n">
        <v>1.5875</v>
      </c>
      <c r="AK199" s="3" t="n">
        <v>-0.1742493246807302</v>
      </c>
      <c r="AL199" s="6" t="n">
        <v>0</v>
      </c>
      <c r="AM199" s="3" t="n">
        <v>0</v>
      </c>
      <c r="AN199" s="3" t="n">
        <v>0.2004</v>
      </c>
      <c r="AO199" s="3" t="n">
        <v>0.404712</v>
      </c>
      <c r="AP199" s="3">
        <f>N(X199)*N(BI199)</f>
        <v/>
      </c>
      <c r="AQ199" s="3" t="n">
        <v>0.273</v>
      </c>
      <c r="AR199" s="3" t="n">
        <v>0</v>
      </c>
      <c r="AS199" s="3" t="n">
        <v>-0.5541985260210861</v>
      </c>
      <c r="AT199" s="3" t="n">
        <v>-0.1742493246807302</v>
      </c>
      <c r="AU199" s="3">
        <f>SUM(AN199:AT199)</f>
        <v/>
      </c>
      <c r="AV199" s="7">
        <f>IF(OR(N(W199)&lt;=0,N(BG199)=0),0,N(W199)*IF(N(R199)/N(W199)&gt;=60,N(BG199),1))</f>
        <v/>
      </c>
      <c r="AW199" s="7">
        <f>N(W199)*N(AF199)*N(BH199)</f>
        <v/>
      </c>
      <c r="AX199" s="7">
        <f>N(AL199)*(Assumptions!$B$13*N(BJ199)-(1-Assumptions!$B$13)*Assumptions!$B$14)+N(AM199)</f>
        <v/>
      </c>
      <c r="AY199" s="7">
        <f>N(AU199)*N(R199)/90+N(AV199)+N(AW199)+N(AX199)</f>
        <v/>
      </c>
      <c r="AZ199" s="3">
        <f>IF(N(R199)&lt;=0,0,(N(AY199)-N(AX199))*90/N(R199))</f>
        <v/>
      </c>
      <c r="BA199" s="7">
        <f>IFERROR(AY199-VLOOKUP($E199,Assumptions!$A$40:$C$43,3,FALSE),"")</f>
        <v/>
      </c>
      <c r="BB199" s="3">
        <f>IFERROR(BA199/H199,"")</f>
        <v/>
      </c>
      <c r="BC199">
        <f>IF(AND($G199=TRUE,$E199="GKP"),AY199,"")</f>
        <v/>
      </c>
      <c r="BD199">
        <f>IF(AND($G199=TRUE,$E199="DEF"),AY199,"")</f>
        <v/>
      </c>
      <c r="BE199">
        <f>IF(AND($G199=TRUE,$E199="MID"),AY199,"")</f>
        <v/>
      </c>
      <c r="BF199">
        <f>IF(AND($G199=TRUE,$E199="FWD"),AY199,"")</f>
        <v/>
      </c>
      <c r="BG199" t="n">
        <v>2</v>
      </c>
      <c r="BH199" t="n">
        <v>2</v>
      </c>
      <c r="BI199" t="n">
        <v>4</v>
      </c>
      <c r="BJ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s="4" t="n">
        <v>150</v>
      </c>
      <c r="O200" s="4" t="n">
        <v>-178</v>
      </c>
      <c r="P200" s="5" t="inlineStr">
        <is>
          <t>medium</t>
        </is>
      </c>
      <c r="Q200" t="inlineStr">
        <is>
          <t>fade (losing his place)</t>
        </is>
      </c>
      <c r="R200" s="6" t="n">
        <v>150</v>
      </c>
      <c r="S200" t="inlineStr">
        <is>
          <t>research</t>
        </is>
      </c>
      <c r="T200" s="5" t="inlineStr">
        <is>
          <t>Already low, but still too high. The official FPL game lists him status 'i' with a groin injury and no return date. Read Everton's injury tracker on 14 August flags him as newly sidelined after coming off early against Stuttgart, and separately reports Hull City opened formal talks with an offer worth more than GBP 15m, with the move now in doubt only because of the injury. Either outcome - a long lay-off or a Championship move before 1 September - leaves him with fewer Everton minutes than 328.</t>
        </is>
      </c>
      <c r="U200" s="6" t="n">
        <v>79.3</v>
      </c>
      <c r="V200" s="2" t="n">
        <v>17</v>
      </c>
      <c r="W200" s="7">
        <f>IF(N(U200)&lt;=0,0,MIN(Assumptions!$B$15,N(R200)/N(U200)))</f>
        <v/>
      </c>
      <c r="X200" s="6" t="n">
        <v>0.231</v>
      </c>
      <c r="Y200" s="3" t="n">
        <v>0.0304</v>
      </c>
      <c r="Z200" t="inlineStr">
        <is>
          <t>adjusted xGOT</t>
        </is>
      </c>
      <c r="AA200" s="3" t="n">
        <v>1</v>
      </c>
      <c r="AB200" s="3" t="n">
        <v>0.924</v>
      </c>
      <c r="AC200" s="3" t="n">
        <v>0.8</v>
      </c>
      <c r="AD200" s="3" t="n">
        <v>0.0779</v>
      </c>
      <c r="AE200" s="3" t="n">
        <v>10.553</v>
      </c>
      <c r="AF200" s="3" t="n">
        <v>0.2268600881263317</v>
      </c>
      <c r="AG200" s="3" t="n">
        <v>0.0609</v>
      </c>
      <c r="AH200" s="3" t="n">
        <v>45</v>
      </c>
      <c r="AI200" s="3" t="n">
        <v>3.0311</v>
      </c>
      <c r="AJ200" s="3" t="n">
        <v>1.5252</v>
      </c>
      <c r="AK200" s="3" t="n">
        <v>-0.4125191100430851</v>
      </c>
      <c r="AL200" s="6" t="n">
        <v>0</v>
      </c>
      <c r="AM200" s="3" t="n">
        <v>0</v>
      </c>
      <c r="AN200" s="3" t="n">
        <v>0.152</v>
      </c>
      <c r="AO200" s="3" t="n">
        <v>0.308484</v>
      </c>
      <c r="AP200" s="3">
        <f>N(X200)*N(BI200)</f>
        <v/>
      </c>
      <c r="AQ200" s="3" t="n">
        <v>0.0609</v>
      </c>
      <c r="AR200" s="3" t="n">
        <v>0</v>
      </c>
      <c r="AS200" s="3" t="n">
        <v>-0</v>
      </c>
      <c r="AT200" s="3" t="n">
        <v>-0.4125191100430851</v>
      </c>
      <c r="AU200" s="3">
        <f>SUM(AN200:AT200)</f>
        <v/>
      </c>
      <c r="AV200" s="7">
        <f>IF(OR(N(W200)&lt;=0,N(BG200)=0),0,N(W200)*IF(N(R200)/N(W200)&gt;=60,N(BG200),1))</f>
        <v/>
      </c>
      <c r="AW200" s="7">
        <f>N(W200)*N(AF200)*N(BH200)</f>
        <v/>
      </c>
      <c r="AX200" s="7">
        <f>N(AL200)*(Assumptions!$B$13*N(BJ200)-(1-Assumptions!$B$13)*Assumptions!$B$14)+N(AM200)</f>
        <v/>
      </c>
      <c r="AY200" s="7">
        <f>N(AU200)*N(R200)/90+N(AV200)+N(AW200)+N(AX200)</f>
        <v/>
      </c>
      <c r="AZ200" s="3">
        <f>IF(N(R200)&lt;=0,0,(N(AY200)-N(AX200))*90/N(R200))</f>
        <v/>
      </c>
      <c r="BA200" s="7">
        <f>IFERROR(AY200-VLOOKUP($E200,Assumptions!$A$40:$C$43,3,FALSE),"")</f>
        <v/>
      </c>
      <c r="BB200" s="3">
        <f>IFERROR(BA200/H200,"")</f>
        <v/>
      </c>
      <c r="BC200">
        <f>IF(AND($G200=TRUE,$E200="GKP"),AY200,"")</f>
        <v/>
      </c>
      <c r="BD200">
        <f>IF(AND($G200=TRUE,$E200="DEF"),AY200,"")</f>
        <v/>
      </c>
      <c r="BE200">
        <f>IF(AND($G200=TRUE,$E200="MID"),AY200,"")</f>
        <v/>
      </c>
      <c r="BF200">
        <f>IF(AND($G200=TRUE,$E200="FWD"),AY200,"")</f>
        <v/>
      </c>
      <c r="BG200" t="n">
        <v>2</v>
      </c>
      <c r="BH200" t="n">
        <v>2</v>
      </c>
      <c r="BI200" t="n">
        <v>1</v>
      </c>
      <c r="BJ200" t="n">
        <v>5</v>
      </c>
    </row>
    <row r="201">
      <c r="A201" s="9" t="inlineStr">
        <is>
          <t>Youri Tielemans</t>
        </is>
      </c>
      <c r="B201" t="inlineStr">
        <is>
          <t>MUN</t>
        </is>
      </c>
      <c r="C201" s="9" t="inlineStr">
        <is>
          <t>AVL</t>
        </is>
      </c>
      <c r="D201" t="b">
        <v>1</v>
      </c>
      <c r="E201" t="inlineStr">
        <is>
          <t>MID</t>
        </is>
      </c>
      <c r="F201" t="inlineStr">
        <is>
          <t>MID</t>
        </is>
      </c>
      <c r="G201" t="b">
        <v>1</v>
      </c>
      <c r="H201" s="2" t="n">
        <v>6</v>
      </c>
      <c r="I201" t="inlineStr">
        <is>
          <t>a</t>
        </is>
      </c>
      <c r="K201" s="2" t="n">
        <v>1857</v>
      </c>
      <c r="L201" t="n">
        <v>68</v>
      </c>
      <c r="M201" s="3" t="n">
        <v>2764</v>
      </c>
      <c r="N201" s="4" t="n">
        <v>2350</v>
      </c>
      <c r="O201" s="4" t="n">
        <v>-414</v>
      </c>
      <c r="P201" s="5" t="inlineStr">
        <is>
          <t>medium</t>
        </is>
      </c>
      <c r="Q201" t="inlineStr">
        <is>
          <t>flat</t>
        </is>
      </c>
      <c r="R201" s="6" t="n">
        <v>2350</v>
      </c>
      <c r="S201" t="inlineStr">
        <is>
          <t>research</t>
        </is>
      </c>
      <c r="T201" s="5" t="inlineStr">
        <is>
          <t>Solio gives Santos 2,861 and Tielemans 2,764, which consumes 5,625 of the 6,840 minutes available in a two-man pivot and leaves almost nothing for Mainoo and Mount. That allocation would be right if Carrick played a midfield three, but the dress rehearsal was a 4-2-3-1 with Fernandes at No. 10 and only two holding players. Tielemans started that game and is not being demoted below Mainoo here — the pivot is simply narrower than Solio assumes, and Carrick has said he wants a third central midfielder as well.</t>
        </is>
      </c>
      <c r="U201" s="6" t="n">
        <v>83.2</v>
      </c>
      <c r="V201" s="2" t="n">
        <v>21</v>
      </c>
      <c r="W201" s="7">
        <f>IF(N(U201)&lt;=0,0,MIN(Assumptions!$B$15,N(R201)/N(U201)))</f>
        <v/>
      </c>
      <c r="X201" s="6" t="n">
        <v>0.334</v>
      </c>
      <c r="Y201" s="10" t="n">
        <v>0.0594</v>
      </c>
      <c r="Z201" t="inlineStr">
        <is>
          <t>adjusted xGOT</t>
        </is>
      </c>
      <c r="AA201" s="3" t="n">
        <v>1</v>
      </c>
      <c r="AB201" s="3" t="n">
        <v>1.075</v>
      </c>
      <c r="AC201" s="3" t="n">
        <v>8.199999999999999</v>
      </c>
      <c r="AD201" s="10" t="n">
        <v>0.1513</v>
      </c>
      <c r="AE201" s="3" t="n">
        <v>9.486000000000001</v>
      </c>
      <c r="AF201" s="3" t="n">
        <v>0.1751975659617065</v>
      </c>
      <c r="AG201" s="3" t="n">
        <v>0.1454</v>
      </c>
      <c r="AH201" s="3" t="n">
        <v>45</v>
      </c>
      <c r="AI201" s="3" t="n">
        <v>2.2165</v>
      </c>
      <c r="AJ201" s="3" t="n">
        <v>1.1467</v>
      </c>
      <c r="AK201" s="3" t="n">
        <v>-0.1227884961429194</v>
      </c>
      <c r="AL201" s="6" t="n">
        <v>0.0193417288476089</v>
      </c>
      <c r="AM201" s="3" t="n">
        <v>0</v>
      </c>
      <c r="AN201" s="10" t="n">
        <v>0.297</v>
      </c>
      <c r="AO201" s="10" t="n">
        <v>0.599148</v>
      </c>
      <c r="AP201" s="3">
        <f>N(X201)*N(BI201)</f>
        <v/>
      </c>
      <c r="AQ201" s="3" t="n">
        <v>0.1454</v>
      </c>
      <c r="AR201" s="3" t="n">
        <v>0</v>
      </c>
      <c r="AS201" s="3" t="n">
        <v>-0</v>
      </c>
      <c r="AT201" s="3" t="n">
        <v>-0.1227884961429194</v>
      </c>
      <c r="AU201" s="3">
        <f>SUM(AN201:AT201)</f>
        <v/>
      </c>
      <c r="AV201" s="7">
        <f>IF(OR(N(W201)&lt;=0,N(BG201)=0),0,N(W201)*IF(N(R201)/N(W201)&gt;=60,N(BG201),1))</f>
        <v/>
      </c>
      <c r="AW201" s="7">
        <f>N(W201)*N(AF201)*N(BH201)</f>
        <v/>
      </c>
      <c r="AX201" s="7">
        <f>N(AL201)*(Assumptions!$B$13*N(BJ201)-(1-Assumptions!$B$13)*Assumptions!$B$14)+N(AM201)</f>
        <v/>
      </c>
      <c r="AY201" s="7">
        <f>N(AU201)*N(R201)/90+N(AV201)+N(AW201)+N(AX201)</f>
        <v/>
      </c>
      <c r="AZ201" s="3">
        <f>IF(N(R201)&lt;=0,0,(N(AY201)-N(AX201))*90/N(R201))</f>
        <v/>
      </c>
      <c r="BA201" s="7">
        <f>IFERROR(AY201-VLOOKUP($E201,Assumptions!$A$40:$C$43,3,FALSE),"")</f>
        <v/>
      </c>
      <c r="BB201" s="3">
        <f>IFERROR(BA201/H201,"")</f>
        <v/>
      </c>
      <c r="BC201">
        <f>IF(AND($G201=TRUE,$E201="GKP"),AY201,"")</f>
        <v/>
      </c>
      <c r="BD201">
        <f>IF(AND($G201=TRUE,$E201="DEF"),AY201,"")</f>
        <v/>
      </c>
      <c r="BE201">
        <f>IF(AND($G201=TRUE,$E201="MID"),AY201,"")</f>
        <v/>
      </c>
      <c r="BF201">
        <f>IF(AND($G201=TRUE,$E201="FWD"),AY201,"")</f>
        <v/>
      </c>
      <c r="BG201" t="n">
        <v>2</v>
      </c>
      <c r="BH201" t="n">
        <v>2</v>
      </c>
      <c r="BI201" t="n">
        <v>1</v>
      </c>
      <c r="BJ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s="4" t="n">
        <v>250</v>
      </c>
      <c r="O202" s="4" t="n">
        <v>-140</v>
      </c>
      <c r="P202" s="5" t="inlineStr">
        <is>
          <t>medium</t>
        </is>
      </c>
      <c r="Q202" t="inlineStr">
        <is>
          <t>flat</t>
        </is>
      </c>
      <c r="R202" s="6" t="n">
        <v>250</v>
      </c>
      <c r="S202" t="inlineStr">
        <is>
          <t>research</t>
        </is>
      </c>
      <c r="T202" s="5" t="inlineStr">
        <is>
          <t>The brief's snapshot has Adli as status 'a' with no news, but he picked up an injury after coming on in the 8 Aug Betis friendly and the FPL bootstrap now carries him as status 'i', 'Unspecified injury - Unknown return date', 0% chance of playing. Small downward correction to reflect a state change that post-dates the input data.</t>
        </is>
      </c>
      <c r="U202" s="6" t="n">
        <v>76.5</v>
      </c>
      <c r="V202" s="2" t="n">
        <v>10</v>
      </c>
      <c r="W202" s="7">
        <f>IF(N(U202)&lt;=0,0,MIN(Assumptions!$B$15,N(R202)/N(U202)))</f>
        <v/>
      </c>
      <c r="X202" s="6" t="n">
        <v>0.23</v>
      </c>
      <c r="Y202" s="3" t="n">
        <v>0.2302</v>
      </c>
      <c r="Z202" t="inlineStr">
        <is>
          <t>adjusted xGOT</t>
        </is>
      </c>
      <c r="AA202" s="3" t="n">
        <v>1</v>
      </c>
      <c r="AB202" s="3" t="n">
        <v>1.057</v>
      </c>
      <c r="AC202" s="3" t="n">
        <v>2.6</v>
      </c>
      <c r="AD202" s="3" t="n">
        <v>0.1214</v>
      </c>
      <c r="AE202" s="3" t="n">
        <v>9.613</v>
      </c>
      <c r="AF202" s="3" t="n">
        <v>0.1246660316764728</v>
      </c>
      <c r="AG202" s="3" t="n">
        <v>0.3352</v>
      </c>
      <c r="AH202" s="3" t="n">
        <v>39</v>
      </c>
      <c r="AI202" s="3" t="n">
        <v>3.0957</v>
      </c>
      <c r="AJ202" s="3" t="n">
        <v>1.53</v>
      </c>
      <c r="AK202" s="3" t="n">
        <v>-0.202453543529448</v>
      </c>
      <c r="AL202" s="6" t="n">
        <v>0</v>
      </c>
      <c r="AM202" s="3" t="n">
        <v>0</v>
      </c>
      <c r="AN202" s="3" t="n">
        <v>1.151</v>
      </c>
      <c r="AO202" s="3" t="n">
        <v>0.480744</v>
      </c>
      <c r="AP202" s="3">
        <f>N(X202)*N(BI202)</f>
        <v/>
      </c>
      <c r="AQ202" s="3" t="n">
        <v>0.3352</v>
      </c>
      <c r="AR202" s="3" t="n">
        <v>0</v>
      </c>
      <c r="AS202" s="3" t="n">
        <v>-0</v>
      </c>
      <c r="AT202" s="3" t="n">
        <v>-0.202453543529448</v>
      </c>
      <c r="AU202" s="3">
        <f>SUM(AN202:AT202)</f>
        <v/>
      </c>
      <c r="AV202" s="7">
        <f>IF(OR(N(W202)&lt;=0,N(BG202)=0),0,N(W202)*IF(N(R202)/N(W202)&gt;=60,N(BG202),1))</f>
        <v/>
      </c>
      <c r="AW202" s="7">
        <f>N(W202)*N(AF202)*N(BH202)</f>
        <v/>
      </c>
      <c r="AX202" s="7">
        <f>N(AL202)*(Assumptions!$B$13*N(BJ202)-(1-Assumptions!$B$13)*Assumptions!$B$14)+N(AM202)</f>
        <v/>
      </c>
      <c r="AY202" s="7">
        <f>N(AU202)*N(R202)/90+N(AV202)+N(AW202)+N(AX202)</f>
        <v/>
      </c>
      <c r="AZ202" s="3">
        <f>IF(N(R202)&lt;=0,0,(N(AY202)-N(AX202))*90/N(R202))</f>
        <v/>
      </c>
      <c r="BA202" s="7">
        <f>IFERROR(AY202-VLOOKUP($E202,Assumptions!$A$40:$C$43,3,FALSE),"")</f>
        <v/>
      </c>
      <c r="BB202" s="3">
        <f>IFERROR(BA202/H202,"")</f>
        <v/>
      </c>
      <c r="BC202">
        <f>IF(AND($G202=TRUE,$E202="GKP"),AY202,"")</f>
        <v/>
      </c>
      <c r="BD202">
        <f>IF(AND($G202=TRUE,$E202="DEF"),AY202,"")</f>
        <v/>
      </c>
      <c r="BE202">
        <f>IF(AND($G202=TRUE,$E202="MID"),AY202,"")</f>
        <v/>
      </c>
      <c r="BF202">
        <f>IF(AND($G202=TRUE,$E202="FWD"),AY202,"")</f>
        <v/>
      </c>
      <c r="BG202" t="n">
        <v>2</v>
      </c>
      <c r="BH202" t="n">
        <v>2</v>
      </c>
      <c r="BI202" t="n">
        <v>1</v>
      </c>
      <c r="BJ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s="4" t="n">
        <v>1700</v>
      </c>
      <c r="O203" s="4" t="n">
        <v>1010</v>
      </c>
      <c r="P203" s="5" t="inlineStr">
        <is>
          <t>high</t>
        </is>
      </c>
      <c r="Q203" t="inlineStr">
        <is>
          <t>flat</t>
        </is>
      </c>
      <c r="R203" s="6" t="n">
        <v>1700</v>
      </c>
      <c r="S203" t="inlineStr">
        <is>
          <t>research</t>
        </is>
      </c>
      <c r="T203" s="5" t="inlineStr">
        <is>
          <t>Clearest error found. Khusanov and Guehi are described as City's preferred centre-back pairing after being 'exceptional together during the back end of last season' — Guehi the calm, Khusanov the muscle. He then started the final pre-season match v Atletico and appears in the Community Shield predicted XIs. Meanwhile Akanji, Ake and Stones have all left, leaving four senior centre-backs for two slots. 690 minutes is 7.7 full matches, which is a fourth-choice number for a player the City-specific coverage has as joint-first-choice.</t>
        </is>
      </c>
      <c r="U203" s="6" t="n">
        <v>85</v>
      </c>
      <c r="V203" s="2" t="n">
        <v>15</v>
      </c>
      <c r="W203" s="7">
        <f>IF(N(U203)&lt;=0,0,MIN(Assumptions!$B$15,N(R203)/N(U203)))</f>
        <v/>
      </c>
      <c r="X203" s="6" t="n">
        <v>0.371</v>
      </c>
      <c r="Y203" s="3" t="n">
        <v>0.0378</v>
      </c>
      <c r="Z203" t="inlineStr">
        <is>
          <t>adjusted xGOT</t>
        </is>
      </c>
      <c r="AA203" s="3" t="n">
        <v>1</v>
      </c>
      <c r="AB203" s="3" t="n">
        <v>0.923</v>
      </c>
      <c r="AC203" s="3" t="n">
        <v>0.7</v>
      </c>
      <c r="AD203" s="3" t="n">
        <v>0.0562</v>
      </c>
      <c r="AE203" s="3" t="n">
        <v>7.733</v>
      </c>
      <c r="AF203" s="3" t="n">
        <v>0.201551551119491</v>
      </c>
      <c r="AG203" s="3" t="n">
        <v>0.1892</v>
      </c>
      <c r="AH203" s="3" t="n">
        <v>35</v>
      </c>
      <c r="AI203" s="3" t="n">
        <v>1.9737</v>
      </c>
      <c r="AJ203" s="3" t="n">
        <v>1.0365</v>
      </c>
      <c r="AK203" s="3" t="n">
        <v>-0.1783519062466148</v>
      </c>
      <c r="AL203" s="6" t="n">
        <v>0</v>
      </c>
      <c r="AM203" s="3" t="n">
        <v>0</v>
      </c>
      <c r="AN203" s="3" t="n">
        <v>0.2268</v>
      </c>
      <c r="AO203" s="3" t="n">
        <v>0.222552</v>
      </c>
      <c r="AP203" s="3">
        <f>N(X203)*N(BI203)</f>
        <v/>
      </c>
      <c r="AQ203" s="3" t="n">
        <v>0.1892</v>
      </c>
      <c r="AR203" s="3" t="n">
        <v>0</v>
      </c>
      <c r="AS203" s="3" t="n">
        <v>-0.2997019479071323</v>
      </c>
      <c r="AT203" s="3" t="n">
        <v>-0.1783519062466148</v>
      </c>
      <c r="AU203" s="3">
        <f>SUM(AN203:AT203)</f>
        <v/>
      </c>
      <c r="AV203" s="7">
        <f>IF(OR(N(W203)&lt;=0,N(BG203)=0),0,N(W203)*IF(N(R203)/N(W203)&gt;=60,N(BG203),1))</f>
        <v/>
      </c>
      <c r="AW203" s="7">
        <f>N(W203)*N(AF203)*N(BH203)</f>
        <v/>
      </c>
      <c r="AX203" s="7">
        <f>N(AL203)*(Assumptions!$B$13*N(BJ203)-(1-Assumptions!$B$13)*Assumptions!$B$14)+N(AM203)</f>
        <v/>
      </c>
      <c r="AY203" s="7">
        <f>N(AU203)*N(R203)/90+N(AV203)+N(AW203)+N(AX203)</f>
        <v/>
      </c>
      <c r="AZ203" s="3">
        <f>IF(N(R203)&lt;=0,0,(N(AY203)-N(AX203))*90/N(R203))</f>
        <v/>
      </c>
      <c r="BA203" s="7">
        <f>IFERROR(AY203-VLOOKUP($E203,Assumptions!$A$40:$C$43,3,FALSE),"")</f>
        <v/>
      </c>
      <c r="BB203" s="3">
        <f>IFERROR(BA203/H203,"")</f>
        <v/>
      </c>
      <c r="BC203">
        <f>IF(AND($G203=TRUE,$E203="GKP"),AY203,"")</f>
        <v/>
      </c>
      <c r="BD203">
        <f>IF(AND($G203=TRUE,$E203="DEF"),AY203,"")</f>
        <v/>
      </c>
      <c r="BE203">
        <f>IF(AND($G203=TRUE,$E203="MID"),AY203,"")</f>
        <v/>
      </c>
      <c r="BF203">
        <f>IF(AND($G203=TRUE,$E203="FWD"),AY203,"")</f>
        <v/>
      </c>
      <c r="BG203" t="n">
        <v>2</v>
      </c>
      <c r="BH203" t="n">
        <v>2</v>
      </c>
      <c r="BI203" t="n">
        <v>4</v>
      </c>
      <c r="BJ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s="8" t="n">
        <v>662</v>
      </c>
      <c r="O204" s="8" t="n">
        <v>0</v>
      </c>
      <c r="Q204" t="inlineStr">
        <is>
          <t>flat</t>
        </is>
      </c>
      <c r="R204" s="6" t="n">
        <v>662</v>
      </c>
      <c r="S204" t="inlineStr">
        <is>
          <t>Solio</t>
        </is>
      </c>
      <c r="U204" s="6" t="n">
        <v>77.3</v>
      </c>
      <c r="V204" s="2" t="n">
        <v>14</v>
      </c>
      <c r="W204" s="7">
        <f>IF(N(U204)&lt;=0,0,MIN(Assumptions!$B$15,N(R204)/N(U204)))</f>
        <v/>
      </c>
      <c r="X204" s="6" t="n">
        <v>0.218</v>
      </c>
      <c r="Y204" s="3" t="n">
        <v>0.0977</v>
      </c>
      <c r="Z204" t="inlineStr">
        <is>
          <t>adjusted xGOT</t>
        </is>
      </c>
      <c r="AA204" s="3" t="n">
        <v>1</v>
      </c>
      <c r="AB204" s="3" t="n">
        <v>0.985</v>
      </c>
      <c r="AC204" s="3" t="n">
        <v>1.4</v>
      </c>
      <c r="AD204" s="3" t="n">
        <v>0.0946</v>
      </c>
      <c r="AE204" s="3" t="n">
        <v>9.573</v>
      </c>
      <c r="AF204" s="3" t="n">
        <v>0.1286236947970036</v>
      </c>
      <c r="AG204" s="3" t="n">
        <v>0.2066</v>
      </c>
      <c r="AH204" s="3" t="n">
        <v>40</v>
      </c>
      <c r="AI204" s="3" t="n">
        <v>3.0611</v>
      </c>
      <c r="AJ204" s="3" t="n">
        <v>1.5875</v>
      </c>
      <c r="AK204" s="3" t="n">
        <v>-0.1539294131870054</v>
      </c>
      <c r="AL204" s="6" t="n">
        <v>0</v>
      </c>
      <c r="AM204" s="3" t="n">
        <v>0</v>
      </c>
      <c r="AN204" s="3" t="n">
        <v>0.4885</v>
      </c>
      <c r="AO204" s="3" t="n">
        <v>0.374616</v>
      </c>
      <c r="AP204" s="3">
        <f>N(X204)*N(BI204)</f>
        <v/>
      </c>
      <c r="AQ204" s="3" t="n">
        <v>0.2066</v>
      </c>
      <c r="AR204" s="3" t="n">
        <v>0</v>
      </c>
      <c r="AS204" s="3" t="n">
        <v>-0</v>
      </c>
      <c r="AT204" s="3" t="n">
        <v>-0.1539294131870054</v>
      </c>
      <c r="AU204" s="3">
        <f>SUM(AN204:AT204)</f>
        <v/>
      </c>
      <c r="AV204" s="7">
        <f>IF(OR(N(W204)&lt;=0,N(BG204)=0),0,N(W204)*IF(N(R204)/N(W204)&gt;=60,N(BG204),1))</f>
        <v/>
      </c>
      <c r="AW204" s="7">
        <f>N(W204)*N(AF204)*N(BH204)</f>
        <v/>
      </c>
      <c r="AX204" s="7">
        <f>N(AL204)*(Assumptions!$B$13*N(BJ204)-(1-Assumptions!$B$13)*Assumptions!$B$14)+N(AM204)</f>
        <v/>
      </c>
      <c r="AY204" s="7">
        <f>N(AU204)*N(R204)/90+N(AV204)+N(AW204)+N(AX204)</f>
        <v/>
      </c>
      <c r="AZ204" s="3">
        <f>IF(N(R204)&lt;=0,0,(N(AY204)-N(AX204))*90/N(R204))</f>
        <v/>
      </c>
      <c r="BA204" s="7">
        <f>IFERROR(AY204-VLOOKUP($E204,Assumptions!$A$40:$C$43,3,FALSE),"")</f>
        <v/>
      </c>
      <c r="BB204" s="3">
        <f>IFERROR(BA204/H204,"")</f>
        <v/>
      </c>
      <c r="BC204">
        <f>IF(AND($G204=TRUE,$E204="GKP"),AY204,"")</f>
        <v/>
      </c>
      <c r="BD204">
        <f>IF(AND($G204=TRUE,$E204="DEF"),AY204,"")</f>
        <v/>
      </c>
      <c r="BE204">
        <f>IF(AND($G204=TRUE,$E204="MID"),AY204,"")</f>
        <v/>
      </c>
      <c r="BF204">
        <f>IF(AND($G204=TRUE,$E204="FWD"),AY204,"")</f>
        <v/>
      </c>
      <c r="BG204" t="n">
        <v>2</v>
      </c>
      <c r="BH204" t="n">
        <v>2</v>
      </c>
      <c r="BI204" t="n">
        <v>1</v>
      </c>
      <c r="BJ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s="8" t="n">
        <v>2861</v>
      </c>
      <c r="O205" s="8" t="n">
        <v>0</v>
      </c>
      <c r="Q205" t="inlineStr">
        <is>
          <t>flat</t>
        </is>
      </c>
      <c r="R205" s="6" t="n">
        <v>2861</v>
      </c>
      <c r="S205" t="inlineStr">
        <is>
          <t>Solio</t>
        </is>
      </c>
      <c r="U205" s="6" t="n">
        <v>81.09999999999999</v>
      </c>
      <c r="V205" s="2" t="n">
        <v>13</v>
      </c>
      <c r="W205" s="7">
        <f>IF(N(U205)&lt;=0,0,MIN(Assumptions!$B$15,N(R205)/N(U205)))</f>
        <v/>
      </c>
      <c r="X205" s="6" t="n">
        <v>0.23</v>
      </c>
      <c r="Y205" s="3" t="n">
        <v>0.2313</v>
      </c>
      <c r="Z205" t="inlineStr">
        <is>
          <t>adjusted xGOT</t>
        </is>
      </c>
      <c r="AA205" s="3" t="n">
        <v>1</v>
      </c>
      <c r="AB205" s="3" t="n">
        <v>1.068</v>
      </c>
      <c r="AC205" s="3" t="n">
        <v>2.7</v>
      </c>
      <c r="AD205" s="3" t="n">
        <v>0.1873</v>
      </c>
      <c r="AE205" s="3" t="n">
        <v>7.407</v>
      </c>
      <c r="AF205" s="3" t="n">
        <v>0.03998568279206338</v>
      </c>
      <c r="AG205" s="3" t="n">
        <v>0.2432</v>
      </c>
      <c r="AH205" s="3" t="n">
        <v>28</v>
      </c>
      <c r="AI205" s="3" t="n">
        <v>3.0957</v>
      </c>
      <c r="AJ205" s="3" t="n">
        <v>1.53</v>
      </c>
      <c r="AK205" s="3" t="n">
        <v>-0.1645361013047155</v>
      </c>
      <c r="AL205" s="6" t="n">
        <v>0</v>
      </c>
      <c r="AM205" s="3" t="n">
        <v>0</v>
      </c>
      <c r="AN205" s="3" t="n">
        <v>1.1565</v>
      </c>
      <c r="AO205" s="3" t="n">
        <v>0.7417079999999999</v>
      </c>
      <c r="AP205" s="3">
        <f>N(X205)*N(BI205)</f>
        <v/>
      </c>
      <c r="AQ205" s="3" t="n">
        <v>0.2432</v>
      </c>
      <c r="AR205" s="3" t="n">
        <v>0</v>
      </c>
      <c r="AS205" s="3" t="n">
        <v>-0</v>
      </c>
      <c r="AT205" s="3" t="n">
        <v>-0.1645361013047155</v>
      </c>
      <c r="AU205" s="3">
        <f>SUM(AN205:AT205)</f>
        <v/>
      </c>
      <c r="AV205" s="7">
        <f>IF(OR(N(W205)&lt;=0,N(BG205)=0),0,N(W205)*IF(N(R205)/N(W205)&gt;=60,N(BG205),1))</f>
        <v/>
      </c>
      <c r="AW205" s="7">
        <f>N(W205)*N(AF205)*N(BH205)</f>
        <v/>
      </c>
      <c r="AX205" s="7">
        <f>N(AL205)*(Assumptions!$B$13*N(BJ205)-(1-Assumptions!$B$13)*Assumptions!$B$14)+N(AM205)</f>
        <v/>
      </c>
      <c r="AY205" s="7">
        <f>N(AU205)*N(R205)/90+N(AV205)+N(AW205)+N(AX205)</f>
        <v/>
      </c>
      <c r="AZ205" s="3">
        <f>IF(N(R205)&lt;=0,0,(N(AY205)-N(AX205))*90/N(R205))</f>
        <v/>
      </c>
      <c r="BA205" s="7">
        <f>IFERROR(AY205-VLOOKUP($E205,Assumptions!$A$40:$C$43,3,FALSE),"")</f>
        <v/>
      </c>
      <c r="BB205" s="3">
        <f>IFERROR(BA205/H205,"")</f>
        <v/>
      </c>
      <c r="BC205">
        <f>IF(AND($G205=TRUE,$E205="GKP"),AY205,"")</f>
        <v/>
      </c>
      <c r="BD205">
        <f>IF(AND($G205=TRUE,$E205="DEF"),AY205,"")</f>
        <v/>
      </c>
      <c r="BE205">
        <f>IF(AND($G205=TRUE,$E205="MID"),AY205,"")</f>
        <v/>
      </c>
      <c r="BF205">
        <f>IF(AND($G205=TRUE,$E205="FWD"),AY205,"")</f>
        <v/>
      </c>
      <c r="BG205" t="n">
        <v>2</v>
      </c>
      <c r="BH205" t="n">
        <v>2</v>
      </c>
      <c r="BI205" t="n">
        <v>1</v>
      </c>
      <c r="BJ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s="8" t="n">
        <v>173</v>
      </c>
      <c r="O206" s="8" t="n">
        <v>0</v>
      </c>
      <c r="Q206" t="inlineStr">
        <is>
          <t>flat</t>
        </is>
      </c>
      <c r="R206" s="6" t="n">
        <v>173</v>
      </c>
      <c r="S206" t="inlineStr">
        <is>
          <t>Solio</t>
        </is>
      </c>
      <c r="U206" s="6" t="n">
        <v>78.40000000000001</v>
      </c>
      <c r="V206" s="2" t="n">
        <v>10</v>
      </c>
      <c r="W206" s="7">
        <f>IF(N(U206)&lt;=0,0,MIN(Assumptions!$B$15,N(R206)/N(U206)))</f>
        <v/>
      </c>
      <c r="X206" s="6" t="n">
        <v>0.391</v>
      </c>
      <c r="Y206" s="3" t="n">
        <v>0.3227</v>
      </c>
      <c r="Z206" t="inlineStr">
        <is>
          <t>adjusted xGOT</t>
        </is>
      </c>
      <c r="AA206" s="3" t="n">
        <v>1</v>
      </c>
      <c r="AB206" s="3" t="n">
        <v>1.093</v>
      </c>
      <c r="AC206" s="3" t="n">
        <v>9.1</v>
      </c>
      <c r="AD206" s="3" t="n">
        <v>0.1644</v>
      </c>
      <c r="AE206" s="3" t="n">
        <v>9.372</v>
      </c>
      <c r="AF206" s="3" t="n">
        <v>0.1241294651182095</v>
      </c>
      <c r="AG206" s="3" t="n">
        <v>0.4395</v>
      </c>
      <c r="AH206" s="3" t="n">
        <v>30</v>
      </c>
      <c r="AI206" s="3" t="n">
        <v>2.067</v>
      </c>
      <c r="AJ206" s="3" t="n">
        <v>0.9838</v>
      </c>
      <c r="AK206" s="3" t="n">
        <v>-0.1589487480746403</v>
      </c>
      <c r="AL206" s="6" t="n">
        <v>0</v>
      </c>
      <c r="AM206" s="3" t="n">
        <v>0</v>
      </c>
      <c r="AN206" s="3" t="n">
        <v>1.6135</v>
      </c>
      <c r="AO206" s="3" t="n">
        <v>0.651024</v>
      </c>
      <c r="AP206" s="3">
        <f>N(X206)*N(BI206)</f>
        <v/>
      </c>
      <c r="AQ206" s="3" t="n">
        <v>0.4395</v>
      </c>
      <c r="AR206" s="3" t="n">
        <v>0</v>
      </c>
      <c r="AS206" s="3" t="n">
        <v>-0</v>
      </c>
      <c r="AT206" s="3" t="n">
        <v>-0.1589487480746403</v>
      </c>
      <c r="AU206" s="3">
        <f>SUM(AN206:AT206)</f>
        <v/>
      </c>
      <c r="AV206" s="7">
        <f>IF(OR(N(W206)&lt;=0,N(BG206)=0),0,N(W206)*IF(N(R206)/N(W206)&gt;=60,N(BG206),1))</f>
        <v/>
      </c>
      <c r="AW206" s="7">
        <f>N(W206)*N(AF206)*N(BH206)</f>
        <v/>
      </c>
      <c r="AX206" s="7">
        <f>N(AL206)*(Assumptions!$B$13*N(BJ206)-(1-Assumptions!$B$13)*Assumptions!$B$14)+N(AM206)</f>
        <v/>
      </c>
      <c r="AY206" s="7">
        <f>N(AU206)*N(R206)/90+N(AV206)+N(AW206)+N(AX206)</f>
        <v/>
      </c>
      <c r="AZ206" s="3">
        <f>IF(N(R206)&lt;=0,0,(N(AY206)-N(AX206))*90/N(R206))</f>
        <v/>
      </c>
      <c r="BA206" s="7">
        <f>IFERROR(AY206-VLOOKUP($E206,Assumptions!$A$40:$C$43,3,FALSE),"")</f>
        <v/>
      </c>
      <c r="BB206" s="3">
        <f>IFERROR(BA206/H206,"")</f>
        <v/>
      </c>
      <c r="BC206">
        <f>IF(AND($G206=TRUE,$E206="GKP"),AY206,"")</f>
        <v/>
      </c>
      <c r="BD206">
        <f>IF(AND($G206=TRUE,$E206="DEF"),AY206,"")</f>
        <v/>
      </c>
      <c r="BE206">
        <f>IF(AND($G206=TRUE,$E206="MID"),AY206,"")</f>
        <v/>
      </c>
      <c r="BF206">
        <f>IF(AND($G206=TRUE,$E206="FWD"),AY206,"")</f>
        <v/>
      </c>
      <c r="BG206" t="n">
        <v>2</v>
      </c>
      <c r="BH206" t="n">
        <v>2</v>
      </c>
      <c r="BI206" t="n">
        <v>1</v>
      </c>
      <c r="BJ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s="8" t="n">
        <v>1932</v>
      </c>
      <c r="O207" s="8" t="n">
        <v>0</v>
      </c>
      <c r="Q207" t="inlineStr">
        <is>
          <t>flat</t>
        </is>
      </c>
      <c r="R207" s="6" t="n">
        <v>1932</v>
      </c>
      <c r="S207" t="inlineStr">
        <is>
          <t>Solio</t>
        </is>
      </c>
      <c r="U207" s="6" t="n">
        <v>80.40000000000001</v>
      </c>
      <c r="V207" s="2" t="n">
        <v>22</v>
      </c>
      <c r="W207" s="7">
        <f>IF(N(U207)&lt;=0,0,MIN(Assumptions!$B$15,N(R207)/N(U207)))</f>
        <v/>
      </c>
      <c r="X207" s="6" t="n">
        <v>0.216</v>
      </c>
      <c r="Y207" s="3" t="n">
        <v>0.0708</v>
      </c>
      <c r="Z207" t="inlineStr">
        <is>
          <t>adjusted xGOT</t>
        </is>
      </c>
      <c r="AA207" s="3" t="n">
        <v>1</v>
      </c>
      <c r="AB207" s="3" t="n">
        <v>0.911</v>
      </c>
      <c r="AC207" s="3" t="n">
        <v>2.8</v>
      </c>
      <c r="AD207" s="3" t="n">
        <v>0.1381</v>
      </c>
      <c r="AE207" s="3" t="n">
        <v>9.506</v>
      </c>
      <c r="AF207" s="3" t="n">
        <v>0.1506586266737209</v>
      </c>
      <c r="AG207" s="3" t="n">
        <v>0</v>
      </c>
      <c r="AH207" s="3" t="n">
        <v>48</v>
      </c>
      <c r="AI207" s="3" t="n">
        <v>3.2035</v>
      </c>
      <c r="AJ207" s="3" t="n">
        <v>1.5923</v>
      </c>
      <c r="AK207" s="3" t="n">
        <v>-0.1978697225989962</v>
      </c>
      <c r="AL207" s="6" t="n">
        <v>0</v>
      </c>
      <c r="AM207" s="3" t="n">
        <v>0</v>
      </c>
      <c r="AN207" s="3" t="n">
        <v>0.354</v>
      </c>
      <c r="AO207" s="3" t="n">
        <v>0.546876</v>
      </c>
      <c r="AP207" s="3">
        <f>N(X207)*N(BI207)</f>
        <v/>
      </c>
      <c r="AQ207" s="3" t="n">
        <v>0</v>
      </c>
      <c r="AR207" s="3" t="n">
        <v>0</v>
      </c>
      <c r="AS207" s="3" t="n">
        <v>-0</v>
      </c>
      <c r="AT207" s="3" t="n">
        <v>-0.1978697225989962</v>
      </c>
      <c r="AU207" s="3">
        <f>SUM(AN207:AT207)</f>
        <v/>
      </c>
      <c r="AV207" s="7">
        <f>IF(OR(N(W207)&lt;=0,N(BG207)=0),0,N(W207)*IF(N(R207)/N(W207)&gt;=60,N(BG207),1))</f>
        <v/>
      </c>
      <c r="AW207" s="7">
        <f>N(W207)*N(AF207)*N(BH207)</f>
        <v/>
      </c>
      <c r="AX207" s="7">
        <f>N(AL207)*(Assumptions!$B$13*N(BJ207)-(1-Assumptions!$B$13)*Assumptions!$B$14)+N(AM207)</f>
        <v/>
      </c>
      <c r="AY207" s="7">
        <f>N(AU207)*N(R207)/90+N(AV207)+N(AW207)+N(AX207)</f>
        <v/>
      </c>
      <c r="AZ207" s="3">
        <f>IF(N(R207)&lt;=0,0,(N(AY207)-N(AX207))*90/N(R207))</f>
        <v/>
      </c>
      <c r="BA207" s="7">
        <f>IFERROR(AY207-VLOOKUP($E207,Assumptions!$A$40:$C$43,3,FALSE),"")</f>
        <v/>
      </c>
      <c r="BB207" s="3">
        <f>IFERROR(BA207/H207,"")</f>
        <v/>
      </c>
      <c r="BC207">
        <f>IF(AND($G207=TRUE,$E207="GKP"),AY207,"")</f>
        <v/>
      </c>
      <c r="BD207">
        <f>IF(AND($G207=TRUE,$E207="DEF"),AY207,"")</f>
        <v/>
      </c>
      <c r="BE207">
        <f>IF(AND($G207=TRUE,$E207="MID"),AY207,"")</f>
        <v/>
      </c>
      <c r="BF207">
        <f>IF(AND($G207=TRUE,$E207="FWD"),AY207,"")</f>
        <v/>
      </c>
      <c r="BG207" t="n">
        <v>2</v>
      </c>
      <c r="BH207" t="n">
        <v>2</v>
      </c>
      <c r="BI207" t="n">
        <v>1</v>
      </c>
      <c r="BJ207" t="n">
        <v>5</v>
      </c>
    </row>
    <row r="208">
      <c r="A208" s="9" t="inlineStr">
        <is>
          <t>Sasa Lukic</t>
        </is>
      </c>
      <c r="B208" t="inlineStr">
        <is>
          <t>IPS</t>
        </is>
      </c>
      <c r="C208" s="9" t="inlineStr">
        <is>
          <t>FUL</t>
        </is>
      </c>
      <c r="D208" t="b">
        <v>1</v>
      </c>
      <c r="E208" t="inlineStr">
        <is>
          <t>MID</t>
        </is>
      </c>
      <c r="F208" t="inlineStr">
        <is>
          <t>MID</t>
        </is>
      </c>
      <c r="G208" t="b">
        <v>1</v>
      </c>
      <c r="H208" s="2" t="n">
        <v>5</v>
      </c>
      <c r="I208" t="inlineStr">
        <is>
          <t>a</t>
        </is>
      </c>
      <c r="K208" s="2" t="n">
        <v>1730</v>
      </c>
      <c r="L208" t="n">
        <v>67</v>
      </c>
      <c r="M208" s="3" t="n">
        <v>2217</v>
      </c>
      <c r="N208" s="8" t="n">
        <v>2217</v>
      </c>
      <c r="O208" s="8" t="n">
        <v>0</v>
      </c>
      <c r="Q208" t="inlineStr">
        <is>
          <t>flat</t>
        </is>
      </c>
      <c r="R208" s="6" t="n">
        <v>2217</v>
      </c>
      <c r="S208" t="inlineStr">
        <is>
          <t>Solio</t>
        </is>
      </c>
      <c r="U208" s="6" t="n">
        <v>79.8</v>
      </c>
      <c r="V208" s="2" t="n">
        <v>20</v>
      </c>
      <c r="W208" s="7">
        <f>IF(N(U208)&lt;=0,0,MIN(Assumptions!$B$15,N(R208)/N(U208)))</f>
        <v/>
      </c>
      <c r="X208" s="6" t="n">
        <v>0.17</v>
      </c>
      <c r="Y208" s="10" t="n">
        <v>0.1034</v>
      </c>
      <c r="Z208" t="inlineStr">
        <is>
          <t>adjusted xGOT</t>
        </is>
      </c>
      <c r="AA208" s="3" t="n">
        <v>1</v>
      </c>
      <c r="AB208" s="3" t="n">
        <v>0.892</v>
      </c>
      <c r="AC208" s="3" t="n">
        <v>5</v>
      </c>
      <c r="AD208" s="10" t="n">
        <v>0.106</v>
      </c>
      <c r="AE208" s="3" t="n">
        <v>9.243</v>
      </c>
      <c r="AF208" s="3" t="n">
        <v>0.1265481893686531</v>
      </c>
      <c r="AG208" s="3" t="n">
        <v>0.2081</v>
      </c>
      <c r="AH208" s="3" t="n">
        <v>43</v>
      </c>
      <c r="AI208" s="3" t="n">
        <v>3.5741</v>
      </c>
      <c r="AJ208" s="3" t="n">
        <v>1.8319</v>
      </c>
      <c r="AK208" s="3" t="n">
        <v>-0.3854939000437318</v>
      </c>
      <c r="AL208" s="6" t="n">
        <v>0</v>
      </c>
      <c r="AM208" s="3" t="n">
        <v>0</v>
      </c>
      <c r="AN208" s="10" t="n">
        <v>0.517</v>
      </c>
      <c r="AO208" s="10" t="n">
        <v>0.41976</v>
      </c>
      <c r="AP208" s="3">
        <f>N(X208)*N(BI208)</f>
        <v/>
      </c>
      <c r="AQ208" s="3" t="n">
        <v>0.2081</v>
      </c>
      <c r="AR208" s="3" t="n">
        <v>0</v>
      </c>
      <c r="AS208" s="3" t="n">
        <v>-0</v>
      </c>
      <c r="AT208" s="3" t="n">
        <v>-0.3854939000437318</v>
      </c>
      <c r="AU208" s="3">
        <f>SUM(AN208:AT208)</f>
        <v/>
      </c>
      <c r="AV208" s="7">
        <f>IF(OR(N(W208)&lt;=0,N(BG208)=0),0,N(W208)*IF(N(R208)/N(W208)&gt;=60,N(BG208),1))</f>
        <v/>
      </c>
      <c r="AW208" s="7">
        <f>N(W208)*N(AF208)*N(BH208)</f>
        <v/>
      </c>
      <c r="AX208" s="7">
        <f>N(AL208)*(Assumptions!$B$13*N(BJ208)-(1-Assumptions!$B$13)*Assumptions!$B$14)+N(AM208)</f>
        <v/>
      </c>
      <c r="AY208" s="7">
        <f>N(AU208)*N(R208)/90+N(AV208)+N(AW208)+N(AX208)</f>
        <v/>
      </c>
      <c r="AZ208" s="3">
        <f>IF(N(R208)&lt;=0,0,(N(AY208)-N(AX208))*90/N(R208))</f>
        <v/>
      </c>
      <c r="BA208" s="7">
        <f>IFERROR(AY208-VLOOKUP($E208,Assumptions!$A$40:$C$43,3,FALSE),"")</f>
        <v/>
      </c>
      <c r="BB208" s="3">
        <f>IFERROR(BA208/H208,"")</f>
        <v/>
      </c>
      <c r="BC208">
        <f>IF(AND($G208=TRUE,$E208="GKP"),AY208,"")</f>
        <v/>
      </c>
      <c r="BD208">
        <f>IF(AND($G208=TRUE,$E208="DEF"),AY208,"")</f>
        <v/>
      </c>
      <c r="BE208">
        <f>IF(AND($G208=TRUE,$E208="MID"),AY208,"")</f>
        <v/>
      </c>
      <c r="BF208">
        <f>IF(AND($G208=TRUE,$E208="FWD"),AY208,"")</f>
        <v/>
      </c>
      <c r="BG208" t="n">
        <v>2</v>
      </c>
      <c r="BH208" t="n">
        <v>2</v>
      </c>
      <c r="BI208" t="n">
        <v>1</v>
      </c>
      <c r="BJ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s="4" t="n">
        <v>2550</v>
      </c>
      <c r="O209" s="4" t="n">
        <v>-403</v>
      </c>
      <c r="P209" s="5" t="inlineStr">
        <is>
          <t>medium</t>
        </is>
      </c>
      <c r="Q209" t="inlineStr">
        <is>
          <t>flat</t>
        </is>
      </c>
      <c r="R209" s="6" t="n">
        <v>2550</v>
      </c>
      <c r="S209" t="inlineStr">
        <is>
          <t>research</t>
        </is>
      </c>
      <c r="T209" s="5" t="inlineStr">
        <is>
          <t>Solio projects 86% of all available minutes for a 29-year-old who managed 1,587 league minutes last season after tearing a hamstring on international duty and having surgery on 13 Sept 2025. He is a starter and healthy now, but a full rebound to near-ever-present is the single most optimistic assumption in the allocation, and his only natural deputy at left wing-back is Luca Netz.</t>
        </is>
      </c>
      <c r="U209" s="6" t="n">
        <v>87.2</v>
      </c>
      <c r="V209" s="2" t="n">
        <v>18</v>
      </c>
      <c r="W209" s="7">
        <f>IF(N(U209)&lt;=0,0,MIN(Assumptions!$B$15,N(R209)/N(U209)))</f>
        <v/>
      </c>
      <c r="X209" s="6" t="n">
        <v>0.224</v>
      </c>
      <c r="Y209" s="3" t="n">
        <v>0.0226</v>
      </c>
      <c r="Z209" t="inlineStr">
        <is>
          <t>adjusted xGOT</t>
        </is>
      </c>
      <c r="AA209" s="3" t="n">
        <v>1</v>
      </c>
      <c r="AB209" s="3" t="n">
        <v>0.97</v>
      </c>
      <c r="AC209" s="3" t="n">
        <v>1.4</v>
      </c>
      <c r="AD209" s="3" t="n">
        <v>0.0335</v>
      </c>
      <c r="AE209" s="3" t="n">
        <v>7.47</v>
      </c>
      <c r="AF209" s="3" t="n">
        <v>0.1943914275034606</v>
      </c>
      <c r="AG209" s="3" t="n">
        <v>0.2836</v>
      </c>
      <c r="AH209" s="3" t="n">
        <v>36</v>
      </c>
      <c r="AI209" s="3" t="n">
        <v>3.1134</v>
      </c>
      <c r="AJ209" s="3" t="n">
        <v>1.5588</v>
      </c>
      <c r="AK209" s="3" t="n">
        <v>-0.1869965935960393</v>
      </c>
      <c r="AL209" s="6" t="n">
        <v>0</v>
      </c>
      <c r="AM209" s="3" t="n">
        <v>0</v>
      </c>
      <c r="AN209" s="3" t="n">
        <v>0.1356</v>
      </c>
      <c r="AO209" s="3" t="n">
        <v>0.13266</v>
      </c>
      <c r="AP209" s="3">
        <f>N(X209)*N(BI209)</f>
        <v/>
      </c>
      <c r="AQ209" s="3" t="n">
        <v>0.2836</v>
      </c>
      <c r="AR209" s="3" t="n">
        <v>0</v>
      </c>
      <c r="AS209" s="3" t="n">
        <v>-0.5404658182244797</v>
      </c>
      <c r="AT209" s="3" t="n">
        <v>-0.1869965935960393</v>
      </c>
      <c r="AU209" s="3">
        <f>SUM(AN209:AT209)</f>
        <v/>
      </c>
      <c r="AV209" s="7">
        <f>IF(OR(N(W209)&lt;=0,N(BG209)=0),0,N(W209)*IF(N(R209)/N(W209)&gt;=60,N(BG209),1))</f>
        <v/>
      </c>
      <c r="AW209" s="7">
        <f>N(W209)*N(AF209)*N(BH209)</f>
        <v/>
      </c>
      <c r="AX209" s="7">
        <f>N(AL209)*(Assumptions!$B$13*N(BJ209)-(1-Assumptions!$B$13)*Assumptions!$B$14)+N(AM209)</f>
        <v/>
      </c>
      <c r="AY209" s="7">
        <f>N(AU209)*N(R209)/90+N(AV209)+N(AW209)+N(AX209)</f>
        <v/>
      </c>
      <c r="AZ209" s="3">
        <f>IF(N(R209)&lt;=0,0,(N(AY209)-N(AX209))*90/N(R209))</f>
        <v/>
      </c>
      <c r="BA209" s="7">
        <f>IFERROR(AY209-VLOOKUP($E209,Assumptions!$A$40:$C$43,3,FALSE),"")</f>
        <v/>
      </c>
      <c r="BB209" s="3">
        <f>IFERROR(BA209/H209,"")</f>
        <v/>
      </c>
      <c r="BC209">
        <f>IF(AND($G209=TRUE,$E209="GKP"),AY209,"")</f>
        <v/>
      </c>
      <c r="BD209">
        <f>IF(AND($G209=TRUE,$E209="DEF"),AY209,"")</f>
        <v/>
      </c>
      <c r="BE209">
        <f>IF(AND($G209=TRUE,$E209="MID"),AY209,"")</f>
        <v/>
      </c>
      <c r="BF209">
        <f>IF(AND($G209=TRUE,$E209="FWD"),AY209,"")</f>
        <v/>
      </c>
      <c r="BG209" t="n">
        <v>2</v>
      </c>
      <c r="BH209" t="n">
        <v>2</v>
      </c>
      <c r="BI209" t="n">
        <v>4</v>
      </c>
      <c r="BJ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s="8" t="n">
        <v>1602</v>
      </c>
      <c r="O210" s="8" t="n">
        <v>0</v>
      </c>
      <c r="Q210" t="inlineStr">
        <is>
          <t>flat</t>
        </is>
      </c>
      <c r="R210" s="6" t="n">
        <v>1602</v>
      </c>
      <c r="S210" t="inlineStr">
        <is>
          <t>Solio</t>
        </is>
      </c>
      <c r="U210" s="6" t="n">
        <v>82.90000000000001</v>
      </c>
      <c r="V210" s="2" t="n">
        <v>15</v>
      </c>
      <c r="W210" s="7">
        <f>IF(N(U210)&lt;=0,0,MIN(Assumptions!$B$15,N(R210)/N(U210)))</f>
        <v/>
      </c>
      <c r="X210" s="6" t="n">
        <v>0.204</v>
      </c>
      <c r="Y210" s="3" t="n">
        <v>0.1497</v>
      </c>
      <c r="Z210" t="inlineStr">
        <is>
          <t>adjusted xGOT</t>
        </is>
      </c>
      <c r="AA210" s="3" t="n">
        <v>0.766</v>
      </c>
      <c r="AB210" s="3" t="n">
        <v>0.9320000000000001</v>
      </c>
      <c r="AC210" s="3" t="n">
        <v>3.3</v>
      </c>
      <c r="AD210" s="3" t="n">
        <v>0.0479</v>
      </c>
      <c r="AE210" s="3" t="n">
        <v>6.258</v>
      </c>
      <c r="AF210" s="3" t="n">
        <v>0.01528429474740867</v>
      </c>
      <c r="AG210" s="3" t="n">
        <v>0.2566</v>
      </c>
      <c r="AH210" s="3" t="n">
        <v>35</v>
      </c>
      <c r="AI210" s="3" t="n">
        <v>3.3348</v>
      </c>
      <c r="AJ210" s="3" t="n">
        <v>1.6498</v>
      </c>
      <c r="AK210" s="3" t="n">
        <v>-0.3075768663648786</v>
      </c>
      <c r="AL210" s="6" t="n">
        <v>1.889390579450971</v>
      </c>
      <c r="AM210" s="3" t="n">
        <v>0</v>
      </c>
      <c r="AN210" s="3" t="n">
        <v>0.7484999999999999</v>
      </c>
      <c r="AO210" s="3" t="n">
        <v>0.189684</v>
      </c>
      <c r="AP210" s="3">
        <f>N(X210)*N(BI210)</f>
        <v/>
      </c>
      <c r="AQ210" s="3" t="n">
        <v>0.2566</v>
      </c>
      <c r="AR210" s="3" t="n">
        <v>0</v>
      </c>
      <c r="AS210" s="3" t="n">
        <v>-0</v>
      </c>
      <c r="AT210" s="3" t="n">
        <v>-0.3075768663648786</v>
      </c>
      <c r="AU210" s="3">
        <f>SUM(AN210:AT210)</f>
        <v/>
      </c>
      <c r="AV210" s="7">
        <f>IF(OR(N(W210)&lt;=0,N(BG210)=0),0,N(W210)*IF(N(R210)/N(W210)&gt;=60,N(BG210),1))</f>
        <v/>
      </c>
      <c r="AW210" s="7">
        <f>N(W210)*N(AF210)*N(BH210)</f>
        <v/>
      </c>
      <c r="AX210" s="7">
        <f>N(AL210)*(Assumptions!$B$13*N(BJ210)-(1-Assumptions!$B$13)*Assumptions!$B$14)+N(AM210)</f>
        <v/>
      </c>
      <c r="AY210" s="7">
        <f>N(AU210)*N(R210)/90+N(AV210)+N(AW210)+N(AX210)</f>
        <v/>
      </c>
      <c r="AZ210" s="3">
        <f>IF(N(R210)&lt;=0,0,(N(AY210)-N(AX210))*90/N(R210))</f>
        <v/>
      </c>
      <c r="BA210" s="7">
        <f>IFERROR(AY210-VLOOKUP($E210,Assumptions!$A$40:$C$43,3,FALSE),"")</f>
        <v/>
      </c>
      <c r="BB210" s="3">
        <f>IFERROR(BA210/H210,"")</f>
        <v/>
      </c>
      <c r="BC210">
        <f>IF(AND($G210=TRUE,$E210="GKP"),AY210,"")</f>
        <v/>
      </c>
      <c r="BD210">
        <f>IF(AND($G210=TRUE,$E210="DEF"),AY210,"")</f>
        <v/>
      </c>
      <c r="BE210">
        <f>IF(AND($G210=TRUE,$E210="MID"),AY210,"")</f>
        <v/>
      </c>
      <c r="BF210">
        <f>IF(AND($G210=TRUE,$E210="FWD"),AY210,"")</f>
        <v/>
      </c>
      <c r="BG210" t="n">
        <v>2</v>
      </c>
      <c r="BH210" t="n">
        <v>2</v>
      </c>
      <c r="BI210" t="n">
        <v>1</v>
      </c>
      <c r="BJ210" t="n">
        <v>5</v>
      </c>
    </row>
    <row r="211">
      <c r="A211" s="9" t="inlineStr">
        <is>
          <t>Brennan Johnson</t>
        </is>
      </c>
      <c r="B211" t="inlineStr">
        <is>
          <t>EVE</t>
        </is>
      </c>
      <c r="C211" s="9" t="inlineStr">
        <is>
          <t>CRY</t>
        </is>
      </c>
      <c r="D211" t="b">
        <v>1</v>
      </c>
      <c r="E211" t="inlineStr">
        <is>
          <t>MID</t>
        </is>
      </c>
      <c r="F211" t="inlineStr">
        <is>
          <t>MID</t>
        </is>
      </c>
      <c r="G211" t="b">
        <v>1</v>
      </c>
      <c r="H211" s="2" t="n">
        <v>6</v>
      </c>
      <c r="I211" t="inlineStr">
        <is>
          <t>a</t>
        </is>
      </c>
      <c r="K211" s="2" t="n">
        <v>1710</v>
      </c>
      <c r="L211" t="n">
        <v>65</v>
      </c>
      <c r="M211" s="3" t="n">
        <v>1082</v>
      </c>
      <c r="N211" s="4" t="n">
        <v>2100</v>
      </c>
      <c r="O211" s="4" t="n">
        <v>1018</v>
      </c>
      <c r="P211" s="5" t="inlineStr">
        <is>
          <t>medium</t>
        </is>
      </c>
      <c r="Q211" t="inlineStr">
        <is>
          <t>flat</t>
        </is>
      </c>
      <c r="R211" s="6" t="n">
        <v>2100</v>
      </c>
      <c r="S211" t="inlineStr">
        <is>
          <t>research</t>
        </is>
      </c>
      <c r="T211" s="5" t="inlineStr">
        <is>
          <t>Solio has him at bench level. He arrived on 10-11 August 2026 in a straight swap with Dwight McNeil, who had made 114 appearances as Everton's first-choice wide man, and signed a four-year deal to 2030. Read Everton's transfer tracker calls him a source of 'pace, direct running and goals' who can also play centrally; the official FPL game prices him at GBP 6.0m, joint second-highest in the squad and level with Tarkowski and Ndiaye, which is not how the game prices a rotation winger. He was an unused substitute against Lille on 15 August, his first Everton matchday squad. Sized below a nailed-on 3,000-plus because he scored nothing in 26 Palace appearances, has had no pre-season with Everton, and Tyrique George (GBP 20m+ permanent), Tyler Dibling and Merlin Röhl all play wide.</t>
        </is>
      </c>
      <c r="U211" s="6" t="n">
        <v>77.90000000000001</v>
      </c>
      <c r="V211" s="2" t="n">
        <v>19</v>
      </c>
      <c r="W211" s="7">
        <f>IF(N(U211)&lt;=0,0,MIN(Assumptions!$B$15,N(R211)/N(U211)))</f>
        <v/>
      </c>
      <c r="X211" s="6" t="n">
        <v>0.231</v>
      </c>
      <c r="Y211" s="10" t="n">
        <v>0.1194</v>
      </c>
      <c r="Z211" t="inlineStr">
        <is>
          <t>adjusted xGOT</t>
        </is>
      </c>
      <c r="AA211" s="3" t="n">
        <v>1</v>
      </c>
      <c r="AB211" s="3" t="n">
        <v>0.926</v>
      </c>
      <c r="AC211" s="3" t="n">
        <v>32</v>
      </c>
      <c r="AD211" s="10" t="n">
        <v>0.0682</v>
      </c>
      <c r="AE211" s="3" t="n">
        <v>7.023</v>
      </c>
      <c r="AF211" s="3" t="n">
        <v>0.02192616524412738</v>
      </c>
      <c r="AG211" s="3" t="n">
        <v>0.1053</v>
      </c>
      <c r="AH211" s="3" t="n">
        <v>50</v>
      </c>
      <c r="AI211" s="3" t="n">
        <v>3.0311</v>
      </c>
      <c r="AJ211" s="3" t="n">
        <v>1.5252</v>
      </c>
      <c r="AK211" s="3" t="n">
        <v>-0.2406650059580908</v>
      </c>
      <c r="AL211" s="6" t="n">
        <v>0</v>
      </c>
      <c r="AM211" s="3" t="n">
        <v>0</v>
      </c>
      <c r="AN211" s="10" t="n">
        <v>0.597</v>
      </c>
      <c r="AO211" s="10" t="n">
        <v>0.270072</v>
      </c>
      <c r="AP211" s="3">
        <f>N(X211)*N(BI211)</f>
        <v/>
      </c>
      <c r="AQ211" s="3" t="n">
        <v>0.1053</v>
      </c>
      <c r="AR211" s="3" t="n">
        <v>0</v>
      </c>
      <c r="AS211" s="3" t="n">
        <v>-0</v>
      </c>
      <c r="AT211" s="3" t="n">
        <v>-0.2406650059580908</v>
      </c>
      <c r="AU211" s="3">
        <f>SUM(AN211:AT211)</f>
        <v/>
      </c>
      <c r="AV211" s="7">
        <f>IF(OR(N(W211)&lt;=0,N(BG211)=0),0,N(W211)*IF(N(R211)/N(W211)&gt;=60,N(BG211),1))</f>
        <v/>
      </c>
      <c r="AW211" s="7">
        <f>N(W211)*N(AF211)*N(BH211)</f>
        <v/>
      </c>
      <c r="AX211" s="7">
        <f>N(AL211)*(Assumptions!$B$13*N(BJ211)-(1-Assumptions!$B$13)*Assumptions!$B$14)+N(AM211)</f>
        <v/>
      </c>
      <c r="AY211" s="7">
        <f>N(AU211)*N(R211)/90+N(AV211)+N(AW211)+N(AX211)</f>
        <v/>
      </c>
      <c r="AZ211" s="3">
        <f>IF(N(R211)&lt;=0,0,(N(AY211)-N(AX211))*90/N(R211))</f>
        <v/>
      </c>
      <c r="BA211" s="7">
        <f>IFERROR(AY211-VLOOKUP($E211,Assumptions!$A$40:$C$43,3,FALSE),"")</f>
        <v/>
      </c>
      <c r="BB211" s="3">
        <f>IFERROR(BA211/H211,"")</f>
        <v/>
      </c>
      <c r="BC211">
        <f>IF(AND($G211=TRUE,$E211="GKP"),AY211,"")</f>
        <v/>
      </c>
      <c r="BD211">
        <f>IF(AND($G211=TRUE,$E211="DEF"),AY211,"")</f>
        <v/>
      </c>
      <c r="BE211">
        <f>IF(AND($G211=TRUE,$E211="MID"),AY211,"")</f>
        <v/>
      </c>
      <c r="BF211">
        <f>IF(AND($G211=TRUE,$E211="FWD"),AY211,"")</f>
        <v/>
      </c>
      <c r="BG211" t="n">
        <v>2</v>
      </c>
      <c r="BH211" t="n">
        <v>2</v>
      </c>
      <c r="BI211" t="n">
        <v>1</v>
      </c>
      <c r="BJ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s="8" t="n">
        <v>1693</v>
      </c>
      <c r="O212" s="8" t="n">
        <v>0</v>
      </c>
      <c r="Q212" t="inlineStr">
        <is>
          <t>flat</t>
        </is>
      </c>
      <c r="R212" s="6" t="n">
        <v>1693</v>
      </c>
      <c r="S212" t="inlineStr">
        <is>
          <t>Solio</t>
        </is>
      </c>
      <c r="U212" s="6" t="n">
        <v>82.7</v>
      </c>
      <c r="V212" s="2" t="n">
        <v>18</v>
      </c>
      <c r="W212" s="7">
        <f>IF(N(U212)&lt;=0,0,MIN(Assumptions!$B$15,N(R212)/N(U212)))</f>
        <v/>
      </c>
      <c r="X212" s="6" t="n">
        <v>0.322</v>
      </c>
      <c r="Y212" s="3" t="n">
        <v>0.0335</v>
      </c>
      <c r="Z212" t="inlineStr">
        <is>
          <t>adjusted xGOT</t>
        </is>
      </c>
      <c r="AA212" s="3" t="n">
        <v>1</v>
      </c>
      <c r="AB212" s="3" t="n">
        <v>0.889</v>
      </c>
      <c r="AC212" s="3" t="n">
        <v>1.9</v>
      </c>
      <c r="AD212" s="3" t="n">
        <v>0.033</v>
      </c>
      <c r="AE212" s="3" t="n">
        <v>9.874000000000001</v>
      </c>
      <c r="AF212" s="3" t="n">
        <v>0.4222233146279868</v>
      </c>
      <c r="AG212" s="3" t="n">
        <v>0.1048</v>
      </c>
      <c r="AH212" s="3" t="n">
        <v>43</v>
      </c>
      <c r="AI212" s="3" t="n">
        <v>2.4232</v>
      </c>
      <c r="AJ212" s="3" t="n">
        <v>1.1851</v>
      </c>
      <c r="AK212" s="3" t="n">
        <v>-0.3040090495108185</v>
      </c>
      <c r="AL212" s="6" t="n">
        <v>0</v>
      </c>
      <c r="AM212" s="3" t="n">
        <v>0</v>
      </c>
      <c r="AN212" s="3" t="n">
        <v>0.201</v>
      </c>
      <c r="AO212" s="3" t="n">
        <v>0.13068</v>
      </c>
      <c r="AP212" s="3">
        <f>N(X212)*N(BI212)</f>
        <v/>
      </c>
      <c r="AQ212" s="3" t="n">
        <v>0.1048</v>
      </c>
      <c r="AR212" s="3" t="n">
        <v>0</v>
      </c>
      <c r="AS212" s="3" t="n">
        <v>-0.365915508000572</v>
      </c>
      <c r="AT212" s="3" t="n">
        <v>-0.3040090495108185</v>
      </c>
      <c r="AU212" s="3">
        <f>SUM(AN212:AT212)</f>
        <v/>
      </c>
      <c r="AV212" s="7">
        <f>IF(OR(N(W212)&lt;=0,N(BG212)=0),0,N(W212)*IF(N(R212)/N(W212)&gt;=60,N(BG212),1))</f>
        <v/>
      </c>
      <c r="AW212" s="7">
        <f>N(W212)*N(AF212)*N(BH212)</f>
        <v/>
      </c>
      <c r="AX212" s="7">
        <f>N(AL212)*(Assumptions!$B$13*N(BJ212)-(1-Assumptions!$B$13)*Assumptions!$B$14)+N(AM212)</f>
        <v/>
      </c>
      <c r="AY212" s="7">
        <f>N(AU212)*N(R212)/90+N(AV212)+N(AW212)+N(AX212)</f>
        <v/>
      </c>
      <c r="AZ212" s="3">
        <f>IF(N(R212)&lt;=0,0,(N(AY212)-N(AX212))*90/N(R212))</f>
        <v/>
      </c>
      <c r="BA212" s="7">
        <f>IFERROR(AY212-VLOOKUP($E212,Assumptions!$A$40:$C$43,3,FALSE),"")</f>
        <v/>
      </c>
      <c r="BB212" s="3">
        <f>IFERROR(BA212/H212,"")</f>
        <v/>
      </c>
      <c r="BC212">
        <f>IF(AND($G212=TRUE,$E212="GKP"),AY212,"")</f>
        <v/>
      </c>
      <c r="BD212">
        <f>IF(AND($G212=TRUE,$E212="DEF"),AY212,"")</f>
        <v/>
      </c>
      <c r="BE212">
        <f>IF(AND($G212=TRUE,$E212="MID"),AY212,"")</f>
        <v/>
      </c>
      <c r="BF212">
        <f>IF(AND($G212=TRUE,$E212="FWD"),AY212,"")</f>
        <v/>
      </c>
      <c r="BG212" t="n">
        <v>2</v>
      </c>
      <c r="BH212" t="n">
        <v>2</v>
      </c>
      <c r="BI212" t="n">
        <v>4</v>
      </c>
      <c r="BJ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s="4" t="n">
        <v>2200</v>
      </c>
      <c r="O213" s="4" t="n">
        <v>313</v>
      </c>
      <c r="P213" s="5" t="inlineStr">
        <is>
          <t>medium</t>
        </is>
      </c>
      <c r="Q213" t="inlineStr">
        <is>
          <t>flat</t>
        </is>
      </c>
      <c r="R213" s="6" t="n">
        <v>2200</v>
      </c>
      <c r="S213" t="inlineStr">
        <is>
          <t>research</t>
        </is>
      </c>
      <c r="T213" s="5" t="inlineStr">
        <is>
          <t>Started all three of Fulham's last three friendlies at left-back (7 Aug v Crystal Palace, scoring; 12 Aug v Malaga; 15 Aug v Stuttgart), with Sessegnon used off the bench in two of them. Solio's 1887 is anchored to an injury-hit 1487 minutes in 2025/26; fitness remains the caveat, so this is a partial rather than full restoration.</t>
        </is>
      </c>
      <c r="U213" s="6" t="n">
        <v>83.8</v>
      </c>
      <c r="V213" s="2" t="n">
        <v>17</v>
      </c>
      <c r="W213" s="7">
        <f>IF(N(U213)&lt;=0,0,MIN(Assumptions!$B$15,N(R213)/N(U213)))</f>
        <v/>
      </c>
      <c r="X213" s="6" t="n">
        <v>0.214</v>
      </c>
      <c r="Y213" s="3" t="n">
        <v>0.0144</v>
      </c>
      <c r="Z213" t="inlineStr">
        <is>
          <t>adjusted xGOT</t>
        </is>
      </c>
      <c r="AA213" s="3" t="n">
        <v>0.221</v>
      </c>
      <c r="AB213" s="3" t="n">
        <v>1.008</v>
      </c>
      <c r="AC213" s="3" t="n">
        <v>2.5</v>
      </c>
      <c r="AD213" s="3" t="n">
        <v>0.0808</v>
      </c>
      <c r="AE213" s="3" t="n">
        <v>8.053000000000001</v>
      </c>
      <c r="AF213" s="3" t="n">
        <v>0.2233907529500363</v>
      </c>
      <c r="AG213" s="3" t="n">
        <v>0.4237</v>
      </c>
      <c r="AH213" s="3" t="n">
        <v>38</v>
      </c>
      <c r="AI213" s="3" t="n">
        <v>3.22</v>
      </c>
      <c r="AJ213" s="3" t="n">
        <v>1.6019</v>
      </c>
      <c r="AK213" s="3" t="n">
        <v>-0.2432740487946192</v>
      </c>
      <c r="AL213" s="6" t="n">
        <v>0.4930201863642248</v>
      </c>
      <c r="AM213" s="3" t="n">
        <v>0</v>
      </c>
      <c r="AN213" s="3" t="n">
        <v>0.0864</v>
      </c>
      <c r="AO213" s="3" t="n">
        <v>0.319968</v>
      </c>
      <c r="AP213" s="3">
        <f>N(X213)*N(BI213)</f>
        <v/>
      </c>
      <c r="AQ213" s="3" t="n">
        <v>0.4237</v>
      </c>
      <c r="AR213" s="3" t="n">
        <v>0</v>
      </c>
      <c r="AS213" s="3" t="n">
        <v>-0.5611019003833156</v>
      </c>
      <c r="AT213" s="3" t="n">
        <v>-0.2432740487946192</v>
      </c>
      <c r="AU213" s="3">
        <f>SUM(AN213:AT213)</f>
        <v/>
      </c>
      <c r="AV213" s="7">
        <f>IF(OR(N(W213)&lt;=0,N(BG213)=0),0,N(W213)*IF(N(R213)/N(W213)&gt;=60,N(BG213),1))</f>
        <v/>
      </c>
      <c r="AW213" s="7">
        <f>N(W213)*N(AF213)*N(BH213)</f>
        <v/>
      </c>
      <c r="AX213" s="7">
        <f>N(AL213)*(Assumptions!$B$13*N(BJ213)-(1-Assumptions!$B$13)*Assumptions!$B$14)+N(AM213)</f>
        <v/>
      </c>
      <c r="AY213" s="7">
        <f>N(AU213)*N(R213)/90+N(AV213)+N(AW213)+N(AX213)</f>
        <v/>
      </c>
      <c r="AZ213" s="3">
        <f>IF(N(R213)&lt;=0,0,(N(AY213)-N(AX213))*90/N(R213))</f>
        <v/>
      </c>
      <c r="BA213" s="7">
        <f>IFERROR(AY213-VLOOKUP($E213,Assumptions!$A$40:$C$43,3,FALSE),"")</f>
        <v/>
      </c>
      <c r="BB213" s="3">
        <f>IFERROR(BA213/H213,"")</f>
        <v/>
      </c>
      <c r="BC213">
        <f>IF(AND($G213=TRUE,$E213="GKP"),AY213,"")</f>
        <v/>
      </c>
      <c r="BD213">
        <f>IF(AND($G213=TRUE,$E213="DEF"),AY213,"")</f>
        <v/>
      </c>
      <c r="BE213">
        <f>IF(AND($G213=TRUE,$E213="MID"),AY213,"")</f>
        <v/>
      </c>
      <c r="BF213">
        <f>IF(AND($G213=TRUE,$E213="FWD"),AY213,"")</f>
        <v/>
      </c>
      <c r="BG213" t="n">
        <v>2</v>
      </c>
      <c r="BH213" t="n">
        <v>2</v>
      </c>
      <c r="BI213" t="n">
        <v>4</v>
      </c>
      <c r="BJ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s="4" t="n">
        <v>2200</v>
      </c>
      <c r="O214" s="4" t="n">
        <v>245</v>
      </c>
      <c r="P214" s="5" t="inlineStr">
        <is>
          <t>medium</t>
        </is>
      </c>
      <c r="Q214" t="inlineStr">
        <is>
          <t>flat</t>
        </is>
      </c>
      <c r="R214" s="6" t="n">
        <v>2200</v>
      </c>
      <c r="S214" t="inlineStr">
        <is>
          <t>research</t>
        </is>
      </c>
      <c r="T214" s="5" t="inlineStr">
        <is>
          <t>Started the Super Cup final at centre-back and featured again against Monchengladbach; he looks the settled left-sided partner for Konsa rather than a rotation option, and Digne's departure removes another left-sided body from the back line.</t>
        </is>
      </c>
      <c r="U214" s="6" t="n">
        <v>87</v>
      </c>
      <c r="V214" s="2" t="n">
        <v>18</v>
      </c>
      <c r="W214" s="7">
        <f>IF(N(U214)&lt;=0,0,MIN(Assumptions!$B$15,N(R214)/N(U214)))</f>
        <v/>
      </c>
      <c r="X214" s="6" t="n">
        <v>0.273</v>
      </c>
      <c r="Y214" s="3" t="n">
        <v>0.0669</v>
      </c>
      <c r="Z214" t="inlineStr">
        <is>
          <t>adjusted xGOT</t>
        </is>
      </c>
      <c r="AA214" s="3" t="n">
        <v>1</v>
      </c>
      <c r="AB214" s="3" t="n">
        <v>0.9350000000000001</v>
      </c>
      <c r="AC214" s="3" t="n">
        <v>2.8</v>
      </c>
      <c r="AD214" s="3" t="n">
        <v>0.0107</v>
      </c>
      <c r="AE214" s="3" t="n">
        <v>6.525</v>
      </c>
      <c r="AF214" s="3" t="n">
        <v>0.1067148644048088</v>
      </c>
      <c r="AG214" s="3" t="n">
        <v>0.1076</v>
      </c>
      <c r="AH214" s="3" t="n">
        <v>39</v>
      </c>
      <c r="AI214" s="3" t="n">
        <v>2.7451</v>
      </c>
      <c r="AJ214" s="3" t="n">
        <v>1.3575</v>
      </c>
      <c r="AK214" s="3" t="n">
        <v>-0.1149958496148794</v>
      </c>
      <c r="AL214" s="6" t="n">
        <v>0</v>
      </c>
      <c r="AM214" s="3" t="n">
        <v>0</v>
      </c>
      <c r="AN214" s="3" t="n">
        <v>0.4014</v>
      </c>
      <c r="AO214" s="3" t="n">
        <v>0.042372</v>
      </c>
      <c r="AP214" s="3">
        <f>N(X214)*N(BI214)</f>
        <v/>
      </c>
      <c r="AQ214" s="3" t="n">
        <v>0.1076</v>
      </c>
      <c r="AR214" s="3" t="n">
        <v>0</v>
      </c>
      <c r="AS214" s="3" t="n">
        <v>-0.4453012382517575</v>
      </c>
      <c r="AT214" s="3" t="n">
        <v>-0.1149958496148794</v>
      </c>
      <c r="AU214" s="3">
        <f>SUM(AN214:AT214)</f>
        <v/>
      </c>
      <c r="AV214" s="7">
        <f>IF(OR(N(W214)&lt;=0,N(BG214)=0),0,N(W214)*IF(N(R214)/N(W214)&gt;=60,N(BG214),1))</f>
        <v/>
      </c>
      <c r="AW214" s="7">
        <f>N(W214)*N(AF214)*N(BH214)</f>
        <v/>
      </c>
      <c r="AX214" s="7">
        <f>N(AL214)*(Assumptions!$B$13*N(BJ214)-(1-Assumptions!$B$13)*Assumptions!$B$14)+N(AM214)</f>
        <v/>
      </c>
      <c r="AY214" s="7">
        <f>N(AU214)*N(R214)/90+N(AV214)+N(AW214)+N(AX214)</f>
        <v/>
      </c>
      <c r="AZ214" s="3">
        <f>IF(N(R214)&lt;=0,0,(N(AY214)-N(AX214))*90/N(R214))</f>
        <v/>
      </c>
      <c r="BA214" s="7">
        <f>IFERROR(AY214-VLOOKUP($E214,Assumptions!$A$40:$C$43,3,FALSE),"")</f>
        <v/>
      </c>
      <c r="BB214" s="3">
        <f>IFERROR(BA214/H214,"")</f>
        <v/>
      </c>
      <c r="BC214">
        <f>IF(AND($G214=TRUE,$E214="GKP"),AY214,"")</f>
        <v/>
      </c>
      <c r="BD214">
        <f>IF(AND($G214=TRUE,$E214="DEF"),AY214,"")</f>
        <v/>
      </c>
      <c r="BE214">
        <f>IF(AND($G214=TRUE,$E214="MID"),AY214,"")</f>
        <v/>
      </c>
      <c r="BF214">
        <f>IF(AND($G214=TRUE,$E214="FWD"),AY214,"")</f>
        <v/>
      </c>
      <c r="BG214" t="n">
        <v>2</v>
      </c>
      <c r="BH214" t="n">
        <v>2</v>
      </c>
      <c r="BI214" t="n">
        <v>4</v>
      </c>
      <c r="BJ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s="4" t="n">
        <v>950</v>
      </c>
      <c r="O215" s="4" t="n">
        <v>228</v>
      </c>
      <c r="P215" s="5" t="inlineStr">
        <is>
          <t>medium</t>
        </is>
      </c>
      <c r="Q215" t="inlineStr">
        <is>
          <t>fade (losing his place)</t>
        </is>
      </c>
      <c r="R215" s="6" t="n">
        <v>950</v>
      </c>
      <c r="S215" t="inlineStr">
        <is>
          <t>research</t>
        </is>
      </c>
      <c r="T215" s="5" t="inlineStr">
        <is>
          <t>Solio flags him 'fade (losing his place)', but he publicly ruled out leaving in early August, Reijnders' sale removes a direct competitor, and with Rodri out he was named the safe bet to start the Community Shield ahead of the barely-trained Anderson. Deliberately a small raise, not a big one: Bouaddi's arrival would land squarely on top of him.</t>
        </is>
      </c>
      <c r="U215" s="6" t="n">
        <v>80.40000000000001</v>
      </c>
      <c r="V215" s="2" t="n">
        <v>17</v>
      </c>
      <c r="W215" s="7">
        <f>IF(N(U215)&lt;=0,0,MIN(Assumptions!$B$15,N(R215)/N(U215)))</f>
        <v/>
      </c>
      <c r="X215" s="6" t="n">
        <v>0.371</v>
      </c>
      <c r="Y215" s="3" t="n">
        <v>0.0382</v>
      </c>
      <c r="Z215" t="inlineStr">
        <is>
          <t>adjusted xGOT</t>
        </is>
      </c>
      <c r="AA215" s="3" t="n">
        <v>1</v>
      </c>
      <c r="AB215" s="3" t="n">
        <v>0.975</v>
      </c>
      <c r="AC215" s="3" t="n">
        <v>1.1</v>
      </c>
      <c r="AD215" s="3" t="n">
        <v>0.0579</v>
      </c>
      <c r="AE215" s="3" t="n">
        <v>10.835</v>
      </c>
      <c r="AF215" s="3" t="n">
        <v>0.267391740645224</v>
      </c>
      <c r="AG215" s="3" t="n">
        <v>0.0577</v>
      </c>
      <c r="AH215" s="3" t="n">
        <v>42</v>
      </c>
      <c r="AI215" s="3" t="n">
        <v>1.9737</v>
      </c>
      <c r="AJ215" s="3" t="n">
        <v>1.0365</v>
      </c>
      <c r="AK215" s="3" t="n">
        <v>-0.3027638844986323</v>
      </c>
      <c r="AL215" s="6" t="n">
        <v>0</v>
      </c>
      <c r="AM215" s="3" t="n">
        <v>0</v>
      </c>
      <c r="AN215" s="3" t="n">
        <v>0.191</v>
      </c>
      <c r="AO215" s="3" t="n">
        <v>0.229284</v>
      </c>
      <c r="AP215" s="3">
        <f>N(X215)*N(BI215)</f>
        <v/>
      </c>
      <c r="AQ215" s="3" t="n">
        <v>0.0577</v>
      </c>
      <c r="AR215" s="3" t="n">
        <v>0</v>
      </c>
      <c r="AS215" s="3" t="n">
        <v>-0</v>
      </c>
      <c r="AT215" s="3" t="n">
        <v>-0.3027638844986323</v>
      </c>
      <c r="AU215" s="3">
        <f>SUM(AN215:AT215)</f>
        <v/>
      </c>
      <c r="AV215" s="7">
        <f>IF(OR(N(W215)&lt;=0,N(BG215)=0),0,N(W215)*IF(N(R215)/N(W215)&gt;=60,N(BG215),1))</f>
        <v/>
      </c>
      <c r="AW215" s="7">
        <f>N(W215)*N(AF215)*N(BH215)</f>
        <v/>
      </c>
      <c r="AX215" s="7">
        <f>N(AL215)*(Assumptions!$B$13*N(BJ215)-(1-Assumptions!$B$13)*Assumptions!$B$14)+N(AM215)</f>
        <v/>
      </c>
      <c r="AY215" s="7">
        <f>N(AU215)*N(R215)/90+N(AV215)+N(AW215)+N(AX215)</f>
        <v/>
      </c>
      <c r="AZ215" s="3">
        <f>IF(N(R215)&lt;=0,0,(N(AY215)-N(AX215))*90/N(R215))</f>
        <v/>
      </c>
      <c r="BA215" s="7">
        <f>IFERROR(AY215-VLOOKUP($E215,Assumptions!$A$40:$C$43,3,FALSE),"")</f>
        <v/>
      </c>
      <c r="BB215" s="3">
        <f>IFERROR(BA215/H215,"")</f>
        <v/>
      </c>
      <c r="BC215">
        <f>IF(AND($G215=TRUE,$E215="GKP"),AY215,"")</f>
        <v/>
      </c>
      <c r="BD215">
        <f>IF(AND($G215=TRUE,$E215="DEF"),AY215,"")</f>
        <v/>
      </c>
      <c r="BE215">
        <f>IF(AND($G215=TRUE,$E215="MID"),AY215,"")</f>
        <v/>
      </c>
      <c r="BF215">
        <f>IF(AND($G215=TRUE,$E215="FWD"),AY215,"")</f>
        <v/>
      </c>
      <c r="BG215" t="n">
        <v>2</v>
      </c>
      <c r="BH215" t="n">
        <v>2</v>
      </c>
      <c r="BI215" t="n">
        <v>1</v>
      </c>
      <c r="BJ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s="4" t="n">
        <v>2030</v>
      </c>
      <c r="O216" s="4" t="n">
        <v>331</v>
      </c>
      <c r="P216" s="5" t="inlineStr">
        <is>
          <t>medium</t>
        </is>
      </c>
      <c r="Q216" t="inlineStr">
        <is>
          <t>flat</t>
        </is>
      </c>
      <c r="R216" s="6" t="n">
        <v>2030</v>
      </c>
      <c r="S216" t="inlineStr">
        <is>
          <t>research</t>
        </is>
      </c>
      <c r="T216" s="5" t="inlineStr">
        <is>
          <t>Liverpool have no fit senior specialist right-back: Bradley is out until roughly October and Ramsay is 'not at the level to assume the role beyond pre-season'. Frimpong trained normally after his US-tour withdrawal and starts in every pre-season first-choice XI. Solio's 1699 prices in his injury record; raised, but not to a nailed-starter level, because that record is real.</t>
        </is>
      </c>
      <c r="U216" s="6" t="n">
        <v>79.7</v>
      </c>
      <c r="V216" s="2" t="n">
        <v>12</v>
      </c>
      <c r="W216" s="7">
        <f>IF(N(U216)&lt;=0,0,MIN(Assumptions!$B$15,N(R216)/N(U216)))</f>
        <v/>
      </c>
      <c r="X216" s="6" t="n">
        <v>0.342</v>
      </c>
      <c r="Y216" s="3" t="n">
        <v>0.042</v>
      </c>
      <c r="Z216" t="inlineStr">
        <is>
          <t>adjusted xGOT</t>
        </is>
      </c>
      <c r="AA216" s="3" t="n">
        <v>1</v>
      </c>
      <c r="AB216" s="3" t="n">
        <v>0.965</v>
      </c>
      <c r="AC216" s="3" t="n">
        <v>0.5</v>
      </c>
      <c r="AD216" s="3" t="n">
        <v>0.1849</v>
      </c>
      <c r="AE216" s="3" t="n">
        <v>4.699</v>
      </c>
      <c r="AF216" s="3" t="n">
        <v>0.01048968348947754</v>
      </c>
      <c r="AG216" s="3" t="n">
        <v>0.0872</v>
      </c>
      <c r="AH216" s="3" t="n">
        <v>31</v>
      </c>
      <c r="AI216" s="3" t="n">
        <v>2.409</v>
      </c>
      <c r="AJ216" s="3" t="n">
        <v>1.1228</v>
      </c>
      <c r="AK216" s="3" t="n">
        <v>-0.1643972585931323</v>
      </c>
      <c r="AL216" s="6" t="n">
        <v>0</v>
      </c>
      <c r="AM216" s="3" t="n">
        <v>0</v>
      </c>
      <c r="AN216" s="3" t="n">
        <v>0.252</v>
      </c>
      <c r="AO216" s="3" t="n">
        <v>0.732204</v>
      </c>
      <c r="AP216" s="3">
        <f>N(X216)*N(BI216)</f>
        <v/>
      </c>
      <c r="AQ216" s="3" t="n">
        <v>0.0872</v>
      </c>
      <c r="AR216" s="3" t="n">
        <v>0</v>
      </c>
      <c r="AS216" s="3" t="n">
        <v>-0.3378660007281162</v>
      </c>
      <c r="AT216" s="3" t="n">
        <v>-0.1643972585931323</v>
      </c>
      <c r="AU216" s="3">
        <f>SUM(AN216:AT216)</f>
        <v/>
      </c>
      <c r="AV216" s="7">
        <f>IF(OR(N(W216)&lt;=0,N(BG216)=0),0,N(W216)*IF(N(R216)/N(W216)&gt;=60,N(BG216),1))</f>
        <v/>
      </c>
      <c r="AW216" s="7">
        <f>N(W216)*N(AF216)*N(BH216)</f>
        <v/>
      </c>
      <c r="AX216" s="7">
        <f>N(AL216)*(Assumptions!$B$13*N(BJ216)-(1-Assumptions!$B$13)*Assumptions!$B$14)+N(AM216)</f>
        <v/>
      </c>
      <c r="AY216" s="7">
        <f>N(AU216)*N(R216)/90+N(AV216)+N(AW216)+N(AX216)</f>
        <v/>
      </c>
      <c r="AZ216" s="3">
        <f>IF(N(R216)&lt;=0,0,(N(AY216)-N(AX216))*90/N(R216))</f>
        <v/>
      </c>
      <c r="BA216" s="7">
        <f>IFERROR(AY216-VLOOKUP($E216,Assumptions!$A$40:$C$43,3,FALSE),"")</f>
        <v/>
      </c>
      <c r="BB216" s="3">
        <f>IFERROR(BA216/H216,"")</f>
        <v/>
      </c>
      <c r="BC216">
        <f>IF(AND($G216=TRUE,$E216="GKP"),AY216,"")</f>
        <v/>
      </c>
      <c r="BD216">
        <f>IF(AND($G216=TRUE,$E216="DEF"),AY216,"")</f>
        <v/>
      </c>
      <c r="BE216">
        <f>IF(AND($G216=TRUE,$E216="MID"),AY216,"")</f>
        <v/>
      </c>
      <c r="BF216">
        <f>IF(AND($G216=TRUE,$E216="FWD"),AY216,"")</f>
        <v/>
      </c>
      <c r="BG216" t="n">
        <v>2</v>
      </c>
      <c r="BH216" t="n">
        <v>2</v>
      </c>
      <c r="BI216" t="n">
        <v>4</v>
      </c>
      <c r="BJ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s="8" t="n">
        <v>304</v>
      </c>
      <c r="O217" s="8" t="n">
        <v>0</v>
      </c>
      <c r="Q217" t="inlineStr">
        <is>
          <t>flat</t>
        </is>
      </c>
      <c r="R217" s="6" t="n">
        <v>304</v>
      </c>
      <c r="S217" t="inlineStr">
        <is>
          <t>Solio</t>
        </is>
      </c>
      <c r="U217" s="6" t="n">
        <v>85</v>
      </c>
      <c r="V217" s="2" t="n">
        <v>17</v>
      </c>
      <c r="W217" s="7">
        <f>IF(N(U217)&lt;=0,0,MIN(Assumptions!$B$15,N(R217)/N(U217)))</f>
        <v/>
      </c>
      <c r="X217" s="6" t="n">
        <v>0.286</v>
      </c>
      <c r="Y217" s="3" t="n">
        <v>0.0337</v>
      </c>
      <c r="Z217" t="inlineStr">
        <is>
          <t>adjusted xGOT</t>
        </is>
      </c>
      <c r="AA217" s="3" t="n">
        <v>1</v>
      </c>
      <c r="AB217" s="3" t="n">
        <v>0.898</v>
      </c>
      <c r="AC217" s="3" t="n">
        <v>1</v>
      </c>
      <c r="AD217" s="3" t="n">
        <v>0.0133</v>
      </c>
      <c r="AE217" s="3" t="n">
        <v>10.327</v>
      </c>
      <c r="AF217" s="3" t="n">
        <v>0.510847971231742</v>
      </c>
      <c r="AG217" s="3" t="n">
        <v>0.0604</v>
      </c>
      <c r="AH217" s="3" t="n">
        <v>39</v>
      </c>
      <c r="AI217" s="3" t="n">
        <v>2.5739</v>
      </c>
      <c r="AJ217" s="3" t="n">
        <v>1.3096</v>
      </c>
      <c r="AK217" s="3" t="n">
        <v>-0.3077245786767728</v>
      </c>
      <c r="AL217" s="6" t="n">
        <v>0</v>
      </c>
      <c r="AM217" s="3" t="n">
        <v>0</v>
      </c>
      <c r="AN217" s="3" t="n">
        <v>0.2022</v>
      </c>
      <c r="AO217" s="3" t="n">
        <v>0.052668</v>
      </c>
      <c r="AP217" s="3">
        <f>N(X217)*N(BI217)</f>
        <v/>
      </c>
      <c r="AQ217" s="3" t="n">
        <v>0.0604</v>
      </c>
      <c r="AR217" s="3" t="n">
        <v>0</v>
      </c>
      <c r="AS217" s="3" t="n">
        <v>-0.4230152821052008</v>
      </c>
      <c r="AT217" s="3" t="n">
        <v>-0.3077245786767728</v>
      </c>
      <c r="AU217" s="3">
        <f>SUM(AN217:AT217)</f>
        <v/>
      </c>
      <c r="AV217" s="7">
        <f>IF(OR(N(W217)&lt;=0,N(BG217)=0),0,N(W217)*IF(N(R217)/N(W217)&gt;=60,N(BG217),1))</f>
        <v/>
      </c>
      <c r="AW217" s="7">
        <f>N(W217)*N(AF217)*N(BH217)</f>
        <v/>
      </c>
      <c r="AX217" s="7">
        <f>N(AL217)*(Assumptions!$B$13*N(BJ217)-(1-Assumptions!$B$13)*Assumptions!$B$14)+N(AM217)</f>
        <v/>
      </c>
      <c r="AY217" s="7">
        <f>N(AU217)*N(R217)/90+N(AV217)+N(AW217)+N(AX217)</f>
        <v/>
      </c>
      <c r="AZ217" s="3">
        <f>IF(N(R217)&lt;=0,0,(N(AY217)-N(AX217))*90/N(R217))</f>
        <v/>
      </c>
      <c r="BA217" s="7">
        <f>IFERROR(AY217-VLOOKUP($E217,Assumptions!$A$40:$C$43,3,FALSE),"")</f>
        <v/>
      </c>
      <c r="BB217" s="3">
        <f>IFERROR(BA217/H217,"")</f>
        <v/>
      </c>
      <c r="BC217">
        <f>IF(AND($G217=TRUE,$E217="GKP"),AY217,"")</f>
        <v/>
      </c>
      <c r="BD217">
        <f>IF(AND($G217=TRUE,$E217="DEF"),AY217,"")</f>
        <v/>
      </c>
      <c r="BE217">
        <f>IF(AND($G217=TRUE,$E217="MID"),AY217,"")</f>
        <v/>
      </c>
      <c r="BF217">
        <f>IF(AND($G217=TRUE,$E217="FWD"),AY217,"")</f>
        <v/>
      </c>
      <c r="BG217" t="n">
        <v>2</v>
      </c>
      <c r="BH217" t="n">
        <v>2</v>
      </c>
      <c r="BI217" t="n">
        <v>4</v>
      </c>
      <c r="BJ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s="4" t="n">
        <v>1250</v>
      </c>
      <c r="O218" s="4" t="n">
        <v>-443</v>
      </c>
      <c r="P218" s="5" t="inlineStr">
        <is>
          <t>medium</t>
        </is>
      </c>
      <c r="Q218" t="inlineStr">
        <is>
          <t>flat</t>
        </is>
      </c>
      <c r="R218" s="6" t="n">
        <v>1250</v>
      </c>
      <c r="S218" t="inlineStr">
        <is>
          <t>research</t>
        </is>
      </c>
      <c r="T218" s="5" t="inlineStr">
        <is>
          <t>Started the second pivot alongside Berge v Stuttgart on 15 Aug, but that role is precisely what Fulham spent £27m + £6m on Shea Charles to fill four days earlier. King is 19 and managed 1290 minutes in 2025/26 with a fuller squad; the Charles signing is the direct arithmetic offset to promoting Charles.</t>
        </is>
      </c>
      <c r="U218" s="6" t="n">
        <v>71.2</v>
      </c>
      <c r="V218" s="2" t="n">
        <v>15</v>
      </c>
      <c r="W218" s="7">
        <f>IF(N(U218)&lt;=0,0,MIN(Assumptions!$B$15,N(R218)/N(U218)))</f>
        <v/>
      </c>
      <c r="X218" s="6" t="n">
        <v>0.214</v>
      </c>
      <c r="Y218" s="3" t="n">
        <v>0.1716</v>
      </c>
      <c r="Z218" t="inlineStr">
        <is>
          <t>adjusted xGOT</t>
        </is>
      </c>
      <c r="AA218" s="3" t="n">
        <v>1</v>
      </c>
      <c r="AB218" s="3" t="n">
        <v>0.995</v>
      </c>
      <c r="AC218" s="3" t="n">
        <v>2.8</v>
      </c>
      <c r="AD218" s="3" t="n">
        <v>0.0593</v>
      </c>
      <c r="AE218" s="3" t="n">
        <v>7.863</v>
      </c>
      <c r="AF218" s="3" t="n">
        <v>0.02553162793736874</v>
      </c>
      <c r="AG218" s="3" t="n">
        <v>0.2093</v>
      </c>
      <c r="AH218" s="3" t="n">
        <v>45</v>
      </c>
      <c r="AI218" s="3" t="n">
        <v>3.22</v>
      </c>
      <c r="AJ218" s="3" t="n">
        <v>1.6019</v>
      </c>
      <c r="AK218" s="3" t="n">
        <v>-0.2472978659018994</v>
      </c>
      <c r="AL218" s="6" t="n">
        <v>0</v>
      </c>
      <c r="AM218" s="3" t="n">
        <v>0</v>
      </c>
      <c r="AN218" s="3" t="n">
        <v>0.858</v>
      </c>
      <c r="AO218" s="3" t="n">
        <v>0.234828</v>
      </c>
      <c r="AP218" s="3">
        <f>N(X218)*N(BI218)</f>
        <v/>
      </c>
      <c r="AQ218" s="3" t="n">
        <v>0.2093</v>
      </c>
      <c r="AR218" s="3" t="n">
        <v>0</v>
      </c>
      <c r="AS218" s="3" t="n">
        <v>-0</v>
      </c>
      <c r="AT218" s="3" t="n">
        <v>-0.2472978659018994</v>
      </c>
      <c r="AU218" s="3">
        <f>SUM(AN218:AT218)</f>
        <v/>
      </c>
      <c r="AV218" s="7">
        <f>IF(OR(N(W218)&lt;=0,N(BG218)=0),0,N(W218)*IF(N(R218)/N(W218)&gt;=60,N(BG218),1))</f>
        <v/>
      </c>
      <c r="AW218" s="7">
        <f>N(W218)*N(AF218)*N(BH218)</f>
        <v/>
      </c>
      <c r="AX218" s="7">
        <f>N(AL218)*(Assumptions!$B$13*N(BJ218)-(1-Assumptions!$B$13)*Assumptions!$B$14)+N(AM218)</f>
        <v/>
      </c>
      <c r="AY218" s="7">
        <f>N(AU218)*N(R218)/90+N(AV218)+N(AW218)+N(AX218)</f>
        <v/>
      </c>
      <c r="AZ218" s="3">
        <f>IF(N(R218)&lt;=0,0,(N(AY218)-N(AX218))*90/N(R218))</f>
        <v/>
      </c>
      <c r="BA218" s="7">
        <f>IFERROR(AY218-VLOOKUP($E218,Assumptions!$A$40:$C$43,3,FALSE),"")</f>
        <v/>
      </c>
      <c r="BB218" s="3">
        <f>IFERROR(BA218/H218,"")</f>
        <v/>
      </c>
      <c r="BC218">
        <f>IF(AND($G218=TRUE,$E218="GKP"),AY218,"")</f>
        <v/>
      </c>
      <c r="BD218">
        <f>IF(AND($G218=TRUE,$E218="DEF"),AY218,"")</f>
        <v/>
      </c>
      <c r="BE218">
        <f>IF(AND($G218=TRUE,$E218="MID"),AY218,"")</f>
        <v/>
      </c>
      <c r="BF218">
        <f>IF(AND($G218=TRUE,$E218="FWD"),AY218,"")</f>
        <v/>
      </c>
      <c r="BG218" t="n">
        <v>2</v>
      </c>
      <c r="BH218" t="n">
        <v>2</v>
      </c>
      <c r="BI218" t="n">
        <v>1</v>
      </c>
      <c r="BJ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s="4" t="n">
        <v>1150</v>
      </c>
      <c r="O219" s="4" t="n">
        <v>-203</v>
      </c>
      <c r="P219" s="5" t="inlineStr">
        <is>
          <t>low</t>
        </is>
      </c>
      <c r="Q219" t="inlineStr">
        <is>
          <t>fade (losing his place)</t>
        </is>
      </c>
      <c r="R219" s="6" t="n">
        <v>1150</v>
      </c>
      <c r="S219" t="inlineStr">
        <is>
          <t>research</t>
        </is>
      </c>
      <c r="T219" s="5" t="inlineStr">
        <is>
          <t>Brighton confirmed on 25 May 2026 that he had hamstring surgery and had begun early-stage rehab, giving no return date; FPL still lists 'Hamstring injury - Unknown return date' as of 2026-07-24. Solio already fades him to 1353, so this is a trim rather than a correction - it reflects that he will miss at least the opening weeks and that De Cuyper started ahead of him on the left on 15 Aug.</t>
        </is>
      </c>
      <c r="U219" s="6" t="n">
        <v>81.09999999999999</v>
      </c>
      <c r="V219" s="2" t="n">
        <v>19</v>
      </c>
      <c r="W219" s="7">
        <f>IF(N(U219)&lt;=0,0,MIN(Assumptions!$B$15,N(R219)/N(U219)))</f>
        <v/>
      </c>
      <c r="X219" s="6" t="n">
        <v>0.252</v>
      </c>
      <c r="Y219" s="3" t="n">
        <v>0.2198</v>
      </c>
      <c r="Z219" t="inlineStr">
        <is>
          <t>adjusted xGOT</t>
        </is>
      </c>
      <c r="AA219" s="3" t="n">
        <v>1</v>
      </c>
      <c r="AB219" s="3" t="n">
        <v>1.036</v>
      </c>
      <c r="AC219" s="3" t="n">
        <v>25</v>
      </c>
      <c r="AD219" s="3" t="n">
        <v>0.165</v>
      </c>
      <c r="AE219" s="3" t="n">
        <v>6.494</v>
      </c>
      <c r="AF219" s="3" t="n">
        <v>0.01695486308015282</v>
      </c>
      <c r="AG219" s="3" t="n">
        <v>0.105</v>
      </c>
      <c r="AH219" s="3" t="n">
        <v>42</v>
      </c>
      <c r="AI219" s="3" t="n">
        <v>2.8404</v>
      </c>
      <c r="AJ219" s="3" t="n">
        <v>1.439</v>
      </c>
      <c r="AK219" s="3" t="n">
        <v>-0.1928716730616705</v>
      </c>
      <c r="AL219" s="6" t="n">
        <v>0</v>
      </c>
      <c r="AM219" s="3" t="n">
        <v>0</v>
      </c>
      <c r="AN219" s="3" t="n">
        <v>1.099</v>
      </c>
      <c r="AO219" s="3" t="n">
        <v>0.6534</v>
      </c>
      <c r="AP219" s="3">
        <f>N(X219)*N(BI219)</f>
        <v/>
      </c>
      <c r="AQ219" s="3" t="n">
        <v>0.105</v>
      </c>
      <c r="AR219" s="3" t="n">
        <v>0</v>
      </c>
      <c r="AS219" s="3" t="n">
        <v>-0</v>
      </c>
      <c r="AT219" s="3" t="n">
        <v>-0.1928716730616705</v>
      </c>
      <c r="AU219" s="3">
        <f>SUM(AN219:AT219)</f>
        <v/>
      </c>
      <c r="AV219" s="7">
        <f>IF(OR(N(W219)&lt;=0,N(BG219)=0),0,N(W219)*IF(N(R219)/N(W219)&gt;=60,N(BG219),1))</f>
        <v/>
      </c>
      <c r="AW219" s="7">
        <f>N(W219)*N(AF219)*N(BH219)</f>
        <v/>
      </c>
      <c r="AX219" s="7">
        <f>N(AL219)*(Assumptions!$B$13*N(BJ219)-(1-Assumptions!$B$13)*Assumptions!$B$14)+N(AM219)</f>
        <v/>
      </c>
      <c r="AY219" s="7">
        <f>N(AU219)*N(R219)/90+N(AV219)+N(AW219)+N(AX219)</f>
        <v/>
      </c>
      <c r="AZ219" s="3">
        <f>IF(N(R219)&lt;=0,0,(N(AY219)-N(AX219))*90/N(R219))</f>
        <v/>
      </c>
      <c r="BA219" s="7">
        <f>IFERROR(AY219-VLOOKUP($E219,Assumptions!$A$40:$C$43,3,FALSE),"")</f>
        <v/>
      </c>
      <c r="BB219" s="3">
        <f>IFERROR(BA219/H219,"")</f>
        <v/>
      </c>
      <c r="BC219">
        <f>IF(AND($G219=TRUE,$E219="GKP"),AY219,"")</f>
        <v/>
      </c>
      <c r="BD219">
        <f>IF(AND($G219=TRUE,$E219="DEF"),AY219,"")</f>
        <v/>
      </c>
      <c r="BE219">
        <f>IF(AND($G219=TRUE,$E219="MID"),AY219,"")</f>
        <v/>
      </c>
      <c r="BF219">
        <f>IF(AND($G219=TRUE,$E219="FWD"),AY219,"")</f>
        <v/>
      </c>
      <c r="BG219" t="n">
        <v>2</v>
      </c>
      <c r="BH219" t="n">
        <v>2</v>
      </c>
      <c r="BI219" t="n">
        <v>1</v>
      </c>
      <c r="BJ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s="4" t="n">
        <v>1200</v>
      </c>
      <c r="O220" s="4" t="n">
        <v>311</v>
      </c>
      <c r="P220" s="5" t="inlineStr">
        <is>
          <t>medium</t>
        </is>
      </c>
      <c r="Q220" t="inlineStr">
        <is>
          <t>flat</t>
        </is>
      </c>
      <c r="R220" s="6" t="n">
        <v>1200</v>
      </c>
      <c r="S220" t="inlineStr">
        <is>
          <t>research</t>
        </is>
      </c>
      <c r="T220" s="5" t="inlineStr">
        <is>
          <t>889 minutes is a fringe allocation in a midfield that lost both Bruno Guimaraes and Sandro Tonali and has not yet replaced them. He was an available, unused substitute v Everton (so fit) and The Mag's predicted XI for the Liverpool opener starts him. Raised only modestly because he did not start either August friendly and Newcastle are actively pursuing an experienced central midfielder.</t>
        </is>
      </c>
      <c r="U220" s="6" t="n">
        <v>79.2</v>
      </c>
      <c r="V220" s="2" t="n">
        <v>14</v>
      </c>
      <c r="W220" s="7">
        <f>IF(N(U220)&lt;=0,0,MIN(Assumptions!$B$15,N(R220)/N(U220)))</f>
        <v/>
      </c>
      <c r="X220" s="6" t="n">
        <v>0.248</v>
      </c>
      <c r="Y220" s="3" t="n">
        <v>0.06510000000000001</v>
      </c>
      <c r="Z220" t="inlineStr">
        <is>
          <t>adjusted xGOT</t>
        </is>
      </c>
      <c r="AA220" s="3" t="n">
        <v>1</v>
      </c>
      <c r="AB220" s="3" t="n">
        <v>0.869</v>
      </c>
      <c r="AC220" s="3" t="n">
        <v>10</v>
      </c>
      <c r="AD220" s="3" t="n">
        <v>0.09420000000000001</v>
      </c>
      <c r="AE220" s="3" t="n">
        <v>9.063000000000001</v>
      </c>
      <c r="AF220" s="3" t="n">
        <v>0.1101591796376405</v>
      </c>
      <c r="AG220" s="3" t="n">
        <v>0.1874</v>
      </c>
      <c r="AH220" s="3" t="n">
        <v>41</v>
      </c>
      <c r="AI220" s="3" t="n">
        <v>3.0912</v>
      </c>
      <c r="AJ220" s="3" t="n">
        <v>1.4534</v>
      </c>
      <c r="AK220" s="3" t="n">
        <v>-0.1925735526751558</v>
      </c>
      <c r="AL220" s="6" t="n">
        <v>0</v>
      </c>
      <c r="AM220" s="3" t="n">
        <v>0</v>
      </c>
      <c r="AN220" s="3" t="n">
        <v>0.3255</v>
      </c>
      <c r="AO220" s="3" t="n">
        <v>0.373032</v>
      </c>
      <c r="AP220" s="3">
        <f>N(X220)*N(BI220)</f>
        <v/>
      </c>
      <c r="AQ220" s="3" t="n">
        <v>0.1874</v>
      </c>
      <c r="AR220" s="3" t="n">
        <v>0</v>
      </c>
      <c r="AS220" s="3" t="n">
        <v>-0</v>
      </c>
      <c r="AT220" s="3" t="n">
        <v>-0.1925735526751558</v>
      </c>
      <c r="AU220" s="3">
        <f>SUM(AN220:AT220)</f>
        <v/>
      </c>
      <c r="AV220" s="7">
        <f>IF(OR(N(W220)&lt;=0,N(BG220)=0),0,N(W220)*IF(N(R220)/N(W220)&gt;=60,N(BG220),1))</f>
        <v/>
      </c>
      <c r="AW220" s="7">
        <f>N(W220)*N(AF220)*N(BH220)</f>
        <v/>
      </c>
      <c r="AX220" s="7">
        <f>N(AL220)*(Assumptions!$B$13*N(BJ220)-(1-Assumptions!$B$13)*Assumptions!$B$14)+N(AM220)</f>
        <v/>
      </c>
      <c r="AY220" s="7">
        <f>N(AU220)*N(R220)/90+N(AV220)+N(AW220)+N(AX220)</f>
        <v/>
      </c>
      <c r="AZ220" s="3">
        <f>IF(N(R220)&lt;=0,0,(N(AY220)-N(AX220))*90/N(R220))</f>
        <v/>
      </c>
      <c r="BA220" s="7">
        <f>IFERROR(AY220-VLOOKUP($E220,Assumptions!$A$40:$C$43,3,FALSE),"")</f>
        <v/>
      </c>
      <c r="BB220" s="3">
        <f>IFERROR(BA220/H220,"")</f>
        <v/>
      </c>
      <c r="BC220">
        <f>IF(AND($G220=TRUE,$E220="GKP"),AY220,"")</f>
        <v/>
      </c>
      <c r="BD220">
        <f>IF(AND($G220=TRUE,$E220="DEF"),AY220,"")</f>
        <v/>
      </c>
      <c r="BE220">
        <f>IF(AND($G220=TRUE,$E220="MID"),AY220,"")</f>
        <v/>
      </c>
      <c r="BF220">
        <f>IF(AND($G220=TRUE,$E220="FWD"),AY220,"")</f>
        <v/>
      </c>
      <c r="BG220" t="n">
        <v>2</v>
      </c>
      <c r="BH220" t="n">
        <v>2</v>
      </c>
      <c r="BI220" t="n">
        <v>1</v>
      </c>
      <c r="BJ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s="4" t="n">
        <v>2350</v>
      </c>
      <c r="O221" s="4" t="n">
        <v>589</v>
      </c>
      <c r="P221" s="5" t="inlineStr">
        <is>
          <t>medium</t>
        </is>
      </c>
      <c r="Q221" t="inlineStr">
        <is>
          <t>fade (losing his place)</t>
        </is>
      </c>
      <c r="R221" s="6" t="n">
        <v>2350</v>
      </c>
      <c r="S221" t="inlineStr">
        <is>
          <t>research</t>
        </is>
      </c>
      <c r="T221" s="5" t="inlineStr">
        <is>
          <t>Solio flags him as 'fade (losing his place)', which the evidence contradicts. He was unavailable from January with a PCL tear, is now fit, started the Super Cup final in the double pivot and played against Monchengladbach. Tielemans has been sold, Onana is out for nine months and Manzambi is injured, so the holding role is his. Held below 2,500 because of his own two-serious-knee-injury history.</t>
        </is>
      </c>
      <c r="U221" s="6" t="n">
        <v>81.2</v>
      </c>
      <c r="V221" s="2" t="n">
        <v>17</v>
      </c>
      <c r="W221" s="7">
        <f>IF(N(U221)&lt;=0,0,MIN(Assumptions!$B$15,N(R221)/N(U221)))</f>
        <v/>
      </c>
      <c r="X221" s="6" t="n">
        <v>0.273</v>
      </c>
      <c r="Y221" s="3" t="n">
        <v>0.0327</v>
      </c>
      <c r="Z221" t="inlineStr">
        <is>
          <t>adjusted xGOT</t>
        </is>
      </c>
      <c r="AA221" s="3" t="n">
        <v>1</v>
      </c>
      <c r="AB221" s="3" t="n">
        <v>0.966</v>
      </c>
      <c r="AC221" s="3" t="n">
        <v>1.6</v>
      </c>
      <c r="AD221" s="3" t="n">
        <v>0.0501</v>
      </c>
      <c r="AE221" s="3" t="n">
        <v>9.195</v>
      </c>
      <c r="AF221" s="3" t="n">
        <v>0.1344609177516175</v>
      </c>
      <c r="AG221" s="3" t="n">
        <v>0.4468</v>
      </c>
      <c r="AH221" s="3" t="n">
        <v>34</v>
      </c>
      <c r="AI221" s="3" t="n">
        <v>2.7451</v>
      </c>
      <c r="AJ221" s="3" t="n">
        <v>1.3575</v>
      </c>
      <c r="AK221" s="3" t="n">
        <v>-0.2581271748527597</v>
      </c>
      <c r="AL221" s="6" t="n">
        <v>0</v>
      </c>
      <c r="AM221" s="3" t="n">
        <v>0</v>
      </c>
      <c r="AN221" s="3" t="n">
        <v>0.1635</v>
      </c>
      <c r="AO221" s="3" t="n">
        <v>0.198396</v>
      </c>
      <c r="AP221" s="3">
        <f>N(X221)*N(BI221)</f>
        <v/>
      </c>
      <c r="AQ221" s="3" t="n">
        <v>0.4468</v>
      </c>
      <c r="AR221" s="3" t="n">
        <v>0</v>
      </c>
      <c r="AS221" s="3" t="n">
        <v>-0</v>
      </c>
      <c r="AT221" s="3" t="n">
        <v>-0.2581271748527597</v>
      </c>
      <c r="AU221" s="3">
        <f>SUM(AN221:AT221)</f>
        <v/>
      </c>
      <c r="AV221" s="7">
        <f>IF(OR(N(W221)&lt;=0,N(BG221)=0),0,N(W221)*IF(N(R221)/N(W221)&gt;=60,N(BG221),1))</f>
        <v/>
      </c>
      <c r="AW221" s="7">
        <f>N(W221)*N(AF221)*N(BH221)</f>
        <v/>
      </c>
      <c r="AX221" s="7">
        <f>N(AL221)*(Assumptions!$B$13*N(BJ221)-(1-Assumptions!$B$13)*Assumptions!$B$14)+N(AM221)</f>
        <v/>
      </c>
      <c r="AY221" s="7">
        <f>N(AU221)*N(R221)/90+N(AV221)+N(AW221)+N(AX221)</f>
        <v/>
      </c>
      <c r="AZ221" s="3">
        <f>IF(N(R221)&lt;=0,0,(N(AY221)-N(AX221))*90/N(R221))</f>
        <v/>
      </c>
      <c r="BA221" s="7">
        <f>IFERROR(AY221-VLOOKUP($E221,Assumptions!$A$40:$C$43,3,FALSE),"")</f>
        <v/>
      </c>
      <c r="BB221" s="3">
        <f>IFERROR(BA221/H221,"")</f>
        <v/>
      </c>
      <c r="BC221">
        <f>IF(AND($G221=TRUE,$E221="GKP"),AY221,"")</f>
        <v/>
      </c>
      <c r="BD221">
        <f>IF(AND($G221=TRUE,$E221="DEF"),AY221,"")</f>
        <v/>
      </c>
      <c r="BE221">
        <f>IF(AND($G221=TRUE,$E221="MID"),AY221,"")</f>
        <v/>
      </c>
      <c r="BF221">
        <f>IF(AND($G221=TRUE,$E221="FWD"),AY221,"")</f>
        <v/>
      </c>
      <c r="BG221" t="n">
        <v>2</v>
      </c>
      <c r="BH221" t="n">
        <v>2</v>
      </c>
      <c r="BI221" t="n">
        <v>1</v>
      </c>
      <c r="BJ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s="8" t="n">
        <v>2035</v>
      </c>
      <c r="O222" s="8" t="n">
        <v>0</v>
      </c>
      <c r="Q222" t="inlineStr">
        <is>
          <t>flat</t>
        </is>
      </c>
      <c r="R222" s="6" t="n">
        <v>2035</v>
      </c>
      <c r="S222" t="inlineStr">
        <is>
          <t>Solio</t>
        </is>
      </c>
      <c r="U222" s="6" t="n">
        <v>86</v>
      </c>
      <c r="V222" s="2" t="n">
        <v>20</v>
      </c>
      <c r="W222" s="7">
        <f>IF(N(U222)&lt;=0,0,MIN(Assumptions!$B$15,N(R222)/N(U222)))</f>
        <v/>
      </c>
      <c r="X222" s="6" t="n">
        <v>0.214</v>
      </c>
      <c r="Y222" s="3" t="n">
        <v>0.0595</v>
      </c>
      <c r="Z222" t="inlineStr">
        <is>
          <t>adjusted xGOT</t>
        </is>
      </c>
      <c r="AA222" s="3" t="n">
        <v>1</v>
      </c>
      <c r="AB222" s="3" t="n">
        <v>0.8100000000000001</v>
      </c>
      <c r="AC222" s="3" t="n">
        <v>5.3</v>
      </c>
      <c r="AD222" s="3" t="n">
        <v>0.07870000000000001</v>
      </c>
      <c r="AE222" s="3" t="n">
        <v>7.3</v>
      </c>
      <c r="AF222" s="3" t="n">
        <v>0.1670339630773192</v>
      </c>
      <c r="AG222" s="3" t="n">
        <v>0.1959</v>
      </c>
      <c r="AH222" s="3" t="n">
        <v>49</v>
      </c>
      <c r="AI222" s="3" t="n">
        <v>3.22</v>
      </c>
      <c r="AJ222" s="3" t="n">
        <v>1.6019</v>
      </c>
      <c r="AK222" s="3" t="n">
        <v>-0.1690741945869779</v>
      </c>
      <c r="AL222" s="6" t="n">
        <v>0</v>
      </c>
      <c r="AM222" s="3" t="n">
        <v>0</v>
      </c>
      <c r="AN222" s="3" t="n">
        <v>0.357</v>
      </c>
      <c r="AO222" s="3" t="n">
        <v>0.311652</v>
      </c>
      <c r="AP222" s="3">
        <f>N(X222)*N(BI222)</f>
        <v/>
      </c>
      <c r="AQ222" s="3" t="n">
        <v>0.1959</v>
      </c>
      <c r="AR222" s="3" t="n">
        <v>0</v>
      </c>
      <c r="AS222" s="3" t="n">
        <v>-0.5611019003833156</v>
      </c>
      <c r="AT222" s="3" t="n">
        <v>-0.1690741945869779</v>
      </c>
      <c r="AU222" s="3">
        <f>SUM(AN222:AT222)</f>
        <v/>
      </c>
      <c r="AV222" s="7">
        <f>IF(OR(N(W222)&lt;=0,N(BG222)=0),0,N(W222)*IF(N(R222)/N(W222)&gt;=60,N(BG222),1))</f>
        <v/>
      </c>
      <c r="AW222" s="7">
        <f>N(W222)*N(AF222)*N(BH222)</f>
        <v/>
      </c>
      <c r="AX222" s="7">
        <f>N(AL222)*(Assumptions!$B$13*N(BJ222)-(1-Assumptions!$B$13)*Assumptions!$B$14)+N(AM222)</f>
        <v/>
      </c>
      <c r="AY222" s="7">
        <f>N(AU222)*N(R222)/90+N(AV222)+N(AW222)+N(AX222)</f>
        <v/>
      </c>
      <c r="AZ222" s="3">
        <f>IF(N(R222)&lt;=0,0,(N(AY222)-N(AX222))*90/N(R222))</f>
        <v/>
      </c>
      <c r="BA222" s="7">
        <f>IFERROR(AY222-VLOOKUP($E222,Assumptions!$A$40:$C$43,3,FALSE),"")</f>
        <v/>
      </c>
      <c r="BB222" s="3">
        <f>IFERROR(BA222/H222,"")</f>
        <v/>
      </c>
      <c r="BC222">
        <f>IF(AND($G222=TRUE,$E222="GKP"),AY222,"")</f>
        <v/>
      </c>
      <c r="BD222">
        <f>IF(AND($G222=TRUE,$E222="DEF"),AY222,"")</f>
        <v/>
      </c>
      <c r="BE222">
        <f>IF(AND($G222=TRUE,$E222="MID"),AY222,"")</f>
        <v/>
      </c>
      <c r="BF222">
        <f>IF(AND($G222=TRUE,$E222="FWD"),AY222,"")</f>
        <v/>
      </c>
      <c r="BG222" t="n">
        <v>2</v>
      </c>
      <c r="BH222" t="n">
        <v>2</v>
      </c>
      <c r="BI222" t="n">
        <v>4</v>
      </c>
      <c r="BJ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s="4" t="n">
        <v>800</v>
      </c>
      <c r="O223" s="4" t="n">
        <v>515</v>
      </c>
      <c r="P223" s="5" t="inlineStr">
        <is>
          <t>medium</t>
        </is>
      </c>
      <c r="Q223" t="inlineStr">
        <is>
          <t>flat</t>
        </is>
      </c>
      <c r="R223" s="6" t="n">
        <v>800</v>
      </c>
      <c r="S223" t="inlineStr">
        <is>
          <t>research</t>
        </is>
      </c>
      <c r="T223" s="5" t="inlineStr">
        <is>
          <t>Spurs have decided not to replace Spence at right-back and will rely on Gray as Porro's cover for the whole season. He started at right-back in both August friendlies while Porro was still on World Cup leave. 285 minutes is not a plausible figure for the only backup at a position across 38 matches, and Gray is also midfield cover.</t>
        </is>
      </c>
      <c r="U223" s="6" t="n">
        <v>79</v>
      </c>
      <c r="V223" s="2" t="n">
        <v>18</v>
      </c>
      <c r="W223" s="7">
        <f>IF(N(U223)&lt;=0,0,MIN(Assumptions!$B$15,N(R223)/N(U223)))</f>
        <v/>
      </c>
      <c r="X223" s="6" t="n">
        <v>0.286</v>
      </c>
      <c r="Y223" s="3" t="n">
        <v>0.0982</v>
      </c>
      <c r="Z223" t="inlineStr">
        <is>
          <t>adjusted xGOT</t>
        </is>
      </c>
      <c r="AA223" s="3" t="n">
        <v>1</v>
      </c>
      <c r="AB223" s="3" t="n">
        <v>1.07</v>
      </c>
      <c r="AC223" s="3" t="n">
        <v>1.5</v>
      </c>
      <c r="AD223" s="3" t="n">
        <v>0.0902</v>
      </c>
      <c r="AE223" s="3" t="n">
        <v>8.241</v>
      </c>
      <c r="AF223" s="3" t="n">
        <v>0.06462345635609223</v>
      </c>
      <c r="AG223" s="3" t="n">
        <v>0.3671</v>
      </c>
      <c r="AH223" s="3" t="n">
        <v>39</v>
      </c>
      <c r="AI223" s="3" t="n">
        <v>2.5739</v>
      </c>
      <c r="AJ223" s="3" t="n">
        <v>1.3096</v>
      </c>
      <c r="AK223" s="3" t="n">
        <v>-0.2163692621125125</v>
      </c>
      <c r="AL223" s="6" t="n">
        <v>0</v>
      </c>
      <c r="AM223" s="3" t="n">
        <v>0</v>
      </c>
      <c r="AN223" s="3" t="n">
        <v>0.491</v>
      </c>
      <c r="AO223" s="3" t="n">
        <v>0.357192</v>
      </c>
      <c r="AP223" s="3">
        <f>N(X223)*N(BI223)</f>
        <v/>
      </c>
      <c r="AQ223" s="3" t="n">
        <v>0.3671</v>
      </c>
      <c r="AR223" s="3" t="n">
        <v>0</v>
      </c>
      <c r="AS223" s="3" t="n">
        <v>-0</v>
      </c>
      <c r="AT223" s="3" t="n">
        <v>-0.2163692621125125</v>
      </c>
      <c r="AU223" s="3">
        <f>SUM(AN223:AT223)</f>
        <v/>
      </c>
      <c r="AV223" s="7">
        <f>IF(OR(N(W223)&lt;=0,N(BG223)=0),0,N(W223)*IF(N(R223)/N(W223)&gt;=60,N(BG223),1))</f>
        <v/>
      </c>
      <c r="AW223" s="7">
        <f>N(W223)*N(AF223)*N(BH223)</f>
        <v/>
      </c>
      <c r="AX223" s="7">
        <f>N(AL223)*(Assumptions!$B$13*N(BJ223)-(1-Assumptions!$B$13)*Assumptions!$B$14)+N(AM223)</f>
        <v/>
      </c>
      <c r="AY223" s="7">
        <f>N(AU223)*N(R223)/90+N(AV223)+N(AW223)+N(AX223)</f>
        <v/>
      </c>
      <c r="AZ223" s="3">
        <f>IF(N(R223)&lt;=0,0,(N(AY223)-N(AX223))*90/N(R223))</f>
        <v/>
      </c>
      <c r="BA223" s="7">
        <f>IFERROR(AY223-VLOOKUP($E223,Assumptions!$A$40:$C$43,3,FALSE),"")</f>
        <v/>
      </c>
      <c r="BB223" s="3">
        <f>IFERROR(BA223/H223,"")</f>
        <v/>
      </c>
      <c r="BC223">
        <f>IF(AND($G223=TRUE,$E223="GKP"),AY223,"")</f>
        <v/>
      </c>
      <c r="BD223">
        <f>IF(AND($G223=TRUE,$E223="DEF"),AY223,"")</f>
        <v/>
      </c>
      <c r="BE223">
        <f>IF(AND($G223=TRUE,$E223="MID"),AY223,"")</f>
        <v/>
      </c>
      <c r="BF223">
        <f>IF(AND($G223=TRUE,$E223="FWD"),AY223,"")</f>
        <v/>
      </c>
      <c r="BG223" t="n">
        <v>2</v>
      </c>
      <c r="BH223" t="n">
        <v>2</v>
      </c>
      <c r="BI223" t="n">
        <v>1</v>
      </c>
      <c r="BJ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s="8" t="n">
        <v>975</v>
      </c>
      <c r="O224" s="8" t="n">
        <v>0</v>
      </c>
      <c r="Q224" t="inlineStr">
        <is>
          <t>flat</t>
        </is>
      </c>
      <c r="R224" s="6" t="n">
        <v>975</v>
      </c>
      <c r="S224" t="inlineStr">
        <is>
          <t>Solio</t>
        </is>
      </c>
      <c r="U224" s="6" t="n">
        <v>80.7</v>
      </c>
      <c r="V224" s="2" t="n">
        <v>12</v>
      </c>
      <c r="W224" s="7">
        <f>IF(N(U224)&lt;=0,0,MIN(Assumptions!$B$15,N(R224)/N(U224)))</f>
        <v/>
      </c>
      <c r="X224" s="6" t="n">
        <v>0.371</v>
      </c>
      <c r="Y224" s="3" t="n">
        <v>0.0466</v>
      </c>
      <c r="Z224" t="inlineStr">
        <is>
          <t>adjusted xGOT</t>
        </is>
      </c>
      <c r="AA224" s="3" t="n">
        <v>1</v>
      </c>
      <c r="AB224" s="3" t="n">
        <v>0.949</v>
      </c>
      <c r="AC224" s="3" t="n">
        <v>7.6</v>
      </c>
      <c r="AD224" s="3" t="n">
        <v>0.1735</v>
      </c>
      <c r="AE224" s="3" t="n">
        <v>6.838</v>
      </c>
      <c r="AF224" s="3" t="n">
        <v>0.09326688169072317</v>
      </c>
      <c r="AG224" s="3" t="n">
        <v>0.9268999999999999</v>
      </c>
      <c r="AH224" s="3" t="n">
        <v>27</v>
      </c>
      <c r="AI224" s="3" t="n">
        <v>1.9737</v>
      </c>
      <c r="AJ224" s="3" t="n">
        <v>1.0365</v>
      </c>
      <c r="AK224" s="3" t="n">
        <v>-0.2066446189433191</v>
      </c>
      <c r="AL224" s="6" t="n">
        <v>0</v>
      </c>
      <c r="AM224" s="3" t="n">
        <v>0</v>
      </c>
      <c r="AN224" s="3" t="n">
        <v>0.2796</v>
      </c>
      <c r="AO224" s="3" t="n">
        <v>0.68706</v>
      </c>
      <c r="AP224" s="3">
        <f>N(X224)*N(BI224)</f>
        <v/>
      </c>
      <c r="AQ224" s="3" t="n">
        <v>0.9268999999999999</v>
      </c>
      <c r="AR224" s="3" t="n">
        <v>0</v>
      </c>
      <c r="AS224" s="3" t="n">
        <v>-0.2997019479071323</v>
      </c>
      <c r="AT224" s="3" t="n">
        <v>-0.2066446189433191</v>
      </c>
      <c r="AU224" s="3">
        <f>SUM(AN224:AT224)</f>
        <v/>
      </c>
      <c r="AV224" s="7">
        <f>IF(OR(N(W224)&lt;=0,N(BG224)=0),0,N(W224)*IF(N(R224)/N(W224)&gt;=60,N(BG224),1))</f>
        <v/>
      </c>
      <c r="AW224" s="7">
        <f>N(W224)*N(AF224)*N(BH224)</f>
        <v/>
      </c>
      <c r="AX224" s="7">
        <f>N(AL224)*(Assumptions!$B$13*N(BJ224)-(1-Assumptions!$B$13)*Assumptions!$B$14)+N(AM224)</f>
        <v/>
      </c>
      <c r="AY224" s="7">
        <f>N(AU224)*N(R224)/90+N(AV224)+N(AW224)+N(AX224)</f>
        <v/>
      </c>
      <c r="AZ224" s="3">
        <f>IF(N(R224)&lt;=0,0,(N(AY224)-N(AX224))*90/N(R224))</f>
        <v/>
      </c>
      <c r="BA224" s="7">
        <f>IFERROR(AY224-VLOOKUP($E224,Assumptions!$A$40:$C$43,3,FALSE),"")</f>
        <v/>
      </c>
      <c r="BB224" s="3">
        <f>IFERROR(BA224/H224,"")</f>
        <v/>
      </c>
      <c r="BC224">
        <f>IF(AND($G224=TRUE,$E224="GKP"),AY224,"")</f>
        <v/>
      </c>
      <c r="BD224">
        <f>IF(AND($G224=TRUE,$E224="DEF"),AY224,"")</f>
        <v/>
      </c>
      <c r="BE224">
        <f>IF(AND($G224=TRUE,$E224="MID"),AY224,"")</f>
        <v/>
      </c>
      <c r="BF224">
        <f>IF(AND($G224=TRUE,$E224="FWD"),AY224,"")</f>
        <v/>
      </c>
      <c r="BG224" t="n">
        <v>2</v>
      </c>
      <c r="BH224" t="n">
        <v>2</v>
      </c>
      <c r="BI224" t="n">
        <v>4</v>
      </c>
      <c r="BJ224" t="n">
        <v>6</v>
      </c>
    </row>
    <row r="225">
      <c r="A225" s="9" t="inlineStr">
        <is>
          <t>Loum Tchaouna</t>
        </is>
      </c>
      <c r="B225" t="inlineStr">
        <is>
          <t>COV</t>
        </is>
      </c>
      <c r="C225" s="9" t="inlineStr">
        <is>
          <t>BUR</t>
        </is>
      </c>
      <c r="D225" t="b">
        <v>1</v>
      </c>
      <c r="E225" t="inlineStr">
        <is>
          <t>MID</t>
        </is>
      </c>
      <c r="F225" t="inlineStr">
        <is>
          <t>MID</t>
        </is>
      </c>
      <c r="G225" t="b">
        <v>1</v>
      </c>
      <c r="H225" s="2" t="n">
        <v>5.5</v>
      </c>
      <c r="I225" t="inlineStr">
        <is>
          <t>a</t>
        </is>
      </c>
      <c r="K225" s="2" t="n">
        <v>1259</v>
      </c>
      <c r="L225" t="n">
        <v>59</v>
      </c>
      <c r="M225" s="3" t="n">
        <v>2212</v>
      </c>
      <c r="N225" s="8" t="n">
        <v>2212</v>
      </c>
      <c r="O225" s="8" t="n">
        <v>0</v>
      </c>
      <c r="Q225" t="inlineStr">
        <is>
          <t>flat</t>
        </is>
      </c>
      <c r="R225" s="6" t="n">
        <v>2212</v>
      </c>
      <c r="S225" t="inlineStr">
        <is>
          <t>Solio</t>
        </is>
      </c>
      <c r="U225" s="6" t="n">
        <v>75</v>
      </c>
      <c r="V225" s="2" t="n">
        <v>14</v>
      </c>
      <c r="W225" s="7">
        <f>IF(N(U225)&lt;=0,0,MIN(Assumptions!$B$15,N(R225)/N(U225)))</f>
        <v/>
      </c>
      <c r="X225" s="6" t="n">
        <v>0.17</v>
      </c>
      <c r="Y225" s="10" t="n">
        <v>0.0891</v>
      </c>
      <c r="Z225" t="inlineStr">
        <is>
          <t>adjusted xGOT</t>
        </is>
      </c>
      <c r="AA225" s="3" t="n">
        <v>1</v>
      </c>
      <c r="AB225" s="3" t="n">
        <v>0.982</v>
      </c>
      <c r="AC225" s="3" t="n">
        <v>1.3</v>
      </c>
      <c r="AD225" s="10" t="n">
        <v>0.07539999999999999</v>
      </c>
      <c r="AE225" s="3" t="n">
        <v>6.258</v>
      </c>
      <c r="AF225" s="3" t="n">
        <v>0.007467630461278851</v>
      </c>
      <c r="AG225" s="3" t="n">
        <v>0</v>
      </c>
      <c r="AH225" s="3" t="n">
        <v>41</v>
      </c>
      <c r="AI225" s="3" t="n">
        <v>3.6194</v>
      </c>
      <c r="AJ225" s="3" t="n">
        <v>1.8271</v>
      </c>
      <c r="AK225" s="3" t="n">
        <v>-0.1897167956648318</v>
      </c>
      <c r="AL225" s="6" t="n">
        <v>0</v>
      </c>
      <c r="AM225" s="3" t="n">
        <v>0</v>
      </c>
      <c r="AN225" s="10" t="n">
        <v>0.4455</v>
      </c>
      <c r="AO225" s="10" t="n">
        <v>0.298584</v>
      </c>
      <c r="AP225" s="3">
        <f>N(X225)*N(BI225)</f>
        <v/>
      </c>
      <c r="AQ225" s="3" t="n">
        <v>0</v>
      </c>
      <c r="AR225" s="3" t="n">
        <v>0</v>
      </c>
      <c r="AS225" s="3" t="n">
        <v>-0</v>
      </c>
      <c r="AT225" s="3" t="n">
        <v>-0.1897167956648318</v>
      </c>
      <c r="AU225" s="3">
        <f>SUM(AN225:AT225)</f>
        <v/>
      </c>
      <c r="AV225" s="7">
        <f>IF(OR(N(W225)&lt;=0,N(BG225)=0),0,N(W225)*IF(N(R225)/N(W225)&gt;=60,N(BG225),1))</f>
        <v/>
      </c>
      <c r="AW225" s="7">
        <f>N(W225)*N(AF225)*N(BH225)</f>
        <v/>
      </c>
      <c r="AX225" s="7">
        <f>N(AL225)*(Assumptions!$B$13*N(BJ225)-(1-Assumptions!$B$13)*Assumptions!$B$14)+N(AM225)</f>
        <v/>
      </c>
      <c r="AY225" s="7">
        <f>N(AU225)*N(R225)/90+N(AV225)+N(AW225)+N(AX225)</f>
        <v/>
      </c>
      <c r="AZ225" s="3">
        <f>IF(N(R225)&lt;=0,0,(N(AY225)-N(AX225))*90/N(R225))</f>
        <v/>
      </c>
      <c r="BA225" s="7">
        <f>IFERROR(AY225-VLOOKUP($E225,Assumptions!$A$40:$C$43,3,FALSE),"")</f>
        <v/>
      </c>
      <c r="BB225" s="3">
        <f>IFERROR(BA225/H225,"")</f>
        <v/>
      </c>
      <c r="BC225">
        <f>IF(AND($G225=TRUE,$E225="GKP"),AY225,"")</f>
        <v/>
      </c>
      <c r="BD225">
        <f>IF(AND($G225=TRUE,$E225="DEF"),AY225,"")</f>
        <v/>
      </c>
      <c r="BE225">
        <f>IF(AND($G225=TRUE,$E225="MID"),AY225,"")</f>
        <v/>
      </c>
      <c r="BF225">
        <f>IF(AND($G225=TRUE,$E225="FWD"),AY225,"")</f>
        <v/>
      </c>
      <c r="BG225" t="n">
        <v>2</v>
      </c>
      <c r="BH225" t="n">
        <v>2</v>
      </c>
      <c r="BI225" t="n">
        <v>1</v>
      </c>
      <c r="BJ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s="4" t="n">
        <v>1550</v>
      </c>
      <c r="O226" s="4" t="n">
        <v>-1665</v>
      </c>
      <c r="P226" s="5" t="inlineStr">
        <is>
          <t>high</t>
        </is>
      </c>
      <c r="Q226" t="inlineStr">
        <is>
          <t>flat</t>
        </is>
      </c>
      <c r="R226" s="6" t="n">
        <v>1550</v>
      </c>
      <c r="S226" t="inlineStr">
        <is>
          <t>research</t>
        </is>
      </c>
      <c r="T226" s="5" t="inlineStr">
        <is>
          <t>Solio has him as a near-nailed 3,215-minute starter. He is ruled out of the Liverpool opener, still rehabbing his calf/knee in the United States, and is only hoped to be available for MD2 at Tottenham. Meanwhile Newcastle agreed roughly GBP 30m with Benfica for right-back Amar Dedic on 15 Aug, arranged his medical, and want him registered in time to face Liverpool - and Jaissle coached Dedic at Salzburg. Livramento also managed only 1,326 league minutes in 2025/26. Late return plus a GBP 30m incumbent-displacing signing makes a full-season allocation untenable.</t>
        </is>
      </c>
      <c r="U226" s="6" t="n">
        <v>86.8</v>
      </c>
      <c r="V226" s="2" t="n">
        <v>14</v>
      </c>
      <c r="W226" s="7">
        <f>IF(N(U226)&lt;=0,0,MIN(Assumptions!$B$15,N(R226)/N(U226)))</f>
        <v/>
      </c>
      <c r="X226" s="6" t="n">
        <v>0.248</v>
      </c>
      <c r="Y226" s="3" t="n">
        <v>0.009299999999999999</v>
      </c>
      <c r="Z226" t="inlineStr">
        <is>
          <t>adjusted xGOT</t>
        </is>
      </c>
      <c r="AA226" s="3" t="n">
        <v>1</v>
      </c>
      <c r="AB226" s="3" t="n">
        <v>1.052</v>
      </c>
      <c r="AC226" s="3" t="n">
        <v>0.8</v>
      </c>
      <c r="AD226" s="3" t="n">
        <v>0.0511</v>
      </c>
      <c r="AE226" s="3" t="n">
        <v>5.696</v>
      </c>
      <c r="AF226" s="3" t="n">
        <v>0.05343977587944893</v>
      </c>
      <c r="AG226" s="3" t="n">
        <v>0.2036</v>
      </c>
      <c r="AH226" s="3" t="n">
        <v>31</v>
      </c>
      <c r="AI226" s="3" t="n">
        <v>3.0912</v>
      </c>
      <c r="AJ226" s="3" t="n">
        <v>1.4534</v>
      </c>
      <c r="AK226" s="3" t="n">
        <v>-0.1102134388827811</v>
      </c>
      <c r="AL226" s="6" t="n">
        <v>0</v>
      </c>
      <c r="AM226" s="3" t="n">
        <v>0</v>
      </c>
      <c r="AN226" s="3" t="n">
        <v>0.0558</v>
      </c>
      <c r="AO226" s="3" t="n">
        <v>0.202356</v>
      </c>
      <c r="AP226" s="3">
        <f>N(X226)*N(BI226)</f>
        <v/>
      </c>
      <c r="AQ226" s="3" t="n">
        <v>0.2036</v>
      </c>
      <c r="AR226" s="3" t="n">
        <v>0</v>
      </c>
      <c r="AS226" s="3" t="n">
        <v>-0.4903625828545308</v>
      </c>
      <c r="AT226" s="3" t="n">
        <v>-0.1102134388827811</v>
      </c>
      <c r="AU226" s="3">
        <f>SUM(AN226:AT226)</f>
        <v/>
      </c>
      <c r="AV226" s="7">
        <f>IF(OR(N(W226)&lt;=0,N(BG226)=0),0,N(W226)*IF(N(R226)/N(W226)&gt;=60,N(BG226),1))</f>
        <v/>
      </c>
      <c r="AW226" s="7">
        <f>N(W226)*N(AF226)*N(BH226)</f>
        <v/>
      </c>
      <c r="AX226" s="7">
        <f>N(AL226)*(Assumptions!$B$13*N(BJ226)-(1-Assumptions!$B$13)*Assumptions!$B$14)+N(AM226)</f>
        <v/>
      </c>
      <c r="AY226" s="7">
        <f>N(AU226)*N(R226)/90+N(AV226)+N(AW226)+N(AX226)</f>
        <v/>
      </c>
      <c r="AZ226" s="3">
        <f>IF(N(R226)&lt;=0,0,(N(AY226)-N(AX226))*90/N(R226))</f>
        <v/>
      </c>
      <c r="BA226" s="7">
        <f>IFERROR(AY226-VLOOKUP($E226,Assumptions!$A$40:$C$43,3,FALSE),"")</f>
        <v/>
      </c>
      <c r="BB226" s="3">
        <f>IFERROR(BA226/H226,"")</f>
        <v/>
      </c>
      <c r="BC226">
        <f>IF(AND($G226=TRUE,$E226="GKP"),AY226,"")</f>
        <v/>
      </c>
      <c r="BD226">
        <f>IF(AND($G226=TRUE,$E226="DEF"),AY226,"")</f>
        <v/>
      </c>
      <c r="BE226">
        <f>IF(AND($G226=TRUE,$E226="MID"),AY226,"")</f>
        <v/>
      </c>
      <c r="BF226">
        <f>IF(AND($G226=TRUE,$E226="FWD"),AY226,"")</f>
        <v/>
      </c>
      <c r="BG226" t="n">
        <v>2</v>
      </c>
      <c r="BH226" t="n">
        <v>2</v>
      </c>
      <c r="BI226" t="n">
        <v>4</v>
      </c>
      <c r="BJ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s="8" t="n">
        <v>484</v>
      </c>
      <c r="O227" s="8" t="n">
        <v>0</v>
      </c>
      <c r="Q227" t="inlineStr">
        <is>
          <t>flat</t>
        </is>
      </c>
      <c r="R227" s="6" t="n">
        <v>484</v>
      </c>
      <c r="S227" t="inlineStr">
        <is>
          <t>Solio</t>
        </is>
      </c>
      <c r="U227" s="6" t="n">
        <v>72.7</v>
      </c>
      <c r="V227" s="2" t="n">
        <v>13</v>
      </c>
      <c r="W227" s="7">
        <f>IF(N(U227)&lt;=0,0,MIN(Assumptions!$B$15,N(R227)/N(U227)))</f>
        <v/>
      </c>
      <c r="X227" s="6" t="n">
        <v>0.23</v>
      </c>
      <c r="Y227" s="3" t="n">
        <v>0.3903</v>
      </c>
      <c r="Z227" t="inlineStr">
        <is>
          <t>adjusted xGOT</t>
        </is>
      </c>
      <c r="AA227" s="3" t="n">
        <v>1</v>
      </c>
      <c r="AB227" s="3" t="n">
        <v>0.887</v>
      </c>
      <c r="AC227" s="3" t="n">
        <v>11.2</v>
      </c>
      <c r="AD227" s="3" t="n">
        <v>0.2878</v>
      </c>
      <c r="AE227" s="3" t="n">
        <v>7.671</v>
      </c>
      <c r="AF227" s="3" t="n">
        <v>0.02489134279191973</v>
      </c>
      <c r="AG227" s="3" t="n">
        <v>0.303</v>
      </c>
      <c r="AH227" s="3" t="n">
        <v>43</v>
      </c>
      <c r="AI227" s="3" t="n">
        <v>3.0957</v>
      </c>
      <c r="AJ227" s="3" t="n">
        <v>1.53</v>
      </c>
      <c r="AK227" s="3" t="n">
        <v>-0.3544561443515518</v>
      </c>
      <c r="AL227" s="6" t="n">
        <v>0</v>
      </c>
      <c r="AM227" s="3" t="n">
        <v>0</v>
      </c>
      <c r="AN227" s="3" t="n">
        <v>1.9515</v>
      </c>
      <c r="AO227" s="3" t="n">
        <v>1.139688</v>
      </c>
      <c r="AP227" s="3">
        <f>N(X227)*N(BI227)</f>
        <v/>
      </c>
      <c r="AQ227" s="3" t="n">
        <v>0.303</v>
      </c>
      <c r="AR227" s="3" t="n">
        <v>0</v>
      </c>
      <c r="AS227" s="3" t="n">
        <v>-0</v>
      </c>
      <c r="AT227" s="3" t="n">
        <v>-0.3544561443515518</v>
      </c>
      <c r="AU227" s="3">
        <f>SUM(AN227:AT227)</f>
        <v/>
      </c>
      <c r="AV227" s="7">
        <f>IF(OR(N(W227)&lt;=0,N(BG227)=0),0,N(W227)*IF(N(R227)/N(W227)&gt;=60,N(BG227),1))</f>
        <v/>
      </c>
      <c r="AW227" s="7">
        <f>N(W227)*N(AF227)*N(BH227)</f>
        <v/>
      </c>
      <c r="AX227" s="7">
        <f>N(AL227)*(Assumptions!$B$13*N(BJ227)-(1-Assumptions!$B$13)*Assumptions!$B$14)+N(AM227)</f>
        <v/>
      </c>
      <c r="AY227" s="7">
        <f>N(AU227)*N(R227)/90+N(AV227)+N(AW227)+N(AX227)</f>
        <v/>
      </c>
      <c r="AZ227" s="3">
        <f>IF(N(R227)&lt;=0,0,(N(AY227)-N(AX227))*90/N(R227))</f>
        <v/>
      </c>
      <c r="BA227" s="7">
        <f>IFERROR(AY227-VLOOKUP($E227,Assumptions!$A$40:$C$43,3,FALSE),"")</f>
        <v/>
      </c>
      <c r="BB227" s="3">
        <f>IFERROR(BA227/H227,"")</f>
        <v/>
      </c>
      <c r="BC227">
        <f>IF(AND($G227=TRUE,$E227="GKP"),AY227,"")</f>
        <v/>
      </c>
      <c r="BD227">
        <f>IF(AND($G227=TRUE,$E227="DEF"),AY227,"")</f>
        <v/>
      </c>
      <c r="BE227">
        <f>IF(AND($G227=TRUE,$E227="MID"),AY227,"")</f>
        <v/>
      </c>
      <c r="BF227">
        <f>IF(AND($G227=TRUE,$E227="FWD"),AY227,"")</f>
        <v/>
      </c>
      <c r="BG227" t="n">
        <v>2</v>
      </c>
      <c r="BH227" t="n">
        <v>2</v>
      </c>
      <c r="BI227" t="n">
        <v>1</v>
      </c>
      <c r="BJ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s="4" t="n">
        <v>900</v>
      </c>
      <c r="O228" s="4" t="n">
        <v>521</v>
      </c>
      <c r="P228" s="5" t="inlineStr">
        <is>
          <t>medium</t>
        </is>
      </c>
      <c r="Q228" t="inlineStr">
        <is>
          <t>flat</t>
        </is>
      </c>
      <c r="R228" s="6" t="n">
        <v>900</v>
      </c>
      <c r="S228" t="inlineStr">
        <is>
          <t>research</t>
        </is>
      </c>
      <c r="T228" s="5" t="inlineStr">
        <is>
          <t>The mirror of the Juanlu delta. Smith started at right-back in both friendlies including the 15 Aug dress rehearsal, i.e. after Juanlu had already signed, and the Guardian's season preview describes him as 'evergreen' in his 14th season at the club. He is very likely to start the opener and to keep meaningful minutes as Europa League cover, well above Solio's 379.</t>
        </is>
      </c>
      <c r="U228" s="6" t="n">
        <v>78.3</v>
      </c>
      <c r="V228" s="2" t="n">
        <v>14</v>
      </c>
      <c r="W228" s="7">
        <f>IF(N(U228)&lt;=0,0,MIN(Assumptions!$B$15,N(R228)/N(U228)))</f>
        <v/>
      </c>
      <c r="X228" s="6" t="n">
        <v>0.23</v>
      </c>
      <c r="Y228" s="3" t="n">
        <v>0</v>
      </c>
      <c r="Z228" t="inlineStr">
        <is>
          <t>adjusted xGOT</t>
        </is>
      </c>
      <c r="AA228" s="3" t="n">
        <v>1</v>
      </c>
      <c r="AB228" s="3" t="n">
        <v>0.9350000000000001</v>
      </c>
      <c r="AC228" s="3" t="n">
        <v>1.2</v>
      </c>
      <c r="AD228" s="3" t="n">
        <v>0.0306</v>
      </c>
      <c r="AE228" s="3" t="n">
        <v>6.6</v>
      </c>
      <c r="AF228" s="3" t="n">
        <v>0.06730711318589733</v>
      </c>
      <c r="AG228" s="3" t="n">
        <v>0.3355</v>
      </c>
      <c r="AH228" s="3" t="n">
        <v>33</v>
      </c>
      <c r="AI228" s="3" t="n">
        <v>3.0957</v>
      </c>
      <c r="AJ228" s="3" t="n">
        <v>1.53</v>
      </c>
      <c r="AK228" s="3" t="n">
        <v>-0.2820774369747298</v>
      </c>
      <c r="AL228" s="6" t="n">
        <v>0</v>
      </c>
      <c r="AM228" s="3" t="n">
        <v>0</v>
      </c>
      <c r="AN228" s="3" t="n">
        <v>0</v>
      </c>
      <c r="AO228" s="3" t="n">
        <v>0.121176</v>
      </c>
      <c r="AP228" s="3">
        <f>N(X228)*N(BI228)</f>
        <v/>
      </c>
      <c r="AQ228" s="3" t="n">
        <v>0.3355</v>
      </c>
      <c r="AR228" s="3" t="n">
        <v>0</v>
      </c>
      <c r="AS228" s="3" t="n">
        <v>-0.5267219238049191</v>
      </c>
      <c r="AT228" s="3" t="n">
        <v>-0.2820774369747298</v>
      </c>
      <c r="AU228" s="3">
        <f>SUM(AN228:AT228)</f>
        <v/>
      </c>
      <c r="AV228" s="7">
        <f>IF(OR(N(W228)&lt;=0,N(BG228)=0),0,N(W228)*IF(N(R228)/N(W228)&gt;=60,N(BG228),1))</f>
        <v/>
      </c>
      <c r="AW228" s="7">
        <f>N(W228)*N(AF228)*N(BH228)</f>
        <v/>
      </c>
      <c r="AX228" s="7">
        <f>N(AL228)*(Assumptions!$B$13*N(BJ228)-(1-Assumptions!$B$13)*Assumptions!$B$14)+N(AM228)</f>
        <v/>
      </c>
      <c r="AY228" s="7">
        <f>N(AU228)*N(R228)/90+N(AV228)+N(AW228)+N(AX228)</f>
        <v/>
      </c>
      <c r="AZ228" s="3">
        <f>IF(N(R228)&lt;=0,0,(N(AY228)-N(AX228))*90/N(R228))</f>
        <v/>
      </c>
      <c r="BA228" s="7">
        <f>IFERROR(AY228-VLOOKUP($E228,Assumptions!$A$40:$C$43,3,FALSE),"")</f>
        <v/>
      </c>
      <c r="BB228" s="3">
        <f>IFERROR(BA228/H228,"")</f>
        <v/>
      </c>
      <c r="BC228">
        <f>IF(AND($G228=TRUE,$E228="GKP"),AY228,"")</f>
        <v/>
      </c>
      <c r="BD228">
        <f>IF(AND($G228=TRUE,$E228="DEF"),AY228,"")</f>
        <v/>
      </c>
      <c r="BE228">
        <f>IF(AND($G228=TRUE,$E228="MID"),AY228,"")</f>
        <v/>
      </c>
      <c r="BF228">
        <f>IF(AND($G228=TRUE,$E228="FWD"),AY228,"")</f>
        <v/>
      </c>
      <c r="BG228" t="n">
        <v>2</v>
      </c>
      <c r="BH228" t="n">
        <v>2</v>
      </c>
      <c r="BI228" t="n">
        <v>4</v>
      </c>
      <c r="BJ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s="8" t="n">
        <v>412</v>
      </c>
      <c r="O229" s="8" t="n">
        <v>0</v>
      </c>
      <c r="Q229" t="inlineStr">
        <is>
          <t>flat</t>
        </is>
      </c>
      <c r="R229" s="6" t="n">
        <v>412</v>
      </c>
      <c r="S229" t="inlineStr">
        <is>
          <t>Solio</t>
        </is>
      </c>
      <c r="U229" s="6" t="n">
        <v>74.59999999999999</v>
      </c>
      <c r="V229" s="2" t="n">
        <v>12</v>
      </c>
      <c r="W229" s="7">
        <f>IF(N(U229)&lt;=0,0,MIN(Assumptions!$B$15,N(R229)/N(U229)))</f>
        <v/>
      </c>
      <c r="X229" s="6" t="n">
        <v>0.334</v>
      </c>
      <c r="Y229" s="3" t="n">
        <v>0.122</v>
      </c>
      <c r="Z229" t="inlineStr">
        <is>
          <t>adjusted xGOT</t>
        </is>
      </c>
      <c r="AA229" s="3" t="n">
        <v>1</v>
      </c>
      <c r="AB229" s="3" t="n">
        <v>0.878</v>
      </c>
      <c r="AC229" s="3" t="n">
        <v>7.3</v>
      </c>
      <c r="AD229" s="3" t="n">
        <v>0.1335</v>
      </c>
      <c r="AE229" s="3" t="n">
        <v>8.875999999999999</v>
      </c>
      <c r="AF229" s="3" t="n">
        <v>0.07116321869658049</v>
      </c>
      <c r="AG229" s="3" t="n">
        <v>0.2673</v>
      </c>
      <c r="AH229" s="3" t="n">
        <v>33</v>
      </c>
      <c r="AI229" s="3" t="n">
        <v>2.2165</v>
      </c>
      <c r="AJ229" s="3" t="n">
        <v>1.1467</v>
      </c>
      <c r="AK229" s="3" t="n">
        <v>-0.2486955269062244</v>
      </c>
      <c r="AL229" s="6" t="n">
        <v>0</v>
      </c>
      <c r="AM229" s="3" t="n">
        <v>0</v>
      </c>
      <c r="AN229" s="3" t="n">
        <v>0.61</v>
      </c>
      <c r="AO229" s="3" t="n">
        <v>0.52866</v>
      </c>
      <c r="AP229" s="3">
        <f>N(X229)*N(BI229)</f>
        <v/>
      </c>
      <c r="AQ229" s="3" t="n">
        <v>0.2673</v>
      </c>
      <c r="AR229" s="3" t="n">
        <v>0</v>
      </c>
      <c r="AS229" s="3" t="n">
        <v>-0</v>
      </c>
      <c r="AT229" s="3" t="n">
        <v>-0.2486955269062244</v>
      </c>
      <c r="AU229" s="3">
        <f>SUM(AN229:AT229)</f>
        <v/>
      </c>
      <c r="AV229" s="7">
        <f>IF(OR(N(W229)&lt;=0,N(BG229)=0),0,N(W229)*IF(N(R229)/N(W229)&gt;=60,N(BG229),1))</f>
        <v/>
      </c>
      <c r="AW229" s="7">
        <f>N(W229)*N(AF229)*N(BH229)</f>
        <v/>
      </c>
      <c r="AX229" s="7">
        <f>N(AL229)*(Assumptions!$B$13*N(BJ229)-(1-Assumptions!$B$13)*Assumptions!$B$14)+N(AM229)</f>
        <v/>
      </c>
      <c r="AY229" s="7">
        <f>N(AU229)*N(R229)/90+N(AV229)+N(AW229)+N(AX229)</f>
        <v/>
      </c>
      <c r="AZ229" s="3">
        <f>IF(N(R229)&lt;=0,0,(N(AY229)-N(AX229))*90/N(R229))</f>
        <v/>
      </c>
      <c r="BA229" s="7">
        <f>IFERROR(AY229-VLOOKUP($E229,Assumptions!$A$40:$C$43,3,FALSE),"")</f>
        <v/>
      </c>
      <c r="BB229" s="3">
        <f>IFERROR(BA229/H229,"")</f>
        <v/>
      </c>
      <c r="BC229">
        <f>IF(AND($G229=TRUE,$E229="GKP"),AY229,"")</f>
        <v/>
      </c>
      <c r="BD229">
        <f>IF(AND($G229=TRUE,$E229="DEF"),AY229,"")</f>
        <v/>
      </c>
      <c r="BE229">
        <f>IF(AND($G229=TRUE,$E229="MID"),AY229,"")</f>
        <v/>
      </c>
      <c r="BF229">
        <f>IF(AND($G229=TRUE,$E229="FWD"),AY229,"")</f>
        <v/>
      </c>
      <c r="BG229" t="n">
        <v>2</v>
      </c>
      <c r="BH229" t="n">
        <v>2</v>
      </c>
      <c r="BI229" t="n">
        <v>1</v>
      </c>
      <c r="BJ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s="8" t="n">
        <v>684</v>
      </c>
      <c r="O230" s="8" t="n">
        <v>0</v>
      </c>
      <c r="Q230" t="inlineStr">
        <is>
          <t>flat</t>
        </is>
      </c>
      <c r="R230" s="6" t="n">
        <v>684</v>
      </c>
      <c r="S230" t="inlineStr">
        <is>
          <t>Solio</t>
        </is>
      </c>
      <c r="U230" s="6" t="n">
        <v>66.09999999999999</v>
      </c>
      <c r="V230" s="2" t="n">
        <v>12</v>
      </c>
      <c r="W230" s="7">
        <f>IF(N(U230)&lt;=0,0,MIN(Assumptions!$B$15,N(R230)/N(U230)))</f>
        <v/>
      </c>
      <c r="X230" s="6" t="n">
        <v>0.322</v>
      </c>
      <c r="Y230" s="3" t="n">
        <v>0.3376</v>
      </c>
      <c r="Z230" t="inlineStr">
        <is>
          <t>adjusted xGOT</t>
        </is>
      </c>
      <c r="AA230" s="3" t="n">
        <v>1</v>
      </c>
      <c r="AB230" s="3" t="n">
        <v>1.082</v>
      </c>
      <c r="AC230" s="3" t="n">
        <v>2.9</v>
      </c>
      <c r="AD230" s="3" t="n">
        <v>0.2658</v>
      </c>
      <c r="AE230" s="3" t="n">
        <v>7.194</v>
      </c>
      <c r="AF230" s="3" t="n">
        <v>0.008220233724842707</v>
      </c>
      <c r="AG230" s="3" t="n">
        <v>0.4291</v>
      </c>
      <c r="AH230" s="3" t="n">
        <v>29</v>
      </c>
      <c r="AI230" s="3" t="n">
        <v>2.4232</v>
      </c>
      <c r="AJ230" s="3" t="n">
        <v>1.1851</v>
      </c>
      <c r="AK230" s="3" t="n">
        <v>-0.3005963358502878</v>
      </c>
      <c r="AL230" s="6" t="n">
        <v>0.0146943132788909</v>
      </c>
      <c r="AM230" s="3" t="n">
        <v>0</v>
      </c>
      <c r="AN230" s="3" t="n">
        <v>1.688</v>
      </c>
      <c r="AO230" s="3" t="n">
        <v>1.052568</v>
      </c>
      <c r="AP230" s="3">
        <f>N(X230)*N(BI230)</f>
        <v/>
      </c>
      <c r="AQ230" s="3" t="n">
        <v>0.4291</v>
      </c>
      <c r="AR230" s="3" t="n">
        <v>0</v>
      </c>
      <c r="AS230" s="3" t="n">
        <v>-0</v>
      </c>
      <c r="AT230" s="3" t="n">
        <v>-0.3005963358502878</v>
      </c>
      <c r="AU230" s="3">
        <f>SUM(AN230:AT230)</f>
        <v/>
      </c>
      <c r="AV230" s="7">
        <f>IF(OR(N(W230)&lt;=0,N(BG230)=0),0,N(W230)*IF(N(R230)/N(W230)&gt;=60,N(BG230),1))</f>
        <v/>
      </c>
      <c r="AW230" s="7">
        <f>N(W230)*N(AF230)*N(BH230)</f>
        <v/>
      </c>
      <c r="AX230" s="7">
        <f>N(AL230)*(Assumptions!$B$13*N(BJ230)-(1-Assumptions!$B$13)*Assumptions!$B$14)+N(AM230)</f>
        <v/>
      </c>
      <c r="AY230" s="7">
        <f>N(AU230)*N(R230)/90+N(AV230)+N(AW230)+N(AX230)</f>
        <v/>
      </c>
      <c r="AZ230" s="3">
        <f>IF(N(R230)&lt;=0,0,(N(AY230)-N(AX230))*90/N(R230))</f>
        <v/>
      </c>
      <c r="BA230" s="7">
        <f>IFERROR(AY230-VLOOKUP($E230,Assumptions!$A$40:$C$43,3,FALSE),"")</f>
        <v/>
      </c>
      <c r="BB230" s="3">
        <f>IFERROR(BA230/H230,"")</f>
        <v/>
      </c>
      <c r="BC230">
        <f>IF(AND($G230=TRUE,$E230="GKP"),AY230,"")</f>
        <v/>
      </c>
      <c r="BD230">
        <f>IF(AND($G230=TRUE,$E230="DEF"),AY230,"")</f>
        <v/>
      </c>
      <c r="BE230">
        <f>IF(AND($G230=TRUE,$E230="MID"),AY230,"")</f>
        <v/>
      </c>
      <c r="BF230">
        <f>IF(AND($G230=TRUE,$E230="FWD"),AY230,"")</f>
        <v/>
      </c>
      <c r="BG230" t="n">
        <v>2</v>
      </c>
      <c r="BH230" t="n">
        <v>2</v>
      </c>
      <c r="BI230" t="n">
        <v>1</v>
      </c>
      <c r="BJ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s="4" t="n">
        <v>1000</v>
      </c>
      <c r="O231" s="4" t="n">
        <v>493</v>
      </c>
      <c r="P231" s="5" t="inlineStr">
        <is>
          <t>medium</t>
        </is>
      </c>
      <c r="Q231" t="inlineStr">
        <is>
          <t>flat</t>
        </is>
      </c>
      <c r="R231" s="6" t="n">
        <v>1000</v>
      </c>
      <c r="S231" t="inlineStr">
        <is>
          <t>research</t>
        </is>
      </c>
      <c r="T231" s="5" t="inlineStr">
        <is>
          <t>Solio's 507 minutes reads as an assumption that he leaves. As of 14-15 August that has not happened and looks less likely: David Ornstein reported that Martinelli's camp told Arsenal he has no interest in joining Galatasaray despite a €45m bid, and Arseblog's read is that the interest was generated by Arsenal's own sporting director rather than by the player. Arsenal missed on Vinicius Junior and have no left-wing replacement lined up, so Arseblog's stated expectation is a 'Tzolis and Martinelli left side'. Arteta has publicly backed him. 1000 minutes reflects a rotation role, not a starting one, and still discounts a deadline-day sale.</t>
        </is>
      </c>
      <c r="U231" s="6" t="n">
        <v>71.59999999999999</v>
      </c>
      <c r="V231" s="2" t="n">
        <v>11</v>
      </c>
      <c r="W231" s="7">
        <f>IF(N(U231)&lt;=0,0,MIN(Assumptions!$B$15,N(R231)/N(U231)))</f>
        <v/>
      </c>
      <c r="X231" s="6" t="n">
        <v>0.391</v>
      </c>
      <c r="Y231" s="3" t="n">
        <v>0.3586</v>
      </c>
      <c r="Z231" t="inlineStr">
        <is>
          <t>adjusted xGOT</t>
        </is>
      </c>
      <c r="AA231" s="3" t="n">
        <v>1</v>
      </c>
      <c r="AB231" s="3" t="n">
        <v>1.03</v>
      </c>
      <c r="AC231" s="3" t="n">
        <v>26.8</v>
      </c>
      <c r="AD231" s="3" t="n">
        <v>0.1622</v>
      </c>
      <c r="AE231" s="3" t="n">
        <v>7.342</v>
      </c>
      <c r="AF231" s="3" t="n">
        <v>0.01674064649553464</v>
      </c>
      <c r="AG231" s="3" t="n">
        <v>0.2535</v>
      </c>
      <c r="AH231" s="3" t="n">
        <v>35</v>
      </c>
      <c r="AI231" s="3" t="n">
        <v>2.067</v>
      </c>
      <c r="AJ231" s="3" t="n">
        <v>0.9838</v>
      </c>
      <c r="AK231" s="3" t="n">
        <v>-0.1549320488858959</v>
      </c>
      <c r="AL231" s="6" t="n">
        <v>0</v>
      </c>
      <c r="AM231" s="3" t="n">
        <v>0</v>
      </c>
      <c r="AN231" s="3" t="n">
        <v>1.793</v>
      </c>
      <c r="AO231" s="3" t="n">
        <v>0.6423120000000001</v>
      </c>
      <c r="AP231" s="3">
        <f>N(X231)*N(BI231)</f>
        <v/>
      </c>
      <c r="AQ231" s="3" t="n">
        <v>0.2535</v>
      </c>
      <c r="AR231" s="3" t="n">
        <v>0</v>
      </c>
      <c r="AS231" s="3" t="n">
        <v>-0</v>
      </c>
      <c r="AT231" s="3" t="n">
        <v>-0.1549320488858959</v>
      </c>
      <c r="AU231" s="3">
        <f>SUM(AN231:AT231)</f>
        <v/>
      </c>
      <c r="AV231" s="7">
        <f>IF(OR(N(W231)&lt;=0,N(BG231)=0),0,N(W231)*IF(N(R231)/N(W231)&gt;=60,N(BG231),1))</f>
        <v/>
      </c>
      <c r="AW231" s="7">
        <f>N(W231)*N(AF231)*N(BH231)</f>
        <v/>
      </c>
      <c r="AX231" s="7">
        <f>N(AL231)*(Assumptions!$B$13*N(BJ231)-(1-Assumptions!$B$13)*Assumptions!$B$14)+N(AM231)</f>
        <v/>
      </c>
      <c r="AY231" s="7">
        <f>N(AU231)*N(R231)/90+N(AV231)+N(AW231)+N(AX231)</f>
        <v/>
      </c>
      <c r="AZ231" s="3">
        <f>IF(N(R231)&lt;=0,0,(N(AY231)-N(AX231))*90/N(R231))</f>
        <v/>
      </c>
      <c r="BA231" s="7">
        <f>IFERROR(AY231-VLOOKUP($E231,Assumptions!$A$40:$C$43,3,FALSE),"")</f>
        <v/>
      </c>
      <c r="BB231" s="3">
        <f>IFERROR(BA231/H231,"")</f>
        <v/>
      </c>
      <c r="BC231">
        <f>IF(AND($G231=TRUE,$E231="GKP"),AY231,"")</f>
        <v/>
      </c>
      <c r="BD231">
        <f>IF(AND($G231=TRUE,$E231="DEF"),AY231,"")</f>
        <v/>
      </c>
      <c r="BE231">
        <f>IF(AND($G231=TRUE,$E231="MID"),AY231,"")</f>
        <v/>
      </c>
      <c r="BF231">
        <f>IF(AND($G231=TRUE,$E231="FWD"),AY231,"")</f>
        <v/>
      </c>
      <c r="BG231" t="n">
        <v>2</v>
      </c>
      <c r="BH231" t="n">
        <v>2</v>
      </c>
      <c r="BI231" t="n">
        <v>1</v>
      </c>
      <c r="BJ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s="4" t="n">
        <v>1450</v>
      </c>
      <c r="O232" s="4" t="n">
        <v>643</v>
      </c>
      <c r="P232" s="5" t="inlineStr">
        <is>
          <t>medium</t>
        </is>
      </c>
      <c r="Q232" t="inlineStr">
        <is>
          <t>fade (losing his place)</t>
        </is>
      </c>
      <c r="R232" s="6" t="n">
        <v>1450</v>
      </c>
      <c r="S232" t="inlineStr">
        <is>
          <t>research</t>
        </is>
      </c>
      <c r="T232" s="5" t="inlineStr">
        <is>
          <t>Solio flags him 'fade (losing his place)' on 807 minutes, but he is named as one of the two candidates to start at left-sided centre-back in the opener, and he impressed filling in at right-back during pre-season, which gives him a second route into the XI. He played 1,730 minutes in 2025/26. He was dropped for the Milan game in favour of Heaven, which is why this is a partial rather than a full promotion.</t>
        </is>
      </c>
      <c r="U232" s="6" t="n">
        <v>82.90000000000001</v>
      </c>
      <c r="V232" s="2" t="n">
        <v>18</v>
      </c>
      <c r="W232" s="7">
        <f>IF(N(U232)&lt;=0,0,MIN(Assumptions!$B$15,N(R232)/N(U232)))</f>
        <v/>
      </c>
      <c r="X232" s="6" t="n">
        <v>0.334</v>
      </c>
      <c r="Y232" s="3" t="n">
        <v>0.0674</v>
      </c>
      <c r="Z232" t="inlineStr">
        <is>
          <t>adjusted xGOT</t>
        </is>
      </c>
      <c r="AA232" s="3" t="n">
        <v>1</v>
      </c>
      <c r="AB232" s="3" t="n">
        <v>0.966</v>
      </c>
      <c r="AC232" s="3" t="n">
        <v>2</v>
      </c>
      <c r="AD232" s="3" t="n">
        <v>0.0211</v>
      </c>
      <c r="AE232" s="3" t="n">
        <v>7.989</v>
      </c>
      <c r="AF232" s="3" t="n">
        <v>0.2076630955025032</v>
      </c>
      <c r="AG232" s="3" t="n">
        <v>0.052</v>
      </c>
      <c r="AH232" s="3" t="n">
        <v>49</v>
      </c>
      <c r="AI232" s="3" t="n">
        <v>2.2165</v>
      </c>
      <c r="AJ232" s="3" t="n">
        <v>1.1467</v>
      </c>
      <c r="AK232" s="3" t="n">
        <v>-0.1826025601153342</v>
      </c>
      <c r="AL232" s="6" t="n">
        <v>0</v>
      </c>
      <c r="AM232" s="3" t="n">
        <v>0</v>
      </c>
      <c r="AN232" s="3" t="n">
        <v>0.4044</v>
      </c>
      <c r="AO232" s="3" t="n">
        <v>0.08355599999999999</v>
      </c>
      <c r="AP232" s="3">
        <f>N(X232)*N(BI232)</f>
        <v/>
      </c>
      <c r="AQ232" s="3" t="n">
        <v>0.052</v>
      </c>
      <c r="AR232" s="3" t="n">
        <v>0</v>
      </c>
      <c r="AS232" s="3" t="n">
        <v>-0.348580685135232</v>
      </c>
      <c r="AT232" s="3" t="n">
        <v>-0.1826025601153342</v>
      </c>
      <c r="AU232" s="3">
        <f>SUM(AN232:AT232)</f>
        <v/>
      </c>
      <c r="AV232" s="7">
        <f>IF(OR(N(W232)&lt;=0,N(BG232)=0),0,N(W232)*IF(N(R232)/N(W232)&gt;=60,N(BG232),1))</f>
        <v/>
      </c>
      <c r="AW232" s="7">
        <f>N(W232)*N(AF232)*N(BH232)</f>
        <v/>
      </c>
      <c r="AX232" s="7">
        <f>N(AL232)*(Assumptions!$B$13*N(BJ232)-(1-Assumptions!$B$13)*Assumptions!$B$14)+N(AM232)</f>
        <v/>
      </c>
      <c r="AY232" s="7">
        <f>N(AU232)*N(R232)/90+N(AV232)+N(AW232)+N(AX232)</f>
        <v/>
      </c>
      <c r="AZ232" s="3">
        <f>IF(N(R232)&lt;=0,0,(N(AY232)-N(AX232))*90/N(R232))</f>
        <v/>
      </c>
      <c r="BA232" s="7">
        <f>IFERROR(AY232-VLOOKUP($E232,Assumptions!$A$40:$C$43,3,FALSE),"")</f>
        <v/>
      </c>
      <c r="BB232" s="3">
        <f>IFERROR(BA232/H232,"")</f>
        <v/>
      </c>
      <c r="BC232">
        <f>IF(AND($G232=TRUE,$E232="GKP"),AY232,"")</f>
        <v/>
      </c>
      <c r="BD232">
        <f>IF(AND($G232=TRUE,$E232="DEF"),AY232,"")</f>
        <v/>
      </c>
      <c r="BE232">
        <f>IF(AND($G232=TRUE,$E232="MID"),AY232,"")</f>
        <v/>
      </c>
      <c r="BF232">
        <f>IF(AND($G232=TRUE,$E232="FWD"),AY232,"")</f>
        <v/>
      </c>
      <c r="BG232" t="n">
        <v>2</v>
      </c>
      <c r="BH232" t="n">
        <v>2</v>
      </c>
      <c r="BI232" t="n">
        <v>4</v>
      </c>
      <c r="BJ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s="8" t="n">
        <v>1989</v>
      </c>
      <c r="O233" s="8" t="n">
        <v>0</v>
      </c>
      <c r="Q233" t="inlineStr">
        <is>
          <t>flat</t>
        </is>
      </c>
      <c r="R233" s="6" t="n">
        <v>1989</v>
      </c>
      <c r="S233" t="inlineStr">
        <is>
          <t>Solio</t>
        </is>
      </c>
      <c r="U233" s="6" t="n">
        <v>70.5</v>
      </c>
      <c r="V233" s="2" t="n">
        <v>23</v>
      </c>
      <c r="W233" s="7">
        <f>IF(N(U233)&lt;=0,0,MIN(Assumptions!$B$15,N(R233)/N(U233)))</f>
        <v/>
      </c>
      <c r="X233" s="6" t="n">
        <v>0.252</v>
      </c>
      <c r="Y233" s="3" t="n">
        <v>0.0429</v>
      </c>
      <c r="Z233" t="inlineStr">
        <is>
          <t>adjusted xGOT</t>
        </is>
      </c>
      <c r="AA233" s="3" t="n">
        <v>1</v>
      </c>
      <c r="AB233" s="3" t="n">
        <v>1.006</v>
      </c>
      <c r="AC233" s="3" t="n">
        <v>4.7</v>
      </c>
      <c r="AD233" s="3" t="n">
        <v>0.0419</v>
      </c>
      <c r="AE233" s="3" t="n">
        <v>10.56</v>
      </c>
      <c r="AF233" s="3" t="n">
        <v>0.1325519979532317</v>
      </c>
      <c r="AG233" s="3" t="n">
        <v>0</v>
      </c>
      <c r="AH233" s="3" t="n">
        <v>46</v>
      </c>
      <c r="AI233" s="3" t="n">
        <v>2.8404</v>
      </c>
      <c r="AJ233" s="3" t="n">
        <v>1.439</v>
      </c>
      <c r="AK233" s="3" t="n">
        <v>-0.2687947400489801</v>
      </c>
      <c r="AL233" s="6" t="n">
        <v>0</v>
      </c>
      <c r="AM233" s="3" t="n">
        <v>0</v>
      </c>
      <c r="AN233" s="3" t="n">
        <v>0.2145</v>
      </c>
      <c r="AO233" s="3" t="n">
        <v>0.165924</v>
      </c>
      <c r="AP233" s="3">
        <f>N(X233)*N(BI233)</f>
        <v/>
      </c>
      <c r="AQ233" s="3" t="n">
        <v>0</v>
      </c>
      <c r="AR233" s="3" t="n">
        <v>0</v>
      </c>
      <c r="AS233" s="3" t="n">
        <v>-0</v>
      </c>
      <c r="AT233" s="3" t="n">
        <v>-0.2687947400489801</v>
      </c>
      <c r="AU233" s="3">
        <f>SUM(AN233:AT233)</f>
        <v/>
      </c>
      <c r="AV233" s="7">
        <f>IF(OR(N(W233)&lt;=0,N(BG233)=0),0,N(W233)*IF(N(R233)/N(W233)&gt;=60,N(BG233),1))</f>
        <v/>
      </c>
      <c r="AW233" s="7">
        <f>N(W233)*N(AF233)*N(BH233)</f>
        <v/>
      </c>
      <c r="AX233" s="7">
        <f>N(AL233)*(Assumptions!$B$13*N(BJ233)-(1-Assumptions!$B$13)*Assumptions!$B$14)+N(AM233)</f>
        <v/>
      </c>
      <c r="AY233" s="7">
        <f>N(AU233)*N(R233)/90+N(AV233)+N(AW233)+N(AX233)</f>
        <v/>
      </c>
      <c r="AZ233" s="3">
        <f>IF(N(R233)&lt;=0,0,(N(AY233)-N(AX233))*90/N(R233))</f>
        <v/>
      </c>
      <c r="BA233" s="7">
        <f>IFERROR(AY233-VLOOKUP($E233,Assumptions!$A$40:$C$43,3,FALSE),"")</f>
        <v/>
      </c>
      <c r="BB233" s="3">
        <f>IFERROR(BA233/H233,"")</f>
        <v/>
      </c>
      <c r="BC233">
        <f>IF(AND($G233=TRUE,$E233="GKP"),AY233,"")</f>
        <v/>
      </c>
      <c r="BD233">
        <f>IF(AND($G233=TRUE,$E233="DEF"),AY233,"")</f>
        <v/>
      </c>
      <c r="BE233">
        <f>IF(AND($G233=TRUE,$E233="MID"),AY233,"")</f>
        <v/>
      </c>
      <c r="BF233">
        <f>IF(AND($G233=TRUE,$E233="FWD"),AY233,"")</f>
        <v/>
      </c>
      <c r="BG233" t="n">
        <v>2</v>
      </c>
      <c r="BH233" t="n">
        <v>2</v>
      </c>
      <c r="BI233" t="n">
        <v>1</v>
      </c>
      <c r="BJ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s="8" t="n">
        <v>452</v>
      </c>
      <c r="O234" s="8" t="n">
        <v>0</v>
      </c>
      <c r="Q234" t="inlineStr">
        <is>
          <t>flat</t>
        </is>
      </c>
      <c r="R234" s="6" t="n">
        <v>452</v>
      </c>
      <c r="S234" t="inlineStr">
        <is>
          <t>Solio</t>
        </is>
      </c>
      <c r="U234" s="6" t="n">
        <v>82.2</v>
      </c>
      <c r="V234" s="2" t="n">
        <v>10</v>
      </c>
      <c r="W234" s="7">
        <f>IF(N(U234)&lt;=0,0,MIN(Assumptions!$B$15,N(R234)/N(U234)))</f>
        <v/>
      </c>
      <c r="X234" s="6" t="n">
        <v>0.218</v>
      </c>
      <c r="Y234" s="3" t="n">
        <v>0.1032</v>
      </c>
      <c r="Z234" t="inlineStr">
        <is>
          <t>adjusted xGOT</t>
        </is>
      </c>
      <c r="AA234" s="3" t="n">
        <v>1</v>
      </c>
      <c r="AB234" s="3" t="n">
        <v>0.9350000000000001</v>
      </c>
      <c r="AC234" s="3" t="n">
        <v>11.9</v>
      </c>
      <c r="AD234" s="3" t="n">
        <v>0.2081</v>
      </c>
      <c r="AE234" s="3" t="n">
        <v>9.33</v>
      </c>
      <c r="AF234" s="3" t="n">
        <v>0.1531691114946067</v>
      </c>
      <c r="AG234" s="3" t="n">
        <v>0.4487</v>
      </c>
      <c r="AH234" s="3" t="n">
        <v>32</v>
      </c>
      <c r="AI234" s="3" t="n">
        <v>3.0611</v>
      </c>
      <c r="AJ234" s="3" t="n">
        <v>1.5875</v>
      </c>
      <c r="AK234" s="3" t="n">
        <v>-0.222926749447464</v>
      </c>
      <c r="AL234" s="6" t="n">
        <v>0</v>
      </c>
      <c r="AM234" s="3" t="n">
        <v>0</v>
      </c>
      <c r="AN234" s="3" t="n">
        <v>0.516</v>
      </c>
      <c r="AO234" s="3" t="n">
        <v>0.8240760000000001</v>
      </c>
      <c r="AP234" s="3">
        <f>N(X234)*N(BI234)</f>
        <v/>
      </c>
      <c r="AQ234" s="3" t="n">
        <v>0.4487</v>
      </c>
      <c r="AR234" s="3" t="n">
        <v>0</v>
      </c>
      <c r="AS234" s="3" t="n">
        <v>-0</v>
      </c>
      <c r="AT234" s="3" t="n">
        <v>-0.222926749447464</v>
      </c>
      <c r="AU234" s="3">
        <f>SUM(AN234:AT234)</f>
        <v/>
      </c>
      <c r="AV234" s="7">
        <f>IF(OR(N(W234)&lt;=0,N(BG234)=0),0,N(W234)*IF(N(R234)/N(W234)&gt;=60,N(BG234),1))</f>
        <v/>
      </c>
      <c r="AW234" s="7">
        <f>N(W234)*N(AF234)*N(BH234)</f>
        <v/>
      </c>
      <c r="AX234" s="7">
        <f>N(AL234)*(Assumptions!$B$13*N(BJ234)-(1-Assumptions!$B$13)*Assumptions!$B$14)+N(AM234)</f>
        <v/>
      </c>
      <c r="AY234" s="7">
        <f>N(AU234)*N(R234)/90+N(AV234)+N(AW234)+N(AX234)</f>
        <v/>
      </c>
      <c r="AZ234" s="3">
        <f>IF(N(R234)&lt;=0,0,(N(AY234)-N(AX234))*90/N(R234))</f>
        <v/>
      </c>
      <c r="BA234" s="7">
        <f>IFERROR(AY234-VLOOKUP($E234,Assumptions!$A$40:$C$43,3,FALSE),"")</f>
        <v/>
      </c>
      <c r="BB234" s="3">
        <f>IFERROR(BA234/H234,"")</f>
        <v/>
      </c>
      <c r="BC234">
        <f>IF(AND($G234=TRUE,$E234="GKP"),AY234,"")</f>
        <v/>
      </c>
      <c r="BD234">
        <f>IF(AND($G234=TRUE,$E234="DEF"),AY234,"")</f>
        <v/>
      </c>
      <c r="BE234">
        <f>IF(AND($G234=TRUE,$E234="MID"),AY234,"")</f>
        <v/>
      </c>
      <c r="BF234">
        <f>IF(AND($G234=TRUE,$E234="FWD"),AY234,"")</f>
        <v/>
      </c>
      <c r="BG234" t="n">
        <v>2</v>
      </c>
      <c r="BH234" t="n">
        <v>2</v>
      </c>
      <c r="BI234" t="n">
        <v>1</v>
      </c>
      <c r="BJ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s="8" t="n">
        <v>349</v>
      </c>
      <c r="O235" s="8" t="n">
        <v>0</v>
      </c>
      <c r="Q235" t="inlineStr">
        <is>
          <t>flat</t>
        </is>
      </c>
      <c r="R235" s="6" t="n">
        <v>349</v>
      </c>
      <c r="S235" t="inlineStr">
        <is>
          <t>Solio</t>
        </is>
      </c>
      <c r="U235" s="6" t="n">
        <v>73.3</v>
      </c>
      <c r="V235" s="2" t="n">
        <v>8</v>
      </c>
      <c r="W235" s="7">
        <f>IF(N(U235)&lt;=0,0,MIN(Assumptions!$B$15,N(R235)/N(U235)))</f>
        <v/>
      </c>
      <c r="X235" s="6" t="n">
        <v>0.371</v>
      </c>
      <c r="Y235" s="3" t="n">
        <v>0.3489</v>
      </c>
      <c r="Z235" t="inlineStr">
        <is>
          <t>adjusted xGOT</t>
        </is>
      </c>
      <c r="AA235" s="3" t="n">
        <v>1</v>
      </c>
      <c r="AB235" s="3" t="n">
        <v>0.964</v>
      </c>
      <c r="AC235" s="3" t="n">
        <v>8.199999999999999</v>
      </c>
      <c r="AD235" s="3" t="n">
        <v>0.1887</v>
      </c>
      <c r="AE235" s="3" t="n">
        <v>6.864</v>
      </c>
      <c r="AF235" s="3" t="n">
        <v>0.01233609390679369</v>
      </c>
      <c r="AG235" s="3" t="n">
        <v>0.6512</v>
      </c>
      <c r="AH235" s="3" t="n">
        <v>26</v>
      </c>
      <c r="AI235" s="3" t="n">
        <v>1.9737</v>
      </c>
      <c r="AJ235" s="3" t="n">
        <v>1.0365</v>
      </c>
      <c r="AK235" s="3" t="n">
        <v>-0.189665894755715</v>
      </c>
      <c r="AL235" s="6" t="n">
        <v>0.0414562730263571</v>
      </c>
      <c r="AM235" s="3" t="n">
        <v>0</v>
      </c>
      <c r="AN235" s="3" t="n">
        <v>1.3956</v>
      </c>
      <c r="AO235" s="3" t="n">
        <v>0.7472520000000001</v>
      </c>
      <c r="AP235" s="3">
        <f>N(X235)*N(BI235)</f>
        <v/>
      </c>
      <c r="AQ235" s="3" t="n">
        <v>0.6512</v>
      </c>
      <c r="AR235" s="3" t="n">
        <v>0</v>
      </c>
      <c r="AS235" s="3" t="n">
        <v>-0</v>
      </c>
      <c r="AT235" s="3" t="n">
        <v>-0.189665894755715</v>
      </c>
      <c r="AU235" s="3">
        <f>SUM(AN235:AT235)</f>
        <v/>
      </c>
      <c r="AV235" s="7">
        <f>IF(OR(N(W235)&lt;=0,N(BG235)=0),0,N(W235)*IF(N(R235)/N(W235)&gt;=60,N(BG235),1))</f>
        <v/>
      </c>
      <c r="AW235" s="7">
        <f>N(W235)*N(AF235)*N(BH235)</f>
        <v/>
      </c>
      <c r="AX235" s="7">
        <f>N(AL235)*(Assumptions!$B$13*N(BJ235)-(1-Assumptions!$B$13)*Assumptions!$B$14)+N(AM235)</f>
        <v/>
      </c>
      <c r="AY235" s="7">
        <f>N(AU235)*N(R235)/90+N(AV235)+N(AW235)+N(AX235)</f>
        <v/>
      </c>
      <c r="AZ235" s="3">
        <f>IF(N(R235)&lt;=0,0,(N(AY235)-N(AX235))*90/N(R235))</f>
        <v/>
      </c>
      <c r="BA235" s="7">
        <f>IFERROR(AY235-VLOOKUP($E235,Assumptions!$A$40:$C$43,3,FALSE),"")</f>
        <v/>
      </c>
      <c r="BB235" s="3">
        <f>IFERROR(BA235/H235,"")</f>
        <v/>
      </c>
      <c r="BC235">
        <f>IF(AND($G235=TRUE,$E235="GKP"),AY235,"")</f>
        <v/>
      </c>
      <c r="BD235">
        <f>IF(AND($G235=TRUE,$E235="DEF"),AY235,"")</f>
        <v/>
      </c>
      <c r="BE235">
        <f>IF(AND($G235=TRUE,$E235="MID"),AY235,"")</f>
        <v/>
      </c>
      <c r="BF235">
        <f>IF(AND($G235=TRUE,$E235="FWD"),AY235,"")</f>
        <v/>
      </c>
      <c r="BG235" t="n">
        <v>2</v>
      </c>
      <c r="BH235" t="n">
        <v>2</v>
      </c>
      <c r="BI235" t="n">
        <v>0</v>
      </c>
      <c r="BJ235" t="n">
        <v>4</v>
      </c>
    </row>
    <row r="236">
      <c r="A236" s="9" t="inlineStr">
        <is>
          <t>Alejandro Garnacho</t>
        </is>
      </c>
      <c r="B236" t="inlineStr">
        <is>
          <t>AVL</t>
        </is>
      </c>
      <c r="C236" s="9" t="inlineStr">
        <is>
          <t>CHE</t>
        </is>
      </c>
      <c r="D236" t="b">
        <v>1</v>
      </c>
      <c r="E236" t="inlineStr">
        <is>
          <t>MID</t>
        </is>
      </c>
      <c r="F236" t="inlineStr">
        <is>
          <t>MID</t>
        </is>
      </c>
      <c r="G236" t="b">
        <v>1</v>
      </c>
      <c r="H236" s="2" t="n">
        <v>6</v>
      </c>
      <c r="I236" t="inlineStr">
        <is>
          <t>a</t>
        </is>
      </c>
      <c r="K236" s="2" t="n">
        <v>1261</v>
      </c>
      <c r="L236" t="n">
        <v>56</v>
      </c>
      <c r="M236" s="3" t="n">
        <v>1949</v>
      </c>
      <c r="N236" s="4" t="n">
        <v>2400</v>
      </c>
      <c r="O236" s="4" t="n">
        <v>451</v>
      </c>
      <c r="P236" s="5" t="inlineStr">
        <is>
          <t>medium</t>
        </is>
      </c>
      <c r="Q236" t="inlineStr">
        <is>
          <t>flat</t>
        </is>
      </c>
      <c r="R236" s="6" t="n">
        <v>2400</v>
      </c>
      <c r="S236" t="inlineStr">
        <is>
          <t>research</t>
        </is>
      </c>
      <c r="T236" s="5" t="inlineStr">
        <is>
          <t>Recruited on a season-long loan from Chelsea specifically to replace Morgan Rogers's attacking output, with a conditional obligation to buy triggered by a set number of appearances - Villa are structurally incentivised to play him. He was in the projected Super Cup XI and only missed it under concussion protocol after a facial injury on 4 August; back in group training on 11 August, so available for the Brighton opener. Capped at 2,400 because his minutes-per-start is 68.2 (he gets substituted) and Villa may still add another winger.</t>
        </is>
      </c>
      <c r="U236" s="6" t="n">
        <v>73.2</v>
      </c>
      <c r="V236" s="2" t="n">
        <v>14</v>
      </c>
      <c r="W236" s="7">
        <f>IF(N(U236)&lt;=0,0,MIN(Assumptions!$B$15,N(R236)/N(U236)))</f>
        <v/>
      </c>
      <c r="X236" s="6" t="n">
        <v>0.273</v>
      </c>
      <c r="Y236" s="10" t="n">
        <v>0.2183</v>
      </c>
      <c r="Z236" t="inlineStr">
        <is>
          <t>adjusted xGOT</t>
        </is>
      </c>
      <c r="AA236" s="3" t="n">
        <v>1</v>
      </c>
      <c r="AB236" s="3" t="n">
        <v>0.889</v>
      </c>
      <c r="AC236" s="3" t="n">
        <v>22</v>
      </c>
      <c r="AD236" s="10" t="n">
        <v>0.2819</v>
      </c>
      <c r="AE236" s="3" t="n">
        <v>6.343</v>
      </c>
      <c r="AF236" s="3" t="n">
        <v>0.006893944871771418</v>
      </c>
      <c r="AG236" s="3" t="n">
        <v>0.2141</v>
      </c>
      <c r="AH236" s="3" t="n">
        <v>34</v>
      </c>
      <c r="AI236" s="3" t="n">
        <v>2.7451</v>
      </c>
      <c r="AJ236" s="3" t="n">
        <v>1.3575</v>
      </c>
      <c r="AK236" s="3" t="n">
        <v>-0.1700554686066959</v>
      </c>
      <c r="AL236" s="6" t="n">
        <v>0</v>
      </c>
      <c r="AM236" s="3" t="n">
        <v>0</v>
      </c>
      <c r="AN236" s="10" t="n">
        <v>1.0915</v>
      </c>
      <c r="AO236" s="10" t="n">
        <v>1.116324</v>
      </c>
      <c r="AP236" s="3">
        <f>N(X236)*N(BI236)</f>
        <v/>
      </c>
      <c r="AQ236" s="3" t="n">
        <v>0.2141</v>
      </c>
      <c r="AR236" s="3" t="n">
        <v>0</v>
      </c>
      <c r="AS236" s="3" t="n">
        <v>-0</v>
      </c>
      <c r="AT236" s="3" t="n">
        <v>-0.1700554686066959</v>
      </c>
      <c r="AU236" s="3">
        <f>SUM(AN236:AT236)</f>
        <v/>
      </c>
      <c r="AV236" s="7">
        <f>IF(OR(N(W236)&lt;=0,N(BG236)=0),0,N(W236)*IF(N(R236)/N(W236)&gt;=60,N(BG236),1))</f>
        <v/>
      </c>
      <c r="AW236" s="7">
        <f>N(W236)*N(AF236)*N(BH236)</f>
        <v/>
      </c>
      <c r="AX236" s="7">
        <f>N(AL236)*(Assumptions!$B$13*N(BJ236)-(1-Assumptions!$B$13)*Assumptions!$B$14)+N(AM236)</f>
        <v/>
      </c>
      <c r="AY236" s="7">
        <f>N(AU236)*N(R236)/90+N(AV236)+N(AW236)+N(AX236)</f>
        <v/>
      </c>
      <c r="AZ236" s="3">
        <f>IF(N(R236)&lt;=0,0,(N(AY236)-N(AX236))*90/N(R236))</f>
        <v/>
      </c>
      <c r="BA236" s="7">
        <f>IFERROR(AY236-VLOOKUP($E236,Assumptions!$A$40:$C$43,3,FALSE),"")</f>
        <v/>
      </c>
      <c r="BB236" s="3">
        <f>IFERROR(BA236/H236,"")</f>
        <v/>
      </c>
      <c r="BC236">
        <f>IF(AND($G236=TRUE,$E236="GKP"),AY236,"")</f>
        <v/>
      </c>
      <c r="BD236">
        <f>IF(AND($G236=TRUE,$E236="DEF"),AY236,"")</f>
        <v/>
      </c>
      <c r="BE236">
        <f>IF(AND($G236=TRUE,$E236="MID"),AY236,"")</f>
        <v/>
      </c>
      <c r="BF236">
        <f>IF(AND($G236=TRUE,$E236="FWD"),AY236,"")</f>
        <v/>
      </c>
      <c r="BG236" t="n">
        <v>2</v>
      </c>
      <c r="BH236" t="n">
        <v>2</v>
      </c>
      <c r="BI236" t="n">
        <v>1</v>
      </c>
      <c r="BJ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s="4" t="n">
        <v>900</v>
      </c>
      <c r="O237" s="4" t="n">
        <v>230</v>
      </c>
      <c r="P237" s="5" t="inlineStr">
        <is>
          <t>low</t>
        </is>
      </c>
      <c r="Q237" t="inlineStr">
        <is>
          <t>fade (losing his place)</t>
        </is>
      </c>
      <c r="R237" s="6" t="n">
        <v>900</v>
      </c>
      <c r="S237" t="inlineStr">
        <is>
          <t>research</t>
        </is>
      </c>
      <c r="T237" s="5" t="inlineStr">
        <is>
          <t>Came on in the Super Cup and started against Monchengladbach. Villa's central midfield has lost Tielemans permanently and Onana for nine months, with Gomes out 2-4 weeks and Manzambi not yet fit, so the experienced fourth/fifth option gets more of the early load than Solio's 'fade' flag implies.</t>
        </is>
      </c>
      <c r="U237" s="6" t="n">
        <v>78.90000000000001</v>
      </c>
      <c r="V237" s="2" t="n">
        <v>7</v>
      </c>
      <c r="W237" s="7">
        <f>IF(N(U237)&lt;=0,0,MIN(Assumptions!$B$15,N(R237)/N(U237)))</f>
        <v/>
      </c>
      <c r="X237" s="6" t="n">
        <v>0.273</v>
      </c>
      <c r="Y237" s="3" t="n">
        <v>0.183</v>
      </c>
      <c r="Z237" t="inlineStr">
        <is>
          <t>adjusted xGOT</t>
        </is>
      </c>
      <c r="AA237" s="3" t="n">
        <v>1</v>
      </c>
      <c r="AB237" s="3" t="n">
        <v>1.086</v>
      </c>
      <c r="AC237" s="3" t="n">
        <v>7.3</v>
      </c>
      <c r="AD237" s="3" t="n">
        <v>0.1755</v>
      </c>
      <c r="AE237" s="3" t="n">
        <v>8.207000000000001</v>
      </c>
      <c r="AF237" s="3" t="n">
        <v>0.06264419008351096</v>
      </c>
      <c r="AG237" s="3" t="n">
        <v>0.5332</v>
      </c>
      <c r="AH237" s="3" t="n">
        <v>28</v>
      </c>
      <c r="AI237" s="3" t="n">
        <v>2.7451</v>
      </c>
      <c r="AJ237" s="3" t="n">
        <v>1.3575</v>
      </c>
      <c r="AK237" s="3" t="n">
        <v>-0.2223636257694815</v>
      </c>
      <c r="AL237" s="6" t="n">
        <v>0</v>
      </c>
      <c r="AM237" s="3" t="n">
        <v>0</v>
      </c>
      <c r="AN237" s="3" t="n">
        <v>0.915</v>
      </c>
      <c r="AO237" s="3" t="n">
        <v>0.69498</v>
      </c>
      <c r="AP237" s="3">
        <f>N(X237)*N(BI237)</f>
        <v/>
      </c>
      <c r="AQ237" s="3" t="n">
        <v>0.5332</v>
      </c>
      <c r="AR237" s="3" t="n">
        <v>0</v>
      </c>
      <c r="AS237" s="3" t="n">
        <v>-0</v>
      </c>
      <c r="AT237" s="3" t="n">
        <v>-0.2223636257694815</v>
      </c>
      <c r="AU237" s="3">
        <f>SUM(AN237:AT237)</f>
        <v/>
      </c>
      <c r="AV237" s="7">
        <f>IF(OR(N(W237)&lt;=0,N(BG237)=0),0,N(W237)*IF(N(R237)/N(W237)&gt;=60,N(BG237),1))</f>
        <v/>
      </c>
      <c r="AW237" s="7">
        <f>N(W237)*N(AF237)*N(BH237)</f>
        <v/>
      </c>
      <c r="AX237" s="7">
        <f>N(AL237)*(Assumptions!$B$13*N(BJ237)-(1-Assumptions!$B$13)*Assumptions!$B$14)+N(AM237)</f>
        <v/>
      </c>
      <c r="AY237" s="7">
        <f>N(AU237)*N(R237)/90+N(AV237)+N(AW237)+N(AX237)</f>
        <v/>
      </c>
      <c r="AZ237" s="3">
        <f>IF(N(R237)&lt;=0,0,(N(AY237)-N(AX237))*90/N(R237))</f>
        <v/>
      </c>
      <c r="BA237" s="7">
        <f>IFERROR(AY237-VLOOKUP($E237,Assumptions!$A$40:$C$43,3,FALSE),"")</f>
        <v/>
      </c>
      <c r="BB237" s="3">
        <f>IFERROR(BA237/H237,"")</f>
        <v/>
      </c>
      <c r="BC237">
        <f>IF(AND($G237=TRUE,$E237="GKP"),AY237,"")</f>
        <v/>
      </c>
      <c r="BD237">
        <f>IF(AND($G237=TRUE,$E237="DEF"),AY237,"")</f>
        <v/>
      </c>
      <c r="BE237">
        <f>IF(AND($G237=TRUE,$E237="MID"),AY237,"")</f>
        <v/>
      </c>
      <c r="BF237">
        <f>IF(AND($G237=TRUE,$E237="FWD"),AY237,"")</f>
        <v/>
      </c>
      <c r="BG237" t="n">
        <v>2</v>
      </c>
      <c r="BH237" t="n">
        <v>2</v>
      </c>
      <c r="BI237" t="n">
        <v>1</v>
      </c>
      <c r="BJ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s="4" t="n">
        <v>220</v>
      </c>
      <c r="O238" s="4" t="n">
        <v>-282</v>
      </c>
      <c r="P238" s="5" t="inlineStr">
        <is>
          <t>medium</t>
        </is>
      </c>
      <c r="Q238" t="inlineStr">
        <is>
          <t>flat</t>
        </is>
      </c>
      <c r="R238" s="6" t="n">
        <v>220</v>
      </c>
      <c r="S238" t="inlineStr">
        <is>
          <t>research</t>
        </is>
      </c>
      <c r="T238" s="5" t="inlineStr">
        <is>
          <t>Newly flagged and the brief's data is stale here: the FPL feed carries 'Knee injury - Unknown return date' added 2026-08-14, whereas the brief has him as status 'a' with no news. This is a meniscus injury sustained in training in April 2026 that ended his season, his second serious knee problem at Leeds. He was described as a long-term absentee in the 14-15 Aug injury round-ups and is behind Ampadu, Stach, Tanaka and Longstaff in a two-man midfield.</t>
        </is>
      </c>
      <c r="U238" s="6" t="n">
        <v>79.59999999999999</v>
      </c>
      <c r="V238" s="2" t="n">
        <v>15</v>
      </c>
      <c r="W238" s="7">
        <f>IF(N(U238)&lt;=0,0,MIN(Assumptions!$B$15,N(R238)/N(U238)))</f>
        <v/>
      </c>
      <c r="X238" s="6" t="n">
        <v>0.218</v>
      </c>
      <c r="Y238" s="3" t="n">
        <v>0.0323</v>
      </c>
      <c r="Z238" t="inlineStr">
        <is>
          <t>adjusted xGOT</t>
        </is>
      </c>
      <c r="AA238" s="3" t="n">
        <v>1</v>
      </c>
      <c r="AB238" s="3" t="n">
        <v>0.966</v>
      </c>
      <c r="AC238" s="3" t="n">
        <v>0.5</v>
      </c>
      <c r="AD238" s="3" t="n">
        <v>0.0804</v>
      </c>
      <c r="AE238" s="3" t="n">
        <v>8.064</v>
      </c>
      <c r="AF238" s="3" t="n">
        <v>0.05954656095751498</v>
      </c>
      <c r="AG238" s="3" t="n">
        <v>0.2049</v>
      </c>
      <c r="AH238" s="3" t="n">
        <v>37</v>
      </c>
      <c r="AI238" s="3" t="n">
        <v>3.0611</v>
      </c>
      <c r="AJ238" s="3" t="n">
        <v>1.5875</v>
      </c>
      <c r="AK238" s="3" t="n">
        <v>-0.2186465119422614</v>
      </c>
      <c r="AL238" s="6" t="n">
        <v>0</v>
      </c>
      <c r="AM238" s="3" t="n">
        <v>0</v>
      </c>
      <c r="AN238" s="3" t="n">
        <v>0.1615</v>
      </c>
      <c r="AO238" s="3" t="n">
        <v>0.318384</v>
      </c>
      <c r="AP238" s="3">
        <f>N(X238)*N(BI238)</f>
        <v/>
      </c>
      <c r="AQ238" s="3" t="n">
        <v>0.2049</v>
      </c>
      <c r="AR238" s="3" t="n">
        <v>0</v>
      </c>
      <c r="AS238" s="3" t="n">
        <v>-0</v>
      </c>
      <c r="AT238" s="3" t="n">
        <v>-0.2186465119422614</v>
      </c>
      <c r="AU238" s="3">
        <f>SUM(AN238:AT238)</f>
        <v/>
      </c>
      <c r="AV238" s="7">
        <f>IF(OR(N(W238)&lt;=0,N(BG238)=0),0,N(W238)*IF(N(R238)/N(W238)&gt;=60,N(BG238),1))</f>
        <v/>
      </c>
      <c r="AW238" s="7">
        <f>N(W238)*N(AF238)*N(BH238)</f>
        <v/>
      </c>
      <c r="AX238" s="7">
        <f>N(AL238)*(Assumptions!$B$13*N(BJ238)-(1-Assumptions!$B$13)*Assumptions!$B$14)+N(AM238)</f>
        <v/>
      </c>
      <c r="AY238" s="7">
        <f>N(AU238)*N(R238)/90+N(AV238)+N(AW238)+N(AX238)</f>
        <v/>
      </c>
      <c r="AZ238" s="3">
        <f>IF(N(R238)&lt;=0,0,(N(AY238)-N(AX238))*90/N(R238))</f>
        <v/>
      </c>
      <c r="BA238" s="7">
        <f>IFERROR(AY238-VLOOKUP($E238,Assumptions!$A$40:$C$43,3,FALSE),"")</f>
        <v/>
      </c>
      <c r="BB238" s="3">
        <f>IFERROR(BA238/H238,"")</f>
        <v/>
      </c>
      <c r="BC238">
        <f>IF(AND($G238=TRUE,$E238="GKP"),AY238,"")</f>
        <v/>
      </c>
      <c r="BD238">
        <f>IF(AND($G238=TRUE,$E238="DEF"),AY238,"")</f>
        <v/>
      </c>
      <c r="BE238">
        <f>IF(AND($G238=TRUE,$E238="MID"),AY238,"")</f>
        <v/>
      </c>
      <c r="BF238">
        <f>IF(AND($G238=TRUE,$E238="FWD"),AY238,"")</f>
        <v/>
      </c>
      <c r="BG238" t="n">
        <v>2</v>
      </c>
      <c r="BH238" t="n">
        <v>2</v>
      </c>
      <c r="BI238" t="n">
        <v>1</v>
      </c>
      <c r="BJ238" t="n">
        <v>5</v>
      </c>
    </row>
    <row r="239">
      <c r="A239" s="9" t="inlineStr">
        <is>
          <t>Andy Robertson</t>
        </is>
      </c>
      <c r="B239" t="inlineStr">
        <is>
          <t>TOT</t>
        </is>
      </c>
      <c r="C239" s="9" t="inlineStr">
        <is>
          <t>LIV</t>
        </is>
      </c>
      <c r="D239" t="b">
        <v>1</v>
      </c>
      <c r="E239" t="inlineStr">
        <is>
          <t>DEF</t>
        </is>
      </c>
      <c r="F239" t="inlineStr">
        <is>
          <t>DEF</t>
        </is>
      </c>
      <c r="G239" t="b">
        <v>1</v>
      </c>
      <c r="H239" s="2" t="n">
        <v>4.5</v>
      </c>
      <c r="I239" t="inlineStr">
        <is>
          <t>a</t>
        </is>
      </c>
      <c r="K239" s="2" t="n">
        <v>1165</v>
      </c>
      <c r="L239" t="n">
        <v>55</v>
      </c>
      <c r="M239" s="3" t="n">
        <v>718</v>
      </c>
      <c r="N239" s="4" t="n">
        <v>1800</v>
      </c>
      <c r="O239" s="4" t="n">
        <v>1082</v>
      </c>
      <c r="P239" s="5" t="inlineStr">
        <is>
          <t>medium</t>
        </is>
      </c>
      <c r="Q239" t="inlineStr">
        <is>
          <t>flat</t>
        </is>
      </c>
      <c r="R239" s="6" t="n">
        <v>1800</v>
      </c>
      <c r="S239" t="inlineStr">
        <is>
          <t>research</t>
        </is>
      </c>
      <c r="T239" s="5" t="inlineStr">
        <is>
          <t>Solio has Robertson as a bit-part third-choice, which was defensible only while Spence was still at the club. Spence has gone, leaving two senior left-backs. Robertson started both August friendlies (Getafe on the 8th, Hoffenheim on the 15th) while Udogie was withheld, and Udogie's own absence against Chelsea in Sydney forced Robertson into extra minutes. He is expected to start the season at left-back.</t>
        </is>
      </c>
      <c r="U239" s="6" t="n">
        <v>82.40000000000001</v>
      </c>
      <c r="V239" s="2" t="n">
        <v>11</v>
      </c>
      <c r="W239" s="7">
        <f>IF(N(U239)&lt;=0,0,MIN(Assumptions!$B$15,N(R239)/N(U239)))</f>
        <v/>
      </c>
      <c r="X239" s="6" t="n">
        <v>0.286</v>
      </c>
      <c r="Y239" s="10" t="n">
        <v>0.0814</v>
      </c>
      <c r="Z239" t="inlineStr">
        <is>
          <t>adjusted xGOT</t>
        </is>
      </c>
      <c r="AA239" s="3" t="n">
        <v>1</v>
      </c>
      <c r="AB239" s="3" t="n">
        <v>0.958</v>
      </c>
      <c r="AC239" s="3" t="n">
        <v>5.4</v>
      </c>
      <c r="AD239" s="10" t="n">
        <v>0.1124</v>
      </c>
      <c r="AE239" s="3" t="n">
        <v>5.561</v>
      </c>
      <c r="AF239" s="3" t="n">
        <v>0.0352653586021765</v>
      </c>
      <c r="AG239" s="3" t="n">
        <v>0.309</v>
      </c>
      <c r="AH239" s="3" t="n">
        <v>33</v>
      </c>
      <c r="AI239" s="3" t="n">
        <v>2.5739</v>
      </c>
      <c r="AJ239" s="3" t="n">
        <v>1.3096</v>
      </c>
      <c r="AK239" s="3" t="n">
        <v>-0.1256424160049873</v>
      </c>
      <c r="AL239" s="6" t="n">
        <v>0</v>
      </c>
      <c r="AM239" s="3" t="n">
        <v>0</v>
      </c>
      <c r="AN239" s="10" t="n">
        <v>0.4884</v>
      </c>
      <c r="AO239" s="10" t="n">
        <v>0.445104</v>
      </c>
      <c r="AP239" s="3">
        <f>N(X239)*N(BI239)</f>
        <v/>
      </c>
      <c r="AQ239" s="3" t="n">
        <v>0.309</v>
      </c>
      <c r="AR239" s="3" t="n">
        <v>0</v>
      </c>
      <c r="AS239" s="3" t="n">
        <v>-0.4230152821052008</v>
      </c>
      <c r="AT239" s="3" t="n">
        <v>-0.1256424160049873</v>
      </c>
      <c r="AU239" s="3">
        <f>SUM(AN239:AT239)</f>
        <v/>
      </c>
      <c r="AV239" s="7">
        <f>IF(OR(N(W239)&lt;=0,N(BG239)=0),0,N(W239)*IF(N(R239)/N(W239)&gt;=60,N(BG239),1))</f>
        <v/>
      </c>
      <c r="AW239" s="7">
        <f>N(W239)*N(AF239)*N(BH239)</f>
        <v/>
      </c>
      <c r="AX239" s="7">
        <f>N(AL239)*(Assumptions!$B$13*N(BJ239)-(1-Assumptions!$B$13)*Assumptions!$B$14)+N(AM239)</f>
        <v/>
      </c>
      <c r="AY239" s="7">
        <f>N(AU239)*N(R239)/90+N(AV239)+N(AW239)+N(AX239)</f>
        <v/>
      </c>
      <c r="AZ239" s="3">
        <f>IF(N(R239)&lt;=0,0,(N(AY239)-N(AX239))*90/N(R239))</f>
        <v/>
      </c>
      <c r="BA239" s="7">
        <f>IFERROR(AY239-VLOOKUP($E239,Assumptions!$A$40:$C$43,3,FALSE),"")</f>
        <v/>
      </c>
      <c r="BB239" s="3">
        <f>IFERROR(BA239/H239,"")</f>
        <v/>
      </c>
      <c r="BC239">
        <f>IF(AND($G239=TRUE,$E239="GKP"),AY239,"")</f>
        <v/>
      </c>
      <c r="BD239">
        <f>IF(AND($G239=TRUE,$E239="DEF"),AY239,"")</f>
        <v/>
      </c>
      <c r="BE239">
        <f>IF(AND($G239=TRUE,$E239="MID"),AY239,"")</f>
        <v/>
      </c>
      <c r="BF239">
        <f>IF(AND($G239=TRUE,$E239="FWD"),AY239,"")</f>
        <v/>
      </c>
      <c r="BG239" t="n">
        <v>2</v>
      </c>
      <c r="BH239" t="n">
        <v>2</v>
      </c>
      <c r="BI239" t="n">
        <v>4</v>
      </c>
      <c r="BJ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s="8" t="n">
        <v>3004</v>
      </c>
      <c r="O240" s="8" t="n">
        <v>0</v>
      </c>
      <c r="Q240" t="inlineStr">
        <is>
          <t>flat</t>
        </is>
      </c>
      <c r="R240" s="6" t="n">
        <v>3004</v>
      </c>
      <c r="S240" t="inlineStr">
        <is>
          <t>Solio</t>
        </is>
      </c>
      <c r="U240" s="6" t="n">
        <v>82.90000000000001</v>
      </c>
      <c r="V240" s="2" t="n">
        <v>17</v>
      </c>
      <c r="W240" s="7">
        <f>IF(N(U240)&lt;=0,0,MIN(Assumptions!$B$15,N(R240)/N(U240)))</f>
        <v/>
      </c>
      <c r="X240" s="6" t="n">
        <v>0.273</v>
      </c>
      <c r="Y240" s="3" t="n">
        <v>0.0643</v>
      </c>
      <c r="Z240" t="inlineStr">
        <is>
          <t>adjusted xGOT</t>
        </is>
      </c>
      <c r="AA240" s="3" t="n">
        <v>1</v>
      </c>
      <c r="AB240" s="3" t="n">
        <v>0.902</v>
      </c>
      <c r="AC240" s="3" t="n">
        <v>2.9</v>
      </c>
      <c r="AD240" s="3" t="n">
        <v>0.1516</v>
      </c>
      <c r="AE240" s="3" t="n">
        <v>7.382</v>
      </c>
      <c r="AF240" s="3" t="n">
        <v>0.1497816788817284</v>
      </c>
      <c r="AG240" s="3" t="n">
        <v>0.0566</v>
      </c>
      <c r="AH240" s="3" t="n">
        <v>47</v>
      </c>
      <c r="AI240" s="3" t="n">
        <v>2.7451</v>
      </c>
      <c r="AJ240" s="3" t="n">
        <v>1.3575</v>
      </c>
      <c r="AK240" s="3" t="n">
        <v>-0.1765454093646375</v>
      </c>
      <c r="AL240" s="6" t="n">
        <v>0</v>
      </c>
      <c r="AM240" s="3" t="n">
        <v>0</v>
      </c>
      <c r="AN240" s="3" t="n">
        <v>0.3858</v>
      </c>
      <c r="AO240" s="3" t="n">
        <v>0.6003360000000001</v>
      </c>
      <c r="AP240" s="3">
        <f>N(X240)*N(BI240)</f>
        <v/>
      </c>
      <c r="AQ240" s="3" t="n">
        <v>0.0566</v>
      </c>
      <c r="AR240" s="3" t="n">
        <v>0</v>
      </c>
      <c r="AS240" s="3" t="n">
        <v>-0.4453012382517575</v>
      </c>
      <c r="AT240" s="3" t="n">
        <v>-0.1765454093646375</v>
      </c>
      <c r="AU240" s="3">
        <f>SUM(AN240:AT240)</f>
        <v/>
      </c>
      <c r="AV240" s="7">
        <f>IF(OR(N(W240)&lt;=0,N(BG240)=0),0,N(W240)*IF(N(R240)/N(W240)&gt;=60,N(BG240),1))</f>
        <v/>
      </c>
      <c r="AW240" s="7">
        <f>N(W240)*N(AF240)*N(BH240)</f>
        <v/>
      </c>
      <c r="AX240" s="7">
        <f>N(AL240)*(Assumptions!$B$13*N(BJ240)-(1-Assumptions!$B$13)*Assumptions!$B$14)+N(AM240)</f>
        <v/>
      </c>
      <c r="AY240" s="7">
        <f>N(AU240)*N(R240)/90+N(AV240)+N(AW240)+N(AX240)</f>
        <v/>
      </c>
      <c r="AZ240" s="3">
        <f>IF(N(R240)&lt;=0,0,(N(AY240)-N(AX240))*90/N(R240))</f>
        <v/>
      </c>
      <c r="BA240" s="7">
        <f>IFERROR(AY240-VLOOKUP($E240,Assumptions!$A$40:$C$43,3,FALSE),"")</f>
        <v/>
      </c>
      <c r="BB240" s="3">
        <f>IFERROR(BA240/H240,"")</f>
        <v/>
      </c>
      <c r="BC240">
        <f>IF(AND($G240=TRUE,$E240="GKP"),AY240,"")</f>
        <v/>
      </c>
      <c r="BD240">
        <f>IF(AND($G240=TRUE,$E240="DEF"),AY240,"")</f>
        <v/>
      </c>
      <c r="BE240">
        <f>IF(AND($G240=TRUE,$E240="MID"),AY240,"")</f>
        <v/>
      </c>
      <c r="BF240">
        <f>IF(AND($G240=TRUE,$E240="FWD"),AY240,"")</f>
        <v/>
      </c>
      <c r="BG240" t="n">
        <v>2</v>
      </c>
      <c r="BH240" t="n">
        <v>2</v>
      </c>
      <c r="BI240" t="n">
        <v>4</v>
      </c>
      <c r="BJ240" t="n">
        <v>6</v>
      </c>
    </row>
    <row r="241">
      <c r="A241" s="9" t="inlineStr">
        <is>
          <t>Dwight McNeil</t>
        </is>
      </c>
      <c r="B241" t="inlineStr">
        <is>
          <t>CRY</t>
        </is>
      </c>
      <c r="C241" s="9" t="inlineStr">
        <is>
          <t>EVE</t>
        </is>
      </c>
      <c r="D241" t="b">
        <v>1</v>
      </c>
      <c r="E241" t="inlineStr">
        <is>
          <t>MID</t>
        </is>
      </c>
      <c r="F241" t="inlineStr">
        <is>
          <t>MID</t>
        </is>
      </c>
      <c r="G241" t="b">
        <v>1</v>
      </c>
      <c r="H241" s="2" t="n">
        <v>5.5</v>
      </c>
      <c r="I241" t="inlineStr">
        <is>
          <t>a</t>
        </is>
      </c>
      <c r="K241" s="2" t="n">
        <v>1161</v>
      </c>
      <c r="L241" t="n">
        <v>53</v>
      </c>
      <c r="M241" s="3" t="n">
        <v>445</v>
      </c>
      <c r="N241" s="4" t="n">
        <v>1900</v>
      </c>
      <c r="O241" s="4" t="n">
        <v>1455</v>
      </c>
      <c r="P241" s="5" t="inlineStr">
        <is>
          <t>high</t>
        </is>
      </c>
      <c r="Q241" t="inlineStr">
        <is>
          <t>flat</t>
        </is>
      </c>
      <c r="R241" s="6" t="n">
        <v>1900</v>
      </c>
      <c r="S241" t="inlineStr">
        <is>
          <t>research</t>
        </is>
      </c>
      <c r="T241" s="5" t="inlineStr">
        <is>
          <t>Solio's 445 is a stale artefact: his club_2526 is still listed as EVE and the number looks like a part-season remnant. He joined Palace on 11 August in a straight swap for Brennan Johnson, both sides valued at around EUR 25.8m, and started the Freiburg friendly on 15 August for his first Palace minutes. A club does not trade away its first-choice right winger for a player who then plays five matches' worth of football.</t>
        </is>
      </c>
      <c r="U241" s="6" t="n">
        <v>77.90000000000001</v>
      </c>
      <c r="V241" s="2" t="n">
        <v>14</v>
      </c>
      <c r="W241" s="7">
        <f>IF(N(U241)&lt;=0,0,MIN(Assumptions!$B$15,N(R241)/N(U241)))</f>
        <v/>
      </c>
      <c r="X241" s="6" t="n">
        <v>0.216</v>
      </c>
      <c r="Y241" s="10" t="n">
        <v>0.1112</v>
      </c>
      <c r="Z241" t="inlineStr">
        <is>
          <t>adjusted xGOT</t>
        </is>
      </c>
      <c r="AA241" s="3" t="n">
        <v>1</v>
      </c>
      <c r="AB241" s="3" t="n">
        <v>1.047</v>
      </c>
      <c r="AC241" s="3" t="n">
        <v>9.199999999999999</v>
      </c>
      <c r="AD241" s="10" t="n">
        <v>0.1414</v>
      </c>
      <c r="AE241" s="3" t="n">
        <v>8.593999999999999</v>
      </c>
      <c r="AF241" s="3" t="n">
        <v>0.07569867762882987</v>
      </c>
      <c r="AG241" s="3" t="n">
        <v>0.0775</v>
      </c>
      <c r="AH241" s="3" t="n">
        <v>34</v>
      </c>
      <c r="AI241" s="3" t="n">
        <v>3.2035</v>
      </c>
      <c r="AJ241" s="3" t="n">
        <v>1.5923</v>
      </c>
      <c r="AK241" s="3" t="n">
        <v>-0.1265644820412146</v>
      </c>
      <c r="AL241" s="6" t="n">
        <v>0</v>
      </c>
      <c r="AM241" s="3" t="n">
        <v>0</v>
      </c>
      <c r="AN241" s="10" t="n">
        <v>0.5559999999999999</v>
      </c>
      <c r="AO241" s="10" t="n">
        <v>0.5599440000000001</v>
      </c>
      <c r="AP241" s="3">
        <f>N(X241)*N(BI241)</f>
        <v/>
      </c>
      <c r="AQ241" s="3" t="n">
        <v>0.0775</v>
      </c>
      <c r="AR241" s="3" t="n">
        <v>0</v>
      </c>
      <c r="AS241" s="3" t="n">
        <v>-0</v>
      </c>
      <c r="AT241" s="3" t="n">
        <v>-0.1265644820412146</v>
      </c>
      <c r="AU241" s="3">
        <f>SUM(AN241:AT241)</f>
        <v/>
      </c>
      <c r="AV241" s="7">
        <f>IF(OR(N(W241)&lt;=0,N(BG241)=0),0,N(W241)*IF(N(R241)/N(W241)&gt;=60,N(BG241),1))</f>
        <v/>
      </c>
      <c r="AW241" s="7">
        <f>N(W241)*N(AF241)*N(BH241)</f>
        <v/>
      </c>
      <c r="AX241" s="7">
        <f>N(AL241)*(Assumptions!$B$13*N(BJ241)-(1-Assumptions!$B$13)*Assumptions!$B$14)+N(AM241)</f>
        <v/>
      </c>
      <c r="AY241" s="7">
        <f>N(AU241)*N(R241)/90+N(AV241)+N(AW241)+N(AX241)</f>
        <v/>
      </c>
      <c r="AZ241" s="3">
        <f>IF(N(R241)&lt;=0,0,(N(AY241)-N(AX241))*90/N(R241))</f>
        <v/>
      </c>
      <c r="BA241" s="7">
        <f>IFERROR(AY241-VLOOKUP($E241,Assumptions!$A$40:$C$43,3,FALSE),"")</f>
        <v/>
      </c>
      <c r="BB241" s="3">
        <f>IFERROR(BA241/H241,"")</f>
        <v/>
      </c>
      <c r="BC241">
        <f>IF(AND($G241=TRUE,$E241="GKP"),AY241,"")</f>
        <v/>
      </c>
      <c r="BD241">
        <f>IF(AND($G241=TRUE,$E241="DEF"),AY241,"")</f>
        <v/>
      </c>
      <c r="BE241">
        <f>IF(AND($G241=TRUE,$E241="MID"),AY241,"")</f>
        <v/>
      </c>
      <c r="BF241">
        <f>IF(AND($G241=TRUE,$E241="FWD"),AY241,"")</f>
        <v/>
      </c>
      <c r="BG241" t="n">
        <v>2</v>
      </c>
      <c r="BH241" t="n">
        <v>2</v>
      </c>
      <c r="BI241" t="n">
        <v>1</v>
      </c>
      <c r="BJ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s="4" t="n">
        <v>740</v>
      </c>
      <c r="O242" s="4" t="n">
        <v>354</v>
      </c>
      <c r="P242" s="5" t="inlineStr">
        <is>
          <t>medium</t>
        </is>
      </c>
      <c r="Q242" t="inlineStr">
        <is>
          <t>flat</t>
        </is>
      </c>
      <c r="R242" s="6" t="n">
        <v>740</v>
      </c>
      <c r="S242" t="inlineStr">
        <is>
          <t>research</t>
        </is>
      </c>
      <c r="T242" s="5" t="inlineStr">
        <is>
          <t>A back three needs 10,260 centre-back minutes, and Solio gives 93.6% of them to Milenkovic, Murillo and Diomande. Morato played 1,340 league minutes last season and started in the back three in Glasner's first pre-season match, so he is the first-choice replacement, not a spare part.</t>
        </is>
      </c>
      <c r="U242" s="6" t="n">
        <v>87.5</v>
      </c>
      <c r="V242" s="2" t="n">
        <v>14</v>
      </c>
      <c r="W242" s="7">
        <f>IF(N(U242)&lt;=0,0,MIN(Assumptions!$B$15,N(R242)/N(U242)))</f>
        <v/>
      </c>
      <c r="X242" s="6" t="n">
        <v>0.224</v>
      </c>
      <c r="Y242" s="3" t="n">
        <v>0.0905</v>
      </c>
      <c r="Z242" t="inlineStr">
        <is>
          <t>adjusted xGOT</t>
        </is>
      </c>
      <c r="AA242" s="3" t="n">
        <v>1</v>
      </c>
      <c r="AB242" s="3" t="n">
        <v>1.021</v>
      </c>
      <c r="AC242" s="3" t="n">
        <v>1.5</v>
      </c>
      <c r="AD242" s="3" t="n">
        <v>0.008200000000000001</v>
      </c>
      <c r="AE242" s="3" t="n">
        <v>8.977</v>
      </c>
      <c r="AF242" s="3" t="n">
        <v>0.3767566357894665</v>
      </c>
      <c r="AG242" s="3" t="n">
        <v>0.0672</v>
      </c>
      <c r="AH242" s="3" t="n">
        <v>35</v>
      </c>
      <c r="AI242" s="3" t="n">
        <v>3.1134</v>
      </c>
      <c r="AJ242" s="3" t="n">
        <v>1.5588</v>
      </c>
      <c r="AK242" s="3" t="n">
        <v>-0.3180632178373214</v>
      </c>
      <c r="AL242" s="6" t="n">
        <v>0</v>
      </c>
      <c r="AM242" s="3" t="n">
        <v>0</v>
      </c>
      <c r="AN242" s="3" t="n">
        <v>0.5429999999999999</v>
      </c>
      <c r="AO242" s="3" t="n">
        <v>0.03247200000000001</v>
      </c>
      <c r="AP242" s="3">
        <f>N(X242)*N(BI242)</f>
        <v/>
      </c>
      <c r="AQ242" s="3" t="n">
        <v>0.0672</v>
      </c>
      <c r="AR242" s="3" t="n">
        <v>0</v>
      </c>
      <c r="AS242" s="3" t="n">
        <v>-0.5404658182244797</v>
      </c>
      <c r="AT242" s="3" t="n">
        <v>-0.3180632178373214</v>
      </c>
      <c r="AU242" s="3">
        <f>SUM(AN242:AT242)</f>
        <v/>
      </c>
      <c r="AV242" s="7">
        <f>IF(OR(N(W242)&lt;=0,N(BG242)=0),0,N(W242)*IF(N(R242)/N(W242)&gt;=60,N(BG242),1))</f>
        <v/>
      </c>
      <c r="AW242" s="7">
        <f>N(W242)*N(AF242)*N(BH242)</f>
        <v/>
      </c>
      <c r="AX242" s="7">
        <f>N(AL242)*(Assumptions!$B$13*N(BJ242)-(1-Assumptions!$B$13)*Assumptions!$B$14)+N(AM242)</f>
        <v/>
      </c>
      <c r="AY242" s="7">
        <f>N(AU242)*N(R242)/90+N(AV242)+N(AW242)+N(AX242)</f>
        <v/>
      </c>
      <c r="AZ242" s="3">
        <f>IF(N(R242)&lt;=0,0,(N(AY242)-N(AX242))*90/N(R242))</f>
        <v/>
      </c>
      <c r="BA242" s="7">
        <f>IFERROR(AY242-VLOOKUP($E242,Assumptions!$A$40:$C$43,3,FALSE),"")</f>
        <v/>
      </c>
      <c r="BB242" s="3">
        <f>IFERROR(BA242/H242,"")</f>
        <v/>
      </c>
      <c r="BC242">
        <f>IF(AND($G242=TRUE,$E242="GKP"),AY242,"")</f>
        <v/>
      </c>
      <c r="BD242">
        <f>IF(AND($G242=TRUE,$E242="DEF"),AY242,"")</f>
        <v/>
      </c>
      <c r="BE242">
        <f>IF(AND($G242=TRUE,$E242="MID"),AY242,"")</f>
        <v/>
      </c>
      <c r="BF242">
        <f>IF(AND($G242=TRUE,$E242="FWD"),AY242,"")</f>
        <v/>
      </c>
      <c r="BG242" t="n">
        <v>2</v>
      </c>
      <c r="BH242" t="n">
        <v>2</v>
      </c>
      <c r="BI242" t="n">
        <v>4</v>
      </c>
      <c r="BJ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s="4" t="n">
        <v>1300</v>
      </c>
      <c r="O243" s="4" t="n">
        <v>492</v>
      </c>
      <c r="P243" s="5" t="inlineStr">
        <is>
          <t>medium</t>
        </is>
      </c>
      <c r="Q243" t="inlineStr">
        <is>
          <t>flat</t>
        </is>
      </c>
      <c r="R243" s="6" t="n">
        <v>1300</v>
      </c>
      <c r="S243" t="inlineStr">
        <is>
          <t>research</t>
        </is>
      </c>
      <c r="T243" s="5" t="inlineStr">
        <is>
          <t>Started at right-back in the final pre-season friendly, the game reporters described as the closest guide to the Hull XI, and was widely reported to have returned from the World Cup in strong form. The offsetting half of the Dalot adjustment.</t>
        </is>
      </c>
      <c r="U243" s="6" t="n">
        <v>78.40000000000001</v>
      </c>
      <c r="V243" s="2" t="n">
        <v>11</v>
      </c>
      <c r="W243" s="7">
        <f>IF(N(U243)&lt;=0,0,MIN(Assumptions!$B$15,N(R243)/N(U243)))</f>
        <v/>
      </c>
      <c r="X243" s="6" t="n">
        <v>0.334</v>
      </c>
      <c r="Y243" s="3" t="n">
        <v>0.0164</v>
      </c>
      <c r="Z243" t="inlineStr">
        <is>
          <t>adjusted xGOT</t>
        </is>
      </c>
      <c r="AA243" s="3" t="n">
        <v>1</v>
      </c>
      <c r="AB243" s="3" t="n">
        <v>0.9350000000000001</v>
      </c>
      <c r="AC243" s="3" t="n">
        <v>0.9</v>
      </c>
      <c r="AD243" s="3" t="n">
        <v>0.0258</v>
      </c>
      <c r="AE243" s="3" t="n">
        <v>8.246</v>
      </c>
      <c r="AF243" s="3" t="n">
        <v>0.1885547173550973</v>
      </c>
      <c r="AG243" s="3" t="n">
        <v>0.5527</v>
      </c>
      <c r="AH243" s="3" t="n">
        <v>30</v>
      </c>
      <c r="AI243" s="3" t="n">
        <v>2.2165</v>
      </c>
      <c r="AJ243" s="3" t="n">
        <v>1.1467</v>
      </c>
      <c r="AK243" s="3" t="n">
        <v>-0.1901851058994535</v>
      </c>
      <c r="AL243" s="6" t="n">
        <v>0</v>
      </c>
      <c r="AM243" s="3" t="n">
        <v>0</v>
      </c>
      <c r="AN243" s="3" t="n">
        <v>0.09840000000000002</v>
      </c>
      <c r="AO243" s="3" t="n">
        <v>0.102168</v>
      </c>
      <c r="AP243" s="3">
        <f>N(X243)*N(BI243)</f>
        <v/>
      </c>
      <c r="AQ243" s="3" t="n">
        <v>0.5527</v>
      </c>
      <c r="AR243" s="3" t="n">
        <v>0</v>
      </c>
      <c r="AS243" s="3" t="n">
        <v>-0.348580685135232</v>
      </c>
      <c r="AT243" s="3" t="n">
        <v>-0.1901851058994535</v>
      </c>
      <c r="AU243" s="3">
        <f>SUM(AN243:AT243)</f>
        <v/>
      </c>
      <c r="AV243" s="7">
        <f>IF(OR(N(W243)&lt;=0,N(BG243)=0),0,N(W243)*IF(N(R243)/N(W243)&gt;=60,N(BG243),1))</f>
        <v/>
      </c>
      <c r="AW243" s="7">
        <f>N(W243)*N(AF243)*N(BH243)</f>
        <v/>
      </c>
      <c r="AX243" s="7">
        <f>N(AL243)*(Assumptions!$B$13*N(BJ243)-(1-Assumptions!$B$13)*Assumptions!$B$14)+N(AM243)</f>
        <v/>
      </c>
      <c r="AY243" s="7">
        <f>N(AU243)*N(R243)/90+N(AV243)+N(AW243)+N(AX243)</f>
        <v/>
      </c>
      <c r="AZ243" s="3">
        <f>IF(N(R243)&lt;=0,0,(N(AY243)-N(AX243))*90/N(R243))</f>
        <v/>
      </c>
      <c r="BA243" s="7">
        <f>IFERROR(AY243-VLOOKUP($E243,Assumptions!$A$40:$C$43,3,FALSE),"")</f>
        <v/>
      </c>
      <c r="BB243" s="3">
        <f>IFERROR(BA243/H243,"")</f>
        <v/>
      </c>
      <c r="BC243">
        <f>IF(AND($G243=TRUE,$E243="GKP"),AY243,"")</f>
        <v/>
      </c>
      <c r="BD243">
        <f>IF(AND($G243=TRUE,$E243="DEF"),AY243,"")</f>
        <v/>
      </c>
      <c r="BE243">
        <f>IF(AND($G243=TRUE,$E243="MID"),AY243,"")</f>
        <v/>
      </c>
      <c r="BF243">
        <f>IF(AND($G243=TRUE,$E243="FWD"),AY243,"")</f>
        <v/>
      </c>
      <c r="BG243" t="n">
        <v>2</v>
      </c>
      <c r="BH243" t="n">
        <v>2</v>
      </c>
      <c r="BI243" t="n">
        <v>4</v>
      </c>
      <c r="BJ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s="4" t="n">
        <v>850</v>
      </c>
      <c r="O244" s="4" t="n">
        <v>-386</v>
      </c>
      <c r="P244" s="5" t="inlineStr">
        <is>
          <t>medium</t>
        </is>
      </c>
      <c r="Q244" t="inlineStr">
        <is>
          <t>flat</t>
        </is>
      </c>
      <c r="R244" s="6" t="n">
        <v>850</v>
      </c>
      <c r="S244" t="inlineStr">
        <is>
          <t>research</t>
        </is>
      </c>
      <c r="T244" s="5" t="inlineStr">
        <is>
          <t>Lewis-Potter started at left-back in both August friendlies while Henry came off the bench in the final one. Henry has a documented hamstring history and managed only 1322 minutes in 2025/26. Reduced to a backup left-back's share.</t>
        </is>
      </c>
      <c r="U244" s="6" t="n">
        <v>82.09999999999999</v>
      </c>
      <c r="V244" s="2" t="n">
        <v>14</v>
      </c>
      <c r="W244" s="7">
        <f>IF(N(U244)&lt;=0,0,MIN(Assumptions!$B$15,N(R244)/N(U244)))</f>
        <v/>
      </c>
      <c r="X244" s="6" t="n">
        <v>0.228</v>
      </c>
      <c r="Y244" s="3" t="n">
        <v>0.011</v>
      </c>
      <c r="Z244" t="inlineStr">
        <is>
          <t>adjusted xGOT</t>
        </is>
      </c>
      <c r="AA244" s="3" t="n">
        <v>1</v>
      </c>
      <c r="AB244" s="3" t="n">
        <v>0.896</v>
      </c>
      <c r="AC244" s="3" t="n">
        <v>2</v>
      </c>
      <c r="AD244" s="3" t="n">
        <v>0.0291</v>
      </c>
      <c r="AE244" s="3" t="n">
        <v>5.707</v>
      </c>
      <c r="AF244" s="3" t="n">
        <v>0.03993077509662135</v>
      </c>
      <c r="AG244" s="3" t="n">
        <v>0</v>
      </c>
      <c r="AH244" s="3" t="n">
        <v>38</v>
      </c>
      <c r="AI244" s="3" t="n">
        <v>3.2371</v>
      </c>
      <c r="AJ244" s="3" t="n">
        <v>1.5396</v>
      </c>
      <c r="AK244" s="3" t="n">
        <v>-0.1823330539894165</v>
      </c>
      <c r="AL244" s="6" t="n">
        <v>0</v>
      </c>
      <c r="AM244" s="3" t="n">
        <v>0</v>
      </c>
      <c r="AN244" s="3" t="n">
        <v>0.066</v>
      </c>
      <c r="AO244" s="3" t="n">
        <v>0.115236</v>
      </c>
      <c r="AP244" s="3">
        <f>N(X244)*N(BI244)</f>
        <v/>
      </c>
      <c r="AQ244" s="3" t="n">
        <v>0</v>
      </c>
      <c r="AR244" s="3" t="n">
        <v>0</v>
      </c>
      <c r="AS244" s="3" t="n">
        <v>-0.5312990096912251</v>
      </c>
      <c r="AT244" s="3" t="n">
        <v>-0.1823330539894165</v>
      </c>
      <c r="AU244" s="3">
        <f>SUM(AN244:AT244)</f>
        <v/>
      </c>
      <c r="AV244" s="7">
        <f>IF(OR(N(W244)&lt;=0,N(BG244)=0),0,N(W244)*IF(N(R244)/N(W244)&gt;=60,N(BG244),1))</f>
        <v/>
      </c>
      <c r="AW244" s="7">
        <f>N(W244)*N(AF244)*N(BH244)</f>
        <v/>
      </c>
      <c r="AX244" s="7">
        <f>N(AL244)*(Assumptions!$B$13*N(BJ244)-(1-Assumptions!$B$13)*Assumptions!$B$14)+N(AM244)</f>
        <v/>
      </c>
      <c r="AY244" s="7">
        <f>N(AU244)*N(R244)/90+N(AV244)+N(AW244)+N(AX244)</f>
        <v/>
      </c>
      <c r="AZ244" s="3">
        <f>IF(N(R244)&lt;=0,0,(N(AY244)-N(AX244))*90/N(R244))</f>
        <v/>
      </c>
      <c r="BA244" s="7">
        <f>IFERROR(AY244-VLOOKUP($E244,Assumptions!$A$40:$C$43,3,FALSE),"")</f>
        <v/>
      </c>
      <c r="BB244" s="3">
        <f>IFERROR(BA244/H244,"")</f>
        <v/>
      </c>
      <c r="BC244">
        <f>IF(AND($G244=TRUE,$E244="GKP"),AY244,"")</f>
        <v/>
      </c>
      <c r="BD244">
        <f>IF(AND($G244=TRUE,$E244="DEF"),AY244,"")</f>
        <v/>
      </c>
      <c r="BE244">
        <f>IF(AND($G244=TRUE,$E244="MID"),AY244,"")</f>
        <v/>
      </c>
      <c r="BF244">
        <f>IF(AND($G244=TRUE,$E244="FWD"),AY244,"")</f>
        <v/>
      </c>
      <c r="BG244" t="n">
        <v>2</v>
      </c>
      <c r="BH244" t="n">
        <v>2</v>
      </c>
      <c r="BI244" t="n">
        <v>4</v>
      </c>
      <c r="BJ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s="4" t="n">
        <v>1900</v>
      </c>
      <c r="O245" s="4" t="n">
        <v>-1189</v>
      </c>
      <c r="P245" s="5" t="inlineStr">
        <is>
          <t>medium</t>
        </is>
      </c>
      <c r="Q245" t="inlineStr">
        <is>
          <t>flat</t>
        </is>
      </c>
      <c r="R245" s="6" t="n">
        <v>1900</v>
      </c>
      <c r="S245" t="inlineStr">
        <is>
          <t>research</t>
        </is>
      </c>
      <c r="T245" s="5" t="inlineStr">
        <is>
          <t>Solio projects him as an 81%-of-the-season nailed starter, which he has not been at United in four years. He tore a thigh muscle in the World Cup final on 19 July, missed the entire pre-season programme, and managed only a 29-minute substitute cameo against Milan on 15 Aug. He is not expected to start at Hull, with Yoro or Heaven set to partner Maguire. Stretty News counts 92 matches missed across four seasons, and this is his fourth absence of eight weeks or more since 2022. Evidence is genuinely mixed — Andy Mitten reported on 27 July that United were relaxed and optimistic for opening weekend — so this is a cut to roughly half a season rather than a write-off, and still comfortably above his 1,229 minutes in 2025/26.</t>
        </is>
      </c>
      <c r="U245" s="6" t="n">
        <v>87.8</v>
      </c>
      <c r="V245" s="2" t="n">
        <v>12</v>
      </c>
      <c r="W245" s="7">
        <f>IF(N(U245)&lt;=0,0,MIN(Assumptions!$B$15,N(R245)/N(U245)))</f>
        <v/>
      </c>
      <c r="X245" s="6" t="n">
        <v>0.334</v>
      </c>
      <c r="Y245" s="3" t="n">
        <v>0.01</v>
      </c>
      <c r="Z245" t="inlineStr">
        <is>
          <t>adjusted xGOT</t>
        </is>
      </c>
      <c r="AA245" s="3" t="n">
        <v>1</v>
      </c>
      <c r="AB245" s="3" t="n">
        <v>0.916</v>
      </c>
      <c r="AC245" s="3" t="n">
        <v>1.9</v>
      </c>
      <c r="AD245" s="3" t="n">
        <v>0.039</v>
      </c>
      <c r="AE245" s="3" t="n">
        <v>7.688</v>
      </c>
      <c r="AF245" s="3" t="n">
        <v>0.2236005250288305</v>
      </c>
      <c r="AG245" s="3" t="n">
        <v>0.1465</v>
      </c>
      <c r="AH245" s="3" t="n">
        <v>30</v>
      </c>
      <c r="AI245" s="3" t="n">
        <v>2.2165</v>
      </c>
      <c r="AJ245" s="3" t="n">
        <v>1.1467</v>
      </c>
      <c r="AK245" s="3" t="n">
        <v>-0.2097893663306599</v>
      </c>
      <c r="AL245" s="6" t="n">
        <v>0</v>
      </c>
      <c r="AM245" s="3" t="n">
        <v>0</v>
      </c>
      <c r="AN245" s="3" t="n">
        <v>0.06</v>
      </c>
      <c r="AO245" s="3" t="n">
        <v>0.15444</v>
      </c>
      <c r="AP245" s="3">
        <f>N(X245)*N(BI245)</f>
        <v/>
      </c>
      <c r="AQ245" s="3" t="n">
        <v>0.1465</v>
      </c>
      <c r="AR245" s="3" t="n">
        <v>0</v>
      </c>
      <c r="AS245" s="3" t="n">
        <v>-0.348580685135232</v>
      </c>
      <c r="AT245" s="3" t="n">
        <v>-0.2097893663306599</v>
      </c>
      <c r="AU245" s="3">
        <f>SUM(AN245:AT245)</f>
        <v/>
      </c>
      <c r="AV245" s="7">
        <f>IF(OR(N(W245)&lt;=0,N(BG245)=0),0,N(W245)*IF(N(R245)/N(W245)&gt;=60,N(BG245),1))</f>
        <v/>
      </c>
      <c r="AW245" s="7">
        <f>N(W245)*N(AF245)*N(BH245)</f>
        <v/>
      </c>
      <c r="AX245" s="7">
        <f>N(AL245)*(Assumptions!$B$13*N(BJ245)-(1-Assumptions!$B$13)*Assumptions!$B$14)+N(AM245)</f>
        <v/>
      </c>
      <c r="AY245" s="7">
        <f>N(AU245)*N(R245)/90+N(AV245)+N(AW245)+N(AX245)</f>
        <v/>
      </c>
      <c r="AZ245" s="3">
        <f>IF(N(R245)&lt;=0,0,(N(AY245)-N(AX245))*90/N(R245))</f>
        <v/>
      </c>
      <c r="BA245" s="7">
        <f>IFERROR(AY245-VLOOKUP($E245,Assumptions!$A$40:$C$43,3,FALSE),"")</f>
        <v/>
      </c>
      <c r="BB245" s="3">
        <f>IFERROR(BA245/H245,"")</f>
        <v/>
      </c>
      <c r="BC245">
        <f>IF(AND($G245=TRUE,$E245="GKP"),AY245,"")</f>
        <v/>
      </c>
      <c r="BD245">
        <f>IF(AND($G245=TRUE,$E245="DEF"),AY245,"")</f>
        <v/>
      </c>
      <c r="BE245">
        <f>IF(AND($G245=TRUE,$E245="MID"),AY245,"")</f>
        <v/>
      </c>
      <c r="BF245">
        <f>IF(AND($G245=TRUE,$E245="FWD"),AY245,"")</f>
        <v/>
      </c>
      <c r="BG245" t="n">
        <v>2</v>
      </c>
      <c r="BH245" t="n">
        <v>2</v>
      </c>
      <c r="BI245" t="n">
        <v>4</v>
      </c>
      <c r="BJ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s="4" t="n">
        <v>750</v>
      </c>
      <c r="O246" s="4" t="n">
        <v>433</v>
      </c>
      <c r="P246" s="5" t="inlineStr">
        <is>
          <t>medium</t>
        </is>
      </c>
      <c r="Q246" t="inlineStr">
        <is>
          <t>flat</t>
        </is>
      </c>
      <c r="R246" s="6" t="n">
        <v>750</v>
      </c>
      <c r="S246" t="inlineStr">
        <is>
          <t>research</t>
        </is>
      </c>
      <c r="T246" s="5" t="inlineStr">
        <is>
          <t>317 minutes is an allocation for a player who is leaving or finished. Schar signed a one-year extension to summer 2027 on 2 Jun 2026, Newcastle signed no centre-back this window, and the senior centre-back group is only Thiaw, Botman, Burn and Schar. Jaissle said on 13 Aug that Schar 'is on the way back now' and hoped to have him in team training within days with a chance of minutes that weekend. Held well below a rotation share because he is 34 and lost most of 2025/26 to ankle, foot and groin problems.</t>
        </is>
      </c>
      <c r="U246" s="6" t="n">
        <v>86.7</v>
      </c>
      <c r="V246" s="2" t="n">
        <v>11</v>
      </c>
      <c r="W246" s="7">
        <f>IF(N(U246)&lt;=0,0,MIN(Assumptions!$B$15,N(R246)/N(U246)))</f>
        <v/>
      </c>
      <c r="X246" s="6" t="n">
        <v>0.248</v>
      </c>
      <c r="Y246" s="3" t="n">
        <v>0.0693</v>
      </c>
      <c r="Z246" t="inlineStr">
        <is>
          <t>adjusted xGOT</t>
        </is>
      </c>
      <c r="AA246" s="3" t="n">
        <v>1</v>
      </c>
      <c r="AB246" s="3" t="n">
        <v>0.865</v>
      </c>
      <c r="AC246" s="3" t="n">
        <v>12</v>
      </c>
      <c r="AD246" s="3" t="n">
        <v>0.0315</v>
      </c>
      <c r="AE246" s="3" t="n">
        <v>8.779999999999999</v>
      </c>
      <c r="AF246" s="3" t="n">
        <v>0.341587428022623</v>
      </c>
      <c r="AG246" s="3" t="n">
        <v>0</v>
      </c>
      <c r="AH246" s="3" t="n">
        <v>27</v>
      </c>
      <c r="AI246" s="3" t="n">
        <v>3.0912</v>
      </c>
      <c r="AJ246" s="3" t="n">
        <v>1.4534</v>
      </c>
      <c r="AK246" s="3" t="n">
        <v>-0.2062473025928537</v>
      </c>
      <c r="AL246" s="6" t="n">
        <v>0</v>
      </c>
      <c r="AM246" s="3" t="n">
        <v>0</v>
      </c>
      <c r="AN246" s="3" t="n">
        <v>0.4158</v>
      </c>
      <c r="AO246" s="3" t="n">
        <v>0.12474</v>
      </c>
      <c r="AP246" s="3">
        <f>N(X246)*N(BI246)</f>
        <v/>
      </c>
      <c r="AQ246" s="3" t="n">
        <v>0</v>
      </c>
      <c r="AR246" s="3" t="n">
        <v>0</v>
      </c>
      <c r="AS246" s="3" t="n">
        <v>-0.4903625828545308</v>
      </c>
      <c r="AT246" s="3" t="n">
        <v>-0.2062473025928537</v>
      </c>
      <c r="AU246" s="3">
        <f>SUM(AN246:AT246)</f>
        <v/>
      </c>
      <c r="AV246" s="7">
        <f>IF(OR(N(W246)&lt;=0,N(BG246)=0),0,N(W246)*IF(N(R246)/N(W246)&gt;=60,N(BG246),1))</f>
        <v/>
      </c>
      <c r="AW246" s="7">
        <f>N(W246)*N(AF246)*N(BH246)</f>
        <v/>
      </c>
      <c r="AX246" s="7">
        <f>N(AL246)*(Assumptions!$B$13*N(BJ246)-(1-Assumptions!$B$13)*Assumptions!$B$14)+N(AM246)</f>
        <v/>
      </c>
      <c r="AY246" s="7">
        <f>N(AU246)*N(R246)/90+N(AV246)+N(AW246)+N(AX246)</f>
        <v/>
      </c>
      <c r="AZ246" s="3">
        <f>IF(N(R246)&lt;=0,0,(N(AY246)-N(AX246))*90/N(R246))</f>
        <v/>
      </c>
      <c r="BA246" s="7">
        <f>IFERROR(AY246-VLOOKUP($E246,Assumptions!$A$40:$C$43,3,FALSE),"")</f>
        <v/>
      </c>
      <c r="BB246" s="3">
        <f>IFERROR(BA246/H246,"")</f>
        <v/>
      </c>
      <c r="BC246">
        <f>IF(AND($G246=TRUE,$E246="GKP"),AY246,"")</f>
        <v/>
      </c>
      <c r="BD246">
        <f>IF(AND($G246=TRUE,$E246="DEF"),AY246,"")</f>
        <v/>
      </c>
      <c r="BE246">
        <f>IF(AND($G246=TRUE,$E246="MID"),AY246,"")</f>
        <v/>
      </c>
      <c r="BF246">
        <f>IF(AND($G246=TRUE,$E246="FWD"),AY246,"")</f>
        <v/>
      </c>
      <c r="BG246" t="n">
        <v>2</v>
      </c>
      <c r="BH246" t="n">
        <v>2</v>
      </c>
      <c r="BI246" t="n">
        <v>4</v>
      </c>
      <c r="BJ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s="4" t="n">
        <v>1370</v>
      </c>
      <c r="O247" s="4" t="n">
        <v>-123</v>
      </c>
      <c r="P247" s="5" t="inlineStr">
        <is>
          <t>low</t>
        </is>
      </c>
      <c r="Q247" t="inlineStr">
        <is>
          <t>flat</t>
        </is>
      </c>
      <c r="R247" s="6" t="n">
        <v>1370</v>
      </c>
      <c r="S247" t="inlineStr">
        <is>
          <t>research</t>
        </is>
      </c>
      <c r="T247" s="5" t="inlineStr">
        <is>
          <t>Small trim to keep the centre-back block near its physical ceiling. Mings is fit (used off the bench in the Super Cup, started against Monchengladbach) but is 33 and now sits in a five-man centre-back group after Villa signed Modou Keba Cisse from LASK on 15 June, with Lindelof starting ahead of him in August.</t>
        </is>
      </c>
      <c r="U247" s="6" t="n">
        <v>85.8</v>
      </c>
      <c r="V247" s="2" t="n">
        <v>15</v>
      </c>
      <c r="W247" s="7">
        <f>IF(N(U247)&lt;=0,0,MIN(Assumptions!$B$15,N(R247)/N(U247)))</f>
        <v/>
      </c>
      <c r="X247" s="6" t="n">
        <v>0.273</v>
      </c>
      <c r="Y247" s="3" t="n">
        <v>0.073</v>
      </c>
      <c r="Z247" t="inlineStr">
        <is>
          <t>adjusted xGOT</t>
        </is>
      </c>
      <c r="AA247" s="3" t="n">
        <v>1</v>
      </c>
      <c r="AB247" s="3" t="n">
        <v>0.825</v>
      </c>
      <c r="AC247" s="3" t="n">
        <v>3.2</v>
      </c>
      <c r="AD247" s="3" t="n">
        <v>0.0384</v>
      </c>
      <c r="AE247" s="3" t="n">
        <v>7.426</v>
      </c>
      <c r="AF247" s="3" t="n">
        <v>0.1776515732651519</v>
      </c>
      <c r="AG247" s="3" t="n">
        <v>0.2723</v>
      </c>
      <c r="AH247" s="3" t="n">
        <v>31</v>
      </c>
      <c r="AI247" s="3" t="n">
        <v>2.7451</v>
      </c>
      <c r="AJ247" s="3" t="n">
        <v>1.3575</v>
      </c>
      <c r="AK247" s="3" t="n">
        <v>-0.1396137393160241</v>
      </c>
      <c r="AL247" s="6" t="n">
        <v>0</v>
      </c>
      <c r="AM247" s="3" t="n">
        <v>0</v>
      </c>
      <c r="AN247" s="3" t="n">
        <v>0.4379999999999999</v>
      </c>
      <c r="AO247" s="3" t="n">
        <v>0.152064</v>
      </c>
      <c r="AP247" s="3">
        <f>N(X247)*N(BI247)</f>
        <v/>
      </c>
      <c r="AQ247" s="3" t="n">
        <v>0.2723</v>
      </c>
      <c r="AR247" s="3" t="n">
        <v>0</v>
      </c>
      <c r="AS247" s="3" t="n">
        <v>-0.4453012382517575</v>
      </c>
      <c r="AT247" s="3" t="n">
        <v>-0.1396137393160241</v>
      </c>
      <c r="AU247" s="3">
        <f>SUM(AN247:AT247)</f>
        <v/>
      </c>
      <c r="AV247" s="7">
        <f>IF(OR(N(W247)&lt;=0,N(BG247)=0),0,N(W247)*IF(N(R247)/N(W247)&gt;=60,N(BG247),1))</f>
        <v/>
      </c>
      <c r="AW247" s="7">
        <f>N(W247)*N(AF247)*N(BH247)</f>
        <v/>
      </c>
      <c r="AX247" s="7">
        <f>N(AL247)*(Assumptions!$B$13*N(BJ247)-(1-Assumptions!$B$13)*Assumptions!$B$14)+N(AM247)</f>
        <v/>
      </c>
      <c r="AY247" s="7">
        <f>N(AU247)*N(R247)/90+N(AV247)+N(AW247)+N(AX247)</f>
        <v/>
      </c>
      <c r="AZ247" s="3">
        <f>IF(N(R247)&lt;=0,0,(N(AY247)-N(AX247))*90/N(R247))</f>
        <v/>
      </c>
      <c r="BA247" s="7">
        <f>IFERROR(AY247-VLOOKUP($E247,Assumptions!$A$40:$C$43,3,FALSE),"")</f>
        <v/>
      </c>
      <c r="BB247" s="3">
        <f>IFERROR(BA247/H247,"")</f>
        <v/>
      </c>
      <c r="BC247">
        <f>IF(AND($G247=TRUE,$E247="GKP"),AY247,"")</f>
        <v/>
      </c>
      <c r="BD247">
        <f>IF(AND($G247=TRUE,$E247="DEF"),AY247,"")</f>
        <v/>
      </c>
      <c r="BE247">
        <f>IF(AND($G247=TRUE,$E247="MID"),AY247,"")</f>
        <v/>
      </c>
      <c r="BF247">
        <f>IF(AND($G247=TRUE,$E247="FWD"),AY247,"")</f>
        <v/>
      </c>
      <c r="BG247" t="n">
        <v>2</v>
      </c>
      <c r="BH247" t="n">
        <v>2</v>
      </c>
      <c r="BI247" t="n">
        <v>4</v>
      </c>
      <c r="BJ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s="4" t="n">
        <v>2300</v>
      </c>
      <c r="O248" s="4" t="n">
        <v>-117</v>
      </c>
      <c r="P248" s="5" t="inlineStr">
        <is>
          <t>low</t>
        </is>
      </c>
      <c r="Q248" t="inlineStr">
        <is>
          <t>flat</t>
        </is>
      </c>
      <c r="R248" s="6" t="n">
        <v>2300</v>
      </c>
      <c r="S248" t="inlineStr">
        <is>
          <t>research</t>
        </is>
      </c>
      <c r="T248" s="5" t="inlineStr">
        <is>
          <t>Confirmed starter as one of the two tens and scored vs Leverkusen, but Solio adds 1,250 minutes to a 2025-26 return of 1,167, with Hutchinson and Hudson-Odoi contesting the same wide-ten roles.</t>
        </is>
      </c>
      <c r="U248" s="6" t="n">
        <v>74.90000000000001</v>
      </c>
      <c r="V248" s="2" t="n">
        <v>14</v>
      </c>
      <c r="W248" s="7">
        <f>IF(N(U248)&lt;=0,0,MIN(Assumptions!$B$15,N(R248)/N(U248)))</f>
        <v/>
      </c>
      <c r="X248" s="6" t="n">
        <v>0.224</v>
      </c>
      <c r="Y248" s="3" t="n">
        <v>0.07969999999999999</v>
      </c>
      <c r="Z248" t="inlineStr">
        <is>
          <t>adjusted xGOT</t>
        </is>
      </c>
      <c r="AA248" s="3" t="n">
        <v>1</v>
      </c>
      <c r="AB248" s="3" t="n">
        <v>0.983</v>
      </c>
      <c r="AC248" s="3" t="n">
        <v>1</v>
      </c>
      <c r="AD248" s="3" t="n">
        <v>0.1181</v>
      </c>
      <c r="AE248" s="3" t="n">
        <v>7.851</v>
      </c>
      <c r="AF248" s="3" t="n">
        <v>0.03500587420755241</v>
      </c>
      <c r="AG248" s="3" t="n">
        <v>0.3085</v>
      </c>
      <c r="AH248" s="3" t="n">
        <v>34</v>
      </c>
      <c r="AI248" s="3" t="n">
        <v>3.1134</v>
      </c>
      <c r="AJ248" s="3" t="n">
        <v>1.5588</v>
      </c>
      <c r="AK248" s="3" t="n">
        <v>-0.1613023541717858</v>
      </c>
      <c r="AL248" s="6" t="n">
        <v>0</v>
      </c>
      <c r="AM248" s="3" t="n">
        <v>0</v>
      </c>
      <c r="AN248" s="3" t="n">
        <v>0.3985</v>
      </c>
      <c r="AO248" s="3" t="n">
        <v>0.467676</v>
      </c>
      <c r="AP248" s="3">
        <f>N(X248)*N(BI248)</f>
        <v/>
      </c>
      <c r="AQ248" s="3" t="n">
        <v>0.3085</v>
      </c>
      <c r="AR248" s="3" t="n">
        <v>0</v>
      </c>
      <c r="AS248" s="3" t="n">
        <v>-0</v>
      </c>
      <c r="AT248" s="3" t="n">
        <v>-0.1613023541717858</v>
      </c>
      <c r="AU248" s="3">
        <f>SUM(AN248:AT248)</f>
        <v/>
      </c>
      <c r="AV248" s="7">
        <f>IF(OR(N(W248)&lt;=0,N(BG248)=0),0,N(W248)*IF(N(R248)/N(W248)&gt;=60,N(BG248),1))</f>
        <v/>
      </c>
      <c r="AW248" s="7">
        <f>N(W248)*N(AF248)*N(BH248)</f>
        <v/>
      </c>
      <c r="AX248" s="7">
        <f>N(AL248)*(Assumptions!$B$13*N(BJ248)-(1-Assumptions!$B$13)*Assumptions!$B$14)+N(AM248)</f>
        <v/>
      </c>
      <c r="AY248" s="7">
        <f>N(AU248)*N(R248)/90+N(AV248)+N(AW248)+N(AX248)</f>
        <v/>
      </c>
      <c r="AZ248" s="3">
        <f>IF(N(R248)&lt;=0,0,(N(AY248)-N(AX248))*90/N(R248))</f>
        <v/>
      </c>
      <c r="BA248" s="7">
        <f>IFERROR(AY248-VLOOKUP($E248,Assumptions!$A$40:$C$43,3,FALSE),"")</f>
        <v/>
      </c>
      <c r="BB248" s="3">
        <f>IFERROR(BA248/H248,"")</f>
        <v/>
      </c>
      <c r="BC248">
        <f>IF(AND($G248=TRUE,$E248="GKP"),AY248,"")</f>
        <v/>
      </c>
      <c r="BD248">
        <f>IF(AND($G248=TRUE,$E248="DEF"),AY248,"")</f>
        <v/>
      </c>
      <c r="BE248">
        <f>IF(AND($G248=TRUE,$E248="MID"),AY248,"")</f>
        <v/>
      </c>
      <c r="BF248">
        <f>IF(AND($G248=TRUE,$E248="FWD"),AY248,"")</f>
        <v/>
      </c>
      <c r="BG248" t="n">
        <v>2</v>
      </c>
      <c r="BH248" t="n">
        <v>2</v>
      </c>
      <c r="BI248" t="n">
        <v>1</v>
      </c>
      <c r="BJ248" t="n">
        <v>5</v>
      </c>
    </row>
    <row r="249">
      <c r="A249" s="9" t="inlineStr">
        <is>
          <t>Axel Disasi</t>
        </is>
      </c>
      <c r="B249" t="inlineStr">
        <is>
          <t>CHE</t>
        </is>
      </c>
      <c r="C249" s="9" t="inlineStr">
        <is>
          <t>WHU</t>
        </is>
      </c>
      <c r="D249" t="b">
        <v>1</v>
      </c>
      <c r="E249" t="inlineStr">
        <is>
          <t>DEF</t>
        </is>
      </c>
      <c r="F249" t="inlineStr">
        <is>
          <t>DEF</t>
        </is>
      </c>
      <c r="G249" t="b">
        <v>1</v>
      </c>
      <c r="H249" s="2" t="n">
        <v>4.5</v>
      </c>
      <c r="I249" t="inlineStr">
        <is>
          <t>a</t>
        </is>
      </c>
      <c r="K249" s="2" t="n">
        <v>1254</v>
      </c>
      <c r="L249" t="n">
        <v>49</v>
      </c>
      <c r="M249" s="3" t="n">
        <v>0</v>
      </c>
      <c r="N249" s="8" t="n">
        <v>0</v>
      </c>
      <c r="O249" s="8" t="n">
        <v>0</v>
      </c>
      <c r="Q249" t="inlineStr">
        <is>
          <t>flat</t>
        </is>
      </c>
      <c r="R249" s="6" t="n">
        <v>0</v>
      </c>
      <c r="S249" t="inlineStr">
        <is>
          <t>Solio</t>
        </is>
      </c>
      <c r="U249" s="6" t="n">
        <v>87.90000000000001</v>
      </c>
      <c r="V249" s="2" t="n">
        <v>14</v>
      </c>
      <c r="W249" s="7">
        <f>IF(N(U249)&lt;=0,0,MIN(Assumptions!$B$15,N(R249)/N(U249)))</f>
        <v/>
      </c>
      <c r="X249" s="6" t="n">
        <v>0.322</v>
      </c>
      <c r="Y249" s="10" t="n">
        <v>0.08019999999999999</v>
      </c>
      <c r="Z249" t="inlineStr">
        <is>
          <t>adjusted xGOT</t>
        </is>
      </c>
      <c r="AA249" s="3" t="n">
        <v>1</v>
      </c>
      <c r="AB249" s="3" t="n">
        <v>1.015</v>
      </c>
      <c r="AC249" s="3" t="n">
        <v>3.8</v>
      </c>
      <c r="AD249" s="10" t="n">
        <v>0.0019</v>
      </c>
      <c r="AE249" s="3" t="n">
        <v>6.815</v>
      </c>
      <c r="AF249" s="3" t="n">
        <v>0.1363987575151699</v>
      </c>
      <c r="AG249" s="3" t="n">
        <v>0</v>
      </c>
      <c r="AH249" s="3" t="n">
        <v>28</v>
      </c>
      <c r="AI249" s="3" t="n">
        <v>2.4232</v>
      </c>
      <c r="AJ249" s="3" t="n">
        <v>1.1851</v>
      </c>
      <c r="AK249" s="3" t="n">
        <v>-0.193992112107049</v>
      </c>
      <c r="AL249" s="6" t="n">
        <v>0</v>
      </c>
      <c r="AM249" s="3" t="n">
        <v>0</v>
      </c>
      <c r="AN249" s="10" t="n">
        <v>0.4812</v>
      </c>
      <c r="AO249" s="10" t="n">
        <v>0.007524</v>
      </c>
      <c r="AP249" s="3">
        <f>N(X249)*N(BI249)</f>
        <v/>
      </c>
      <c r="AQ249" s="3" t="n">
        <v>0</v>
      </c>
      <c r="AR249" s="3" t="n">
        <v>0</v>
      </c>
      <c r="AS249" s="3" t="n">
        <v>-0.365915508000572</v>
      </c>
      <c r="AT249" s="3" t="n">
        <v>-0.193992112107049</v>
      </c>
      <c r="AU249" s="3">
        <f>SUM(AN249:AT249)</f>
        <v/>
      </c>
      <c r="AV249" s="7">
        <f>IF(OR(N(W249)&lt;=0,N(BG249)=0),0,N(W249)*IF(N(R249)/N(W249)&gt;=60,N(BG249),1))</f>
        <v/>
      </c>
      <c r="AW249" s="7">
        <f>N(W249)*N(AF249)*N(BH249)</f>
        <v/>
      </c>
      <c r="AX249" s="7">
        <f>N(AL249)*(Assumptions!$B$13*N(BJ249)-(1-Assumptions!$B$13)*Assumptions!$B$14)+N(AM249)</f>
        <v/>
      </c>
      <c r="AY249" s="7">
        <f>N(AU249)*N(R249)/90+N(AV249)+N(AW249)+N(AX249)</f>
        <v/>
      </c>
      <c r="AZ249" s="3">
        <f>IF(N(R249)&lt;=0,0,(N(AY249)-N(AX249))*90/N(R249))</f>
        <v/>
      </c>
      <c r="BA249" s="7">
        <f>IFERROR(AY249-VLOOKUP($E249,Assumptions!$A$40:$C$43,3,FALSE),"")</f>
        <v/>
      </c>
      <c r="BB249" s="3">
        <f>IFERROR(BA249/H249,"")</f>
        <v/>
      </c>
      <c r="BC249">
        <f>IF(AND($G249=TRUE,$E249="GKP"),AY249,"")</f>
        <v/>
      </c>
      <c r="BD249">
        <f>IF(AND($G249=TRUE,$E249="DEF"),AY249,"")</f>
        <v/>
      </c>
      <c r="BE249">
        <f>IF(AND($G249=TRUE,$E249="MID"),AY249,"")</f>
        <v/>
      </c>
      <c r="BF249">
        <f>IF(AND($G249=TRUE,$E249="FWD"),AY249,"")</f>
        <v/>
      </c>
      <c r="BG249" t="n">
        <v>2</v>
      </c>
      <c r="BH249" t="n">
        <v>2</v>
      </c>
      <c r="BI249" t="n">
        <v>4</v>
      </c>
      <c r="BJ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s="4" t="n">
        <v>900</v>
      </c>
      <c r="O250" s="4" t="n">
        <v>623</v>
      </c>
      <c r="P250" s="5" t="inlineStr">
        <is>
          <t>low</t>
        </is>
      </c>
      <c r="Q250" t="inlineStr">
        <is>
          <t>flat</t>
        </is>
      </c>
      <c r="R250" s="6" t="n">
        <v>900</v>
      </c>
      <c r="S250" t="inlineStr">
        <is>
          <t>research</t>
        </is>
      </c>
      <c r="T250" s="5" t="inlineStr">
        <is>
          <t>Bergvall started both August friendlies in central midfield. De Zerbi asked him to withdraw his transfer request and commit until January, explicitly promising opportunities in the first half of the season, and Spurs have rejected Newcastle and Nottingham Forest approaches. 277 minutes assumes he is frozen out; the pre-season evidence says otherwise. Kept modest because he still wants to leave and both clubs are expected to bid again.</t>
        </is>
      </c>
      <c r="U250" s="6" t="n">
        <v>72.90000000000001</v>
      </c>
      <c r="V250" s="2" t="n">
        <v>11</v>
      </c>
      <c r="W250" s="7">
        <f>IF(N(U250)&lt;=0,0,MIN(Assumptions!$B$15,N(R250)/N(U250)))</f>
        <v/>
      </c>
      <c r="X250" s="6" t="n">
        <v>0.286</v>
      </c>
      <c r="Y250" s="3" t="n">
        <v>0.1038</v>
      </c>
      <c r="Z250" t="inlineStr">
        <is>
          <t>adjusted xGOT</t>
        </is>
      </c>
      <c r="AA250" s="3" t="n">
        <v>1</v>
      </c>
      <c r="AB250" s="3" t="n">
        <v>0.895</v>
      </c>
      <c r="AC250" s="3" t="n">
        <v>1.9</v>
      </c>
      <c r="AD250" s="3" t="n">
        <v>0.034</v>
      </c>
      <c r="AE250" s="3" t="n">
        <v>7.932</v>
      </c>
      <c r="AF250" s="3" t="n">
        <v>0.0314687778617857</v>
      </c>
      <c r="AG250" s="3" t="n">
        <v>0.09420000000000001</v>
      </c>
      <c r="AH250" s="3" t="n">
        <v>32</v>
      </c>
      <c r="AI250" s="3" t="n">
        <v>2.5739</v>
      </c>
      <c r="AJ250" s="3" t="n">
        <v>1.3096</v>
      </c>
      <c r="AK250" s="3" t="n">
        <v>-0.2186085633126312</v>
      </c>
      <c r="AL250" s="6" t="n">
        <v>0</v>
      </c>
      <c r="AM250" s="3" t="n">
        <v>0</v>
      </c>
      <c r="AN250" s="3" t="n">
        <v>0.519</v>
      </c>
      <c r="AO250" s="3" t="n">
        <v>0.13464</v>
      </c>
      <c r="AP250" s="3">
        <f>N(X250)*N(BI250)</f>
        <v/>
      </c>
      <c r="AQ250" s="3" t="n">
        <v>0.09420000000000001</v>
      </c>
      <c r="AR250" s="3" t="n">
        <v>0</v>
      </c>
      <c r="AS250" s="3" t="n">
        <v>-0</v>
      </c>
      <c r="AT250" s="3" t="n">
        <v>-0.2186085633126312</v>
      </c>
      <c r="AU250" s="3">
        <f>SUM(AN250:AT250)</f>
        <v/>
      </c>
      <c r="AV250" s="7">
        <f>IF(OR(N(W250)&lt;=0,N(BG250)=0),0,N(W250)*IF(N(R250)/N(W250)&gt;=60,N(BG250),1))</f>
        <v/>
      </c>
      <c r="AW250" s="7">
        <f>N(W250)*N(AF250)*N(BH250)</f>
        <v/>
      </c>
      <c r="AX250" s="7">
        <f>N(AL250)*(Assumptions!$B$13*N(BJ250)-(1-Assumptions!$B$13)*Assumptions!$B$14)+N(AM250)</f>
        <v/>
      </c>
      <c r="AY250" s="7">
        <f>N(AU250)*N(R250)/90+N(AV250)+N(AW250)+N(AX250)</f>
        <v/>
      </c>
      <c r="AZ250" s="3">
        <f>IF(N(R250)&lt;=0,0,(N(AY250)-N(AX250))*90/N(R250))</f>
        <v/>
      </c>
      <c r="BA250" s="7">
        <f>IFERROR(AY250-VLOOKUP($E250,Assumptions!$A$40:$C$43,3,FALSE),"")</f>
        <v/>
      </c>
      <c r="BB250" s="3">
        <f>IFERROR(BA250/H250,"")</f>
        <v/>
      </c>
      <c r="BC250">
        <f>IF(AND($G250=TRUE,$E250="GKP"),AY250,"")</f>
        <v/>
      </c>
      <c r="BD250">
        <f>IF(AND($G250=TRUE,$E250="DEF"),AY250,"")</f>
        <v/>
      </c>
      <c r="BE250">
        <f>IF(AND($G250=TRUE,$E250="MID"),AY250,"")</f>
        <v/>
      </c>
      <c r="BF250">
        <f>IF(AND($G250=TRUE,$E250="FWD"),AY250,"")</f>
        <v/>
      </c>
      <c r="BG250" t="n">
        <v>2</v>
      </c>
      <c r="BH250" t="n">
        <v>2</v>
      </c>
      <c r="BI250" t="n">
        <v>1</v>
      </c>
      <c r="BJ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s="4" t="n">
        <v>2100</v>
      </c>
      <c r="O251" s="4" t="n">
        <v>-419</v>
      </c>
      <c r="P251" s="5" t="inlineStr">
        <is>
          <t>low</t>
        </is>
      </c>
      <c r="Q251" t="inlineStr">
        <is>
          <t>flat</t>
        </is>
      </c>
      <c r="R251" s="6" t="n">
        <v>2100</v>
      </c>
      <c r="S251" t="inlineStr">
        <is>
          <t>research</t>
        </is>
      </c>
      <c r="T251" s="5" t="inlineStr">
        <is>
          <t>Left wing is a genuinely contested slot rather than a nailed one. Kevin started only one of the last three friendlies (12 Aug v Malaga), was a substitute on 7 Aug and was not in the matchday squad on 15 Aug, while Bobb started all three and Palacios started two. No injury is listed against him, so this is rotation. Solio's 2519 implies near-nailed status the pre-season evidence does not support.</t>
        </is>
      </c>
      <c r="U251" s="6" t="n">
        <v>74.3</v>
      </c>
      <c r="V251" s="2" t="n">
        <v>9</v>
      </c>
      <c r="W251" s="7">
        <f>IF(N(U251)&lt;=0,0,MIN(Assumptions!$B$15,N(R251)/N(U251)))</f>
        <v/>
      </c>
      <c r="X251" s="6" t="n">
        <v>0.214</v>
      </c>
      <c r="Y251" s="3" t="n">
        <v>0.1148</v>
      </c>
      <c r="Z251" t="inlineStr">
        <is>
          <t>adjusted xGOT</t>
        </is>
      </c>
      <c r="AA251" s="3" t="n">
        <v>1</v>
      </c>
      <c r="AB251" s="3" t="n">
        <v>1.086</v>
      </c>
      <c r="AC251" s="3" t="n">
        <v>1.2</v>
      </c>
      <c r="AD251" s="3" t="n">
        <v>0.1184</v>
      </c>
      <c r="AE251" s="3" t="n">
        <v>7.952</v>
      </c>
      <c r="AF251" s="3" t="n">
        <v>0.03606416051931205</v>
      </c>
      <c r="AG251" s="3" t="n">
        <v>0</v>
      </c>
      <c r="AH251" s="3" t="n">
        <v>32</v>
      </c>
      <c r="AI251" s="3" t="n">
        <v>3.22</v>
      </c>
      <c r="AJ251" s="3" t="n">
        <v>1.6019</v>
      </c>
      <c r="AK251" s="3" t="n">
        <v>-0.1693264294675384</v>
      </c>
      <c r="AL251" s="6" t="n">
        <v>0</v>
      </c>
      <c r="AM251" s="3" t="n">
        <v>0</v>
      </c>
      <c r="AN251" s="3" t="n">
        <v>0.574</v>
      </c>
      <c r="AO251" s="3" t="n">
        <v>0.4688640000000001</v>
      </c>
      <c r="AP251" s="3">
        <f>N(X251)*N(BI251)</f>
        <v/>
      </c>
      <c r="AQ251" s="3" t="n">
        <v>0</v>
      </c>
      <c r="AR251" s="3" t="n">
        <v>0</v>
      </c>
      <c r="AS251" s="3" t="n">
        <v>-0</v>
      </c>
      <c r="AT251" s="3" t="n">
        <v>-0.1693264294675384</v>
      </c>
      <c r="AU251" s="3">
        <f>SUM(AN251:AT251)</f>
        <v/>
      </c>
      <c r="AV251" s="7">
        <f>IF(OR(N(W251)&lt;=0,N(BG251)=0),0,N(W251)*IF(N(R251)/N(W251)&gt;=60,N(BG251),1))</f>
        <v/>
      </c>
      <c r="AW251" s="7">
        <f>N(W251)*N(AF251)*N(BH251)</f>
        <v/>
      </c>
      <c r="AX251" s="7">
        <f>N(AL251)*(Assumptions!$B$13*N(BJ251)-(1-Assumptions!$B$13)*Assumptions!$B$14)+N(AM251)</f>
        <v/>
      </c>
      <c r="AY251" s="7">
        <f>N(AU251)*N(R251)/90+N(AV251)+N(AW251)+N(AX251)</f>
        <v/>
      </c>
      <c r="AZ251" s="3">
        <f>IF(N(R251)&lt;=0,0,(N(AY251)-N(AX251))*90/N(R251))</f>
        <v/>
      </c>
      <c r="BA251" s="7">
        <f>IFERROR(AY251-VLOOKUP($E251,Assumptions!$A$40:$C$43,3,FALSE),"")</f>
        <v/>
      </c>
      <c r="BB251" s="3">
        <f>IFERROR(BA251/H251,"")</f>
        <v/>
      </c>
      <c r="BC251">
        <f>IF(AND($G251=TRUE,$E251="GKP"),AY251,"")</f>
        <v/>
      </c>
      <c r="BD251">
        <f>IF(AND($G251=TRUE,$E251="DEF"),AY251,"")</f>
        <v/>
      </c>
      <c r="BE251">
        <f>IF(AND($G251=TRUE,$E251="MID"),AY251,"")</f>
        <v/>
      </c>
      <c r="BF251">
        <f>IF(AND($G251=TRUE,$E251="FWD"),AY251,"")</f>
        <v/>
      </c>
      <c r="BG251" t="n">
        <v>2</v>
      </c>
      <c r="BH251" t="n">
        <v>2</v>
      </c>
      <c r="BI251" t="n">
        <v>1</v>
      </c>
      <c r="BJ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s="8" t="n">
        <v>752</v>
      </c>
      <c r="O252" s="8" t="n">
        <v>0</v>
      </c>
      <c r="Q252" t="inlineStr">
        <is>
          <t>flat</t>
        </is>
      </c>
      <c r="R252" s="6" t="n">
        <v>752</v>
      </c>
      <c r="S252" t="inlineStr">
        <is>
          <t>Solio</t>
        </is>
      </c>
      <c r="U252" s="6" t="n">
        <v>67.59999999999999</v>
      </c>
      <c r="V252" s="2" t="n">
        <v>17</v>
      </c>
      <c r="W252" s="7">
        <f>IF(N(U252)&lt;=0,0,MIN(Assumptions!$B$15,N(R252)/N(U252)))</f>
        <v/>
      </c>
      <c r="X252" s="6" t="n">
        <v>0.224</v>
      </c>
      <c r="Y252" s="3" t="n">
        <v>0.1147</v>
      </c>
      <c r="Z252" t="inlineStr">
        <is>
          <t>adjusted xGOT</t>
        </is>
      </c>
      <c r="AA252" s="3" t="n">
        <v>1</v>
      </c>
      <c r="AB252" s="3" t="n">
        <v>1.012</v>
      </c>
      <c r="AC252" s="3" t="n">
        <v>4.4</v>
      </c>
      <c r="AD252" s="3" t="n">
        <v>0.079</v>
      </c>
      <c r="AE252" s="3" t="n">
        <v>10.088</v>
      </c>
      <c r="AF252" s="3" t="n">
        <v>0.08384111693874197</v>
      </c>
      <c r="AG252" s="3" t="n">
        <v>0.2312</v>
      </c>
      <c r="AH252" s="3" t="n">
        <v>35</v>
      </c>
      <c r="AI252" s="3" t="n">
        <v>3.1134</v>
      </c>
      <c r="AJ252" s="3" t="n">
        <v>1.5588</v>
      </c>
      <c r="AK252" s="3" t="n">
        <v>-0.2879209450932014</v>
      </c>
      <c r="AL252" s="6" t="n">
        <v>0</v>
      </c>
      <c r="AM252" s="3" t="n">
        <v>0</v>
      </c>
      <c r="AN252" s="3" t="n">
        <v>0.5735</v>
      </c>
      <c r="AO252" s="3" t="n">
        <v>0.31284</v>
      </c>
      <c r="AP252" s="3">
        <f>N(X252)*N(BI252)</f>
        <v/>
      </c>
      <c r="AQ252" s="3" t="n">
        <v>0.2312</v>
      </c>
      <c r="AR252" s="3" t="n">
        <v>0</v>
      </c>
      <c r="AS252" s="3" t="n">
        <v>-0</v>
      </c>
      <c r="AT252" s="3" t="n">
        <v>-0.2879209450932014</v>
      </c>
      <c r="AU252" s="3">
        <f>SUM(AN252:AT252)</f>
        <v/>
      </c>
      <c r="AV252" s="7">
        <f>IF(OR(N(W252)&lt;=0,N(BG252)=0),0,N(W252)*IF(N(R252)/N(W252)&gt;=60,N(BG252),1))</f>
        <v/>
      </c>
      <c r="AW252" s="7">
        <f>N(W252)*N(AF252)*N(BH252)</f>
        <v/>
      </c>
      <c r="AX252" s="7">
        <f>N(AL252)*(Assumptions!$B$13*N(BJ252)-(1-Assumptions!$B$13)*Assumptions!$B$14)+N(AM252)</f>
        <v/>
      </c>
      <c r="AY252" s="7">
        <f>N(AU252)*N(R252)/90+N(AV252)+N(AW252)+N(AX252)</f>
        <v/>
      </c>
      <c r="AZ252" s="3">
        <f>IF(N(R252)&lt;=0,0,(N(AY252)-N(AX252))*90/N(R252))</f>
        <v/>
      </c>
      <c r="BA252" s="7">
        <f>IFERROR(AY252-VLOOKUP($E252,Assumptions!$A$40:$C$43,3,FALSE),"")</f>
        <v/>
      </c>
      <c r="BB252" s="3">
        <f>IFERROR(BA252/H252,"")</f>
        <v/>
      </c>
      <c r="BC252">
        <f>IF(AND($G252=TRUE,$E252="GKP"),AY252,"")</f>
        <v/>
      </c>
      <c r="BD252">
        <f>IF(AND($G252=TRUE,$E252="DEF"),AY252,"")</f>
        <v/>
      </c>
      <c r="BE252">
        <f>IF(AND($G252=TRUE,$E252="MID"),AY252,"")</f>
        <v/>
      </c>
      <c r="BF252">
        <f>IF(AND($G252=TRUE,$E252="FWD"),AY252,"")</f>
        <v/>
      </c>
      <c r="BG252" t="n">
        <v>2</v>
      </c>
      <c r="BH252" t="n">
        <v>2</v>
      </c>
      <c r="BI252" t="n">
        <v>1</v>
      </c>
      <c r="BJ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s="4" t="n">
        <v>1850</v>
      </c>
      <c r="O253" s="4" t="n">
        <v>505</v>
      </c>
      <c r="P253" s="5" t="inlineStr">
        <is>
          <t>high</t>
        </is>
      </c>
      <c r="Q253" t="inlineStr">
        <is>
          <t>flat</t>
        </is>
      </c>
      <c r="R253" s="6" t="n">
        <v>1850</v>
      </c>
      <c r="S253" t="inlineStr">
        <is>
          <t>research</t>
        </is>
      </c>
      <c r="T253" s="5" t="inlineStr">
        <is>
          <t>Solio's 1,345 tracks his 1,302 minutes from 2025/26, a season in which he sat behind Anthony Gordon and Jacob Murphy. Gordon has been sold to Barcelona and Elanga has started all three Jaissle friendlies, including three days after being stretchered off at Valencia. The senior wide group is now just Elanga, Barnes, Toure and the out-of-favour Murphy.</t>
        </is>
      </c>
      <c r="U253" s="6" t="n">
        <v>74.40000000000001</v>
      </c>
      <c r="V253" s="2" t="n">
        <v>14</v>
      </c>
      <c r="W253" s="7">
        <f>IF(N(U253)&lt;=0,0,MIN(Assumptions!$B$15,N(R253)/N(U253)))</f>
        <v/>
      </c>
      <c r="X253" s="6" t="n">
        <v>0.248</v>
      </c>
      <c r="Y253" s="3" t="n">
        <v>0.1268</v>
      </c>
      <c r="Z253" t="inlineStr">
        <is>
          <t>adjusted xGOT</t>
        </is>
      </c>
      <c r="AA253" s="3" t="n">
        <v>1</v>
      </c>
      <c r="AB253" s="3" t="n">
        <v>1.112</v>
      </c>
      <c r="AC253" s="3" t="n">
        <v>13.3</v>
      </c>
      <c r="AD253" s="3" t="n">
        <v>0.1206</v>
      </c>
      <c r="AE253" s="3" t="n">
        <v>5.502</v>
      </c>
      <c r="AF253" s="3" t="n">
        <v>0.002617654306675932</v>
      </c>
      <c r="AG253" s="3" t="n">
        <v>0</v>
      </c>
      <c r="AH253" s="3" t="n">
        <v>43</v>
      </c>
      <c r="AI253" s="3" t="n">
        <v>3.0912</v>
      </c>
      <c r="AJ253" s="3" t="n">
        <v>1.4534</v>
      </c>
      <c r="AK253" s="3" t="n">
        <v>-0.0890351884799802</v>
      </c>
      <c r="AL253" s="6" t="n">
        <v>0</v>
      </c>
      <c r="AM253" s="3" t="n">
        <v>0</v>
      </c>
      <c r="AN253" s="3" t="n">
        <v>0.634</v>
      </c>
      <c r="AO253" s="3" t="n">
        <v>0.4775760000000001</v>
      </c>
      <c r="AP253" s="3">
        <f>N(X253)*N(BI253)</f>
        <v/>
      </c>
      <c r="AQ253" s="3" t="n">
        <v>0</v>
      </c>
      <c r="AR253" s="3" t="n">
        <v>0</v>
      </c>
      <c r="AS253" s="3" t="n">
        <v>-0</v>
      </c>
      <c r="AT253" s="3" t="n">
        <v>-0.0890351884799802</v>
      </c>
      <c r="AU253" s="3">
        <f>SUM(AN253:AT253)</f>
        <v/>
      </c>
      <c r="AV253" s="7">
        <f>IF(OR(N(W253)&lt;=0,N(BG253)=0),0,N(W253)*IF(N(R253)/N(W253)&gt;=60,N(BG253),1))</f>
        <v/>
      </c>
      <c r="AW253" s="7">
        <f>N(W253)*N(AF253)*N(BH253)</f>
        <v/>
      </c>
      <c r="AX253" s="7">
        <f>N(AL253)*(Assumptions!$B$13*N(BJ253)-(1-Assumptions!$B$13)*Assumptions!$B$14)+N(AM253)</f>
        <v/>
      </c>
      <c r="AY253" s="7">
        <f>N(AU253)*N(R253)/90+N(AV253)+N(AW253)+N(AX253)</f>
        <v/>
      </c>
      <c r="AZ253" s="3">
        <f>IF(N(R253)&lt;=0,0,(N(AY253)-N(AX253))*90/N(R253))</f>
        <v/>
      </c>
      <c r="BA253" s="7">
        <f>IFERROR(AY253-VLOOKUP($E253,Assumptions!$A$40:$C$43,3,FALSE),"")</f>
        <v/>
      </c>
      <c r="BB253" s="3">
        <f>IFERROR(BA253/H253,"")</f>
        <v/>
      </c>
      <c r="BC253">
        <f>IF(AND($G253=TRUE,$E253="GKP"),AY253,"")</f>
        <v/>
      </c>
      <c r="BD253">
        <f>IF(AND($G253=TRUE,$E253="DEF"),AY253,"")</f>
        <v/>
      </c>
      <c r="BE253">
        <f>IF(AND($G253=TRUE,$E253="MID"),AY253,"")</f>
        <v/>
      </c>
      <c r="BF253">
        <f>IF(AND($G253=TRUE,$E253="FWD"),AY253,"")</f>
        <v/>
      </c>
      <c r="BG253" t="n">
        <v>2</v>
      </c>
      <c r="BH253" t="n">
        <v>2</v>
      </c>
      <c r="BI253" t="n">
        <v>1</v>
      </c>
      <c r="BJ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s="8" t="n">
        <v>406</v>
      </c>
      <c r="O254" s="8" t="n">
        <v>0</v>
      </c>
      <c r="Q254" t="inlineStr">
        <is>
          <t>flat</t>
        </is>
      </c>
      <c r="R254" s="6" t="n">
        <v>406</v>
      </c>
      <c r="S254" t="inlineStr">
        <is>
          <t>Solio</t>
        </is>
      </c>
      <c r="U254" s="6" t="n">
        <v>74.90000000000001</v>
      </c>
      <c r="V254" s="2" t="n">
        <v>8</v>
      </c>
      <c r="W254" s="7">
        <f>IF(N(U254)&lt;=0,0,MIN(Assumptions!$B$15,N(R254)/N(U254)))</f>
        <v/>
      </c>
      <c r="X254" s="6" t="n">
        <v>0.23</v>
      </c>
      <c r="Y254" s="3" t="n">
        <v>0.1653</v>
      </c>
      <c r="Z254" t="inlineStr">
        <is>
          <t>adjusted xGOT</t>
        </is>
      </c>
      <c r="AA254" s="3" t="n">
        <v>1</v>
      </c>
      <c r="AB254" s="3" t="n">
        <v>0.992</v>
      </c>
      <c r="AC254" s="3" t="n">
        <v>9.300000000000001</v>
      </c>
      <c r="AD254" s="3" t="n">
        <v>0.1109</v>
      </c>
      <c r="AE254" s="3" t="n">
        <v>10.156</v>
      </c>
      <c r="AF254" s="3" t="n">
        <v>0.1472766661239835</v>
      </c>
      <c r="AG254" s="3" t="n">
        <v>0.184</v>
      </c>
      <c r="AH254" s="3" t="n">
        <v>33</v>
      </c>
      <c r="AI254" s="3" t="n">
        <v>3.0957</v>
      </c>
      <c r="AJ254" s="3" t="n">
        <v>1.53</v>
      </c>
      <c r="AK254" s="3" t="n">
        <v>-0.2762743852642902</v>
      </c>
      <c r="AL254" s="6" t="n">
        <v>0</v>
      </c>
      <c r="AM254" s="3" t="n">
        <v>0</v>
      </c>
      <c r="AN254" s="3" t="n">
        <v>0.8265</v>
      </c>
      <c r="AO254" s="3" t="n">
        <v>0.439164</v>
      </c>
      <c r="AP254" s="3">
        <f>N(X254)*N(BI254)</f>
        <v/>
      </c>
      <c r="AQ254" s="3" t="n">
        <v>0.184</v>
      </c>
      <c r="AR254" s="3" t="n">
        <v>0</v>
      </c>
      <c r="AS254" s="3" t="n">
        <v>-0</v>
      </c>
      <c r="AT254" s="3" t="n">
        <v>-0.2762743852642902</v>
      </c>
      <c r="AU254" s="3">
        <f>SUM(AN254:AT254)</f>
        <v/>
      </c>
      <c r="AV254" s="7">
        <f>IF(OR(N(W254)&lt;=0,N(BG254)=0),0,N(W254)*IF(N(R254)/N(W254)&gt;=60,N(BG254),1))</f>
        <v/>
      </c>
      <c r="AW254" s="7">
        <f>N(W254)*N(AF254)*N(BH254)</f>
        <v/>
      </c>
      <c r="AX254" s="7">
        <f>N(AL254)*(Assumptions!$B$13*N(BJ254)-(1-Assumptions!$B$13)*Assumptions!$B$14)+N(AM254)</f>
        <v/>
      </c>
      <c r="AY254" s="7">
        <f>N(AU254)*N(R254)/90+N(AV254)+N(AW254)+N(AX254)</f>
        <v/>
      </c>
      <c r="AZ254" s="3">
        <f>IF(N(R254)&lt;=0,0,(N(AY254)-N(AX254))*90/N(R254))</f>
        <v/>
      </c>
      <c r="BA254" s="7">
        <f>IFERROR(AY254-VLOOKUP($E254,Assumptions!$A$40:$C$43,3,FALSE),"")</f>
        <v/>
      </c>
      <c r="BB254" s="3">
        <f>IFERROR(BA254/H254,"")</f>
        <v/>
      </c>
      <c r="BC254">
        <f>IF(AND($G254=TRUE,$E254="GKP"),AY254,"")</f>
        <v/>
      </c>
      <c r="BD254">
        <f>IF(AND($G254=TRUE,$E254="DEF"),AY254,"")</f>
        <v/>
      </c>
      <c r="BE254">
        <f>IF(AND($G254=TRUE,$E254="MID"),AY254,"")</f>
        <v/>
      </c>
      <c r="BF254">
        <f>IF(AND($G254=TRUE,$E254="FWD"),AY254,"")</f>
        <v/>
      </c>
      <c r="BG254" t="n">
        <v>2</v>
      </c>
      <c r="BH254" t="n">
        <v>2</v>
      </c>
      <c r="BI254" t="n">
        <v>1</v>
      </c>
      <c r="BJ254" t="n">
        <v>5</v>
      </c>
    </row>
    <row r="255">
      <c r="A255" s="9" t="inlineStr">
        <is>
          <t>Andrey Santos</t>
        </is>
      </c>
      <c r="B255" t="inlineStr">
        <is>
          <t>MUN</t>
        </is>
      </c>
      <c r="C255" s="9" t="inlineStr">
        <is>
          <t>CHE</t>
        </is>
      </c>
      <c r="D255" t="b">
        <v>1</v>
      </c>
      <c r="E255" t="inlineStr">
        <is>
          <t>MID</t>
        </is>
      </c>
      <c r="F255" t="inlineStr">
        <is>
          <t>MID</t>
        </is>
      </c>
      <c r="G255" t="b">
        <v>1</v>
      </c>
      <c r="H255" s="2" t="n">
        <v>5</v>
      </c>
      <c r="I255" t="inlineStr">
        <is>
          <t>a</t>
        </is>
      </c>
      <c r="K255" s="2" t="n">
        <v>1247</v>
      </c>
      <c r="L255" t="n">
        <v>47</v>
      </c>
      <c r="M255" s="3" t="n">
        <v>2861</v>
      </c>
      <c r="N255" s="8" t="n">
        <v>2861</v>
      </c>
      <c r="O255" s="8" t="n">
        <v>0</v>
      </c>
      <c r="Q255" t="inlineStr">
        <is>
          <t>flat</t>
        </is>
      </c>
      <c r="R255" s="6" t="n">
        <v>2861</v>
      </c>
      <c r="S255" t="inlineStr">
        <is>
          <t>Solio</t>
        </is>
      </c>
      <c r="U255" s="6" t="n">
        <v>75</v>
      </c>
      <c r="V255" s="2" t="n">
        <v>13</v>
      </c>
      <c r="W255" s="7">
        <f>IF(N(U255)&lt;=0,0,MIN(Assumptions!$B$15,N(R255)/N(U255)))</f>
        <v/>
      </c>
      <c r="X255" s="6" t="n">
        <v>0.334</v>
      </c>
      <c r="Y255" s="10" t="n">
        <v>0.1349</v>
      </c>
      <c r="Z255" t="inlineStr">
        <is>
          <t>adjusted xGOT</t>
        </is>
      </c>
      <c r="AA255" s="3" t="n">
        <v>1</v>
      </c>
      <c r="AB255" s="3" t="n">
        <v>0.9340000000000001</v>
      </c>
      <c r="AC255" s="3" t="n">
        <v>2.1</v>
      </c>
      <c r="AD255" s="10" t="n">
        <v>0.0566</v>
      </c>
      <c r="AE255" s="3" t="n">
        <v>9.042</v>
      </c>
      <c r="AF255" s="3" t="n">
        <v>0.08130627024531711</v>
      </c>
      <c r="AG255" s="3" t="n">
        <v>0.2165</v>
      </c>
      <c r="AH255" s="3" t="n">
        <v>38</v>
      </c>
      <c r="AI255" s="3" t="n">
        <v>2.2165</v>
      </c>
      <c r="AJ255" s="3" t="n">
        <v>1.1467</v>
      </c>
      <c r="AK255" s="3" t="n">
        <v>-0.2572282668161304</v>
      </c>
      <c r="AL255" s="6" t="n">
        <v>0</v>
      </c>
      <c r="AM255" s="3" t="n">
        <v>0</v>
      </c>
      <c r="AN255" s="10" t="n">
        <v>0.6745</v>
      </c>
      <c r="AO255" s="10" t="n">
        <v>0.224136</v>
      </c>
      <c r="AP255" s="3">
        <f>N(X255)*N(BI255)</f>
        <v/>
      </c>
      <c r="AQ255" s="3" t="n">
        <v>0.2165</v>
      </c>
      <c r="AR255" s="3" t="n">
        <v>0</v>
      </c>
      <c r="AS255" s="3" t="n">
        <v>-0</v>
      </c>
      <c r="AT255" s="3" t="n">
        <v>-0.2572282668161304</v>
      </c>
      <c r="AU255" s="3">
        <f>SUM(AN255:AT255)</f>
        <v/>
      </c>
      <c r="AV255" s="7">
        <f>IF(OR(N(W255)&lt;=0,N(BG255)=0),0,N(W255)*IF(N(R255)/N(W255)&gt;=60,N(BG255),1))</f>
        <v/>
      </c>
      <c r="AW255" s="7">
        <f>N(W255)*N(AF255)*N(BH255)</f>
        <v/>
      </c>
      <c r="AX255" s="7">
        <f>N(AL255)*(Assumptions!$B$13*N(BJ255)-(1-Assumptions!$B$13)*Assumptions!$B$14)+N(AM255)</f>
        <v/>
      </c>
      <c r="AY255" s="7">
        <f>N(AU255)*N(R255)/90+N(AV255)+N(AW255)+N(AX255)</f>
        <v/>
      </c>
      <c r="AZ255" s="3">
        <f>IF(N(R255)&lt;=0,0,(N(AY255)-N(AX255))*90/N(R255))</f>
        <v/>
      </c>
      <c r="BA255" s="7">
        <f>IFERROR(AY255-VLOOKUP($E255,Assumptions!$A$40:$C$43,3,FALSE),"")</f>
        <v/>
      </c>
      <c r="BB255" s="3">
        <f>IFERROR(BA255/H255,"")</f>
        <v/>
      </c>
      <c r="BC255">
        <f>IF(AND($G255=TRUE,$E255="GKP"),AY255,"")</f>
        <v/>
      </c>
      <c r="BD255">
        <f>IF(AND($G255=TRUE,$E255="DEF"),AY255,"")</f>
        <v/>
      </c>
      <c r="BE255">
        <f>IF(AND($G255=TRUE,$E255="MID"),AY255,"")</f>
        <v/>
      </c>
      <c r="BF255">
        <f>IF(AND($G255=TRUE,$E255="FWD"),AY255,"")</f>
        <v/>
      </c>
      <c r="BG255" t="n">
        <v>2</v>
      </c>
      <c r="BH255" t="n">
        <v>2</v>
      </c>
      <c r="BI255" t="n">
        <v>1</v>
      </c>
      <c r="BJ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s="4" t="n">
        <v>1150</v>
      </c>
      <c r="O256" s="4" t="n">
        <v>1020</v>
      </c>
      <c r="P256" s="5" t="inlineStr">
        <is>
          <t>medium</t>
        </is>
      </c>
      <c r="Q256" t="inlineStr">
        <is>
          <t>flat</t>
        </is>
      </c>
      <c r="R256" s="6" t="n">
        <v>1150</v>
      </c>
      <c r="S256" t="inlineStr">
        <is>
          <t>research</t>
        </is>
      </c>
      <c r="T256" s="5" t="inlineStr">
        <is>
          <t>Solio's 130 minutes implies Diakite is effectively out of the squad, which the evidence contradicts on every count: he started at centre-back in the 8 Aug Betis friendly, was named on the bench for the 15 Aug Mainz friendly, is fit (FPL status 'a', no news), was a c.EUR 35m signing from Lille in Aug 2025 under contract to 2030, and carries no transfer rumours. With Senesi gone to Tottenham he is one of only three fit senior centre-backs for a season that includes a Europa League league phase. This looks like a straight Solio error rather than a judgement call.</t>
        </is>
      </c>
      <c r="U256" s="6" t="n">
        <v>84.59999999999999</v>
      </c>
      <c r="V256" s="2" t="n">
        <v>15</v>
      </c>
      <c r="W256" s="7">
        <f>IF(N(U256)&lt;=0,0,MIN(Assumptions!$B$15,N(R256)/N(U256)))</f>
        <v/>
      </c>
      <c r="X256" s="6" t="n">
        <v>0.23</v>
      </c>
      <c r="Y256" s="3" t="n">
        <v>0.0014</v>
      </c>
      <c r="Z256" t="inlineStr">
        <is>
          <t>adjusted xGOT</t>
        </is>
      </c>
      <c r="AA256" s="3" t="n">
        <v>1</v>
      </c>
      <c r="AB256" s="3" t="n">
        <v>0.998</v>
      </c>
      <c r="AC256" s="3" t="n">
        <v>0</v>
      </c>
      <c r="AD256" s="3" t="n">
        <v>0.0097</v>
      </c>
      <c r="AE256" s="3" t="n">
        <v>8.052</v>
      </c>
      <c r="AF256" s="3" t="n">
        <v>0.2315285912091684</v>
      </c>
      <c r="AG256" s="3" t="n">
        <v>0.1412</v>
      </c>
      <c r="AH256" s="3" t="n">
        <v>31</v>
      </c>
      <c r="AI256" s="3" t="n">
        <v>3.0957</v>
      </c>
      <c r="AJ256" s="3" t="n">
        <v>1.53</v>
      </c>
      <c r="AK256" s="3" t="n">
        <v>-0.1515806232502433</v>
      </c>
      <c r="AL256" s="6" t="n">
        <v>0</v>
      </c>
      <c r="AM256" s="3" t="n">
        <v>0</v>
      </c>
      <c r="AN256" s="3" t="n">
        <v>0.008399999999999999</v>
      </c>
      <c r="AO256" s="3" t="n">
        <v>0.038412</v>
      </c>
      <c r="AP256" s="3">
        <f>N(X256)*N(BI256)</f>
        <v/>
      </c>
      <c r="AQ256" s="3" t="n">
        <v>0.1412</v>
      </c>
      <c r="AR256" s="3" t="n">
        <v>0</v>
      </c>
      <c r="AS256" s="3" t="n">
        <v>-0.5267219238049191</v>
      </c>
      <c r="AT256" s="3" t="n">
        <v>-0.1515806232502433</v>
      </c>
      <c r="AU256" s="3">
        <f>SUM(AN256:AT256)</f>
        <v/>
      </c>
      <c r="AV256" s="7">
        <f>IF(OR(N(W256)&lt;=0,N(BG256)=0),0,N(W256)*IF(N(R256)/N(W256)&gt;=60,N(BG256),1))</f>
        <v/>
      </c>
      <c r="AW256" s="7">
        <f>N(W256)*N(AF256)*N(BH256)</f>
        <v/>
      </c>
      <c r="AX256" s="7">
        <f>N(AL256)*(Assumptions!$B$13*N(BJ256)-(1-Assumptions!$B$13)*Assumptions!$B$14)+N(AM256)</f>
        <v/>
      </c>
      <c r="AY256" s="7">
        <f>N(AU256)*N(R256)/90+N(AV256)+N(AW256)+N(AX256)</f>
        <v/>
      </c>
      <c r="AZ256" s="3">
        <f>IF(N(R256)&lt;=0,0,(N(AY256)-N(AX256))*90/N(R256))</f>
        <v/>
      </c>
      <c r="BA256" s="7">
        <f>IFERROR(AY256-VLOOKUP($E256,Assumptions!$A$40:$C$43,3,FALSE),"")</f>
        <v/>
      </c>
      <c r="BB256" s="3">
        <f>IFERROR(BA256/H256,"")</f>
        <v/>
      </c>
      <c r="BC256">
        <f>IF(AND($G256=TRUE,$E256="GKP"),AY256,"")</f>
        <v/>
      </c>
      <c r="BD256">
        <f>IF(AND($G256=TRUE,$E256="DEF"),AY256,"")</f>
        <v/>
      </c>
      <c r="BE256">
        <f>IF(AND($G256=TRUE,$E256="MID"),AY256,"")</f>
        <v/>
      </c>
      <c r="BF256">
        <f>IF(AND($G256=TRUE,$E256="FWD"),AY256,"")</f>
        <v/>
      </c>
      <c r="BG256" t="n">
        <v>2</v>
      </c>
      <c r="BH256" t="n">
        <v>2</v>
      </c>
      <c r="BI256" t="n">
        <v>4</v>
      </c>
      <c r="BJ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s="8" t="n">
        <v>419</v>
      </c>
      <c r="O257" s="8" t="n">
        <v>0</v>
      </c>
      <c r="Q257" t="inlineStr">
        <is>
          <t>flat</t>
        </is>
      </c>
      <c r="R257" s="6" t="n">
        <v>419</v>
      </c>
      <c r="S257" t="inlineStr">
        <is>
          <t>Solio</t>
        </is>
      </c>
      <c r="U257" s="6" t="n">
        <v>74</v>
      </c>
      <c r="V257" s="2" t="n">
        <v>10</v>
      </c>
      <c r="W257" s="7">
        <f>IF(N(U257)&lt;=0,0,MIN(Assumptions!$B$15,N(R257)/N(U257)))</f>
        <v/>
      </c>
      <c r="X257" s="6" t="n">
        <v>0.286</v>
      </c>
      <c r="Y257" s="3" t="n">
        <v>0.1604</v>
      </c>
      <c r="Z257" t="inlineStr">
        <is>
          <t>adjusted xGOT</t>
        </is>
      </c>
      <c r="AA257" s="3" t="n">
        <v>1</v>
      </c>
      <c r="AB257" s="3" t="n">
        <v>0.902</v>
      </c>
      <c r="AC257" s="3" t="n">
        <v>6.3</v>
      </c>
      <c r="AD257" s="3" t="n">
        <v>0.1464</v>
      </c>
      <c r="AE257" s="3" t="n">
        <v>7.746</v>
      </c>
      <c r="AF257" s="3" t="n">
        <v>0.02975293246068822</v>
      </c>
      <c r="AG257" s="3" t="n">
        <v>0.5556</v>
      </c>
      <c r="AH257" s="3" t="n">
        <v>32</v>
      </c>
      <c r="AI257" s="3" t="n">
        <v>2.5739</v>
      </c>
      <c r="AJ257" s="3" t="n">
        <v>1.3096</v>
      </c>
      <c r="AK257" s="3" t="n">
        <v>-0.1218449339240393</v>
      </c>
      <c r="AL257" s="6" t="n">
        <v>0</v>
      </c>
      <c r="AM257" s="3" t="n">
        <v>0</v>
      </c>
      <c r="AN257" s="3" t="n">
        <v>0.8019999999999999</v>
      </c>
      <c r="AO257" s="3" t="n">
        <v>0.579744</v>
      </c>
      <c r="AP257" s="3">
        <f>N(X257)*N(BI257)</f>
        <v/>
      </c>
      <c r="AQ257" s="3" t="n">
        <v>0.5556</v>
      </c>
      <c r="AR257" s="3" t="n">
        <v>0</v>
      </c>
      <c r="AS257" s="3" t="n">
        <v>-0</v>
      </c>
      <c r="AT257" s="3" t="n">
        <v>-0.1218449339240393</v>
      </c>
      <c r="AU257" s="3">
        <f>SUM(AN257:AT257)</f>
        <v/>
      </c>
      <c r="AV257" s="7">
        <f>IF(OR(N(W257)&lt;=0,N(BG257)=0),0,N(W257)*IF(N(R257)/N(W257)&gt;=60,N(BG257),1))</f>
        <v/>
      </c>
      <c r="AW257" s="7">
        <f>N(W257)*N(AF257)*N(BH257)</f>
        <v/>
      </c>
      <c r="AX257" s="7">
        <f>N(AL257)*(Assumptions!$B$13*N(BJ257)-(1-Assumptions!$B$13)*Assumptions!$B$14)+N(AM257)</f>
        <v/>
      </c>
      <c r="AY257" s="7">
        <f>N(AU257)*N(R257)/90+N(AV257)+N(AW257)+N(AX257)</f>
        <v/>
      </c>
      <c r="AZ257" s="3">
        <f>IF(N(R257)&lt;=0,0,(N(AY257)-N(AX257))*90/N(R257))</f>
        <v/>
      </c>
      <c r="BA257" s="7">
        <f>IFERROR(AY257-VLOOKUP($E257,Assumptions!$A$40:$C$43,3,FALSE),"")</f>
        <v/>
      </c>
      <c r="BB257" s="3">
        <f>IFERROR(BA257/H257,"")</f>
        <v/>
      </c>
      <c r="BC257">
        <f>IF(AND($G257=TRUE,$E257="GKP"),AY257,"")</f>
        <v/>
      </c>
      <c r="BD257">
        <f>IF(AND($G257=TRUE,$E257="DEF"),AY257,"")</f>
        <v/>
      </c>
      <c r="BE257">
        <f>IF(AND($G257=TRUE,$E257="MID"),AY257,"")</f>
        <v/>
      </c>
      <c r="BF257">
        <f>IF(AND($G257=TRUE,$E257="FWD"),AY257,"")</f>
        <v/>
      </c>
      <c r="BG257" t="n">
        <v>2</v>
      </c>
      <c r="BH257" t="n">
        <v>2</v>
      </c>
      <c r="BI257" t="n">
        <v>1</v>
      </c>
      <c r="BJ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s="4" t="n">
        <v>0</v>
      </c>
      <c r="O258" s="4" t="n">
        <v>-21</v>
      </c>
      <c r="P258" s="5" t="inlineStr">
        <is>
          <t>medium</t>
        </is>
      </c>
      <c r="Q258" t="inlineStr">
        <is>
          <t>flat</t>
        </is>
      </c>
      <c r="R258" s="6" t="n">
        <v>0</v>
      </c>
      <c r="S258" t="inlineStr">
        <is>
          <t>research</t>
        </is>
      </c>
      <c r="T258" s="5" t="inlineStr">
        <is>
          <t>Named on Last Word on Football's 'unwanted list', omitted from the final pre-season matchday squad after failing to impress against weaker tour opposition, with reported interest in a permanent move away.</t>
        </is>
      </c>
      <c r="U258" s="6" t="n">
        <v>72.5</v>
      </c>
      <c r="V258" s="2" t="n">
        <v>12</v>
      </c>
      <c r="W258" s="7">
        <f>IF(N(U258)&lt;=0,0,MIN(Assumptions!$B$15,N(R258)/N(U258)))</f>
        <v/>
      </c>
      <c r="X258" s="6" t="n">
        <v>0.322</v>
      </c>
      <c r="Y258" s="3" t="n">
        <v>0.3711</v>
      </c>
      <c r="Z258" t="inlineStr">
        <is>
          <t>adjusted xGOT</t>
        </is>
      </c>
      <c r="AA258" s="3" t="n">
        <v>1</v>
      </c>
      <c r="AB258" s="3" t="n">
        <v>0.992</v>
      </c>
      <c r="AC258" s="3" t="n">
        <v>14</v>
      </c>
      <c r="AD258" s="3" t="n">
        <v>0.0165</v>
      </c>
      <c r="AE258" s="3" t="n">
        <v>3.991</v>
      </c>
      <c r="AF258" s="3" t="n">
        <v>0.0001348593235228623</v>
      </c>
      <c r="AG258" s="3" t="n">
        <v>0.0824</v>
      </c>
      <c r="AH258" s="3" t="n">
        <v>38</v>
      </c>
      <c r="AI258" s="3" t="n">
        <v>2.4232</v>
      </c>
      <c r="AJ258" s="3" t="n">
        <v>1.1851</v>
      </c>
      <c r="AK258" s="3" t="n">
        <v>-0.3159241692174626</v>
      </c>
      <c r="AL258" s="6" t="n">
        <v>0.0003609129577271</v>
      </c>
      <c r="AM258" s="3" t="n">
        <v>0</v>
      </c>
      <c r="AN258" s="3" t="n">
        <v>1.4844</v>
      </c>
      <c r="AO258" s="3" t="n">
        <v>0.06534000000000001</v>
      </c>
      <c r="AP258" s="3">
        <f>N(X258)*N(BI258)</f>
        <v/>
      </c>
      <c r="AQ258" s="3" t="n">
        <v>0.0824</v>
      </c>
      <c r="AR258" s="3" t="n">
        <v>0</v>
      </c>
      <c r="AS258" s="3" t="n">
        <v>-0</v>
      </c>
      <c r="AT258" s="3" t="n">
        <v>-0.3159241692174626</v>
      </c>
      <c r="AU258" s="3">
        <f>SUM(AN258:AT258)</f>
        <v/>
      </c>
      <c r="AV258" s="7">
        <f>IF(OR(N(W258)&lt;=0,N(BG258)=0),0,N(W258)*IF(N(R258)/N(W258)&gt;=60,N(BG258),1))</f>
        <v/>
      </c>
      <c r="AW258" s="7">
        <f>N(W258)*N(AF258)*N(BH258)</f>
        <v/>
      </c>
      <c r="AX258" s="7">
        <f>N(AL258)*(Assumptions!$B$13*N(BJ258)-(1-Assumptions!$B$13)*Assumptions!$B$14)+N(AM258)</f>
        <v/>
      </c>
      <c r="AY258" s="7">
        <f>N(AU258)*N(R258)/90+N(AV258)+N(AW258)+N(AX258)</f>
        <v/>
      </c>
      <c r="AZ258" s="3">
        <f>IF(N(R258)&lt;=0,0,(N(AY258)-N(AX258))*90/N(R258))</f>
        <v/>
      </c>
      <c r="BA258" s="7">
        <f>IFERROR(AY258-VLOOKUP($E258,Assumptions!$A$40:$C$43,3,FALSE),"")</f>
        <v/>
      </c>
      <c r="BB258" s="3">
        <f>IFERROR(BA258/H258,"")</f>
        <v/>
      </c>
      <c r="BC258">
        <f>IF(AND($G258=TRUE,$E258="GKP"),AY258,"")</f>
        <v/>
      </c>
      <c r="BD258">
        <f>IF(AND($G258=TRUE,$E258="DEF"),AY258,"")</f>
        <v/>
      </c>
      <c r="BE258">
        <f>IF(AND($G258=TRUE,$E258="MID"),AY258,"")</f>
        <v/>
      </c>
      <c r="BF258">
        <f>IF(AND($G258=TRUE,$E258="FWD"),AY258,"")</f>
        <v/>
      </c>
      <c r="BG258" t="n">
        <v>2</v>
      </c>
      <c r="BH258" t="n">
        <v>2</v>
      </c>
      <c r="BI258" t="n">
        <v>0</v>
      </c>
      <c r="BJ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s="4" t="n">
        <v>1200</v>
      </c>
      <c r="O259" s="4" t="n">
        <v>-310</v>
      </c>
      <c r="P259" s="5" t="inlineStr">
        <is>
          <t>low</t>
        </is>
      </c>
      <c r="Q259" t="inlineStr">
        <is>
          <t>flat</t>
        </is>
      </c>
      <c r="R259" s="6" t="n">
        <v>1200</v>
      </c>
      <c r="S259" t="inlineStr">
        <is>
          <t>research</t>
        </is>
      </c>
      <c r="T259" s="5" t="inlineStr">
        <is>
          <t>Rotation midfielder who came off the bench for Wharton at Freiburg. Cheick Doucoure is back in training and played in pre-season after roughly 18 months out, which restores a competitor Solio's numbers do not account for, and Lerma and Devenny remain. Trimmed to help fund the attacking arrivals.</t>
        </is>
      </c>
      <c r="U259" s="6" t="n">
        <v>75.3</v>
      </c>
      <c r="V259" s="2" t="n">
        <v>19</v>
      </c>
      <c r="W259" s="7">
        <f>IF(N(U259)&lt;=0,0,MIN(Assumptions!$B$15,N(R259)/N(U259)))</f>
        <v/>
      </c>
      <c r="X259" s="6" t="n">
        <v>0.216</v>
      </c>
      <c r="Y259" s="3" t="n">
        <v>0.0549</v>
      </c>
      <c r="Z259" t="inlineStr">
        <is>
          <t>adjusted xGOT</t>
        </is>
      </c>
      <c r="AA259" s="3" t="n">
        <v>1</v>
      </c>
      <c r="AB259" s="3" t="n">
        <v>0.857</v>
      </c>
      <c r="AC259" s="3" t="n">
        <v>2.8</v>
      </c>
      <c r="AD259" s="3" t="n">
        <v>0.1115</v>
      </c>
      <c r="AE259" s="3" t="n">
        <v>8.551</v>
      </c>
      <c r="AF259" s="3" t="n">
        <v>0.06063128964576248</v>
      </c>
      <c r="AG259" s="3" t="n">
        <v>0</v>
      </c>
      <c r="AH259" s="3" t="n">
        <v>44</v>
      </c>
      <c r="AI259" s="3" t="n">
        <v>3.2035</v>
      </c>
      <c r="AJ259" s="3" t="n">
        <v>1.5923</v>
      </c>
      <c r="AK259" s="3" t="n">
        <v>-0.3610724434657475</v>
      </c>
      <c r="AL259" s="6" t="n">
        <v>0</v>
      </c>
      <c r="AM259" s="3" t="n">
        <v>0</v>
      </c>
      <c r="AN259" s="3" t="n">
        <v>0.2745</v>
      </c>
      <c r="AO259" s="3" t="n">
        <v>0.44154</v>
      </c>
      <c r="AP259" s="3">
        <f>N(X259)*N(BI259)</f>
        <v/>
      </c>
      <c r="AQ259" s="3" t="n">
        <v>0</v>
      </c>
      <c r="AR259" s="3" t="n">
        <v>0</v>
      </c>
      <c r="AS259" s="3" t="n">
        <v>-0</v>
      </c>
      <c r="AT259" s="3" t="n">
        <v>-0.3610724434657475</v>
      </c>
      <c r="AU259" s="3">
        <f>SUM(AN259:AT259)</f>
        <v/>
      </c>
      <c r="AV259" s="7">
        <f>IF(OR(N(W259)&lt;=0,N(BG259)=0),0,N(W259)*IF(N(R259)/N(W259)&gt;=60,N(BG259),1))</f>
        <v/>
      </c>
      <c r="AW259" s="7">
        <f>N(W259)*N(AF259)*N(BH259)</f>
        <v/>
      </c>
      <c r="AX259" s="7">
        <f>N(AL259)*(Assumptions!$B$13*N(BJ259)-(1-Assumptions!$B$13)*Assumptions!$B$14)+N(AM259)</f>
        <v/>
      </c>
      <c r="AY259" s="7">
        <f>N(AU259)*N(R259)/90+N(AV259)+N(AW259)+N(AX259)</f>
        <v/>
      </c>
      <c r="AZ259" s="3">
        <f>IF(N(R259)&lt;=0,0,(N(AY259)-N(AX259))*90/N(R259))</f>
        <v/>
      </c>
      <c r="BA259" s="7">
        <f>IFERROR(AY259-VLOOKUP($E259,Assumptions!$A$40:$C$43,3,FALSE),"")</f>
        <v/>
      </c>
      <c r="BB259" s="3">
        <f>IFERROR(BA259/H259,"")</f>
        <v/>
      </c>
      <c r="BC259">
        <f>IF(AND($G259=TRUE,$E259="GKP"),AY259,"")</f>
        <v/>
      </c>
      <c r="BD259">
        <f>IF(AND($G259=TRUE,$E259="DEF"),AY259,"")</f>
        <v/>
      </c>
      <c r="BE259">
        <f>IF(AND($G259=TRUE,$E259="MID"),AY259,"")</f>
        <v/>
      </c>
      <c r="BF259">
        <f>IF(AND($G259=TRUE,$E259="FWD"),AY259,"")</f>
        <v/>
      </c>
      <c r="BG259" t="n">
        <v>2</v>
      </c>
      <c r="BH259" t="n">
        <v>2</v>
      </c>
      <c r="BI259" t="n">
        <v>1</v>
      </c>
      <c r="BJ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s="4" t="n">
        <v>900</v>
      </c>
      <c r="O260" s="4" t="n">
        <v>613</v>
      </c>
      <c r="P260" s="5" t="inlineStr">
        <is>
          <t>medium</t>
        </is>
      </c>
      <c r="Q260" t="inlineStr">
        <is>
          <t>fade (losing his place)</t>
        </is>
      </c>
      <c r="R260" s="6" t="n">
        <v>900</v>
      </c>
      <c r="S260" t="inlineStr">
        <is>
          <t>research</t>
        </is>
      </c>
      <c r="T260" s="5" t="inlineStr">
        <is>
          <t>Same source and same reason as Mosquera: White is one of only two fit right-sided defenders and is 'fit again and present in pre-season'. He is the incumbent right-back until Timber returns. Held well below a starter's allocation because Arseblog notes his last two seasons have been 'punctuated by injury' (699 league minutes in 2025/26), and because Timber's return reclaims the position.</t>
        </is>
      </c>
      <c r="U260" s="6" t="n">
        <v>78.90000000000001</v>
      </c>
      <c r="V260" s="2" t="n">
        <v>9</v>
      </c>
      <c r="W260" s="7">
        <f>IF(N(U260)&lt;=0,0,MIN(Assumptions!$B$15,N(R260)/N(U260)))</f>
        <v/>
      </c>
      <c r="X260" s="6" t="n">
        <v>0.391</v>
      </c>
      <c r="Y260" s="3" t="n">
        <v>0.0578</v>
      </c>
      <c r="Z260" t="inlineStr">
        <is>
          <t>adjusted xGOT</t>
        </is>
      </c>
      <c r="AA260" s="3" t="n">
        <v>1</v>
      </c>
      <c r="AB260" s="3" t="n">
        <v>0.997</v>
      </c>
      <c r="AC260" s="3" t="n">
        <v>3.4</v>
      </c>
      <c r="AD260" s="3" t="n">
        <v>0.1447</v>
      </c>
      <c r="AE260" s="3" t="n">
        <v>7.261</v>
      </c>
      <c r="AF260" s="3" t="n">
        <v>0.1113731183555535</v>
      </c>
      <c r="AG260" s="3" t="n">
        <v>0.3863</v>
      </c>
      <c r="AH260" s="3" t="n">
        <v>19</v>
      </c>
      <c r="AI260" s="3" t="n">
        <v>2.067</v>
      </c>
      <c r="AJ260" s="3" t="n">
        <v>0.9838</v>
      </c>
      <c r="AK260" s="3" t="n">
        <v>-0.1841263655678415</v>
      </c>
      <c r="AL260" s="6" t="n">
        <v>0</v>
      </c>
      <c r="AM260" s="3" t="n">
        <v>0</v>
      </c>
      <c r="AN260" s="3" t="n">
        <v>0.3468</v>
      </c>
      <c r="AO260" s="3" t="n">
        <v>0.573012</v>
      </c>
      <c r="AP260" s="3">
        <f>N(X260)*N(BI260)</f>
        <v/>
      </c>
      <c r="AQ260" s="3" t="n">
        <v>0.3863</v>
      </c>
      <c r="AR260" s="3" t="n">
        <v>0</v>
      </c>
      <c r="AS260" s="3" t="n">
        <v>-0.2768479886568037</v>
      </c>
      <c r="AT260" s="3" t="n">
        <v>-0.1841263655678415</v>
      </c>
      <c r="AU260" s="3">
        <f>SUM(AN260:AT260)</f>
        <v/>
      </c>
      <c r="AV260" s="7">
        <f>IF(OR(N(W260)&lt;=0,N(BG260)=0),0,N(W260)*IF(N(R260)/N(W260)&gt;=60,N(BG260),1))</f>
        <v/>
      </c>
      <c r="AW260" s="7">
        <f>N(W260)*N(AF260)*N(BH260)</f>
        <v/>
      </c>
      <c r="AX260" s="7">
        <f>N(AL260)*(Assumptions!$B$13*N(BJ260)-(1-Assumptions!$B$13)*Assumptions!$B$14)+N(AM260)</f>
        <v/>
      </c>
      <c r="AY260" s="7">
        <f>N(AU260)*N(R260)/90+N(AV260)+N(AW260)+N(AX260)</f>
        <v/>
      </c>
      <c r="AZ260" s="3">
        <f>IF(N(R260)&lt;=0,0,(N(AY260)-N(AX260))*90/N(R260))</f>
        <v/>
      </c>
      <c r="BA260" s="7">
        <f>IFERROR(AY260-VLOOKUP($E260,Assumptions!$A$40:$C$43,3,FALSE),"")</f>
        <v/>
      </c>
      <c r="BB260" s="3">
        <f>IFERROR(BA260/H260,"")</f>
        <v/>
      </c>
      <c r="BC260">
        <f>IF(AND($G260=TRUE,$E260="GKP"),AY260,"")</f>
        <v/>
      </c>
      <c r="BD260">
        <f>IF(AND($G260=TRUE,$E260="DEF"),AY260,"")</f>
        <v/>
      </c>
      <c r="BE260">
        <f>IF(AND($G260=TRUE,$E260="MID"),AY260,"")</f>
        <v/>
      </c>
      <c r="BF260">
        <f>IF(AND($G260=TRUE,$E260="FWD"),AY260,"")</f>
        <v/>
      </c>
      <c r="BG260" t="n">
        <v>2</v>
      </c>
      <c r="BH260" t="n">
        <v>2</v>
      </c>
      <c r="BI260" t="n">
        <v>4</v>
      </c>
      <c r="BJ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s="8" t="n">
        <v>1858</v>
      </c>
      <c r="O261" s="8" t="n">
        <v>0</v>
      </c>
      <c r="Q261" t="inlineStr">
        <is>
          <t>fade (losing his place)</t>
        </is>
      </c>
      <c r="R261" s="6" t="n">
        <v>1858</v>
      </c>
      <c r="S261" t="inlineStr">
        <is>
          <t>Solio</t>
        </is>
      </c>
      <c r="U261" s="6" t="n">
        <v>80.5</v>
      </c>
      <c r="V261" s="2" t="n">
        <v>14</v>
      </c>
      <c r="W261" s="7">
        <f>IF(N(U261)&lt;=0,0,MIN(Assumptions!$B$15,N(R261)/N(U261)))</f>
        <v/>
      </c>
      <c r="X261" s="6" t="n">
        <v>0.286</v>
      </c>
      <c r="Y261" s="3" t="n">
        <v>0.09180000000000001</v>
      </c>
      <c r="Z261" t="inlineStr">
        <is>
          <t>adjusted xGOT</t>
        </is>
      </c>
      <c r="AA261" s="3" t="n">
        <v>1</v>
      </c>
      <c r="AB261" s="3" t="n">
        <v>0.982</v>
      </c>
      <c r="AC261" s="3" t="n">
        <v>7.8</v>
      </c>
      <c r="AD261" s="3" t="n">
        <v>0.0592</v>
      </c>
      <c r="AE261" s="3" t="n">
        <v>9.109999999999999</v>
      </c>
      <c r="AF261" s="3" t="n">
        <v>0.122932900488234</v>
      </c>
      <c r="AG261" s="3" t="n">
        <v>0.2282</v>
      </c>
      <c r="AH261" s="3" t="n">
        <v>29</v>
      </c>
      <c r="AI261" s="3" t="n">
        <v>2.5739</v>
      </c>
      <c r="AJ261" s="3" t="n">
        <v>1.3096</v>
      </c>
      <c r="AK261" s="3" t="n">
        <v>-0.2022405945083572</v>
      </c>
      <c r="AL261" s="6" t="n">
        <v>0</v>
      </c>
      <c r="AM261" s="3" t="n">
        <v>0</v>
      </c>
      <c r="AN261" s="3" t="n">
        <v>0.459</v>
      </c>
      <c r="AO261" s="3" t="n">
        <v>0.234432</v>
      </c>
      <c r="AP261" s="3">
        <f>N(X261)*N(BI261)</f>
        <v/>
      </c>
      <c r="AQ261" s="3" t="n">
        <v>0.2282</v>
      </c>
      <c r="AR261" s="3" t="n">
        <v>0</v>
      </c>
      <c r="AS261" s="3" t="n">
        <v>-0</v>
      </c>
      <c r="AT261" s="3" t="n">
        <v>-0.2022405945083572</v>
      </c>
      <c r="AU261" s="3">
        <f>SUM(AN261:AT261)</f>
        <v/>
      </c>
      <c r="AV261" s="7">
        <f>IF(OR(N(W261)&lt;=0,N(BG261)=0),0,N(W261)*IF(N(R261)/N(W261)&gt;=60,N(BG261),1))</f>
        <v/>
      </c>
      <c r="AW261" s="7">
        <f>N(W261)*N(AF261)*N(BH261)</f>
        <v/>
      </c>
      <c r="AX261" s="7">
        <f>N(AL261)*(Assumptions!$B$13*N(BJ261)-(1-Assumptions!$B$13)*Assumptions!$B$14)+N(AM261)</f>
        <v/>
      </c>
      <c r="AY261" s="7">
        <f>N(AU261)*N(R261)/90+N(AV261)+N(AW261)+N(AX261)</f>
        <v/>
      </c>
      <c r="AZ261" s="3">
        <f>IF(N(R261)&lt;=0,0,(N(AY261)-N(AX261))*90/N(R261))</f>
        <v/>
      </c>
      <c r="BA261" s="7">
        <f>IFERROR(AY261-VLOOKUP($E261,Assumptions!$A$40:$C$43,3,FALSE),"")</f>
        <v/>
      </c>
      <c r="BB261" s="3">
        <f>IFERROR(BA261/H261,"")</f>
        <v/>
      </c>
      <c r="BC261">
        <f>IF(AND($G261=TRUE,$E261="GKP"),AY261,"")</f>
        <v/>
      </c>
      <c r="BD261">
        <f>IF(AND($G261=TRUE,$E261="DEF"),AY261,"")</f>
        <v/>
      </c>
      <c r="BE261">
        <f>IF(AND($G261=TRUE,$E261="MID"),AY261,"")</f>
        <v/>
      </c>
      <c r="BF261">
        <f>IF(AND($G261=TRUE,$E261="FWD"),AY261,"")</f>
        <v/>
      </c>
      <c r="BG261" t="n">
        <v>2</v>
      </c>
      <c r="BH261" t="n">
        <v>2</v>
      </c>
      <c r="BI261" t="n">
        <v>1</v>
      </c>
      <c r="BJ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s="4" t="n">
        <v>1250</v>
      </c>
      <c r="O262" s="4" t="n">
        <v>418</v>
      </c>
      <c r="P262" s="5" t="inlineStr">
        <is>
          <t>medium</t>
        </is>
      </c>
      <c r="Q262" t="inlineStr">
        <is>
          <t>flat</t>
        </is>
      </c>
      <c r="R262" s="6" t="n">
        <v>1250</v>
      </c>
      <c r="S262" t="inlineStr">
        <is>
          <t>research</t>
        </is>
      </c>
      <c r="T262" s="5" t="inlineStr">
        <is>
          <t>Re-signed from Aston Villa on 12 August on a season-long loan carrying a conditional obligation to buy, having previously been at Palace only from January to May 2026. A full-season deal with a purchase obligation implies a larger role than the half-season Solio's number is scaled from. He came off the bench for Strand Larsen at Freiburg.</t>
        </is>
      </c>
      <c r="U262" s="6" t="n">
        <v>74.5</v>
      </c>
      <c r="V262" s="2" t="n">
        <v>9</v>
      </c>
      <c r="W262" s="7">
        <f>IF(N(U262)&lt;=0,0,MIN(Assumptions!$B$15,N(R262)/N(U262)))</f>
        <v/>
      </c>
      <c r="X262" s="6" t="n">
        <v>0.216</v>
      </c>
      <c r="Y262" s="3" t="n">
        <v>0.1551</v>
      </c>
      <c r="Z262" t="inlineStr">
        <is>
          <t>adjusted xGOT</t>
        </is>
      </c>
      <c r="AA262" s="3" t="n">
        <v>1</v>
      </c>
      <c r="AB262" s="3" t="n">
        <v>1.004</v>
      </c>
      <c r="AC262" s="3" t="n">
        <v>1.6</v>
      </c>
      <c r="AD262" s="3" t="n">
        <v>0.1034</v>
      </c>
      <c r="AE262" s="3" t="n">
        <v>8.377000000000001</v>
      </c>
      <c r="AF262" s="3" t="n">
        <v>0.05043712192936523</v>
      </c>
      <c r="AG262" s="3" t="n">
        <v>0</v>
      </c>
      <c r="AH262" s="3" t="n">
        <v>28</v>
      </c>
      <c r="AI262" s="3" t="n">
        <v>3.2035</v>
      </c>
      <c r="AJ262" s="3" t="n">
        <v>1.5923</v>
      </c>
      <c r="AK262" s="3" t="n">
        <v>-0.1388775988728118</v>
      </c>
      <c r="AL262" s="6" t="n">
        <v>0</v>
      </c>
      <c r="AM262" s="3" t="n">
        <v>0</v>
      </c>
      <c r="AN262" s="3" t="n">
        <v>0.7755</v>
      </c>
      <c r="AO262" s="3" t="n">
        <v>0.4094640000000001</v>
      </c>
      <c r="AP262" s="3">
        <f>N(X262)*N(BI262)</f>
        <v/>
      </c>
      <c r="AQ262" s="3" t="n">
        <v>0</v>
      </c>
      <c r="AR262" s="3" t="n">
        <v>0</v>
      </c>
      <c r="AS262" s="3" t="n">
        <v>-0</v>
      </c>
      <c r="AT262" s="3" t="n">
        <v>-0.1388775988728118</v>
      </c>
      <c r="AU262" s="3">
        <f>SUM(AN262:AT262)</f>
        <v/>
      </c>
      <c r="AV262" s="7">
        <f>IF(OR(N(W262)&lt;=0,N(BG262)=0),0,N(W262)*IF(N(R262)/N(W262)&gt;=60,N(BG262),1))</f>
        <v/>
      </c>
      <c r="AW262" s="7">
        <f>N(W262)*N(AF262)*N(BH262)</f>
        <v/>
      </c>
      <c r="AX262" s="7">
        <f>N(AL262)*(Assumptions!$B$13*N(BJ262)-(1-Assumptions!$B$13)*Assumptions!$B$14)+N(AM262)</f>
        <v/>
      </c>
      <c r="AY262" s="7">
        <f>N(AU262)*N(R262)/90+N(AV262)+N(AW262)+N(AX262)</f>
        <v/>
      </c>
      <c r="AZ262" s="3">
        <f>IF(N(R262)&lt;=0,0,(N(AY262)-N(AX262))*90/N(R262))</f>
        <v/>
      </c>
      <c r="BA262" s="7">
        <f>IFERROR(AY262-VLOOKUP($E262,Assumptions!$A$40:$C$43,3,FALSE),"")</f>
        <v/>
      </c>
      <c r="BB262" s="3">
        <f>IFERROR(BA262/H262,"")</f>
        <v/>
      </c>
      <c r="BC262">
        <f>IF(AND($G262=TRUE,$E262="GKP"),AY262,"")</f>
        <v/>
      </c>
      <c r="BD262">
        <f>IF(AND($G262=TRUE,$E262="DEF"),AY262,"")</f>
        <v/>
      </c>
      <c r="BE262">
        <f>IF(AND($G262=TRUE,$E262="MID"),AY262,"")</f>
        <v/>
      </c>
      <c r="BF262">
        <f>IF(AND($G262=TRUE,$E262="FWD"),AY262,"")</f>
        <v/>
      </c>
      <c r="BG262" t="n">
        <v>2</v>
      </c>
      <c r="BH262" t="n">
        <v>2</v>
      </c>
      <c r="BI262" t="n">
        <v>1</v>
      </c>
      <c r="BJ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s="8" t="n">
        <v>419</v>
      </c>
      <c r="O263" s="8" t="n">
        <v>0</v>
      </c>
      <c r="Q263" t="inlineStr">
        <is>
          <t>flat</t>
        </is>
      </c>
      <c r="R263" s="6" t="n">
        <v>419</v>
      </c>
      <c r="S263" t="inlineStr">
        <is>
          <t>Solio</t>
        </is>
      </c>
      <c r="U263" s="6" t="n">
        <v>79.40000000000001</v>
      </c>
      <c r="V263" s="2" t="n">
        <v>7</v>
      </c>
      <c r="W263" s="7">
        <f>IF(N(U263)&lt;=0,0,MIN(Assumptions!$B$15,N(R263)/N(U263)))</f>
        <v/>
      </c>
      <c r="X263" s="6" t="n">
        <v>0.371</v>
      </c>
      <c r="Y263" s="3" t="n">
        <v>0.2644</v>
      </c>
      <c r="Z263" t="inlineStr">
        <is>
          <t>adjusted xGOT</t>
        </is>
      </c>
      <c r="AA263" s="3" t="n">
        <v>1</v>
      </c>
      <c r="AB263" s="3" t="n">
        <v>0.96</v>
      </c>
      <c r="AC263" s="3" t="n">
        <v>7.5</v>
      </c>
      <c r="AD263" s="3" t="n">
        <v>0.1389</v>
      </c>
      <c r="AE263" s="3" t="n">
        <v>7.473</v>
      </c>
      <c r="AF263" s="3" t="n">
        <v>0.03703901402831566</v>
      </c>
      <c r="AG263" s="3" t="n">
        <v>0.1102</v>
      </c>
      <c r="AH263" s="3" t="n">
        <v>30</v>
      </c>
      <c r="AI263" s="3" t="n">
        <v>1.9737</v>
      </c>
      <c r="AJ263" s="3" t="n">
        <v>1.0365</v>
      </c>
      <c r="AK263" s="3" t="n">
        <v>-0.206537684616904</v>
      </c>
      <c r="AL263" s="6" t="n">
        <v>0</v>
      </c>
      <c r="AM263" s="3" t="n">
        <v>0</v>
      </c>
      <c r="AN263" s="3" t="n">
        <v>1.322</v>
      </c>
      <c r="AO263" s="3" t="n">
        <v>0.550044</v>
      </c>
      <c r="AP263" s="3">
        <f>N(X263)*N(BI263)</f>
        <v/>
      </c>
      <c r="AQ263" s="3" t="n">
        <v>0.1102</v>
      </c>
      <c r="AR263" s="3" t="n">
        <v>0</v>
      </c>
      <c r="AS263" s="3" t="n">
        <v>-0</v>
      </c>
      <c r="AT263" s="3" t="n">
        <v>-0.206537684616904</v>
      </c>
      <c r="AU263" s="3">
        <f>SUM(AN263:AT263)</f>
        <v/>
      </c>
      <c r="AV263" s="7">
        <f>IF(OR(N(W263)&lt;=0,N(BG263)=0),0,N(W263)*IF(N(R263)/N(W263)&gt;=60,N(BG263),1))</f>
        <v/>
      </c>
      <c r="AW263" s="7">
        <f>N(W263)*N(AF263)*N(BH263)</f>
        <v/>
      </c>
      <c r="AX263" s="7">
        <f>N(AL263)*(Assumptions!$B$13*N(BJ263)-(1-Assumptions!$B$13)*Assumptions!$B$14)+N(AM263)</f>
        <v/>
      </c>
      <c r="AY263" s="7">
        <f>N(AU263)*N(R263)/90+N(AV263)+N(AW263)+N(AX263)</f>
        <v/>
      </c>
      <c r="AZ263" s="3">
        <f>IF(N(R263)&lt;=0,0,(N(AY263)-N(AX263))*90/N(R263))</f>
        <v/>
      </c>
      <c r="BA263" s="7">
        <f>IFERROR(AY263-VLOOKUP($E263,Assumptions!$A$40:$C$43,3,FALSE),"")</f>
        <v/>
      </c>
      <c r="BB263" s="3">
        <f>IFERROR(BA263/H263,"")</f>
        <v/>
      </c>
      <c r="BC263">
        <f>IF(AND($G263=TRUE,$E263="GKP"),AY263,"")</f>
        <v/>
      </c>
      <c r="BD263">
        <f>IF(AND($G263=TRUE,$E263="DEF"),AY263,"")</f>
        <v/>
      </c>
      <c r="BE263">
        <f>IF(AND($G263=TRUE,$E263="MID"),AY263,"")</f>
        <v/>
      </c>
      <c r="BF263">
        <f>IF(AND($G263=TRUE,$E263="FWD"),AY263,"")</f>
        <v/>
      </c>
      <c r="BG263" t="n">
        <v>2</v>
      </c>
      <c r="BH263" t="n">
        <v>2</v>
      </c>
      <c r="BI263" t="n">
        <v>1</v>
      </c>
      <c r="BJ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s="4" t="n">
        <v>1880</v>
      </c>
      <c r="O264" s="4" t="n">
        <v>-389</v>
      </c>
      <c r="P264" s="5" t="inlineStr">
        <is>
          <t>medium</t>
        </is>
      </c>
      <c r="Q264" t="inlineStr">
        <is>
          <t>flat</t>
        </is>
      </c>
      <c r="R264" s="6" t="n">
        <v>1880</v>
      </c>
      <c r="S264" t="inlineStr">
        <is>
          <t>research</t>
        </is>
      </c>
      <c r="T264" s="5" t="inlineStr">
        <is>
          <t>Ngumoha is the incumbent right winger in the pre-season XIs, but the framing from Liverpool sources is explicitly provisional: 'maybe Rio is the one who's going to be deployed there until we get a new signing.' Iraola: 'we definitely need to sign a winger.' Solio's 2269 (a fourfold rise on his 547 league minutes last season) assumes no reinforcement arrives before 31 August; trimmed to reflect that risk.</t>
        </is>
      </c>
      <c r="U264" s="6" t="n">
        <v>77.3</v>
      </c>
      <c r="V264" s="2" t="n">
        <v>5</v>
      </c>
      <c r="W264" s="7">
        <f>IF(N(U264)&lt;=0,0,MIN(Assumptions!$B$15,N(R264)/N(U264)))</f>
        <v/>
      </c>
      <c r="X264" s="6" t="n">
        <v>0.342</v>
      </c>
      <c r="Y264" s="3" t="n">
        <v>0.2336</v>
      </c>
      <c r="Z264" t="inlineStr">
        <is>
          <t>adjusted xGOT</t>
        </is>
      </c>
      <c r="AA264" s="3" t="n">
        <v>1</v>
      </c>
      <c r="AB264" s="3" t="n">
        <v>1.06</v>
      </c>
      <c r="AC264" s="3" t="n">
        <v>1.3</v>
      </c>
      <c r="AD264" s="3" t="n">
        <v>0.3403</v>
      </c>
      <c r="AE264" s="3" t="n">
        <v>7.005</v>
      </c>
      <c r="AF264" s="3" t="n">
        <v>0.02046663423069417</v>
      </c>
      <c r="AG264" s="3" t="n">
        <v>0.6581</v>
      </c>
      <c r="AH264" s="3" t="n">
        <v>24</v>
      </c>
      <c r="AI264" s="3" t="n">
        <v>2.409</v>
      </c>
      <c r="AJ264" s="3" t="n">
        <v>1.1228</v>
      </c>
      <c r="AK264" s="3" t="n">
        <v>-0.1611483197653539</v>
      </c>
      <c r="AL264" s="6" t="n">
        <v>0</v>
      </c>
      <c r="AM264" s="3" t="n">
        <v>0</v>
      </c>
      <c r="AN264" s="3" t="n">
        <v>1.168</v>
      </c>
      <c r="AO264" s="3" t="n">
        <v>1.347588</v>
      </c>
      <c r="AP264" s="3">
        <f>N(X264)*N(BI264)</f>
        <v/>
      </c>
      <c r="AQ264" s="3" t="n">
        <v>0.6581</v>
      </c>
      <c r="AR264" s="3" t="n">
        <v>0</v>
      </c>
      <c r="AS264" s="3" t="n">
        <v>-0</v>
      </c>
      <c r="AT264" s="3" t="n">
        <v>-0.1611483197653539</v>
      </c>
      <c r="AU264" s="3">
        <f>SUM(AN264:AT264)</f>
        <v/>
      </c>
      <c r="AV264" s="7">
        <f>IF(OR(N(W264)&lt;=0,N(BG264)=0),0,N(W264)*IF(N(R264)/N(W264)&gt;=60,N(BG264),1))</f>
        <v/>
      </c>
      <c r="AW264" s="7">
        <f>N(W264)*N(AF264)*N(BH264)</f>
        <v/>
      </c>
      <c r="AX264" s="7">
        <f>N(AL264)*(Assumptions!$B$13*N(BJ264)-(1-Assumptions!$B$13)*Assumptions!$B$14)+N(AM264)</f>
        <v/>
      </c>
      <c r="AY264" s="7">
        <f>N(AU264)*N(R264)/90+N(AV264)+N(AW264)+N(AX264)</f>
        <v/>
      </c>
      <c r="AZ264" s="3">
        <f>IF(N(R264)&lt;=0,0,(N(AY264)-N(AX264))*90/N(R264))</f>
        <v/>
      </c>
      <c r="BA264" s="7">
        <f>IFERROR(AY264-VLOOKUP($E264,Assumptions!$A$40:$C$43,3,FALSE),"")</f>
        <v/>
      </c>
      <c r="BB264" s="3">
        <f>IFERROR(BA264/H264,"")</f>
        <v/>
      </c>
      <c r="BC264">
        <f>IF(AND($G264=TRUE,$E264="GKP"),AY264,"")</f>
        <v/>
      </c>
      <c r="BD264">
        <f>IF(AND($G264=TRUE,$E264="DEF"),AY264,"")</f>
        <v/>
      </c>
      <c r="BE264">
        <f>IF(AND($G264=TRUE,$E264="MID"),AY264,"")</f>
        <v/>
      </c>
      <c r="BF264">
        <f>IF(AND($G264=TRUE,$E264="FWD"),AY264,"")</f>
        <v/>
      </c>
      <c r="BG264" t="n">
        <v>2</v>
      </c>
      <c r="BH264" t="n">
        <v>2</v>
      </c>
      <c r="BI264" t="n">
        <v>1</v>
      </c>
      <c r="BJ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s="4" t="n">
        <v>250</v>
      </c>
      <c r="O265" s="4" t="n">
        <v>178</v>
      </c>
      <c r="P265" s="5" t="inlineStr">
        <is>
          <t>low</t>
        </is>
      </c>
      <c r="Q265" t="inlineStr">
        <is>
          <t>flat</t>
        </is>
      </c>
      <c r="R265" s="6" t="n">
        <v>250</v>
      </c>
      <c r="S265" t="inlineStr">
        <is>
          <t>research</t>
        </is>
      </c>
      <c r="T265" s="5" t="inlineStr">
        <is>
          <t>Fit, flagged 'available' in the FPL bootstrap, and scored in pre-season against Blackburn after his 2025 abdominal injury. Seventy-two minutes for a season implies he is effectively gone, which no source supports; he remains a squad striker under a manager rotating four of them.</t>
        </is>
      </c>
      <c r="U265" s="6" t="n">
        <v>76.3</v>
      </c>
      <c r="V265" s="2" t="n">
        <v>3</v>
      </c>
      <c r="W265" s="7">
        <f>IF(N(U265)&lt;=0,0,MIN(Assumptions!$B$15,N(R265)/N(U265)))</f>
        <v/>
      </c>
      <c r="X265" s="6" t="n">
        <v>0.224</v>
      </c>
      <c r="Y265" s="3" t="n">
        <v>0.5998</v>
      </c>
      <c r="Z265" t="inlineStr">
        <is>
          <t>adjusted xGOT</t>
        </is>
      </c>
      <c r="AA265" s="3" t="n">
        <v>1</v>
      </c>
      <c r="AB265" s="3" t="n">
        <v>0.869</v>
      </c>
      <c r="AC265" s="3" t="n">
        <v>17.5</v>
      </c>
      <c r="AD265" s="3" t="n">
        <v>0.1959</v>
      </c>
      <c r="AE265" s="3" t="n">
        <v>4.826</v>
      </c>
      <c r="AF265" s="3" t="n">
        <v>0.001105738013307045</v>
      </c>
      <c r="AG265" s="3" t="n">
        <v>0.75</v>
      </c>
      <c r="AH265" s="3" t="n">
        <v>19</v>
      </c>
      <c r="AI265" s="3" t="n">
        <v>3.1134</v>
      </c>
      <c r="AJ265" s="3" t="n">
        <v>1.5588</v>
      </c>
      <c r="AK265" s="3" t="n">
        <v>-0.2008123290547753</v>
      </c>
      <c r="AL265" s="6" t="n">
        <v>0</v>
      </c>
      <c r="AM265" s="3" t="n">
        <v>0</v>
      </c>
      <c r="AN265" s="3" t="n">
        <v>2.3992</v>
      </c>
      <c r="AO265" s="3" t="n">
        <v>0.775764</v>
      </c>
      <c r="AP265" s="3">
        <f>N(X265)*N(BI265)</f>
        <v/>
      </c>
      <c r="AQ265" s="3" t="n">
        <v>0.75</v>
      </c>
      <c r="AR265" s="3" t="n">
        <v>0</v>
      </c>
      <c r="AS265" s="3" t="n">
        <v>-0</v>
      </c>
      <c r="AT265" s="3" t="n">
        <v>-0.2008123290547753</v>
      </c>
      <c r="AU265" s="3">
        <f>SUM(AN265:AT265)</f>
        <v/>
      </c>
      <c r="AV265" s="7">
        <f>IF(OR(N(W265)&lt;=0,N(BG265)=0),0,N(W265)*IF(N(R265)/N(W265)&gt;=60,N(BG265),1))</f>
        <v/>
      </c>
      <c r="AW265" s="7">
        <f>N(W265)*N(AF265)*N(BH265)</f>
        <v/>
      </c>
      <c r="AX265" s="7">
        <f>N(AL265)*(Assumptions!$B$13*N(BJ265)-(1-Assumptions!$B$13)*Assumptions!$B$14)+N(AM265)</f>
        <v/>
      </c>
      <c r="AY265" s="7">
        <f>N(AU265)*N(R265)/90+N(AV265)+N(AW265)+N(AX265)</f>
        <v/>
      </c>
      <c r="AZ265" s="3">
        <f>IF(N(R265)&lt;=0,0,(N(AY265)-N(AX265))*90/N(R265))</f>
        <v/>
      </c>
      <c r="BA265" s="7">
        <f>IFERROR(AY265-VLOOKUP($E265,Assumptions!$A$40:$C$43,3,FALSE),"")</f>
        <v/>
      </c>
      <c r="BB265" s="3">
        <f>IFERROR(BA265/H265,"")</f>
        <v/>
      </c>
      <c r="BC265">
        <f>IF(AND($G265=TRUE,$E265="GKP"),AY265,"")</f>
        <v/>
      </c>
      <c r="BD265">
        <f>IF(AND($G265=TRUE,$E265="DEF"),AY265,"")</f>
        <v/>
      </c>
      <c r="BE265">
        <f>IF(AND($G265=TRUE,$E265="MID"),AY265,"")</f>
        <v/>
      </c>
      <c r="BF265">
        <f>IF(AND($G265=TRUE,$E265="FWD"),AY265,"")</f>
        <v/>
      </c>
      <c r="BG265" t="n">
        <v>2</v>
      </c>
      <c r="BH265" t="n">
        <v>2</v>
      </c>
      <c r="BI265" t="n">
        <v>0</v>
      </c>
      <c r="BJ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s="8" t="n">
        <v>1026</v>
      </c>
      <c r="O266" s="8" t="n">
        <v>0</v>
      </c>
      <c r="Q266" t="inlineStr">
        <is>
          <t>flat</t>
        </is>
      </c>
      <c r="R266" s="6" t="n">
        <v>1026</v>
      </c>
      <c r="S266" t="inlineStr">
        <is>
          <t>Solio</t>
        </is>
      </c>
      <c r="U266" s="6" t="n">
        <v>88</v>
      </c>
      <c r="V266" s="2" t="n">
        <v>13</v>
      </c>
      <c r="W266" s="7">
        <f>IF(N(U266)&lt;=0,0,MIN(Assumptions!$B$15,N(R266)/N(U266)))</f>
        <v/>
      </c>
      <c r="X266" s="6" t="n">
        <v>0.334</v>
      </c>
      <c r="Y266" s="3" t="n">
        <v>0.1164</v>
      </c>
      <c r="Z266" t="inlineStr">
        <is>
          <t>adjusted xGOT</t>
        </is>
      </c>
      <c r="AA266" s="3" t="n">
        <v>1</v>
      </c>
      <c r="AB266" s="3" t="n">
        <v>1.096</v>
      </c>
      <c r="AC266" s="3" t="n">
        <v>3.9</v>
      </c>
      <c r="AD266" s="3" t="n">
        <v>0.0484</v>
      </c>
      <c r="AE266" s="3" t="n">
        <v>8.023</v>
      </c>
      <c r="AF266" s="3" t="n">
        <v>0.2643046071888955</v>
      </c>
      <c r="AG266" s="3" t="n">
        <v>0.2308</v>
      </c>
      <c r="AH266" s="3" t="n">
        <v>26</v>
      </c>
      <c r="AI266" s="3" t="n">
        <v>2.2165</v>
      </c>
      <c r="AJ266" s="3" t="n">
        <v>1.1467</v>
      </c>
      <c r="AK266" s="3" t="n">
        <v>-0.1309496477453779</v>
      </c>
      <c r="AL266" s="6" t="n">
        <v>0</v>
      </c>
      <c r="AM266" s="3" t="n">
        <v>0</v>
      </c>
      <c r="AN266" s="3" t="n">
        <v>0.6984</v>
      </c>
      <c r="AO266" s="3" t="n">
        <v>0.191664</v>
      </c>
      <c r="AP266" s="3">
        <f>N(X266)*N(BI266)</f>
        <v/>
      </c>
      <c r="AQ266" s="3" t="n">
        <v>0.2308</v>
      </c>
      <c r="AR266" s="3" t="n">
        <v>0</v>
      </c>
      <c r="AS266" s="3" t="n">
        <v>-0.348580685135232</v>
      </c>
      <c r="AT266" s="3" t="n">
        <v>-0.1309496477453779</v>
      </c>
      <c r="AU266" s="3">
        <f>SUM(AN266:AT266)</f>
        <v/>
      </c>
      <c r="AV266" s="7">
        <f>IF(OR(N(W266)&lt;=0,N(BG266)=0),0,N(W266)*IF(N(R266)/N(W266)&gt;=60,N(BG266),1))</f>
        <v/>
      </c>
      <c r="AW266" s="7">
        <f>N(W266)*N(AF266)*N(BH266)</f>
        <v/>
      </c>
      <c r="AX266" s="7">
        <f>N(AL266)*(Assumptions!$B$13*N(BJ266)-(1-Assumptions!$B$13)*Assumptions!$B$14)+N(AM266)</f>
        <v/>
      </c>
      <c r="AY266" s="7">
        <f>N(AU266)*N(R266)/90+N(AV266)+N(AW266)+N(AX266)</f>
        <v/>
      </c>
      <c r="AZ266" s="3">
        <f>IF(N(R266)&lt;=0,0,(N(AY266)-N(AX266))*90/N(R266))</f>
        <v/>
      </c>
      <c r="BA266" s="7">
        <f>IFERROR(AY266-VLOOKUP($E266,Assumptions!$A$40:$C$43,3,FALSE),"")</f>
        <v/>
      </c>
      <c r="BB266" s="3">
        <f>IFERROR(BA266/H266,"")</f>
        <v/>
      </c>
      <c r="BC266">
        <f>IF(AND($G266=TRUE,$E266="GKP"),AY266,"")</f>
        <v/>
      </c>
      <c r="BD266">
        <f>IF(AND($G266=TRUE,$E266="DEF"),AY266,"")</f>
        <v/>
      </c>
      <c r="BE266">
        <f>IF(AND($G266=TRUE,$E266="MID"),AY266,"")</f>
        <v/>
      </c>
      <c r="BF266">
        <f>IF(AND($G266=TRUE,$E266="FWD"),AY266,"")</f>
        <v/>
      </c>
      <c r="BG266" t="n">
        <v>2</v>
      </c>
      <c r="BH266" t="n">
        <v>2</v>
      </c>
      <c r="BI266" t="n">
        <v>4</v>
      </c>
      <c r="BJ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s="4" t="n">
        <v>0</v>
      </c>
      <c r="O267" s="4" t="n">
        <v>-35</v>
      </c>
      <c r="P267" s="5" t="inlineStr">
        <is>
          <t>medium</t>
        </is>
      </c>
      <c r="Q267" t="inlineStr">
        <is>
          <t>flat</t>
        </is>
      </c>
      <c r="R267" s="6" t="n">
        <v>0</v>
      </c>
      <c r="S267" t="inlineStr">
        <is>
          <t>research</t>
        </is>
      </c>
      <c r="T267" s="5" t="inlineStr">
        <is>
          <t>Leaving. Season-long loan to Torino with an option to buy (reported around EUR 11m / GBP 9.4m), personal terms agreed and conditional only on Trafford's arrival, which completed on 6 Aug. He was left out of the Augsburg squad entirely on 15 Aug with his pending transfer given as the reason - the two goalkeepers on the bench were youth players. Not yet reflected in the FPL feed, which still lists him as available.</t>
        </is>
      </c>
      <c r="U267" s="6" t="n">
        <v>89.90000000000001</v>
      </c>
      <c r="V267" s="2" t="n">
        <v>16</v>
      </c>
      <c r="W267" s="7">
        <f>IF(N(U267)&lt;=0,0,MIN(Assumptions!$B$15,N(R267)/N(U267)))</f>
        <v/>
      </c>
      <c r="X267" s="6" t="n">
        <v>0.218</v>
      </c>
      <c r="Y267" s="3" t="n">
        <v>0</v>
      </c>
      <c r="Z267" t="inlineStr">
        <is>
          <t>blended xG</t>
        </is>
      </c>
      <c r="AA267" s="3" t="n">
        <v>1</v>
      </c>
      <c r="AB267" s="3" t="n">
        <v>1</v>
      </c>
      <c r="AC267" s="3" t="n">
        <v>0</v>
      </c>
      <c r="AD267" s="3" t="n">
        <v>0</v>
      </c>
      <c r="AE267" s="3" t="n">
        <v>0</v>
      </c>
      <c r="AF267" s="3" t="n">
        <v>0</v>
      </c>
      <c r="AG267" s="3" t="n">
        <v>0.1875</v>
      </c>
      <c r="AH267" s="3" t="n">
        <v>32</v>
      </c>
      <c r="AI267" s="3" t="n">
        <v>3.0611</v>
      </c>
      <c r="AJ267" s="3" t="n">
        <v>1.5875</v>
      </c>
      <c r="AK267" s="3" t="n">
        <v>-0.1021412005307425</v>
      </c>
      <c r="AL267" s="6" t="n">
        <v>0</v>
      </c>
      <c r="AM267" s="3" t="n">
        <v>0.0346842262529947</v>
      </c>
      <c r="AN267" s="3" t="n">
        <v>0</v>
      </c>
      <c r="AO267" s="3" t="n">
        <v>0</v>
      </c>
      <c r="AP267" s="3">
        <f>N(X267)*N(BI267)</f>
        <v/>
      </c>
      <c r="AQ267" s="3" t="n">
        <v>0.1875</v>
      </c>
      <c r="AR267" s="3" t="n">
        <v>0.684972232751521</v>
      </c>
      <c r="AS267" s="3" t="n">
        <v>-0.5541985260210861</v>
      </c>
      <c r="AT267" s="3" t="n">
        <v>-0.1021412005307425</v>
      </c>
      <c r="AU267" s="3">
        <f>SUM(AN267:AT267)</f>
        <v/>
      </c>
      <c r="AV267" s="7">
        <f>IF(OR(N(W267)&lt;=0,N(BG267)=0),0,N(W267)*IF(N(R267)/N(W267)&gt;=60,N(BG267),1))</f>
        <v/>
      </c>
      <c r="AW267" s="7">
        <f>N(W267)*N(AF267)*N(BH267)</f>
        <v/>
      </c>
      <c r="AX267" s="7">
        <f>N(AL267)*(Assumptions!$B$13*N(BJ267)-(1-Assumptions!$B$13)*Assumptions!$B$14)+N(AM267)</f>
        <v/>
      </c>
      <c r="AY267" s="7">
        <f>N(AU267)*N(R267)/90+N(AV267)+N(AW267)+N(AX267)</f>
        <v/>
      </c>
      <c r="AZ267" s="3">
        <f>IF(N(R267)&lt;=0,0,(N(AY267)-N(AX267))*90/N(R267))</f>
        <v/>
      </c>
      <c r="BA267" s="7">
        <f>IFERROR(AY267-VLOOKUP($E267,Assumptions!$A$40:$C$43,3,FALSE),"")</f>
        <v/>
      </c>
      <c r="BB267" s="3">
        <f>IFERROR(BA267/H267,"")</f>
        <v/>
      </c>
      <c r="BC267">
        <f>IF(AND($G267=TRUE,$E267="GKP"),AY267,"")</f>
        <v/>
      </c>
      <c r="BD267">
        <f>IF(AND($G267=TRUE,$E267="DEF"),AY267,"")</f>
        <v/>
      </c>
      <c r="BE267">
        <f>IF(AND($G267=TRUE,$E267="MID"),AY267,"")</f>
        <v/>
      </c>
      <c r="BF267">
        <f>IF(AND($G267=TRUE,$E267="FWD"),AY267,"")</f>
        <v/>
      </c>
      <c r="BG267" t="n">
        <v>2</v>
      </c>
      <c r="BH267" t="n">
        <v>0</v>
      </c>
      <c r="BI267" t="n">
        <v>4</v>
      </c>
      <c r="BJ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s="8" t="n">
        <v>2645</v>
      </c>
      <c r="O268" s="8" t="n">
        <v>0</v>
      </c>
      <c r="Q268" t="inlineStr">
        <is>
          <t>flat</t>
        </is>
      </c>
      <c r="R268" s="6" t="n">
        <v>2645</v>
      </c>
      <c r="S268" t="inlineStr">
        <is>
          <t>Solio</t>
        </is>
      </c>
      <c r="U268" s="6" t="n">
        <v>75.2</v>
      </c>
      <c r="V268" s="2" t="n">
        <v>11</v>
      </c>
      <c r="W268" s="7">
        <f>IF(N(U268)&lt;=0,0,MIN(Assumptions!$B$15,N(R268)/N(U268)))</f>
        <v/>
      </c>
      <c r="X268" s="6" t="n">
        <v>0.214</v>
      </c>
      <c r="Y268" s="3" t="n">
        <v>0.1206</v>
      </c>
      <c r="Z268" t="inlineStr">
        <is>
          <t>adjusted xGOT</t>
        </is>
      </c>
      <c r="AA268" s="3" t="n">
        <v>1</v>
      </c>
      <c r="AB268" s="3" t="n">
        <v>0.9389999999999999</v>
      </c>
      <c r="AC268" s="3" t="n">
        <v>3</v>
      </c>
      <c r="AD268" s="3" t="n">
        <v>0.1799</v>
      </c>
      <c r="AE268" s="3" t="n">
        <v>7.437</v>
      </c>
      <c r="AF268" s="3" t="n">
        <v>0.02535789211957828</v>
      </c>
      <c r="AG268" s="3" t="n">
        <v>0</v>
      </c>
      <c r="AH268" s="3" t="n">
        <v>33</v>
      </c>
      <c r="AI268" s="3" t="n">
        <v>3.22</v>
      </c>
      <c r="AJ268" s="3" t="n">
        <v>1.6019</v>
      </c>
      <c r="AK268" s="3" t="n">
        <v>-0.1619153526247274</v>
      </c>
      <c r="AL268" s="6" t="n">
        <v>0</v>
      </c>
      <c r="AM268" s="3" t="n">
        <v>0</v>
      </c>
      <c r="AN268" s="3" t="n">
        <v>0.603</v>
      </c>
      <c r="AO268" s="3" t="n">
        <v>0.7124040000000001</v>
      </c>
      <c r="AP268" s="3">
        <f>N(X268)*N(BI268)</f>
        <v/>
      </c>
      <c r="AQ268" s="3" t="n">
        <v>0</v>
      </c>
      <c r="AR268" s="3" t="n">
        <v>0</v>
      </c>
      <c r="AS268" s="3" t="n">
        <v>-0</v>
      </c>
      <c r="AT268" s="3" t="n">
        <v>-0.1619153526247274</v>
      </c>
      <c r="AU268" s="3">
        <f>SUM(AN268:AT268)</f>
        <v/>
      </c>
      <c r="AV268" s="7">
        <f>IF(OR(N(W268)&lt;=0,N(BG268)=0),0,N(W268)*IF(N(R268)/N(W268)&gt;=60,N(BG268),1))</f>
        <v/>
      </c>
      <c r="AW268" s="7">
        <f>N(W268)*N(AF268)*N(BH268)</f>
        <v/>
      </c>
      <c r="AX268" s="7">
        <f>N(AL268)*(Assumptions!$B$13*N(BJ268)-(1-Assumptions!$B$13)*Assumptions!$B$14)+N(AM268)</f>
        <v/>
      </c>
      <c r="AY268" s="7">
        <f>N(AU268)*N(R268)/90+N(AV268)+N(AW268)+N(AX268)</f>
        <v/>
      </c>
      <c r="AZ268" s="3">
        <f>IF(N(R268)&lt;=0,0,(N(AY268)-N(AX268))*90/N(R268))</f>
        <v/>
      </c>
      <c r="BA268" s="7">
        <f>IFERROR(AY268-VLOOKUP($E268,Assumptions!$A$40:$C$43,3,FALSE),"")</f>
        <v/>
      </c>
      <c r="BB268" s="3">
        <f>IFERROR(BA268/H268,"")</f>
        <v/>
      </c>
      <c r="BC268">
        <f>IF(AND($G268=TRUE,$E268="GKP"),AY268,"")</f>
        <v/>
      </c>
      <c r="BD268">
        <f>IF(AND($G268=TRUE,$E268="DEF"),AY268,"")</f>
        <v/>
      </c>
      <c r="BE268">
        <f>IF(AND($G268=TRUE,$E268="MID"),AY268,"")</f>
        <v/>
      </c>
      <c r="BF268">
        <f>IF(AND($G268=TRUE,$E268="FWD"),AY268,"")</f>
        <v/>
      </c>
      <c r="BG268" t="n">
        <v>2</v>
      </c>
      <c r="BH268" t="n">
        <v>2</v>
      </c>
      <c r="BI268" t="n">
        <v>1</v>
      </c>
      <c r="BJ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s="4" t="n">
        <v>550</v>
      </c>
      <c r="O269" s="4" t="n">
        <v>374</v>
      </c>
      <c r="P269" s="5" t="inlineStr">
        <is>
          <t>medium</t>
        </is>
      </c>
      <c r="Q269" t="inlineStr">
        <is>
          <t>fade (losing his place)</t>
        </is>
      </c>
      <c r="R269" s="6" t="n">
        <v>550</v>
      </c>
      <c r="S269" t="inlineStr">
        <is>
          <t>research</t>
        </is>
      </c>
      <c r="T269" s="5" t="inlineStr">
        <is>
          <t>Solio has him at 176 minutes with a 'fade' flag, yet he started at centre-back in the 15 August dress rehearsal and is explicitly one of the two named contenders for the left-sided centre-back slot at Hull. He played 920 minutes as a teenager last season. 550 reflects a squad defender who currently has a real chance of starting, not a first-choice promotion.</t>
        </is>
      </c>
      <c r="U269" s="6" t="n">
        <v>82.5</v>
      </c>
      <c r="V269" s="2" t="n">
        <v>11</v>
      </c>
      <c r="W269" s="7">
        <f>IF(N(U269)&lt;=0,0,MIN(Assumptions!$B$15,N(R269)/N(U269)))</f>
        <v/>
      </c>
      <c r="X269" s="6" t="n">
        <v>0.334</v>
      </c>
      <c r="Y269" s="3" t="n">
        <v>0.0315</v>
      </c>
      <c r="Z269" t="inlineStr">
        <is>
          <t>adjusted xGOT</t>
        </is>
      </c>
      <c r="AA269" s="3" t="n">
        <v>1</v>
      </c>
      <c r="AB269" s="3" t="n">
        <v>0.946</v>
      </c>
      <c r="AC269" s="3" t="n">
        <v>0.5</v>
      </c>
      <c r="AD269" s="3" t="n">
        <v>0.0267</v>
      </c>
      <c r="AE269" s="3" t="n">
        <v>8.478</v>
      </c>
      <c r="AF269" s="3" t="n">
        <v>0.2554596480103442</v>
      </c>
      <c r="AG269" s="3" t="n">
        <v>0</v>
      </c>
      <c r="AH269" s="3" t="n">
        <v>27</v>
      </c>
      <c r="AI269" s="3" t="n">
        <v>2.2165</v>
      </c>
      <c r="AJ269" s="3" t="n">
        <v>1.1467</v>
      </c>
      <c r="AK269" s="3" t="n">
        <v>-0.2235172313821019</v>
      </c>
      <c r="AL269" s="6" t="n">
        <v>0</v>
      </c>
      <c r="AM269" s="3" t="n">
        <v>0</v>
      </c>
      <c r="AN269" s="3" t="n">
        <v>0.189</v>
      </c>
      <c r="AO269" s="3" t="n">
        <v>0.105732</v>
      </c>
      <c r="AP269" s="3">
        <f>N(X269)*N(BI269)</f>
        <v/>
      </c>
      <c r="AQ269" s="3" t="n">
        <v>0</v>
      </c>
      <c r="AR269" s="3" t="n">
        <v>0</v>
      </c>
      <c r="AS269" s="3" t="n">
        <v>-0.348580685135232</v>
      </c>
      <c r="AT269" s="3" t="n">
        <v>-0.2235172313821019</v>
      </c>
      <c r="AU269" s="3">
        <f>SUM(AN269:AT269)</f>
        <v/>
      </c>
      <c r="AV269" s="7">
        <f>IF(OR(N(W269)&lt;=0,N(BG269)=0),0,N(W269)*IF(N(R269)/N(W269)&gt;=60,N(BG269),1))</f>
        <v/>
      </c>
      <c r="AW269" s="7">
        <f>N(W269)*N(AF269)*N(BH269)</f>
        <v/>
      </c>
      <c r="AX269" s="7">
        <f>N(AL269)*(Assumptions!$B$13*N(BJ269)-(1-Assumptions!$B$13)*Assumptions!$B$14)+N(AM269)</f>
        <v/>
      </c>
      <c r="AY269" s="7">
        <f>N(AU269)*N(R269)/90+N(AV269)+N(AW269)+N(AX269)</f>
        <v/>
      </c>
      <c r="AZ269" s="3">
        <f>IF(N(R269)&lt;=0,0,(N(AY269)-N(AX269))*90/N(R269))</f>
        <v/>
      </c>
      <c r="BA269" s="7">
        <f>IFERROR(AY269-VLOOKUP($E269,Assumptions!$A$40:$C$43,3,FALSE),"")</f>
        <v/>
      </c>
      <c r="BB269" s="3">
        <f>IFERROR(BA269/H269,"")</f>
        <v/>
      </c>
      <c r="BC269">
        <f>IF(AND($G269=TRUE,$E269="GKP"),AY269,"")</f>
        <v/>
      </c>
      <c r="BD269">
        <f>IF(AND($G269=TRUE,$E269="DEF"),AY269,"")</f>
        <v/>
      </c>
      <c r="BE269">
        <f>IF(AND($G269=TRUE,$E269="MID"),AY269,"")</f>
        <v/>
      </c>
      <c r="BF269">
        <f>IF(AND($G269=TRUE,$E269="FWD"),AY269,"")</f>
        <v/>
      </c>
      <c r="BG269" t="n">
        <v>2</v>
      </c>
      <c r="BH269" t="n">
        <v>2</v>
      </c>
      <c r="BI269" t="n">
        <v>4</v>
      </c>
      <c r="BJ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s="4" t="n">
        <v>1000</v>
      </c>
      <c r="O270" s="4" t="n">
        <v>-328</v>
      </c>
      <c r="P270" s="5" t="inlineStr">
        <is>
          <t>medium</t>
        </is>
      </c>
      <c r="Q270" t="inlineStr">
        <is>
          <t>ramp-up (injury / late WC return)</t>
        </is>
      </c>
      <c r="R270" s="6" t="n">
        <v>1000</v>
      </c>
      <c r="S270" t="inlineStr">
        <is>
          <t>research</t>
        </is>
      </c>
      <c r="T270" s="5" t="inlineStr">
        <is>
          <t>This Is Anfield, on Bradley's knee (bone and ligament damage, out since January): 'a return to team training is still not on the horizon', with October the earliest realistic return and careful management needed thereafter. Iraola: 'right now he is still, I would say, a little bit far from returning.' Solio's 1328 implies roughly fifteen full matches, which requires both an on-time return and an immediate full workload.</t>
        </is>
      </c>
      <c r="U270" s="6" t="n">
        <v>77.2</v>
      </c>
      <c r="V270" s="2" t="n">
        <v>12</v>
      </c>
      <c r="W270" s="7">
        <f>IF(N(U270)&lt;=0,0,MIN(Assumptions!$B$15,N(R270)/N(U270)))</f>
        <v/>
      </c>
      <c r="X270" s="6" t="n">
        <v>0.342</v>
      </c>
      <c r="Y270" s="3" t="n">
        <v>0.0185</v>
      </c>
      <c r="Z270" t="inlineStr">
        <is>
          <t>adjusted xGOT</t>
        </is>
      </c>
      <c r="AA270" s="3" t="n">
        <v>1</v>
      </c>
      <c r="AB270" s="3" t="n">
        <v>1.062</v>
      </c>
      <c r="AC270" s="3" t="n">
        <v>1.8</v>
      </c>
      <c r="AD270" s="3" t="n">
        <v>0.09859999999999999</v>
      </c>
      <c r="AE270" s="3" t="n">
        <v>6.907</v>
      </c>
      <c r="AF270" s="3" t="n">
        <v>0.07883612970814979</v>
      </c>
      <c r="AG270" s="3" t="n">
        <v>0</v>
      </c>
      <c r="AH270" s="3" t="n">
        <v>24</v>
      </c>
      <c r="AI270" s="3" t="n">
        <v>2.409</v>
      </c>
      <c r="AJ270" s="3" t="n">
        <v>1.1228</v>
      </c>
      <c r="AK270" s="3" t="n">
        <v>-0.3428432368686911</v>
      </c>
      <c r="AL270" s="6" t="n">
        <v>0</v>
      </c>
      <c r="AM270" s="3" t="n">
        <v>0</v>
      </c>
      <c r="AN270" s="3" t="n">
        <v>0.111</v>
      </c>
      <c r="AO270" s="3" t="n">
        <v>0.390456</v>
      </c>
      <c r="AP270" s="3">
        <f>N(X270)*N(BI270)</f>
        <v/>
      </c>
      <c r="AQ270" s="3" t="n">
        <v>0</v>
      </c>
      <c r="AR270" s="3" t="n">
        <v>0</v>
      </c>
      <c r="AS270" s="3" t="n">
        <v>-0.3378660007281162</v>
      </c>
      <c r="AT270" s="3" t="n">
        <v>-0.3428432368686911</v>
      </c>
      <c r="AU270" s="3">
        <f>SUM(AN270:AT270)</f>
        <v/>
      </c>
      <c r="AV270" s="7">
        <f>IF(OR(N(W270)&lt;=0,N(BG270)=0),0,N(W270)*IF(N(R270)/N(W270)&gt;=60,N(BG270),1))</f>
        <v/>
      </c>
      <c r="AW270" s="7">
        <f>N(W270)*N(AF270)*N(BH270)</f>
        <v/>
      </c>
      <c r="AX270" s="7">
        <f>N(AL270)*(Assumptions!$B$13*N(BJ270)-(1-Assumptions!$B$13)*Assumptions!$B$14)+N(AM270)</f>
        <v/>
      </c>
      <c r="AY270" s="7">
        <f>N(AU270)*N(R270)/90+N(AV270)+N(AW270)+N(AX270)</f>
        <v/>
      </c>
      <c r="AZ270" s="3">
        <f>IF(N(R270)&lt;=0,0,(N(AY270)-N(AX270))*90/N(R270))</f>
        <v/>
      </c>
      <c r="BA270" s="7">
        <f>IFERROR(AY270-VLOOKUP($E270,Assumptions!$A$40:$C$43,3,FALSE),"")</f>
        <v/>
      </c>
      <c r="BB270" s="3">
        <f>IFERROR(BA270/H270,"")</f>
        <v/>
      </c>
      <c r="BC270">
        <f>IF(AND($G270=TRUE,$E270="GKP"),AY270,"")</f>
        <v/>
      </c>
      <c r="BD270">
        <f>IF(AND($G270=TRUE,$E270="DEF"),AY270,"")</f>
        <v/>
      </c>
      <c r="BE270">
        <f>IF(AND($G270=TRUE,$E270="MID"),AY270,"")</f>
        <v/>
      </c>
      <c r="BF270">
        <f>IF(AND($G270=TRUE,$E270="FWD"),AY270,"")</f>
        <v/>
      </c>
      <c r="BG270" t="n">
        <v>2</v>
      </c>
      <c r="BH270" t="n">
        <v>2</v>
      </c>
      <c r="BI270" t="n">
        <v>4</v>
      </c>
      <c r="BJ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s="4" t="n">
        <v>0</v>
      </c>
      <c r="O271" s="4" t="n">
        <v>-59</v>
      </c>
      <c r="P271" s="5" t="inlineStr">
        <is>
          <t>medium</t>
        </is>
      </c>
      <c r="Q271" t="inlineStr">
        <is>
          <t>flat</t>
        </is>
      </c>
      <c r="R271" s="6" t="n">
        <v>0</v>
      </c>
      <c r="S271" t="inlineStr">
        <is>
          <t>research</t>
        </is>
      </c>
      <c r="T271" s="5" t="inlineStr">
        <is>
          <t>United expect him to leave before the window shuts. Juventus have opened talks and submitted multiple proposals, and United are insisting on a loan with an obligation to buy rather than an option, with Laurie Whitwell quoted saying he would be very surprised if United accepted an option again. Zirkzee has told the club he wants a Serie A return. Solio's 59 minutes is already near zero, so this is a rounding-level change.</t>
        </is>
      </c>
      <c r="U271" s="6" t="n">
        <v>76.7</v>
      </c>
      <c r="V271" s="2" t="n">
        <v>5</v>
      </c>
      <c r="W271" s="7">
        <f>IF(N(U271)&lt;=0,0,MIN(Assumptions!$B$15,N(R271)/N(U271)))</f>
        <v/>
      </c>
      <c r="X271" s="6" t="n">
        <v>0.334</v>
      </c>
      <c r="Y271" s="3" t="n">
        <v>0.4147</v>
      </c>
      <c r="Z271" t="inlineStr">
        <is>
          <t>adjusted xGOT</t>
        </is>
      </c>
      <c r="AA271" s="3" t="n">
        <v>1</v>
      </c>
      <c r="AB271" s="3" t="n">
        <v>1.021</v>
      </c>
      <c r="AC271" s="3" t="n">
        <v>7.4</v>
      </c>
      <c r="AD271" s="3" t="n">
        <v>0.1154</v>
      </c>
      <c r="AE271" s="3" t="n">
        <v>5.585</v>
      </c>
      <c r="AF271" s="3" t="n">
        <v>0.003739148619664623</v>
      </c>
      <c r="AG271" s="3" t="n">
        <v>0.8895999999999999</v>
      </c>
      <c r="AH271" s="3" t="n">
        <v>28</v>
      </c>
      <c r="AI271" s="3" t="n">
        <v>2.2165</v>
      </c>
      <c r="AJ271" s="3" t="n">
        <v>1.1467</v>
      </c>
      <c r="AK271" s="3" t="n">
        <v>-0.2245566207903356</v>
      </c>
      <c r="AL271" s="6" t="n">
        <v>0</v>
      </c>
      <c r="AM271" s="3" t="n">
        <v>0</v>
      </c>
      <c r="AN271" s="3" t="n">
        <v>1.6588</v>
      </c>
      <c r="AO271" s="3" t="n">
        <v>0.4569840000000001</v>
      </c>
      <c r="AP271" s="3">
        <f>N(X271)*N(BI271)</f>
        <v/>
      </c>
      <c r="AQ271" s="3" t="n">
        <v>0.8895999999999999</v>
      </c>
      <c r="AR271" s="3" t="n">
        <v>0</v>
      </c>
      <c r="AS271" s="3" t="n">
        <v>-0</v>
      </c>
      <c r="AT271" s="3" t="n">
        <v>-0.2245566207903356</v>
      </c>
      <c r="AU271" s="3">
        <f>SUM(AN271:AT271)</f>
        <v/>
      </c>
      <c r="AV271" s="7">
        <f>IF(OR(N(W271)&lt;=0,N(BG271)=0),0,N(W271)*IF(N(R271)/N(W271)&gt;=60,N(BG271),1))</f>
        <v/>
      </c>
      <c r="AW271" s="7">
        <f>N(W271)*N(AF271)*N(BH271)</f>
        <v/>
      </c>
      <c r="AX271" s="7">
        <f>N(AL271)*(Assumptions!$B$13*N(BJ271)-(1-Assumptions!$B$13)*Assumptions!$B$14)+N(AM271)</f>
        <v/>
      </c>
      <c r="AY271" s="7">
        <f>N(AU271)*N(R271)/90+N(AV271)+N(AW271)+N(AX271)</f>
        <v/>
      </c>
      <c r="AZ271" s="3">
        <f>IF(N(R271)&lt;=0,0,(N(AY271)-N(AX271))*90/N(R271))</f>
        <v/>
      </c>
      <c r="BA271" s="7">
        <f>IFERROR(AY271-VLOOKUP($E271,Assumptions!$A$40:$C$43,3,FALSE),"")</f>
        <v/>
      </c>
      <c r="BB271" s="3">
        <f>IFERROR(BA271/H271,"")</f>
        <v/>
      </c>
      <c r="BC271">
        <f>IF(AND($G271=TRUE,$E271="GKP"),AY271,"")</f>
        <v/>
      </c>
      <c r="BD271">
        <f>IF(AND($G271=TRUE,$E271="DEF"),AY271,"")</f>
        <v/>
      </c>
      <c r="BE271">
        <f>IF(AND($G271=TRUE,$E271="MID"),AY271,"")</f>
        <v/>
      </c>
      <c r="BF271">
        <f>IF(AND($G271=TRUE,$E271="FWD"),AY271,"")</f>
        <v/>
      </c>
      <c r="BG271" t="n">
        <v>2</v>
      </c>
      <c r="BH271" t="n">
        <v>2</v>
      </c>
      <c r="BI271" t="n">
        <v>0</v>
      </c>
      <c r="BJ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s="4" t="n">
        <v>2100</v>
      </c>
      <c r="O272" s="4" t="n">
        <v>1165</v>
      </c>
      <c r="P272" s="5" t="inlineStr">
        <is>
          <t>medium</t>
        </is>
      </c>
      <c r="Q272" t="inlineStr">
        <is>
          <t>fade (losing his place)</t>
        </is>
      </c>
      <c r="R272" s="6" t="n">
        <v>2100</v>
      </c>
      <c r="S272" t="inlineStr">
        <is>
          <t>research</t>
        </is>
      </c>
      <c r="T272" s="5" t="inlineStr">
        <is>
          <t>Solio's 'fade (losing his place)' pattern is stale - it describes his 2025/26 under Andoni Iraola, who has left. Under Marco Rose, Kluivert started as the number 10 in both the 8 Aug Betis and 15 Aug Mainz friendlies, and Fantasy Football Scout reports him 'operating in the number 10 role, continuing a pattern seen throughout pre-season'. Held below 2400 because Kroupi will contest that area once fit and the Europa League will force rotation.</t>
        </is>
      </c>
      <c r="U272" s="6" t="n">
        <v>76.2</v>
      </c>
      <c r="V272" s="2" t="n">
        <v>10</v>
      </c>
      <c r="W272" s="7">
        <f>IF(N(U272)&lt;=0,0,MIN(Assumptions!$B$15,N(R272)/N(U272)))</f>
        <v/>
      </c>
      <c r="X272" s="6" t="n">
        <v>0.23</v>
      </c>
      <c r="Y272" s="3" t="n">
        <v>0.2249</v>
      </c>
      <c r="Z272" t="inlineStr">
        <is>
          <t>adjusted xGOT</t>
        </is>
      </c>
      <c r="AA272" s="3" t="n">
        <v>1</v>
      </c>
      <c r="AB272" s="3" t="n">
        <v>1.022</v>
      </c>
      <c r="AC272" s="3" t="n">
        <v>18.1</v>
      </c>
      <c r="AD272" s="3" t="n">
        <v>0.1831</v>
      </c>
      <c r="AE272" s="3" t="n">
        <v>7.222</v>
      </c>
      <c r="AF272" s="3" t="n">
        <v>0.02279990727175096</v>
      </c>
      <c r="AG272" s="3" t="n">
        <v>0.2857</v>
      </c>
      <c r="AH272" s="3" t="n">
        <v>29</v>
      </c>
      <c r="AI272" s="3" t="n">
        <v>3.0957</v>
      </c>
      <c r="AJ272" s="3" t="n">
        <v>1.53</v>
      </c>
      <c r="AK272" s="3" t="n">
        <v>-0.3129945567631165</v>
      </c>
      <c r="AL272" s="6" t="n">
        <v>0.2972649975908064</v>
      </c>
      <c r="AM272" s="3" t="n">
        <v>0</v>
      </c>
      <c r="AN272" s="3" t="n">
        <v>1.1245</v>
      </c>
      <c r="AO272" s="3" t="n">
        <v>0.7250760000000001</v>
      </c>
      <c r="AP272" s="3">
        <f>N(X272)*N(BI272)</f>
        <v/>
      </c>
      <c r="AQ272" s="3" t="n">
        <v>0.2857</v>
      </c>
      <c r="AR272" s="3" t="n">
        <v>0</v>
      </c>
      <c r="AS272" s="3" t="n">
        <v>-0</v>
      </c>
      <c r="AT272" s="3" t="n">
        <v>-0.3129945567631165</v>
      </c>
      <c r="AU272" s="3">
        <f>SUM(AN272:AT272)</f>
        <v/>
      </c>
      <c r="AV272" s="7">
        <f>IF(OR(N(W272)&lt;=0,N(BG272)=0),0,N(W272)*IF(N(R272)/N(W272)&gt;=60,N(BG272),1))</f>
        <v/>
      </c>
      <c r="AW272" s="7">
        <f>N(W272)*N(AF272)*N(BH272)</f>
        <v/>
      </c>
      <c r="AX272" s="7">
        <f>N(AL272)*(Assumptions!$B$13*N(BJ272)-(1-Assumptions!$B$13)*Assumptions!$B$14)+N(AM272)</f>
        <v/>
      </c>
      <c r="AY272" s="7">
        <f>N(AU272)*N(R272)/90+N(AV272)+N(AW272)+N(AX272)</f>
        <v/>
      </c>
      <c r="AZ272" s="3">
        <f>IF(N(R272)&lt;=0,0,(N(AY272)-N(AX272))*90/N(R272))</f>
        <v/>
      </c>
      <c r="BA272" s="7">
        <f>IFERROR(AY272-VLOOKUP($E272,Assumptions!$A$40:$C$43,3,FALSE),"")</f>
        <v/>
      </c>
      <c r="BB272" s="3">
        <f>IFERROR(BA272/H272,"")</f>
        <v/>
      </c>
      <c r="BC272">
        <f>IF(AND($G272=TRUE,$E272="GKP"),AY272,"")</f>
        <v/>
      </c>
      <c r="BD272">
        <f>IF(AND($G272=TRUE,$E272="DEF"),AY272,"")</f>
        <v/>
      </c>
      <c r="BE272">
        <f>IF(AND($G272=TRUE,$E272="MID"),AY272,"")</f>
        <v/>
      </c>
      <c r="BF272">
        <f>IF(AND($G272=TRUE,$E272="FWD"),AY272,"")</f>
        <v/>
      </c>
      <c r="BG272" t="n">
        <v>2</v>
      </c>
      <c r="BH272" t="n">
        <v>2</v>
      </c>
      <c r="BI272" t="n">
        <v>1</v>
      </c>
      <c r="BJ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s="4" t="n">
        <v>120</v>
      </c>
      <c r="O273" s="4" t="n">
        <v>-204</v>
      </c>
      <c r="P273" s="5" t="inlineStr">
        <is>
          <t>medium</t>
        </is>
      </c>
      <c r="Q273" t="inlineStr">
        <is>
          <t>flat</t>
        </is>
      </c>
      <c r="R273" s="6" t="n">
        <v>120</v>
      </c>
      <c r="S273" t="inlineStr">
        <is>
          <t>research</t>
        </is>
      </c>
      <c r="T273" s="5" t="inlineStr">
        <is>
          <t>FPL lists a knee injury with an expected return of 10 Oct (news added 2026-08-14), which removes roughly the first seven gameweeks. He is 35, and Fulham signed Shea Charles for £27m + £6m into his position on 11 Aug.</t>
        </is>
      </c>
      <c r="U273" s="6" t="n">
        <v>76.5</v>
      </c>
      <c r="V273" s="2" t="n">
        <v>6</v>
      </c>
      <c r="W273" s="7">
        <f>IF(N(U273)&lt;=0,0,MIN(Assumptions!$B$15,N(R273)/N(U273)))</f>
        <v/>
      </c>
      <c r="X273" s="6" t="n">
        <v>0.214</v>
      </c>
      <c r="Y273" s="3" t="n">
        <v>0.1474</v>
      </c>
      <c r="Z273" t="inlineStr">
        <is>
          <t>adjusted xGOT</t>
        </is>
      </c>
      <c r="AA273" s="3" t="n">
        <v>1</v>
      </c>
      <c r="AB273" s="3" t="n">
        <v>1.023</v>
      </c>
      <c r="AC273" s="3" t="n">
        <v>4.4</v>
      </c>
      <c r="AD273" s="3" t="n">
        <v>0.0892</v>
      </c>
      <c r="AE273" s="3" t="n">
        <v>7.903</v>
      </c>
      <c r="AF273" s="3" t="n">
        <v>0.04160177269862164</v>
      </c>
      <c r="AG273" s="3" t="n">
        <v>0.119</v>
      </c>
      <c r="AH273" s="3" t="n">
        <v>31</v>
      </c>
      <c r="AI273" s="3" t="n">
        <v>3.22</v>
      </c>
      <c r="AJ273" s="3" t="n">
        <v>1.6019</v>
      </c>
      <c r="AK273" s="3" t="n">
        <v>-0.2791548805601698</v>
      </c>
      <c r="AL273" s="6" t="n">
        <v>0</v>
      </c>
      <c r="AM273" s="3" t="n">
        <v>0</v>
      </c>
      <c r="AN273" s="3" t="n">
        <v>0.737</v>
      </c>
      <c r="AO273" s="3" t="n">
        <v>0.353232</v>
      </c>
      <c r="AP273" s="3">
        <f>N(X273)*N(BI273)</f>
        <v/>
      </c>
      <c r="AQ273" s="3" t="n">
        <v>0.119</v>
      </c>
      <c r="AR273" s="3" t="n">
        <v>0</v>
      </c>
      <c r="AS273" s="3" t="n">
        <v>-0</v>
      </c>
      <c r="AT273" s="3" t="n">
        <v>-0.2791548805601698</v>
      </c>
      <c r="AU273" s="3">
        <f>SUM(AN273:AT273)</f>
        <v/>
      </c>
      <c r="AV273" s="7">
        <f>IF(OR(N(W273)&lt;=0,N(BG273)=0),0,N(W273)*IF(N(R273)/N(W273)&gt;=60,N(BG273),1))</f>
        <v/>
      </c>
      <c r="AW273" s="7">
        <f>N(W273)*N(AF273)*N(BH273)</f>
        <v/>
      </c>
      <c r="AX273" s="7">
        <f>N(AL273)*(Assumptions!$B$13*N(BJ273)-(1-Assumptions!$B$13)*Assumptions!$B$14)+N(AM273)</f>
        <v/>
      </c>
      <c r="AY273" s="7">
        <f>N(AU273)*N(R273)/90+N(AV273)+N(AW273)+N(AX273)</f>
        <v/>
      </c>
      <c r="AZ273" s="3">
        <f>IF(N(R273)&lt;=0,0,(N(AY273)-N(AX273))*90/N(R273))</f>
        <v/>
      </c>
      <c r="BA273" s="7">
        <f>IFERROR(AY273-VLOOKUP($E273,Assumptions!$A$40:$C$43,3,FALSE),"")</f>
        <v/>
      </c>
      <c r="BB273" s="3">
        <f>IFERROR(BA273/H273,"")</f>
        <v/>
      </c>
      <c r="BC273">
        <f>IF(AND($G273=TRUE,$E273="GKP"),AY273,"")</f>
        <v/>
      </c>
      <c r="BD273">
        <f>IF(AND($G273=TRUE,$E273="DEF"),AY273,"")</f>
        <v/>
      </c>
      <c r="BE273">
        <f>IF(AND($G273=TRUE,$E273="MID"),AY273,"")</f>
        <v/>
      </c>
      <c r="BF273">
        <f>IF(AND($G273=TRUE,$E273="FWD"),AY273,"")</f>
        <v/>
      </c>
      <c r="BG273" t="n">
        <v>2</v>
      </c>
      <c r="BH273" t="n">
        <v>2</v>
      </c>
      <c r="BI273" t="n">
        <v>1</v>
      </c>
      <c r="BJ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s="8" t="n">
        <v>523</v>
      </c>
      <c r="O274" s="8" t="n">
        <v>0</v>
      </c>
      <c r="Q274" t="inlineStr">
        <is>
          <t>flat</t>
        </is>
      </c>
      <c r="R274" s="6" t="n">
        <v>523</v>
      </c>
      <c r="S274" t="inlineStr">
        <is>
          <t>Solio</t>
        </is>
      </c>
      <c r="U274" s="6" t="n">
        <v>76.09999999999999</v>
      </c>
      <c r="V274" s="2" t="n">
        <v>11</v>
      </c>
      <c r="W274" s="7">
        <f>IF(N(U274)&lt;=0,0,MIN(Assumptions!$B$15,N(R274)/N(U274)))</f>
        <v/>
      </c>
      <c r="X274" s="6" t="n">
        <v>0.224</v>
      </c>
      <c r="Y274" s="3" t="n">
        <v>0.4327</v>
      </c>
      <c r="Z274" t="inlineStr">
        <is>
          <t>adjusted xGOT</t>
        </is>
      </c>
      <c r="AA274" s="3" t="n">
        <v>1</v>
      </c>
      <c r="AB274" s="3" t="n">
        <v>1.004</v>
      </c>
      <c r="AC274" s="3" t="n">
        <v>32.1</v>
      </c>
      <c r="AD274" s="3" t="n">
        <v>0.0322</v>
      </c>
      <c r="AE274" s="3" t="n">
        <v>3.751</v>
      </c>
      <c r="AF274" s="3" t="n">
        <v>0.000119182325916789</v>
      </c>
      <c r="AG274" s="3" t="n">
        <v>0.4018</v>
      </c>
      <c r="AH274" s="3" t="n">
        <v>25</v>
      </c>
      <c r="AI274" s="3" t="n">
        <v>3.1134</v>
      </c>
      <c r="AJ274" s="3" t="n">
        <v>1.5588</v>
      </c>
      <c r="AK274" s="3" t="n">
        <v>-0.0714071602315091</v>
      </c>
      <c r="AL274" s="6" t="n">
        <v>0.6712660691758691</v>
      </c>
      <c r="AM274" s="3" t="n">
        <v>0</v>
      </c>
      <c r="AN274" s="3" t="n">
        <v>1.7308</v>
      </c>
      <c r="AO274" s="3" t="n">
        <v>0.127512</v>
      </c>
      <c r="AP274" s="3">
        <f>N(X274)*N(BI274)</f>
        <v/>
      </c>
      <c r="AQ274" s="3" t="n">
        <v>0.4018</v>
      </c>
      <c r="AR274" s="3" t="n">
        <v>0</v>
      </c>
      <c r="AS274" s="3" t="n">
        <v>-0</v>
      </c>
      <c r="AT274" s="3" t="n">
        <v>-0.0714071602315091</v>
      </c>
      <c r="AU274" s="3">
        <f>SUM(AN274:AT274)</f>
        <v/>
      </c>
      <c r="AV274" s="7">
        <f>IF(OR(N(W274)&lt;=0,N(BG274)=0),0,N(W274)*IF(N(R274)/N(W274)&gt;=60,N(BG274),1))</f>
        <v/>
      </c>
      <c r="AW274" s="7">
        <f>N(W274)*N(AF274)*N(BH274)</f>
        <v/>
      </c>
      <c r="AX274" s="7">
        <f>N(AL274)*(Assumptions!$B$13*N(BJ274)-(1-Assumptions!$B$13)*Assumptions!$B$14)+N(AM274)</f>
        <v/>
      </c>
      <c r="AY274" s="7">
        <f>N(AU274)*N(R274)/90+N(AV274)+N(AW274)+N(AX274)</f>
        <v/>
      </c>
      <c r="AZ274" s="3">
        <f>IF(N(R274)&lt;=0,0,(N(AY274)-N(AX274))*90/N(R274))</f>
        <v/>
      </c>
      <c r="BA274" s="7">
        <f>IFERROR(AY274-VLOOKUP($E274,Assumptions!$A$40:$C$43,3,FALSE),"")</f>
        <v/>
      </c>
      <c r="BB274" s="3">
        <f>IFERROR(BA274/H274,"")</f>
        <v/>
      </c>
      <c r="BC274">
        <f>IF(AND($G274=TRUE,$E274="GKP"),AY274,"")</f>
        <v/>
      </c>
      <c r="BD274">
        <f>IF(AND($G274=TRUE,$E274="DEF"),AY274,"")</f>
        <v/>
      </c>
      <c r="BE274">
        <f>IF(AND($G274=TRUE,$E274="MID"),AY274,"")</f>
        <v/>
      </c>
      <c r="BF274">
        <f>IF(AND($G274=TRUE,$E274="FWD"),AY274,"")</f>
        <v/>
      </c>
      <c r="BG274" t="n">
        <v>2</v>
      </c>
      <c r="BH274" t="n">
        <v>2</v>
      </c>
      <c r="BI274" t="n">
        <v>0</v>
      </c>
      <c r="BJ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s="4" t="n">
        <v>2450</v>
      </c>
      <c r="O275" s="4" t="n">
        <v>273</v>
      </c>
      <c r="P275" s="5" t="inlineStr">
        <is>
          <t>medium</t>
        </is>
      </c>
      <c r="Q275" t="inlineStr">
        <is>
          <t>flat</t>
        </is>
      </c>
      <c r="R275" s="6" t="n">
        <v>2450</v>
      </c>
      <c r="S275" t="inlineStr">
        <is>
          <t>research</t>
        </is>
      </c>
      <c r="T275" s="5" t="inlineStr">
        <is>
          <t>Isak says he is '100% fit' after a full pre-season, and This Is Anfield notes Ekitike is 'not expected to return from his Achilles injury until early 2027', leaving Isak as the only senior centre-forward for most of the season. Iraola: 'he is going to be massive for us.' Solio's 2177 (64% of the striker slot) is low for an undisputed lone striker with no senior deputy.</t>
        </is>
      </c>
      <c r="U275" s="6" t="n">
        <v>76.7</v>
      </c>
      <c r="V275" s="2" t="n">
        <v>8</v>
      </c>
      <c r="W275" s="7">
        <f>IF(N(U275)&lt;=0,0,MIN(Assumptions!$B$15,N(R275)/N(U275)))</f>
        <v/>
      </c>
      <c r="X275" s="6" t="n">
        <v>0.342</v>
      </c>
      <c r="Y275" s="3" t="n">
        <v>0.3548</v>
      </c>
      <c r="Z275" t="inlineStr">
        <is>
          <t>adjusted xGOT</t>
        </is>
      </c>
      <c r="AA275" s="3" t="n">
        <v>1</v>
      </c>
      <c r="AB275" s="3" t="n">
        <v>1.056</v>
      </c>
      <c r="AC275" s="3" t="n">
        <v>51.2</v>
      </c>
      <c r="AD275" s="3" t="n">
        <v>0.0601</v>
      </c>
      <c r="AE275" s="3" t="n">
        <v>4.35</v>
      </c>
      <c r="AF275" s="3" t="n">
        <v>0.0004781546906245104</v>
      </c>
      <c r="AG275" s="3" t="n">
        <v>0.5187</v>
      </c>
      <c r="AH275" s="3" t="n">
        <v>22</v>
      </c>
      <c r="AI275" s="3" t="n">
        <v>2.409</v>
      </c>
      <c r="AJ275" s="3" t="n">
        <v>1.1228</v>
      </c>
      <c r="AK275" s="3" t="n">
        <v>-0.0808828680880328</v>
      </c>
      <c r="AL275" s="6" t="n">
        <v>3.879716204766393</v>
      </c>
      <c r="AM275" s="3" t="n">
        <v>0</v>
      </c>
      <c r="AN275" s="3" t="n">
        <v>1.4192</v>
      </c>
      <c r="AO275" s="3" t="n">
        <v>0.237996</v>
      </c>
      <c r="AP275" s="3">
        <f>N(X275)*N(BI275)</f>
        <v/>
      </c>
      <c r="AQ275" s="3" t="n">
        <v>0.5187</v>
      </c>
      <c r="AR275" s="3" t="n">
        <v>0</v>
      </c>
      <c r="AS275" s="3" t="n">
        <v>-0</v>
      </c>
      <c r="AT275" s="3" t="n">
        <v>-0.0808828680880328</v>
      </c>
      <c r="AU275" s="3">
        <f>SUM(AN275:AT275)</f>
        <v/>
      </c>
      <c r="AV275" s="7">
        <f>IF(OR(N(W275)&lt;=0,N(BG275)=0),0,N(W275)*IF(N(R275)/N(W275)&gt;=60,N(BG275),1))</f>
        <v/>
      </c>
      <c r="AW275" s="7">
        <f>N(W275)*N(AF275)*N(BH275)</f>
        <v/>
      </c>
      <c r="AX275" s="7">
        <f>N(AL275)*(Assumptions!$B$13*N(BJ275)-(1-Assumptions!$B$13)*Assumptions!$B$14)+N(AM275)</f>
        <v/>
      </c>
      <c r="AY275" s="7">
        <f>N(AU275)*N(R275)/90+N(AV275)+N(AW275)+N(AX275)</f>
        <v/>
      </c>
      <c r="AZ275" s="3">
        <f>IF(N(R275)&lt;=0,0,(N(AY275)-N(AX275))*90/N(R275))</f>
        <v/>
      </c>
      <c r="BA275" s="7">
        <f>IFERROR(AY275-VLOOKUP($E275,Assumptions!$A$40:$C$43,3,FALSE),"")</f>
        <v/>
      </c>
      <c r="BB275" s="3">
        <f>IFERROR(BA275/H275,"")</f>
        <v/>
      </c>
      <c r="BC275">
        <f>IF(AND($G275=TRUE,$E275="GKP"),AY275,"")</f>
        <v/>
      </c>
      <c r="BD275">
        <f>IF(AND($G275=TRUE,$E275="DEF"),AY275,"")</f>
        <v/>
      </c>
      <c r="BE275">
        <f>IF(AND($G275=TRUE,$E275="MID"),AY275,"")</f>
        <v/>
      </c>
      <c r="BF275">
        <f>IF(AND($G275=TRUE,$E275="FWD"),AY275,"")</f>
        <v/>
      </c>
      <c r="BG275" t="n">
        <v>2</v>
      </c>
      <c r="BH275" t="n">
        <v>2</v>
      </c>
      <c r="BI275" t="n">
        <v>0</v>
      </c>
      <c r="BJ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s="4" t="n">
        <v>550</v>
      </c>
      <c r="O276" s="4" t="n">
        <v>278</v>
      </c>
      <c r="P276" s="5" t="inlineStr">
        <is>
          <t>low</t>
        </is>
      </c>
      <c r="Q276" t="inlineStr">
        <is>
          <t>flat</t>
        </is>
      </c>
      <c r="R276" s="6" t="n">
        <v>550</v>
      </c>
      <c r="S276" t="inlineStr">
        <is>
          <t>research</t>
        </is>
      </c>
      <c r="T276" s="5" t="inlineStr">
        <is>
          <t>Solio's 272 is well below his 1,042 Premier League minutes in 2025/26 despite the squad around him thinning. He came on in the Super Cup and started against Monchengladbach at left-back, giving him two routes into the side - midfield cover with Onana out for nine months and Tielemans sold, and left-back cover behind Maatsen.</t>
        </is>
      </c>
      <c r="U276" s="6" t="n">
        <v>82.3</v>
      </c>
      <c r="V276" s="2" t="n">
        <v>11</v>
      </c>
      <c r="W276" s="7">
        <f>IF(N(U276)&lt;=0,0,MIN(Assumptions!$B$15,N(R276)/N(U276)))</f>
        <v/>
      </c>
      <c r="X276" s="6" t="n">
        <v>0.273</v>
      </c>
      <c r="Y276" s="3" t="n">
        <v>0</v>
      </c>
      <c r="Z276" t="inlineStr">
        <is>
          <t>adjusted xGOT</t>
        </is>
      </c>
      <c r="AA276" s="3" t="n">
        <v>1</v>
      </c>
      <c r="AB276" s="3" t="n">
        <v>1.008</v>
      </c>
      <c r="AC276" s="3" t="n">
        <v>0</v>
      </c>
      <c r="AD276" s="3" t="n">
        <v>0.0104</v>
      </c>
      <c r="AE276" s="3" t="n">
        <v>6.205</v>
      </c>
      <c r="AF276" s="3" t="n">
        <v>0.01369597986363336</v>
      </c>
      <c r="AG276" s="3" t="n">
        <v>0.3455</v>
      </c>
      <c r="AH276" s="3" t="n">
        <v>38</v>
      </c>
      <c r="AI276" s="3" t="n">
        <v>2.7451</v>
      </c>
      <c r="AJ276" s="3" t="n">
        <v>1.3575</v>
      </c>
      <c r="AK276" s="3" t="n">
        <v>-0.3222058105239432</v>
      </c>
      <c r="AL276" s="6" t="n">
        <v>0</v>
      </c>
      <c r="AM276" s="3" t="n">
        <v>0</v>
      </c>
      <c r="AN276" s="3" t="n">
        <v>0</v>
      </c>
      <c r="AO276" s="3" t="n">
        <v>0.041184</v>
      </c>
      <c r="AP276" s="3">
        <f>N(X276)*N(BI276)</f>
        <v/>
      </c>
      <c r="AQ276" s="3" t="n">
        <v>0.3455</v>
      </c>
      <c r="AR276" s="3" t="n">
        <v>0</v>
      </c>
      <c r="AS276" s="3" t="n">
        <v>-0</v>
      </c>
      <c r="AT276" s="3" t="n">
        <v>-0.3222058105239432</v>
      </c>
      <c r="AU276" s="3">
        <f>SUM(AN276:AT276)</f>
        <v/>
      </c>
      <c r="AV276" s="7">
        <f>IF(OR(N(W276)&lt;=0,N(BG276)=0),0,N(W276)*IF(N(R276)/N(W276)&gt;=60,N(BG276),1))</f>
        <v/>
      </c>
      <c r="AW276" s="7">
        <f>N(W276)*N(AF276)*N(BH276)</f>
        <v/>
      </c>
      <c r="AX276" s="7">
        <f>N(AL276)*(Assumptions!$B$13*N(BJ276)-(1-Assumptions!$B$13)*Assumptions!$B$14)+N(AM276)</f>
        <v/>
      </c>
      <c r="AY276" s="7">
        <f>N(AU276)*N(R276)/90+N(AV276)+N(AW276)+N(AX276)</f>
        <v/>
      </c>
      <c r="AZ276" s="3">
        <f>IF(N(R276)&lt;=0,0,(N(AY276)-N(AX276))*90/N(R276))</f>
        <v/>
      </c>
      <c r="BA276" s="7">
        <f>IFERROR(AY276-VLOOKUP($E276,Assumptions!$A$40:$C$43,3,FALSE),"")</f>
        <v/>
      </c>
      <c r="BB276" s="3">
        <f>IFERROR(BA276/H276,"")</f>
        <v/>
      </c>
      <c r="BC276">
        <f>IF(AND($G276=TRUE,$E276="GKP"),AY276,"")</f>
        <v/>
      </c>
      <c r="BD276">
        <f>IF(AND($G276=TRUE,$E276="DEF"),AY276,"")</f>
        <v/>
      </c>
      <c r="BE276">
        <f>IF(AND($G276=TRUE,$E276="MID"),AY276,"")</f>
        <v/>
      </c>
      <c r="BF276">
        <f>IF(AND($G276=TRUE,$E276="FWD"),AY276,"")</f>
        <v/>
      </c>
      <c r="BG276" t="n">
        <v>2</v>
      </c>
      <c r="BH276" t="n">
        <v>2</v>
      </c>
      <c r="BI276" t="n">
        <v>1</v>
      </c>
      <c r="BJ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s="4" t="n">
        <v>1350</v>
      </c>
      <c r="O277" s="4" t="n">
        <v>1055</v>
      </c>
      <c r="P277" s="5" t="inlineStr">
        <is>
          <t>medium</t>
        </is>
      </c>
      <c r="Q277" t="inlineStr">
        <is>
          <t>fade (losing his place)</t>
        </is>
      </c>
      <c r="R277" s="6" t="n">
        <v>1350</v>
      </c>
      <c r="S277" t="inlineStr">
        <is>
          <t>research</t>
        </is>
      </c>
      <c r="T277" s="5" t="inlineStr">
        <is>
          <t>With Saliba out long-term and Timber out to start the season, Arseblog states plainly on 11 August that 'we have two right-sided defenders available to us - Ben White and Cristhian Mosquera', and that Arsenal are 'very, very light in this area of the pitch'. Mosquera is in every projected XI seen for the Community Shield and for the Coventry opener. Solio's 295 minutes is inconsistent with him being one of only two available defenders on that side. Held to 1350 rather than higher because Arsenal are actively pursuing a defender (Konsa, Quansah, Fresneda all reported) before the window closes on roughly 1 September, which would cut into this.</t>
        </is>
      </c>
      <c r="U277" s="6" t="n">
        <v>80.5</v>
      </c>
      <c r="V277" s="2" t="n">
        <v>9</v>
      </c>
      <c r="W277" s="7">
        <f>IF(N(U277)&lt;=0,0,MIN(Assumptions!$B$15,N(R277)/N(U277)))</f>
        <v/>
      </c>
      <c r="X277" s="6" t="n">
        <v>0.391</v>
      </c>
      <c r="Y277" s="3" t="n">
        <v>0.008999999999999999</v>
      </c>
      <c r="Z277" t="inlineStr">
        <is>
          <t>adjusted xGOT</t>
        </is>
      </c>
      <c r="AA277" s="3" t="n">
        <v>1</v>
      </c>
      <c r="AB277" s="3" t="n">
        <v>0.988</v>
      </c>
      <c r="AC277" s="3" t="n">
        <v>0.1</v>
      </c>
      <c r="AD277" s="3" t="n">
        <v>0.0421</v>
      </c>
      <c r="AE277" s="3" t="n">
        <v>8.255000000000001</v>
      </c>
      <c r="AF277" s="3" t="n">
        <v>0.210434480609244</v>
      </c>
      <c r="AG277" s="3" t="n">
        <v>0.09130000000000001</v>
      </c>
      <c r="AH277" s="3" t="n">
        <v>28</v>
      </c>
      <c r="AI277" s="3" t="n">
        <v>2.067</v>
      </c>
      <c r="AJ277" s="3" t="n">
        <v>0.9838</v>
      </c>
      <c r="AK277" s="3" t="n">
        <v>-0.2784067877134873</v>
      </c>
      <c r="AL277" s="6" t="n">
        <v>0</v>
      </c>
      <c r="AM277" s="3" t="n">
        <v>0</v>
      </c>
      <c r="AN277" s="3" t="n">
        <v>0.05399999999999999</v>
      </c>
      <c r="AO277" s="3" t="n">
        <v>0.166716</v>
      </c>
      <c r="AP277" s="3">
        <f>N(X277)*N(BI277)</f>
        <v/>
      </c>
      <c r="AQ277" s="3" t="n">
        <v>0.09130000000000001</v>
      </c>
      <c r="AR277" s="3" t="n">
        <v>0</v>
      </c>
      <c r="AS277" s="3" t="n">
        <v>-0.2768479886568037</v>
      </c>
      <c r="AT277" s="3" t="n">
        <v>-0.2784067877134873</v>
      </c>
      <c r="AU277" s="3">
        <f>SUM(AN277:AT277)</f>
        <v/>
      </c>
      <c r="AV277" s="7">
        <f>IF(OR(N(W277)&lt;=0,N(BG277)=0),0,N(W277)*IF(N(R277)/N(W277)&gt;=60,N(BG277),1))</f>
        <v/>
      </c>
      <c r="AW277" s="7">
        <f>N(W277)*N(AF277)*N(BH277)</f>
        <v/>
      </c>
      <c r="AX277" s="7">
        <f>N(AL277)*(Assumptions!$B$13*N(BJ277)-(1-Assumptions!$B$13)*Assumptions!$B$14)+N(AM277)</f>
        <v/>
      </c>
      <c r="AY277" s="7">
        <f>N(AU277)*N(R277)/90+N(AV277)+N(AW277)+N(AX277)</f>
        <v/>
      </c>
      <c r="AZ277" s="3">
        <f>IF(N(R277)&lt;=0,0,(N(AY277)-N(AX277))*90/N(R277))</f>
        <v/>
      </c>
      <c r="BA277" s="7">
        <f>IFERROR(AY277-VLOOKUP($E277,Assumptions!$A$40:$C$43,3,FALSE),"")</f>
        <v/>
      </c>
      <c r="BB277" s="3">
        <f>IFERROR(BA277/H277,"")</f>
        <v/>
      </c>
      <c r="BC277">
        <f>IF(AND($G277=TRUE,$E277="GKP"),AY277,"")</f>
        <v/>
      </c>
      <c r="BD277">
        <f>IF(AND($G277=TRUE,$E277="DEF"),AY277,"")</f>
        <v/>
      </c>
      <c r="BE277">
        <f>IF(AND($G277=TRUE,$E277="MID"),AY277,"")</f>
        <v/>
      </c>
      <c r="BF277">
        <f>IF(AND($G277=TRUE,$E277="FWD"),AY277,"")</f>
        <v/>
      </c>
      <c r="BG277" t="n">
        <v>2</v>
      </c>
      <c r="BH277" t="n">
        <v>2</v>
      </c>
      <c r="BI277" t="n">
        <v>4</v>
      </c>
      <c r="BJ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s="4" t="n">
        <v>2000</v>
      </c>
      <c r="O278" s="4" t="n">
        <v>-747</v>
      </c>
      <c r="P278" s="5" t="inlineStr">
        <is>
          <t>medium</t>
        </is>
      </c>
      <c r="Q278" t="inlineStr">
        <is>
          <t>flat</t>
        </is>
      </c>
      <c r="R278" s="6" t="n">
        <v>2000</v>
      </c>
      <c r="S278" t="inlineStr">
        <is>
          <t>research</t>
        </is>
      </c>
      <c r="T278" s="5" t="inlineStr">
        <is>
          <t>Solio's 2,747 assumes a fit, near-ever-present No.9. Solanke managed 997 minutes in 2025/26 after ankle surgery, has had only two pre-season appearances, felt pain in the ankle again in the week of 8 August and was withheld as a precaution, and Gold rates him unlikely for the opener. Cut to a figure consistent with an incumbent starter who misses chunks of the season, not a healthy one.</t>
        </is>
      </c>
      <c r="U278" s="6" t="n">
        <v>80.7</v>
      </c>
      <c r="V278" s="2" t="n">
        <v>11</v>
      </c>
      <c r="W278" s="7">
        <f>IF(N(U278)&lt;=0,0,MIN(Assumptions!$B$15,N(R278)/N(U278)))</f>
        <v/>
      </c>
      <c r="X278" s="6" t="n">
        <v>0.286</v>
      </c>
      <c r="Y278" s="3" t="n">
        <v>0.2459</v>
      </c>
      <c r="Z278" t="inlineStr">
        <is>
          <t>adjusted xGOT</t>
        </is>
      </c>
      <c r="AA278" s="3" t="n">
        <v>1</v>
      </c>
      <c r="AB278" s="3" t="n">
        <v>0.917</v>
      </c>
      <c r="AC278" s="3" t="n">
        <v>42.6</v>
      </c>
      <c r="AD278" s="3" t="n">
        <v>0.0423</v>
      </c>
      <c r="AE278" s="3" t="n">
        <v>5.731</v>
      </c>
      <c r="AF278" s="3" t="n">
        <v>0.006696059848580904</v>
      </c>
      <c r="AG278" s="3" t="n">
        <v>0.3611</v>
      </c>
      <c r="AH278" s="3" t="n">
        <v>25</v>
      </c>
      <c r="AI278" s="3" t="n">
        <v>2.5739</v>
      </c>
      <c r="AJ278" s="3" t="n">
        <v>1.3096</v>
      </c>
      <c r="AK278" s="3" t="n">
        <v>-0.0967185596671383</v>
      </c>
      <c r="AL278" s="6" t="n">
        <v>4.308494827596488</v>
      </c>
      <c r="AM278" s="3" t="n">
        <v>0</v>
      </c>
      <c r="AN278" s="3" t="n">
        <v>0.9836</v>
      </c>
      <c r="AO278" s="3" t="n">
        <v>0.167508</v>
      </c>
      <c r="AP278" s="3">
        <f>N(X278)*N(BI278)</f>
        <v/>
      </c>
      <c r="AQ278" s="3" t="n">
        <v>0.3611</v>
      </c>
      <c r="AR278" s="3" t="n">
        <v>0</v>
      </c>
      <c r="AS278" s="3" t="n">
        <v>-0</v>
      </c>
      <c r="AT278" s="3" t="n">
        <v>-0.0967185596671383</v>
      </c>
      <c r="AU278" s="3">
        <f>SUM(AN278:AT278)</f>
        <v/>
      </c>
      <c r="AV278" s="7">
        <f>IF(OR(N(W278)&lt;=0,N(BG278)=0),0,N(W278)*IF(N(R278)/N(W278)&gt;=60,N(BG278),1))</f>
        <v/>
      </c>
      <c r="AW278" s="7">
        <f>N(W278)*N(AF278)*N(BH278)</f>
        <v/>
      </c>
      <c r="AX278" s="7">
        <f>N(AL278)*(Assumptions!$B$13*N(BJ278)-(1-Assumptions!$B$13)*Assumptions!$B$14)+N(AM278)</f>
        <v/>
      </c>
      <c r="AY278" s="7">
        <f>N(AU278)*N(R278)/90+N(AV278)+N(AW278)+N(AX278)</f>
        <v/>
      </c>
      <c r="AZ278" s="3">
        <f>IF(N(R278)&lt;=0,0,(N(AY278)-N(AX278))*90/N(R278))</f>
        <v/>
      </c>
      <c r="BA278" s="7">
        <f>IFERROR(AY278-VLOOKUP($E278,Assumptions!$A$40:$C$43,3,FALSE),"")</f>
        <v/>
      </c>
      <c r="BB278" s="3">
        <f>IFERROR(BA278/H278,"")</f>
        <v/>
      </c>
      <c r="BC278">
        <f>IF(AND($G278=TRUE,$E278="GKP"),AY278,"")</f>
        <v/>
      </c>
      <c r="BD278">
        <f>IF(AND($G278=TRUE,$E278="DEF"),AY278,"")</f>
        <v/>
      </c>
      <c r="BE278">
        <f>IF(AND($G278=TRUE,$E278="MID"),AY278,"")</f>
        <v/>
      </c>
      <c r="BF278">
        <f>IF(AND($G278=TRUE,$E278="FWD"),AY278,"")</f>
        <v/>
      </c>
      <c r="BG278" t="n">
        <v>2</v>
      </c>
      <c r="BH278" t="n">
        <v>2</v>
      </c>
      <c r="BI278" t="n">
        <v>0</v>
      </c>
      <c r="BJ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s="4" t="n">
        <v>1300</v>
      </c>
      <c r="O279" s="4" t="n">
        <v>849</v>
      </c>
      <c r="P279" s="5" t="inlineStr">
        <is>
          <t>medium</t>
        </is>
      </c>
      <c r="Q279" t="inlineStr">
        <is>
          <t>flat</t>
        </is>
      </c>
      <c r="R279" s="6" t="n">
        <v>1300</v>
      </c>
      <c r="S279" t="inlineStr">
        <is>
          <t>research</t>
        </is>
      </c>
      <c r="T279" s="5" t="inlineStr">
        <is>
          <t>Started the central-midfield pivot in both of the last two friendlies (8 Aug vs Betis alongside Scott, 15 Aug vs Mainz alongside Toth). Solio's 451 reflects his 872-minute 2025/26 and predates his pre-season role under the new head coach. Capped at 1300 rather than higher because Scott, Adams and Christie were all absent or doubtful for at least one of those matches, so some of the pre-season workload is availability rather than preference.</t>
        </is>
      </c>
      <c r="U279" s="6" t="n">
        <v>84.5</v>
      </c>
      <c r="V279" s="2" t="n">
        <v>8</v>
      </c>
      <c r="W279" s="7">
        <f>IF(N(U279)&lt;=0,0,MIN(Assumptions!$B$15,N(R279)/N(U279)))</f>
        <v/>
      </c>
      <c r="X279" s="6" t="n">
        <v>0.23</v>
      </c>
      <c r="Y279" s="3" t="n">
        <v>0.0071</v>
      </c>
      <c r="Z279" t="inlineStr">
        <is>
          <t>adjusted xGOT</t>
        </is>
      </c>
      <c r="AA279" s="3" t="n">
        <v>1</v>
      </c>
      <c r="AB279" s="3" t="n">
        <v>0.993</v>
      </c>
      <c r="AC279" s="3" t="n">
        <v>1.7</v>
      </c>
      <c r="AD279" s="3" t="n">
        <v>0.0447</v>
      </c>
      <c r="AE279" s="3" t="n">
        <v>11.963</v>
      </c>
      <c r="AF279" s="3" t="n">
        <v>0.4483980111986565</v>
      </c>
      <c r="AG279" s="3" t="n">
        <v>0</v>
      </c>
      <c r="AH279" s="3" t="n">
        <v>26</v>
      </c>
      <c r="AI279" s="3" t="n">
        <v>3.0957</v>
      </c>
      <c r="AJ279" s="3" t="n">
        <v>1.53</v>
      </c>
      <c r="AK279" s="3" t="n">
        <v>-0.2064030647938763</v>
      </c>
      <c r="AL279" s="6" t="n">
        <v>0</v>
      </c>
      <c r="AM279" s="3" t="n">
        <v>0</v>
      </c>
      <c r="AN279" s="3" t="n">
        <v>0.0355</v>
      </c>
      <c r="AO279" s="3" t="n">
        <v>0.177012</v>
      </c>
      <c r="AP279" s="3">
        <f>N(X279)*N(BI279)</f>
        <v/>
      </c>
      <c r="AQ279" s="3" t="n">
        <v>0</v>
      </c>
      <c r="AR279" s="3" t="n">
        <v>0</v>
      </c>
      <c r="AS279" s="3" t="n">
        <v>-0</v>
      </c>
      <c r="AT279" s="3" t="n">
        <v>-0.2064030647938763</v>
      </c>
      <c r="AU279" s="3">
        <f>SUM(AN279:AT279)</f>
        <v/>
      </c>
      <c r="AV279" s="7">
        <f>IF(OR(N(W279)&lt;=0,N(BG279)=0),0,N(W279)*IF(N(R279)/N(W279)&gt;=60,N(BG279),1))</f>
        <v/>
      </c>
      <c r="AW279" s="7">
        <f>N(W279)*N(AF279)*N(BH279)</f>
        <v/>
      </c>
      <c r="AX279" s="7">
        <f>N(AL279)*(Assumptions!$B$13*N(BJ279)-(1-Assumptions!$B$13)*Assumptions!$B$14)+N(AM279)</f>
        <v/>
      </c>
      <c r="AY279" s="7">
        <f>N(AU279)*N(R279)/90+N(AV279)+N(AW279)+N(AX279)</f>
        <v/>
      </c>
      <c r="AZ279" s="3">
        <f>IF(N(R279)&lt;=0,0,(N(AY279)-N(AX279))*90/N(R279))</f>
        <v/>
      </c>
      <c r="BA279" s="7">
        <f>IFERROR(AY279-VLOOKUP($E279,Assumptions!$A$40:$C$43,3,FALSE),"")</f>
        <v/>
      </c>
      <c r="BB279" s="3">
        <f>IFERROR(BA279/H279,"")</f>
        <v/>
      </c>
      <c r="BC279">
        <f>IF(AND($G279=TRUE,$E279="GKP"),AY279,"")</f>
        <v/>
      </c>
      <c r="BD279">
        <f>IF(AND($G279=TRUE,$E279="DEF"),AY279,"")</f>
        <v/>
      </c>
      <c r="BE279">
        <f>IF(AND($G279=TRUE,$E279="MID"),AY279,"")</f>
        <v/>
      </c>
      <c r="BF279">
        <f>IF(AND($G279=TRUE,$E279="FWD"),AY279,"")</f>
        <v/>
      </c>
      <c r="BG279" t="n">
        <v>2</v>
      </c>
      <c r="BH279" t="n">
        <v>2</v>
      </c>
      <c r="BI279" t="n">
        <v>1</v>
      </c>
      <c r="BJ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s="4" t="n">
        <v>600</v>
      </c>
      <c r="O280" s="4" t="n">
        <v>464</v>
      </c>
      <c r="P280" s="5" t="inlineStr">
        <is>
          <t>medium</t>
        </is>
      </c>
      <c r="Q280" t="inlineStr">
        <is>
          <t>flat</t>
        </is>
      </c>
      <c r="R280" s="6" t="n">
        <v>600</v>
      </c>
      <c r="S280" t="inlineStr">
        <is>
          <t>research</t>
        </is>
      </c>
      <c r="T280" s="5" t="inlineStr">
        <is>
          <t>Promoted in the centre-back queue by the exits above. He started in the back three against AC Milan and was one of only two centre-backs named among the substitutes for the final friendly against Real Sociedad; Last Word on Football states Tosin Adarabioyo is behind 'Acheampong and Hato in the pecking order'. With Chalobah sold, Badiashile leaving, Fofana serving a carried-over suspension for the first two league games and Colwill in his first full season back from an ACL injury, 136 minutes for a matchday-squad centre-back in a back-three system is implausibly low. Sized at 600 (about 6-7 matches) so the club total lands on the 37,620 budget.</t>
        </is>
      </c>
      <c r="U280" s="6" t="n">
        <v>79.09999999999999</v>
      </c>
      <c r="V280" s="2" t="n">
        <v>8</v>
      </c>
      <c r="W280" s="7">
        <f>IF(N(U280)&lt;=0,0,MIN(Assumptions!$B$15,N(R280)/N(U280)))</f>
        <v/>
      </c>
      <c r="X280" s="6" t="n">
        <v>0.322</v>
      </c>
      <c r="Y280" s="3" t="n">
        <v>0.0864</v>
      </c>
      <c r="Z280" t="inlineStr">
        <is>
          <t>adjusted xGOT</t>
        </is>
      </c>
      <c r="AA280" s="3" t="n">
        <v>1</v>
      </c>
      <c r="AB280" s="3" t="n">
        <v>1.018</v>
      </c>
      <c r="AC280" s="3" t="n">
        <v>0.8</v>
      </c>
      <c r="AD280" s="3" t="n">
        <v>0.0184</v>
      </c>
      <c r="AE280" s="3" t="n">
        <v>6.894</v>
      </c>
      <c r="AF280" s="3" t="n">
        <v>0.08804964094178636</v>
      </c>
      <c r="AG280" s="3" t="n">
        <v>0.6849</v>
      </c>
      <c r="AH280" s="3" t="n">
        <v>24</v>
      </c>
      <c r="AI280" s="3" t="n">
        <v>2.4232</v>
      </c>
      <c r="AJ280" s="3" t="n">
        <v>1.1851</v>
      </c>
      <c r="AK280" s="3" t="n">
        <v>-0.2066640795218735</v>
      </c>
      <c r="AL280" s="6" t="n">
        <v>0</v>
      </c>
      <c r="AM280" s="3" t="n">
        <v>0</v>
      </c>
      <c r="AN280" s="3" t="n">
        <v>0.5184</v>
      </c>
      <c r="AO280" s="3" t="n">
        <v>0.072864</v>
      </c>
      <c r="AP280" s="3">
        <f>N(X280)*N(BI280)</f>
        <v/>
      </c>
      <c r="AQ280" s="3" t="n">
        <v>0.6849</v>
      </c>
      <c r="AR280" s="3" t="n">
        <v>0</v>
      </c>
      <c r="AS280" s="3" t="n">
        <v>-0.365915508000572</v>
      </c>
      <c r="AT280" s="3" t="n">
        <v>-0.2066640795218735</v>
      </c>
      <c r="AU280" s="3">
        <f>SUM(AN280:AT280)</f>
        <v/>
      </c>
      <c r="AV280" s="7">
        <f>IF(OR(N(W280)&lt;=0,N(BG280)=0),0,N(W280)*IF(N(R280)/N(W280)&gt;=60,N(BG280),1))</f>
        <v/>
      </c>
      <c r="AW280" s="7">
        <f>N(W280)*N(AF280)*N(BH280)</f>
        <v/>
      </c>
      <c r="AX280" s="7">
        <f>N(AL280)*(Assumptions!$B$13*N(BJ280)-(1-Assumptions!$B$13)*Assumptions!$B$14)+N(AM280)</f>
        <v/>
      </c>
      <c r="AY280" s="7">
        <f>N(AU280)*N(R280)/90+N(AV280)+N(AW280)+N(AX280)</f>
        <v/>
      </c>
      <c r="AZ280" s="3">
        <f>IF(N(R280)&lt;=0,0,(N(AY280)-N(AX280))*90/N(R280))</f>
        <v/>
      </c>
      <c r="BA280" s="7">
        <f>IFERROR(AY280-VLOOKUP($E280,Assumptions!$A$40:$C$43,3,FALSE),"")</f>
        <v/>
      </c>
      <c r="BB280" s="3">
        <f>IFERROR(BA280/H280,"")</f>
        <v/>
      </c>
      <c r="BC280">
        <f>IF(AND($G280=TRUE,$E280="GKP"),AY280,"")</f>
        <v/>
      </c>
      <c r="BD280">
        <f>IF(AND($G280=TRUE,$E280="DEF"),AY280,"")</f>
        <v/>
      </c>
      <c r="BE280">
        <f>IF(AND($G280=TRUE,$E280="MID"),AY280,"")</f>
        <v/>
      </c>
      <c r="BF280">
        <f>IF(AND($G280=TRUE,$E280="FWD"),AY280,"")</f>
        <v/>
      </c>
      <c r="BG280" t="n">
        <v>2</v>
      </c>
      <c r="BH280" t="n">
        <v>2</v>
      </c>
      <c r="BI280" t="n">
        <v>4</v>
      </c>
      <c r="BJ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s="8" t="n">
        <v>395</v>
      </c>
      <c r="O281" s="8" t="n">
        <v>0</v>
      </c>
      <c r="Q281" t="inlineStr">
        <is>
          <t>flat</t>
        </is>
      </c>
      <c r="R281" s="6" t="n">
        <v>395</v>
      </c>
      <c r="S281" t="inlineStr">
        <is>
          <t>Solio</t>
        </is>
      </c>
      <c r="U281" s="6" t="n">
        <v>85.2</v>
      </c>
      <c r="V281" s="2" t="n">
        <v>11</v>
      </c>
      <c r="W281" s="7">
        <f>IF(N(U281)&lt;=0,0,MIN(Assumptions!$B$15,N(R281)/N(U281)))</f>
        <v/>
      </c>
      <c r="X281" s="6" t="n">
        <v>0.224</v>
      </c>
      <c r="Y281" s="3" t="n">
        <v>0.1209</v>
      </c>
      <c r="Z281" t="inlineStr">
        <is>
          <t>adjusted xGOT</t>
        </is>
      </c>
      <c r="AA281" s="3" t="n">
        <v>1</v>
      </c>
      <c r="AB281" s="3" t="n">
        <v>1.028</v>
      </c>
      <c r="AC281" s="3" t="n">
        <v>1.3</v>
      </c>
      <c r="AD281" s="3" t="n">
        <v>0.0459</v>
      </c>
      <c r="AE281" s="3" t="n">
        <v>6.111</v>
      </c>
      <c r="AF281" s="3" t="n">
        <v>0.06992315293574369</v>
      </c>
      <c r="AG281" s="3" t="n">
        <v>0</v>
      </c>
      <c r="AH281" s="3" t="n">
        <v>24</v>
      </c>
      <c r="AI281" s="3" t="n">
        <v>3.1134</v>
      </c>
      <c r="AJ281" s="3" t="n">
        <v>1.5588</v>
      </c>
      <c r="AK281" s="3" t="n">
        <v>-0.2013150628397314</v>
      </c>
      <c r="AL281" s="6" t="n">
        <v>0</v>
      </c>
      <c r="AM281" s="3" t="n">
        <v>0</v>
      </c>
      <c r="AN281" s="3" t="n">
        <v>0.7253999999999999</v>
      </c>
      <c r="AO281" s="3" t="n">
        <v>0.181764</v>
      </c>
      <c r="AP281" s="3">
        <f>N(X281)*N(BI281)</f>
        <v/>
      </c>
      <c r="AQ281" s="3" t="n">
        <v>0</v>
      </c>
      <c r="AR281" s="3" t="n">
        <v>0</v>
      </c>
      <c r="AS281" s="3" t="n">
        <v>-0.5404658182244797</v>
      </c>
      <c r="AT281" s="3" t="n">
        <v>-0.2013150628397314</v>
      </c>
      <c r="AU281" s="3">
        <f>SUM(AN281:AT281)</f>
        <v/>
      </c>
      <c r="AV281" s="7">
        <f>IF(OR(N(W281)&lt;=0,N(BG281)=0),0,N(W281)*IF(N(R281)/N(W281)&gt;=60,N(BG281),1))</f>
        <v/>
      </c>
      <c r="AW281" s="7">
        <f>N(W281)*N(AF281)*N(BH281)</f>
        <v/>
      </c>
      <c r="AX281" s="7">
        <f>N(AL281)*(Assumptions!$B$13*N(BJ281)-(1-Assumptions!$B$13)*Assumptions!$B$14)+N(AM281)</f>
        <v/>
      </c>
      <c r="AY281" s="7">
        <f>N(AU281)*N(R281)/90+N(AV281)+N(AW281)+N(AX281)</f>
        <v/>
      </c>
      <c r="AZ281" s="3">
        <f>IF(N(R281)&lt;=0,0,(N(AY281)-N(AX281))*90/N(R281))</f>
        <v/>
      </c>
      <c r="BA281" s="7">
        <f>IFERROR(AY281-VLOOKUP($E281,Assumptions!$A$40:$C$43,3,FALSE),"")</f>
        <v/>
      </c>
      <c r="BB281" s="3">
        <f>IFERROR(BA281/H281,"")</f>
        <v/>
      </c>
      <c r="BC281">
        <f>IF(AND($G281=TRUE,$E281="GKP"),AY281,"")</f>
        <v/>
      </c>
      <c r="BD281">
        <f>IF(AND($G281=TRUE,$E281="DEF"),AY281,"")</f>
        <v/>
      </c>
      <c r="BE281">
        <f>IF(AND($G281=TRUE,$E281="MID"),AY281,"")</f>
        <v/>
      </c>
      <c r="BF281">
        <f>IF(AND($G281=TRUE,$E281="FWD"),AY281,"")</f>
        <v/>
      </c>
      <c r="BG281" t="n">
        <v>2</v>
      </c>
      <c r="BH281" t="n">
        <v>2</v>
      </c>
      <c r="BI281" t="n">
        <v>4</v>
      </c>
      <c r="BJ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s="4" t="n">
        <v>1300</v>
      </c>
      <c r="O282" s="4" t="n">
        <v>411</v>
      </c>
      <c r="P282" s="5" t="inlineStr">
        <is>
          <t>high</t>
        </is>
      </c>
      <c r="Q282" t="inlineStr">
        <is>
          <t>fade (losing his place)</t>
        </is>
      </c>
      <c r="R282" s="6" t="n">
        <v>1300</v>
      </c>
      <c r="S282" t="inlineStr">
        <is>
          <t>research</t>
        </is>
      </c>
      <c r="T282" s="5" t="inlineStr">
        <is>
          <t>Issa Diop was sold to Ipswich on 22 Jul 2026, leaving only three senior centre-backs (Andersen, Bassey, Cuenca). Cuenca started two of the last three friendlies (7 Aug v Crystal Palace, 15 Aug v Stuttgart) and is the stand-in for Andersen's opening-day suspension. Solio's 'fade - losing his place' pattern is measured against a 2025/26 squad that still contained Diop.</t>
        </is>
      </c>
      <c r="U282" s="6" t="n">
        <v>84.7</v>
      </c>
      <c r="V282" s="2" t="n">
        <v>11</v>
      </c>
      <c r="W282" s="7">
        <f>IF(N(U282)&lt;=0,0,MIN(Assumptions!$B$15,N(R282)/N(U282)))</f>
        <v/>
      </c>
      <c r="X282" s="6" t="n">
        <v>0.214</v>
      </c>
      <c r="Y282" s="3" t="n">
        <v>0.0048</v>
      </c>
      <c r="Z282" t="inlineStr">
        <is>
          <t>adjusted xGOT</t>
        </is>
      </c>
      <c r="AA282" s="3" t="n">
        <v>1</v>
      </c>
      <c r="AB282" s="3" t="n">
        <v>0.991</v>
      </c>
      <c r="AC282" s="3" t="n">
        <v>0.1</v>
      </c>
      <c r="AD282" s="3" t="n">
        <v>0.0503</v>
      </c>
      <c r="AE282" s="3" t="n">
        <v>9.706</v>
      </c>
      <c r="AF282" s="3" t="n">
        <v>0.4302970533391327</v>
      </c>
      <c r="AG282" s="3" t="n">
        <v>0.0963</v>
      </c>
      <c r="AH282" s="3" t="n">
        <v>25</v>
      </c>
      <c r="AI282" s="3" t="n">
        <v>3.22</v>
      </c>
      <c r="AJ282" s="3" t="n">
        <v>1.6019</v>
      </c>
      <c r="AK282" s="3" t="n">
        <v>-0.3322909752121754</v>
      </c>
      <c r="AL282" s="6" t="n">
        <v>0</v>
      </c>
      <c r="AM282" s="3" t="n">
        <v>0</v>
      </c>
      <c r="AN282" s="3" t="n">
        <v>0.0288</v>
      </c>
      <c r="AO282" s="3" t="n">
        <v>0.199188</v>
      </c>
      <c r="AP282" s="3">
        <f>N(X282)*N(BI282)</f>
        <v/>
      </c>
      <c r="AQ282" s="3" t="n">
        <v>0.0963</v>
      </c>
      <c r="AR282" s="3" t="n">
        <v>0</v>
      </c>
      <c r="AS282" s="3" t="n">
        <v>-0.5611019003833156</v>
      </c>
      <c r="AT282" s="3" t="n">
        <v>-0.3322909752121754</v>
      </c>
      <c r="AU282" s="3">
        <f>SUM(AN282:AT282)</f>
        <v/>
      </c>
      <c r="AV282" s="7">
        <f>IF(OR(N(W282)&lt;=0,N(BG282)=0),0,N(W282)*IF(N(R282)/N(W282)&gt;=60,N(BG282),1))</f>
        <v/>
      </c>
      <c r="AW282" s="7">
        <f>N(W282)*N(AF282)*N(BH282)</f>
        <v/>
      </c>
      <c r="AX282" s="7">
        <f>N(AL282)*(Assumptions!$B$13*N(BJ282)-(1-Assumptions!$B$13)*Assumptions!$B$14)+N(AM282)</f>
        <v/>
      </c>
      <c r="AY282" s="7">
        <f>N(AU282)*N(R282)/90+N(AV282)+N(AW282)+N(AX282)</f>
        <v/>
      </c>
      <c r="AZ282" s="3">
        <f>IF(N(R282)&lt;=0,0,(N(AY282)-N(AX282))*90/N(R282))</f>
        <v/>
      </c>
      <c r="BA282" s="7">
        <f>IFERROR(AY282-VLOOKUP($E282,Assumptions!$A$40:$C$43,3,FALSE),"")</f>
        <v/>
      </c>
      <c r="BB282" s="3">
        <f>IFERROR(BA282/H282,"")</f>
        <v/>
      </c>
      <c r="BC282">
        <f>IF(AND($G282=TRUE,$E282="GKP"),AY282,"")</f>
        <v/>
      </c>
      <c r="BD282">
        <f>IF(AND($G282=TRUE,$E282="DEF"),AY282,"")</f>
        <v/>
      </c>
      <c r="BE282">
        <f>IF(AND($G282=TRUE,$E282="MID"),AY282,"")</f>
        <v/>
      </c>
      <c r="BF282">
        <f>IF(AND($G282=TRUE,$E282="FWD"),AY282,"")</f>
        <v/>
      </c>
      <c r="BG282" t="n">
        <v>2</v>
      </c>
      <c r="BH282" t="n">
        <v>2</v>
      </c>
      <c r="BI282" t="n">
        <v>4</v>
      </c>
      <c r="BJ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s="4" t="n">
        <v>1750</v>
      </c>
      <c r="O283" s="4" t="n">
        <v>924</v>
      </c>
      <c r="P283" s="5" t="inlineStr">
        <is>
          <t>medium</t>
        </is>
      </c>
      <c r="Q283" t="inlineStr">
        <is>
          <t>fade (losing his place)</t>
        </is>
      </c>
      <c r="R283" s="6" t="n">
        <v>1750</v>
      </c>
      <c r="S283" t="inlineStr">
        <is>
          <t>research</t>
        </is>
      </c>
      <c r="T283" s="5" t="inlineStr">
        <is>
          <t>Solio flags him 'fade (losing his place)' at 826 minutes, but he STARTED at centre-back in both August friendlies - v Roma on 8 Aug (off 85') and v Bologna on 15 Aug (off 66') - partnering Vuskovic each time, while Dunk came off the bench and Struijk did not feature at all. The 15 Aug XI was the last rehearsal before the opener. Held below a full starter's allocation only because We Are Brighton (11 Aug) name him the likeliest of the five centre-backs to be sold before the window shuts on 1 Sep.</t>
        </is>
      </c>
      <c r="U283" s="6" t="n">
        <v>85.09999999999999</v>
      </c>
      <c r="V283" s="2" t="n">
        <v>9</v>
      </c>
      <c r="W283" s="7">
        <f>IF(N(U283)&lt;=0,0,MIN(Assumptions!$B$15,N(R283)/N(U283)))</f>
        <v/>
      </c>
      <c r="X283" s="6" t="n">
        <v>0.252</v>
      </c>
      <c r="Y283" s="3" t="n">
        <v>0.0056</v>
      </c>
      <c r="Z283" t="inlineStr">
        <is>
          <t>adjusted xGOT</t>
        </is>
      </c>
      <c r="AA283" s="3" t="n">
        <v>1</v>
      </c>
      <c r="AB283" s="3" t="n">
        <v>0.994</v>
      </c>
      <c r="AC283" s="3" t="n">
        <v>0</v>
      </c>
      <c r="AD283" s="3" t="n">
        <v>0.0348</v>
      </c>
      <c r="AE283" s="3" t="n">
        <v>8.263999999999999</v>
      </c>
      <c r="AF283" s="3" t="n">
        <v>0.2605908444593074</v>
      </c>
      <c r="AG283" s="3" t="n">
        <v>0.3379</v>
      </c>
      <c r="AH283" s="3" t="n">
        <v>20</v>
      </c>
      <c r="AI283" s="3" t="n">
        <v>2.8404</v>
      </c>
      <c r="AJ283" s="3" t="n">
        <v>1.439</v>
      </c>
      <c r="AK283" s="3" t="n">
        <v>-0.2194955984140306</v>
      </c>
      <c r="AL283" s="6" t="n">
        <v>0</v>
      </c>
      <c r="AM283" s="3" t="n">
        <v>0</v>
      </c>
      <c r="AN283" s="3" t="n">
        <v>0.0336</v>
      </c>
      <c r="AO283" s="3" t="n">
        <v>0.137808</v>
      </c>
      <c r="AP283" s="3">
        <f>N(X283)*N(BI283)</f>
        <v/>
      </c>
      <c r="AQ283" s="3" t="n">
        <v>0.3379</v>
      </c>
      <c r="AR283" s="3" t="n">
        <v>0</v>
      </c>
      <c r="AS283" s="3" t="n">
        <v>-0.4835617861760246</v>
      </c>
      <c r="AT283" s="3" t="n">
        <v>-0.2194955984140306</v>
      </c>
      <c r="AU283" s="3">
        <f>SUM(AN283:AT283)</f>
        <v/>
      </c>
      <c r="AV283" s="7">
        <f>IF(OR(N(W283)&lt;=0,N(BG283)=0),0,N(W283)*IF(N(R283)/N(W283)&gt;=60,N(BG283),1))</f>
        <v/>
      </c>
      <c r="AW283" s="7">
        <f>N(W283)*N(AF283)*N(BH283)</f>
        <v/>
      </c>
      <c r="AX283" s="7">
        <f>N(AL283)*(Assumptions!$B$13*N(BJ283)-(1-Assumptions!$B$13)*Assumptions!$B$14)+N(AM283)</f>
        <v/>
      </c>
      <c r="AY283" s="7">
        <f>N(AU283)*N(R283)/90+N(AV283)+N(AW283)+N(AX283)</f>
        <v/>
      </c>
      <c r="AZ283" s="3">
        <f>IF(N(R283)&lt;=0,0,(N(AY283)-N(AX283))*90/N(R283))</f>
        <v/>
      </c>
      <c r="BA283" s="7">
        <f>IFERROR(AY283-VLOOKUP($E283,Assumptions!$A$40:$C$43,3,FALSE),"")</f>
        <v/>
      </c>
      <c r="BB283" s="3">
        <f>IFERROR(BA283/H283,"")</f>
        <v/>
      </c>
      <c r="BC283">
        <f>IF(AND($G283=TRUE,$E283="GKP"),AY283,"")</f>
        <v/>
      </c>
      <c r="BD283">
        <f>IF(AND($G283=TRUE,$E283="DEF"),AY283,"")</f>
        <v/>
      </c>
      <c r="BE283">
        <f>IF(AND($G283=TRUE,$E283="MID"),AY283,"")</f>
        <v/>
      </c>
      <c r="BF283">
        <f>IF(AND($G283=TRUE,$E283="FWD"),AY283,"")</f>
        <v/>
      </c>
      <c r="BG283" t="n">
        <v>2</v>
      </c>
      <c r="BH283" t="n">
        <v>2</v>
      </c>
      <c r="BI283" t="n">
        <v>4</v>
      </c>
      <c r="BJ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s="4" t="n">
        <v>620</v>
      </c>
      <c r="O284" s="4" t="n">
        <v>-292</v>
      </c>
      <c r="P284" s="5" t="inlineStr">
        <is>
          <t>low</t>
        </is>
      </c>
      <c r="Q284" t="inlineStr">
        <is>
          <t>flat</t>
        </is>
      </c>
      <c r="R284" s="6" t="n">
        <v>620</v>
      </c>
      <c r="S284" t="inlineStr">
        <is>
          <t>research</t>
        </is>
      </c>
      <c r="T284" s="5" t="inlineStr">
        <is>
          <t>Reported to be someone Newcastle are willing to sell, with Besiktas interested at around GBP 20m, to avoid losing him for nothing when his contract expires in 2027; he made only 10 league starts in 2025/26. He was an unused substitute v Everton and absent from the Leverkusen squad. Low confidence: the reporting carries no visible byline date and no bid has been confirmed.</t>
        </is>
      </c>
      <c r="U284" s="6" t="n">
        <v>75.2</v>
      </c>
      <c r="V284" s="2" t="n">
        <v>10</v>
      </c>
      <c r="W284" s="7">
        <f>IF(N(U284)&lt;=0,0,MIN(Assumptions!$B$15,N(R284)/N(U284)))</f>
        <v/>
      </c>
      <c r="X284" s="6" t="n">
        <v>0.248</v>
      </c>
      <c r="Y284" s="3" t="n">
        <v>0.1076</v>
      </c>
      <c r="Z284" t="inlineStr">
        <is>
          <t>adjusted xGOT</t>
        </is>
      </c>
      <c r="AA284" s="3" t="n">
        <v>1</v>
      </c>
      <c r="AB284" s="3" t="n">
        <v>0.922</v>
      </c>
      <c r="AC284" s="3" t="n">
        <v>11.1</v>
      </c>
      <c r="AD284" s="3" t="n">
        <v>0.1467</v>
      </c>
      <c r="AE284" s="3" t="n">
        <v>8.384</v>
      </c>
      <c r="AF284" s="3" t="n">
        <v>0.05358929231825704</v>
      </c>
      <c r="AG284" s="3" t="n">
        <v>0</v>
      </c>
      <c r="AH284" s="3" t="n">
        <v>32</v>
      </c>
      <c r="AI284" s="3" t="n">
        <v>3.0912</v>
      </c>
      <c r="AJ284" s="3" t="n">
        <v>1.4534</v>
      </c>
      <c r="AK284" s="3" t="n">
        <v>-0.2569668685375061</v>
      </c>
      <c r="AL284" s="6" t="n">
        <v>0</v>
      </c>
      <c r="AM284" s="3" t="n">
        <v>0</v>
      </c>
      <c r="AN284" s="3" t="n">
        <v>0.538</v>
      </c>
      <c r="AO284" s="3" t="n">
        <v>0.580932</v>
      </c>
      <c r="AP284" s="3">
        <f>N(X284)*N(BI284)</f>
        <v/>
      </c>
      <c r="AQ284" s="3" t="n">
        <v>0</v>
      </c>
      <c r="AR284" s="3" t="n">
        <v>0</v>
      </c>
      <c r="AS284" s="3" t="n">
        <v>-0</v>
      </c>
      <c r="AT284" s="3" t="n">
        <v>-0.2569668685375061</v>
      </c>
      <c r="AU284" s="3">
        <f>SUM(AN284:AT284)</f>
        <v/>
      </c>
      <c r="AV284" s="7">
        <f>IF(OR(N(W284)&lt;=0,N(BG284)=0),0,N(W284)*IF(N(R284)/N(W284)&gt;=60,N(BG284),1))</f>
        <v/>
      </c>
      <c r="AW284" s="7">
        <f>N(W284)*N(AF284)*N(BH284)</f>
        <v/>
      </c>
      <c r="AX284" s="7">
        <f>N(AL284)*(Assumptions!$B$13*N(BJ284)-(1-Assumptions!$B$13)*Assumptions!$B$14)+N(AM284)</f>
        <v/>
      </c>
      <c r="AY284" s="7">
        <f>N(AU284)*N(R284)/90+N(AV284)+N(AW284)+N(AX284)</f>
        <v/>
      </c>
      <c r="AZ284" s="3">
        <f>IF(N(R284)&lt;=0,0,(N(AY284)-N(AX284))*90/N(R284))</f>
        <v/>
      </c>
      <c r="BA284" s="7">
        <f>IFERROR(AY284-VLOOKUP($E284,Assumptions!$A$40:$C$43,3,FALSE),"")</f>
        <v/>
      </c>
      <c r="BB284" s="3">
        <f>IFERROR(BA284/H284,"")</f>
        <v/>
      </c>
      <c r="BC284">
        <f>IF(AND($G284=TRUE,$E284="GKP"),AY284,"")</f>
        <v/>
      </c>
      <c r="BD284">
        <f>IF(AND($G284=TRUE,$E284="DEF"),AY284,"")</f>
        <v/>
      </c>
      <c r="BE284">
        <f>IF(AND($G284=TRUE,$E284="MID"),AY284,"")</f>
        <v/>
      </c>
      <c r="BF284">
        <f>IF(AND($G284=TRUE,$E284="FWD"),AY284,"")</f>
        <v/>
      </c>
      <c r="BG284" t="n">
        <v>2</v>
      </c>
      <c r="BH284" t="n">
        <v>2</v>
      </c>
      <c r="BI284" t="n">
        <v>1</v>
      </c>
      <c r="BJ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s="4" t="n">
        <v>0</v>
      </c>
      <c r="O285" s="4" t="n">
        <v>-89</v>
      </c>
      <c r="P285" s="5" t="inlineStr">
        <is>
          <t>high</t>
        </is>
      </c>
      <c r="Q285" t="inlineStr">
        <is>
          <t>flat</t>
        </is>
      </c>
      <c r="R285" s="6" t="n">
        <v>0</v>
      </c>
      <c r="S285" t="inlineStr">
        <is>
          <t>research</t>
        </is>
      </c>
      <c r="T285" s="5" t="inlineStr">
        <is>
          <t>ESPN reports a season-ending knee ligament injury, and the injury trackers put his return in 2027. He plays no part in 2026/27. Small in absolute terms but it is a certainty rather than a projection.</t>
        </is>
      </c>
      <c r="U285" s="6" t="n">
        <v>80.2</v>
      </c>
      <c r="V285" s="2" t="n">
        <v>8</v>
      </c>
      <c r="W285" s="7">
        <f>IF(N(U285)&lt;=0,0,MIN(Assumptions!$B$15,N(R285)/N(U285)))</f>
        <v/>
      </c>
      <c r="X285" s="6" t="n">
        <v>0.334</v>
      </c>
      <c r="Y285" s="3" t="n">
        <v>0.0639</v>
      </c>
      <c r="Z285" t="inlineStr">
        <is>
          <t>adjusted xGOT</t>
        </is>
      </c>
      <c r="AA285" s="3" t="n">
        <v>1</v>
      </c>
      <c r="AB285" s="3" t="n">
        <v>0.864</v>
      </c>
      <c r="AC285" s="3" t="n">
        <v>1.7</v>
      </c>
      <c r="AD285" s="3" t="n">
        <v>0.0148</v>
      </c>
      <c r="AE285" s="3" t="n">
        <v>11.877</v>
      </c>
      <c r="AF285" s="3" t="n">
        <v>0.3711720108442984</v>
      </c>
      <c r="AG285" s="3" t="n">
        <v>0</v>
      </c>
      <c r="AH285" s="3" t="n">
        <v>30</v>
      </c>
      <c r="AI285" s="3" t="n">
        <v>2.2165</v>
      </c>
      <c r="AJ285" s="3" t="n">
        <v>1.1467</v>
      </c>
      <c r="AK285" s="3" t="n">
        <v>-0.3037698751433417</v>
      </c>
      <c r="AL285" s="6" t="n">
        <v>0</v>
      </c>
      <c r="AM285" s="3" t="n">
        <v>0</v>
      </c>
      <c r="AN285" s="3" t="n">
        <v>0.3195</v>
      </c>
      <c r="AO285" s="3" t="n">
        <v>0.05860800000000001</v>
      </c>
      <c r="AP285" s="3">
        <f>N(X285)*N(BI285)</f>
        <v/>
      </c>
      <c r="AQ285" s="3" t="n">
        <v>0</v>
      </c>
      <c r="AR285" s="3" t="n">
        <v>0</v>
      </c>
      <c r="AS285" s="3" t="n">
        <v>-0</v>
      </c>
      <c r="AT285" s="3" t="n">
        <v>-0.3037698751433417</v>
      </c>
      <c r="AU285" s="3">
        <f>SUM(AN285:AT285)</f>
        <v/>
      </c>
      <c r="AV285" s="7">
        <f>IF(OR(N(W285)&lt;=0,N(BG285)=0),0,N(W285)*IF(N(R285)/N(W285)&gt;=60,N(BG285),1))</f>
        <v/>
      </c>
      <c r="AW285" s="7">
        <f>N(W285)*N(AF285)*N(BH285)</f>
        <v/>
      </c>
      <c r="AX285" s="7">
        <f>N(AL285)*(Assumptions!$B$13*N(BJ285)-(1-Assumptions!$B$13)*Assumptions!$B$14)+N(AM285)</f>
        <v/>
      </c>
      <c r="AY285" s="7">
        <f>N(AU285)*N(R285)/90+N(AV285)+N(AW285)+N(AX285)</f>
        <v/>
      </c>
      <c r="AZ285" s="3">
        <f>IF(N(R285)&lt;=0,0,(N(AY285)-N(AX285))*90/N(R285))</f>
        <v/>
      </c>
      <c r="BA285" s="7">
        <f>IFERROR(AY285-VLOOKUP($E285,Assumptions!$A$40:$C$43,3,FALSE),"")</f>
        <v/>
      </c>
      <c r="BB285" s="3">
        <f>IFERROR(BA285/H285,"")</f>
        <v/>
      </c>
      <c r="BC285">
        <f>IF(AND($G285=TRUE,$E285="GKP"),AY285,"")</f>
        <v/>
      </c>
      <c r="BD285">
        <f>IF(AND($G285=TRUE,$E285="DEF"),AY285,"")</f>
        <v/>
      </c>
      <c r="BE285">
        <f>IF(AND($G285=TRUE,$E285="MID"),AY285,"")</f>
        <v/>
      </c>
      <c r="BF285">
        <f>IF(AND($G285=TRUE,$E285="FWD"),AY285,"")</f>
        <v/>
      </c>
      <c r="BG285" t="n">
        <v>2</v>
      </c>
      <c r="BH285" t="n">
        <v>2</v>
      </c>
      <c r="BI285" t="n">
        <v>1</v>
      </c>
      <c r="BJ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s="8" t="n">
        <v>40</v>
      </c>
      <c r="O286" s="8" t="n">
        <v>0</v>
      </c>
      <c r="Q286" t="inlineStr">
        <is>
          <t>flat</t>
        </is>
      </c>
      <c r="R286" s="6" t="n">
        <v>40</v>
      </c>
      <c r="S286" t="inlineStr">
        <is>
          <t>Solio</t>
        </is>
      </c>
      <c r="U286" s="6" t="n">
        <v>78.3</v>
      </c>
      <c r="V286" s="2" t="n">
        <v>1</v>
      </c>
      <c r="W286" s="7">
        <f>IF(N(U286)&lt;=0,0,MIN(Assumptions!$B$15,N(R286)/N(U286)))</f>
        <v/>
      </c>
      <c r="X286" s="6" t="n">
        <v>0.342</v>
      </c>
      <c r="Y286" s="3" t="n">
        <v>0.429</v>
      </c>
      <c r="Z286" t="inlineStr">
        <is>
          <t>adjusted xGOT</t>
        </is>
      </c>
      <c r="AA286" s="3" t="n">
        <v>1</v>
      </c>
      <c r="AB286" s="3" t="n">
        <v>1.042</v>
      </c>
      <c r="AC286" s="3" t="n">
        <v>1.8</v>
      </c>
      <c r="AD286" s="3" t="n">
        <v>0.2956</v>
      </c>
      <c r="AE286" s="3" t="n">
        <v>8.558999999999999</v>
      </c>
      <c r="AF286" s="3" t="n">
        <v>0.07613979951146643</v>
      </c>
      <c r="AG286" s="3" t="n">
        <v>0</v>
      </c>
      <c r="AH286" s="3" t="n">
        <v>27</v>
      </c>
      <c r="AI286" s="3" t="n">
        <v>2.409</v>
      </c>
      <c r="AJ286" s="3" t="n">
        <v>1.1228</v>
      </c>
      <c r="AK286" s="3" t="n">
        <v>-0.3229622562080891</v>
      </c>
      <c r="AL286" s="6" t="n">
        <v>0</v>
      </c>
      <c r="AM286" s="3" t="n">
        <v>0</v>
      </c>
      <c r="AN286" s="3" t="n">
        <v>2.145</v>
      </c>
      <c r="AO286" s="3" t="n">
        <v>1.170576</v>
      </c>
      <c r="AP286" s="3">
        <f>N(X286)*N(BI286)</f>
        <v/>
      </c>
      <c r="AQ286" s="3" t="n">
        <v>0</v>
      </c>
      <c r="AR286" s="3" t="n">
        <v>0</v>
      </c>
      <c r="AS286" s="3" t="n">
        <v>-0</v>
      </c>
      <c r="AT286" s="3" t="n">
        <v>-0.3229622562080891</v>
      </c>
      <c r="AU286" s="3">
        <f>SUM(AN286:AT286)</f>
        <v/>
      </c>
      <c r="AV286" s="7">
        <f>IF(OR(N(W286)&lt;=0,N(BG286)=0),0,N(W286)*IF(N(R286)/N(W286)&gt;=60,N(BG286),1))</f>
        <v/>
      </c>
      <c r="AW286" s="7">
        <f>N(W286)*N(AF286)*N(BH286)</f>
        <v/>
      </c>
      <c r="AX286" s="7">
        <f>N(AL286)*(Assumptions!$B$13*N(BJ286)-(1-Assumptions!$B$13)*Assumptions!$B$14)+N(AM286)</f>
        <v/>
      </c>
      <c r="AY286" s="7">
        <f>N(AU286)*N(R286)/90+N(AV286)+N(AW286)+N(AX286)</f>
        <v/>
      </c>
      <c r="AZ286" s="3">
        <f>IF(N(R286)&lt;=0,0,(N(AY286)-N(AX286))*90/N(R286))</f>
        <v/>
      </c>
      <c r="BA286" s="7">
        <f>IFERROR(AY286-VLOOKUP($E286,Assumptions!$A$40:$C$43,3,FALSE),"")</f>
        <v/>
      </c>
      <c r="BB286" s="3">
        <f>IFERROR(BA286/H286,"")</f>
        <v/>
      </c>
      <c r="BC286">
        <f>IF(AND($G286=TRUE,$E286="GKP"),AY286,"")</f>
        <v/>
      </c>
      <c r="BD286">
        <f>IF(AND($G286=TRUE,$E286="DEF"),AY286,"")</f>
        <v/>
      </c>
      <c r="BE286">
        <f>IF(AND($G286=TRUE,$E286="MID"),AY286,"")</f>
        <v/>
      </c>
      <c r="BF286">
        <f>IF(AND($G286=TRUE,$E286="FWD"),AY286,"")</f>
        <v/>
      </c>
      <c r="BG286" t="n">
        <v>2</v>
      </c>
      <c r="BH286" t="n">
        <v>2</v>
      </c>
      <c r="BI286" t="n">
        <v>1</v>
      </c>
      <c r="BJ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s="8" t="n">
        <v>166</v>
      </c>
      <c r="O287" s="8" t="n">
        <v>0</v>
      </c>
      <c r="Q287" t="inlineStr">
        <is>
          <t>flat</t>
        </is>
      </c>
      <c r="R287" s="6" t="n">
        <v>166</v>
      </c>
      <c r="S287" t="inlineStr">
        <is>
          <t>Solio</t>
        </is>
      </c>
      <c r="U287" s="6" t="n">
        <v>77.8</v>
      </c>
      <c r="V287" s="2" t="n">
        <v>8</v>
      </c>
      <c r="W287" s="7">
        <f>IF(N(U287)&lt;=0,0,MIN(Assumptions!$B$15,N(R287)/N(U287)))</f>
        <v/>
      </c>
      <c r="X287" s="6" t="n">
        <v>0.228</v>
      </c>
      <c r="Y287" s="3" t="n">
        <v>0.055</v>
      </c>
      <c r="Z287" t="inlineStr">
        <is>
          <t>adjusted xGOT</t>
        </is>
      </c>
      <c r="AA287" s="3" t="n">
        <v>1</v>
      </c>
      <c r="AB287" s="3" t="n">
        <v>0.9419999999999999</v>
      </c>
      <c r="AC287" s="3" t="n">
        <v>1</v>
      </c>
      <c r="AD287" s="3" t="n">
        <v>0.0513</v>
      </c>
      <c r="AE287" s="3" t="n">
        <v>7.236</v>
      </c>
      <c r="AF287" s="3" t="n">
        <v>0.1026041792665304</v>
      </c>
      <c r="AG287" s="3" t="n">
        <v>0</v>
      </c>
      <c r="AH287" s="3" t="n">
        <v>28</v>
      </c>
      <c r="AI287" s="3" t="n">
        <v>3.2371</v>
      </c>
      <c r="AJ287" s="3" t="n">
        <v>1.5396</v>
      </c>
      <c r="AK287" s="3" t="n">
        <v>-0.2433045203090201</v>
      </c>
      <c r="AL287" s="6" t="n">
        <v>0</v>
      </c>
      <c r="AM287" s="3" t="n">
        <v>0</v>
      </c>
      <c r="AN287" s="3" t="n">
        <v>0.33</v>
      </c>
      <c r="AO287" s="3" t="n">
        <v>0.203148</v>
      </c>
      <c r="AP287" s="3">
        <f>N(X287)*N(BI287)</f>
        <v/>
      </c>
      <c r="AQ287" s="3" t="n">
        <v>0</v>
      </c>
      <c r="AR287" s="3" t="n">
        <v>0</v>
      </c>
      <c r="AS287" s="3" t="n">
        <v>-0.5312990096912251</v>
      </c>
      <c r="AT287" s="3" t="n">
        <v>-0.2433045203090201</v>
      </c>
      <c r="AU287" s="3">
        <f>SUM(AN287:AT287)</f>
        <v/>
      </c>
      <c r="AV287" s="7">
        <f>IF(OR(N(W287)&lt;=0,N(BG287)=0),0,N(W287)*IF(N(R287)/N(W287)&gt;=60,N(BG287),1))</f>
        <v/>
      </c>
      <c r="AW287" s="7">
        <f>N(W287)*N(AF287)*N(BH287)</f>
        <v/>
      </c>
      <c r="AX287" s="7">
        <f>N(AL287)*(Assumptions!$B$13*N(BJ287)-(1-Assumptions!$B$13)*Assumptions!$B$14)+N(AM287)</f>
        <v/>
      </c>
      <c r="AY287" s="7">
        <f>N(AU287)*N(R287)/90+N(AV287)+N(AW287)+N(AX287)</f>
        <v/>
      </c>
      <c r="AZ287" s="3">
        <f>IF(N(R287)&lt;=0,0,(N(AY287)-N(AX287))*90/N(R287))</f>
        <v/>
      </c>
      <c r="BA287" s="7">
        <f>IFERROR(AY287-VLOOKUP($E287,Assumptions!$A$40:$C$43,3,FALSE),"")</f>
        <v/>
      </c>
      <c r="BB287" s="3">
        <f>IFERROR(BA287/H287,"")</f>
        <v/>
      </c>
      <c r="BC287">
        <f>IF(AND($G287=TRUE,$E287="GKP"),AY287,"")</f>
        <v/>
      </c>
      <c r="BD287">
        <f>IF(AND($G287=TRUE,$E287="DEF"),AY287,"")</f>
        <v/>
      </c>
      <c r="BE287">
        <f>IF(AND($G287=TRUE,$E287="MID"),AY287,"")</f>
        <v/>
      </c>
      <c r="BF287">
        <f>IF(AND($G287=TRUE,$E287="FWD"),AY287,"")</f>
        <v/>
      </c>
      <c r="BG287" t="n">
        <v>2</v>
      </c>
      <c r="BH287" t="n">
        <v>2</v>
      </c>
      <c r="BI287" t="n">
        <v>4</v>
      </c>
      <c r="BJ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s="4" t="n">
        <v>1350</v>
      </c>
      <c r="O288" s="4" t="n">
        <v>1206</v>
      </c>
      <c r="P288" s="5" t="inlineStr">
        <is>
          <t>medium</t>
        </is>
      </c>
      <c r="Q288" t="inlineStr">
        <is>
          <t>flat</t>
        </is>
      </c>
      <c r="R288" s="6" t="n">
        <v>1350</v>
      </c>
      <c r="S288" t="inlineStr">
        <is>
          <t>research</t>
        </is>
      </c>
      <c r="T288" s="5" t="inlineStr">
        <is>
          <t>The clearest single error in Solio's Sunderland file. 144 minutes is a number you give a player who is about to leave or is buried; Rigg is neither. He is contracted to 2030 with no transfer agreed (Everton interest was met with a GBP40m asking price), he played 758 Premier League minutes last season aged 18, and he was arguably Sunderland's standout pre-season performer — scored against York City, assisted Le Fee against Liverpool, started against Leeds, and came on at 61' against Rennes. Le Bris publicly called his development 'a big step' and said he is positioning himself to play a major part across the campaign. He is behind Xhaka, Sadiki and Le Fee in the first-choice midfield, which is why the proposed figure is a rotation number rather than a starter's, but eight Europa League fixtures plus two domestic cups will pull first-choice midfielders out of Premier League games.</t>
        </is>
      </c>
      <c r="U288" s="6" t="n">
        <v>72.3</v>
      </c>
      <c r="V288" s="2" t="n">
        <v>11</v>
      </c>
      <c r="W288" s="7">
        <f>IF(N(U288)&lt;=0,0,MIN(Assumptions!$B$15,N(R288)/N(U288)))</f>
        <v/>
      </c>
      <c r="X288" s="6" t="n">
        <v>0.204</v>
      </c>
      <c r="Y288" s="3" t="n">
        <v>0.1026</v>
      </c>
      <c r="Z288" t="inlineStr">
        <is>
          <t>adjusted xGOT</t>
        </is>
      </c>
      <c r="AA288" s="3" t="n">
        <v>1</v>
      </c>
      <c r="AB288" s="3" t="n">
        <v>1.004</v>
      </c>
      <c r="AC288" s="3" t="n">
        <v>0.9</v>
      </c>
      <c r="AD288" s="3" t="n">
        <v>0.1258</v>
      </c>
      <c r="AE288" s="3" t="n">
        <v>7.649</v>
      </c>
      <c r="AF288" s="3" t="n">
        <v>0.02355275397625212</v>
      </c>
      <c r="AG288" s="3" t="n">
        <v>0</v>
      </c>
      <c r="AH288" s="3" t="n">
        <v>25</v>
      </c>
      <c r="AI288" s="3" t="n">
        <v>3.3348</v>
      </c>
      <c r="AJ288" s="3" t="n">
        <v>1.6498</v>
      </c>
      <c r="AK288" s="3" t="n">
        <v>-0.1882218549323582</v>
      </c>
      <c r="AL288" s="6" t="n">
        <v>0</v>
      </c>
      <c r="AM288" s="3" t="n">
        <v>0</v>
      </c>
      <c r="AN288" s="3" t="n">
        <v>0.513</v>
      </c>
      <c r="AO288" s="3" t="n">
        <v>0.4981679999999999</v>
      </c>
      <c r="AP288" s="3">
        <f>N(X288)*N(BI288)</f>
        <v/>
      </c>
      <c r="AQ288" s="3" t="n">
        <v>0</v>
      </c>
      <c r="AR288" s="3" t="n">
        <v>0</v>
      </c>
      <c r="AS288" s="3" t="n">
        <v>-0</v>
      </c>
      <c r="AT288" s="3" t="n">
        <v>-0.1882218549323582</v>
      </c>
      <c r="AU288" s="3">
        <f>SUM(AN288:AT288)</f>
        <v/>
      </c>
      <c r="AV288" s="7">
        <f>IF(OR(N(W288)&lt;=0,N(BG288)=0),0,N(W288)*IF(N(R288)/N(W288)&gt;=60,N(BG288),1))</f>
        <v/>
      </c>
      <c r="AW288" s="7">
        <f>N(W288)*N(AF288)*N(BH288)</f>
        <v/>
      </c>
      <c r="AX288" s="7">
        <f>N(AL288)*(Assumptions!$B$13*N(BJ288)-(1-Assumptions!$B$13)*Assumptions!$B$14)+N(AM288)</f>
        <v/>
      </c>
      <c r="AY288" s="7">
        <f>N(AU288)*N(R288)/90+N(AV288)+N(AW288)+N(AX288)</f>
        <v/>
      </c>
      <c r="AZ288" s="3">
        <f>IF(N(R288)&lt;=0,0,(N(AY288)-N(AX288))*90/N(R288))</f>
        <v/>
      </c>
      <c r="BA288" s="7">
        <f>IFERROR(AY288-VLOOKUP($E288,Assumptions!$A$40:$C$43,3,FALSE),"")</f>
        <v/>
      </c>
      <c r="BB288" s="3">
        <f>IFERROR(BA288/H288,"")</f>
        <v/>
      </c>
      <c r="BC288">
        <f>IF(AND($G288=TRUE,$E288="GKP"),AY288,"")</f>
        <v/>
      </c>
      <c r="BD288">
        <f>IF(AND($G288=TRUE,$E288="DEF"),AY288,"")</f>
        <v/>
      </c>
      <c r="BE288">
        <f>IF(AND($G288=TRUE,$E288="MID"),AY288,"")</f>
        <v/>
      </c>
      <c r="BF288">
        <f>IF(AND($G288=TRUE,$E288="FWD"),AY288,"")</f>
        <v/>
      </c>
      <c r="BG288" t="n">
        <v>2</v>
      </c>
      <c r="BH288" t="n">
        <v>2</v>
      </c>
      <c r="BI288" t="n">
        <v>1</v>
      </c>
      <c r="BJ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s="4" t="n">
        <v>800</v>
      </c>
      <c r="O289" s="4" t="n">
        <v>260</v>
      </c>
      <c r="P289" s="5" t="inlineStr">
        <is>
          <t>medium</t>
        </is>
      </c>
      <c r="Q289" t="inlineStr">
        <is>
          <t>flat</t>
        </is>
      </c>
      <c r="R289" s="6" t="n">
        <v>800</v>
      </c>
      <c r="S289" t="inlineStr">
        <is>
          <t>research</t>
        </is>
      </c>
      <c r="T289" s="5" t="inlineStr">
        <is>
          <t>Raul Jimenez left on a free on 30 Jun 2026, leaving Muniz as the only senior back-up centre-forward behind Gonzalo Garcia (Kusi-Asare is 19 with 49 PL minutes). Muniz scored v Farense on 1 Aug and was reported 'fighting fit and getting pre-season minutes'. Solio's 540 implies Garcia absorbs ~79% of all centre-forward minutes in his first Premier League season, which is a thin allowance for injury and rotation.</t>
        </is>
      </c>
      <c r="U289" s="6" t="n">
        <v>76.40000000000001</v>
      </c>
      <c r="V289" s="2" t="n">
        <v>10</v>
      </c>
      <c r="W289" s="7">
        <f>IF(N(U289)&lt;=0,0,MIN(Assumptions!$B$15,N(R289)/N(U289)))</f>
        <v/>
      </c>
      <c r="X289" s="6" t="n">
        <v>0.214</v>
      </c>
      <c r="Y289" s="3" t="n">
        <v>0.2989</v>
      </c>
      <c r="Z289" t="inlineStr">
        <is>
          <t>adjusted xGOT</t>
        </is>
      </c>
      <c r="AA289" s="3" t="n">
        <v>1</v>
      </c>
      <c r="AB289" s="3" t="n">
        <v>0.994</v>
      </c>
      <c r="AC289" s="3" t="n">
        <v>18</v>
      </c>
      <c r="AD289" s="3" t="n">
        <v>0.0507</v>
      </c>
      <c r="AE289" s="3" t="n">
        <v>4.763</v>
      </c>
      <c r="AF289" s="3" t="n">
        <v>0.001001693696431327</v>
      </c>
      <c r="AG289" s="3" t="n">
        <v>0.2736</v>
      </c>
      <c r="AH289" s="3" t="n">
        <v>30</v>
      </c>
      <c r="AI289" s="3" t="n">
        <v>3.22</v>
      </c>
      <c r="AJ289" s="3" t="n">
        <v>1.6019</v>
      </c>
      <c r="AK289" s="3" t="n">
        <v>-0.1507546754351593</v>
      </c>
      <c r="AL289" s="6" t="n">
        <v>0</v>
      </c>
      <c r="AM289" s="3" t="n">
        <v>0</v>
      </c>
      <c r="AN289" s="3" t="n">
        <v>1.1956</v>
      </c>
      <c r="AO289" s="3" t="n">
        <v>0.200772</v>
      </c>
      <c r="AP289" s="3">
        <f>N(X289)*N(BI289)</f>
        <v/>
      </c>
      <c r="AQ289" s="3" t="n">
        <v>0.2736</v>
      </c>
      <c r="AR289" s="3" t="n">
        <v>0</v>
      </c>
      <c r="AS289" s="3" t="n">
        <v>-0</v>
      </c>
      <c r="AT289" s="3" t="n">
        <v>-0.1507546754351593</v>
      </c>
      <c r="AU289" s="3">
        <f>SUM(AN289:AT289)</f>
        <v/>
      </c>
      <c r="AV289" s="7">
        <f>IF(OR(N(W289)&lt;=0,N(BG289)=0),0,N(W289)*IF(N(R289)/N(W289)&gt;=60,N(BG289),1))</f>
        <v/>
      </c>
      <c r="AW289" s="7">
        <f>N(W289)*N(AF289)*N(BH289)</f>
        <v/>
      </c>
      <c r="AX289" s="7">
        <f>N(AL289)*(Assumptions!$B$13*N(BJ289)-(1-Assumptions!$B$13)*Assumptions!$B$14)+N(AM289)</f>
        <v/>
      </c>
      <c r="AY289" s="7">
        <f>N(AU289)*N(R289)/90+N(AV289)+N(AW289)+N(AX289)</f>
        <v/>
      </c>
      <c r="AZ289" s="3">
        <f>IF(N(R289)&lt;=0,0,(N(AY289)-N(AX289))*90/N(R289))</f>
        <v/>
      </c>
      <c r="BA289" s="7">
        <f>IFERROR(AY289-VLOOKUP($E289,Assumptions!$A$40:$C$43,3,FALSE),"")</f>
        <v/>
      </c>
      <c r="BB289" s="3">
        <f>IFERROR(BA289/H289,"")</f>
        <v/>
      </c>
      <c r="BC289">
        <f>IF(AND($G289=TRUE,$E289="GKP"),AY289,"")</f>
        <v/>
      </c>
      <c r="BD289">
        <f>IF(AND($G289=TRUE,$E289="DEF"),AY289,"")</f>
        <v/>
      </c>
      <c r="BE289">
        <f>IF(AND($G289=TRUE,$E289="MID"),AY289,"")</f>
        <v/>
      </c>
      <c r="BF289">
        <f>IF(AND($G289=TRUE,$E289="FWD"),AY289,"")</f>
        <v/>
      </c>
      <c r="BG289" t="n">
        <v>2</v>
      </c>
      <c r="BH289" t="n">
        <v>2</v>
      </c>
      <c r="BI289" t="n">
        <v>0</v>
      </c>
      <c r="BJ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s="8" t="n">
        <v>2394</v>
      </c>
      <c r="O290" s="8" t="n">
        <v>0</v>
      </c>
      <c r="Q290" t="inlineStr">
        <is>
          <t>flat</t>
        </is>
      </c>
      <c r="R290" s="6" t="n">
        <v>2394</v>
      </c>
      <c r="S290" t="inlineStr">
        <is>
          <t>Solio</t>
        </is>
      </c>
      <c r="U290" s="6" t="n">
        <v>71.7</v>
      </c>
      <c r="V290" s="2" t="n">
        <v>7</v>
      </c>
      <c r="W290" s="7">
        <f>IF(N(U290)&lt;=0,0,MIN(Assumptions!$B$15,N(R290)/N(U290)))</f>
        <v/>
      </c>
      <c r="X290" s="6" t="n">
        <v>0.391</v>
      </c>
      <c r="Y290" s="3" t="n">
        <v>0.475</v>
      </c>
      <c r="Z290" t="inlineStr">
        <is>
          <t>adjusted xGOT</t>
        </is>
      </c>
      <c r="AA290" s="3" t="n">
        <v>1</v>
      </c>
      <c r="AB290" s="3" t="n">
        <v>0.92</v>
      </c>
      <c r="AC290" s="3" t="n">
        <v>36.8</v>
      </c>
      <c r="AD290" s="3" t="n">
        <v>0.1635</v>
      </c>
      <c r="AE290" s="3" t="n">
        <v>4.881</v>
      </c>
      <c r="AF290" s="3" t="n">
        <v>0.0007205959611595869</v>
      </c>
      <c r="AG290" s="3" t="n">
        <v>0.4679</v>
      </c>
      <c r="AH290" s="3" t="n">
        <v>17</v>
      </c>
      <c r="AI290" s="3" t="n">
        <v>2.067</v>
      </c>
      <c r="AJ290" s="3" t="n">
        <v>0.9838</v>
      </c>
      <c r="AK290" s="3" t="n">
        <v>-0.2480408426132738</v>
      </c>
      <c r="AL290" s="6" t="n">
        <v>0</v>
      </c>
      <c r="AM290" s="3" t="n">
        <v>0</v>
      </c>
      <c r="AN290" s="3" t="n">
        <v>1.9</v>
      </c>
      <c r="AO290" s="3" t="n">
        <v>0.6474600000000001</v>
      </c>
      <c r="AP290" s="3">
        <f>N(X290)*N(BI290)</f>
        <v/>
      </c>
      <c r="AQ290" s="3" t="n">
        <v>0.4679</v>
      </c>
      <c r="AR290" s="3" t="n">
        <v>0</v>
      </c>
      <c r="AS290" s="3" t="n">
        <v>-0</v>
      </c>
      <c r="AT290" s="3" t="n">
        <v>-0.2480408426132738</v>
      </c>
      <c r="AU290" s="3">
        <f>SUM(AN290:AT290)</f>
        <v/>
      </c>
      <c r="AV290" s="7">
        <f>IF(OR(N(W290)&lt;=0,N(BG290)=0),0,N(W290)*IF(N(R290)/N(W290)&gt;=60,N(BG290),1))</f>
        <v/>
      </c>
      <c r="AW290" s="7">
        <f>N(W290)*N(AF290)*N(BH290)</f>
        <v/>
      </c>
      <c r="AX290" s="7">
        <f>N(AL290)*(Assumptions!$B$13*N(BJ290)-(1-Assumptions!$B$13)*Assumptions!$B$14)+N(AM290)</f>
        <v/>
      </c>
      <c r="AY290" s="7">
        <f>N(AU290)*N(R290)/90+N(AV290)+N(AW290)+N(AX290)</f>
        <v/>
      </c>
      <c r="AZ290" s="3">
        <f>IF(N(R290)&lt;=0,0,(N(AY290)-N(AX290))*90/N(R290))</f>
        <v/>
      </c>
      <c r="BA290" s="7">
        <f>IFERROR(AY290-VLOOKUP($E290,Assumptions!$A$40:$C$43,3,FALSE),"")</f>
        <v/>
      </c>
      <c r="BB290" s="3">
        <f>IFERROR(BA290/H290,"")</f>
        <v/>
      </c>
      <c r="BC290">
        <f>IF(AND($G290=TRUE,$E290="GKP"),AY290,"")</f>
        <v/>
      </c>
      <c r="BD290">
        <f>IF(AND($G290=TRUE,$E290="DEF"),AY290,"")</f>
        <v/>
      </c>
      <c r="BE290">
        <f>IF(AND($G290=TRUE,$E290="MID"),AY290,"")</f>
        <v/>
      </c>
      <c r="BF290">
        <f>IF(AND($G290=TRUE,$E290="FWD"),AY290,"")</f>
        <v/>
      </c>
      <c r="BG290" t="n">
        <v>2</v>
      </c>
      <c r="BH290" t="n">
        <v>2</v>
      </c>
      <c r="BI290" t="n">
        <v>0</v>
      </c>
      <c r="BJ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s="8" t="n">
        <v>64</v>
      </c>
      <c r="O291" s="8" t="n">
        <v>0</v>
      </c>
      <c r="Q291" t="inlineStr">
        <is>
          <t>flat</t>
        </is>
      </c>
      <c r="R291" s="6" t="n">
        <v>64</v>
      </c>
      <c r="S291" t="inlineStr">
        <is>
          <t>Solio</t>
        </is>
      </c>
      <c r="U291" s="6" t="n">
        <v>81.8</v>
      </c>
      <c r="V291" s="2" t="n">
        <v>7</v>
      </c>
      <c r="W291" s="7">
        <f>IF(N(U291)&lt;=0,0,MIN(Assumptions!$B$15,N(R291)/N(U291)))</f>
        <v/>
      </c>
      <c r="X291" s="6" t="n">
        <v>0.216</v>
      </c>
      <c r="Y291" s="3" t="n">
        <v>0.1601</v>
      </c>
      <c r="Z291" t="inlineStr">
        <is>
          <t>adjusted xGOT</t>
        </is>
      </c>
      <c r="AA291" s="3" t="n">
        <v>0.661</v>
      </c>
      <c r="AB291" s="3" t="n">
        <v>0.888</v>
      </c>
      <c r="AC291" s="3" t="n">
        <v>3.2</v>
      </c>
      <c r="AD291" s="3" t="n">
        <v>0.0414</v>
      </c>
      <c r="AE291" s="3" t="n">
        <v>8.409000000000001</v>
      </c>
      <c r="AF291" s="3" t="n">
        <v>0.08787993606751288</v>
      </c>
      <c r="AG291" s="3" t="n">
        <v>0</v>
      </c>
      <c r="AH291" s="3" t="n">
        <v>28</v>
      </c>
      <c r="AI291" s="3" t="n">
        <v>3.2035</v>
      </c>
      <c r="AJ291" s="3" t="n">
        <v>1.5923</v>
      </c>
      <c r="AK291" s="3" t="n">
        <v>-0.1519359504067924</v>
      </c>
      <c r="AL291" s="6" t="n">
        <v>0.0019378760237209</v>
      </c>
      <c r="AM291" s="3" t="n">
        <v>0</v>
      </c>
      <c r="AN291" s="3" t="n">
        <v>0.8005</v>
      </c>
      <c r="AO291" s="3" t="n">
        <v>0.163944</v>
      </c>
      <c r="AP291" s="3">
        <f>N(X291)*N(BI291)</f>
        <v/>
      </c>
      <c r="AQ291" s="3" t="n">
        <v>0</v>
      </c>
      <c r="AR291" s="3" t="n">
        <v>0</v>
      </c>
      <c r="AS291" s="3" t="n">
        <v>-0</v>
      </c>
      <c r="AT291" s="3" t="n">
        <v>-0.1519359504067924</v>
      </c>
      <c r="AU291" s="3">
        <f>SUM(AN291:AT291)</f>
        <v/>
      </c>
      <c r="AV291" s="7">
        <f>IF(OR(N(W291)&lt;=0,N(BG291)=0),0,N(W291)*IF(N(R291)/N(W291)&gt;=60,N(BG291),1))</f>
        <v/>
      </c>
      <c r="AW291" s="7">
        <f>N(W291)*N(AF291)*N(BH291)</f>
        <v/>
      </c>
      <c r="AX291" s="7">
        <f>N(AL291)*(Assumptions!$B$13*N(BJ291)-(1-Assumptions!$B$13)*Assumptions!$B$14)+N(AM291)</f>
        <v/>
      </c>
      <c r="AY291" s="7">
        <f>N(AU291)*N(R291)/90+N(AV291)+N(AW291)+N(AX291)</f>
        <v/>
      </c>
      <c r="AZ291" s="3">
        <f>IF(N(R291)&lt;=0,0,(N(AY291)-N(AX291))*90/N(R291))</f>
        <v/>
      </c>
      <c r="BA291" s="7">
        <f>IFERROR(AY291-VLOOKUP($E291,Assumptions!$A$40:$C$43,3,FALSE),"")</f>
        <v/>
      </c>
      <c r="BB291" s="3">
        <f>IFERROR(BA291/H291,"")</f>
        <v/>
      </c>
      <c r="BC291">
        <f>IF(AND($G291=TRUE,$E291="GKP"),AY291,"")</f>
        <v/>
      </c>
      <c r="BD291">
        <f>IF(AND($G291=TRUE,$E291="DEF"),AY291,"")</f>
        <v/>
      </c>
      <c r="BE291">
        <f>IF(AND($G291=TRUE,$E291="MID"),AY291,"")</f>
        <v/>
      </c>
      <c r="BF291">
        <f>IF(AND($G291=TRUE,$E291="FWD"),AY291,"")</f>
        <v/>
      </c>
      <c r="BG291" t="n">
        <v>2</v>
      </c>
      <c r="BH291" t="n">
        <v>2</v>
      </c>
      <c r="BI291" t="n">
        <v>1</v>
      </c>
      <c r="BJ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s="8" t="n">
        <v>727</v>
      </c>
      <c r="O292" s="8" t="n">
        <v>0</v>
      </c>
      <c r="Q292" t="inlineStr">
        <is>
          <t>fade (losing his place)</t>
        </is>
      </c>
      <c r="R292" s="6" t="n">
        <v>727</v>
      </c>
      <c r="S292" t="inlineStr">
        <is>
          <t>Solio</t>
        </is>
      </c>
      <c r="U292" s="6" t="n">
        <v>81.09999999999999</v>
      </c>
      <c r="V292" s="2" t="n">
        <v>6</v>
      </c>
      <c r="W292" s="7">
        <f>IF(N(U292)&lt;=0,0,MIN(Assumptions!$B$15,N(R292)/N(U292)))</f>
        <v/>
      </c>
      <c r="X292" s="6" t="n">
        <v>0.231</v>
      </c>
      <c r="Y292" s="3" t="n">
        <v>0.08550000000000001</v>
      </c>
      <c r="Z292" t="inlineStr">
        <is>
          <t>adjusted xGOT</t>
        </is>
      </c>
      <c r="AA292" s="3" t="n">
        <v>1</v>
      </c>
      <c r="AB292" s="3" t="n">
        <v>0.957</v>
      </c>
      <c r="AC292" s="3" t="n">
        <v>0.7</v>
      </c>
      <c r="AD292" s="3" t="n">
        <v>0.0474</v>
      </c>
      <c r="AE292" s="3" t="n">
        <v>8.814</v>
      </c>
      <c r="AF292" s="3" t="n">
        <v>0.1078103509788256</v>
      </c>
      <c r="AG292" s="3" t="n">
        <v>0.2667</v>
      </c>
      <c r="AH292" s="3" t="n">
        <v>22</v>
      </c>
      <c r="AI292" s="3" t="n">
        <v>3.0311</v>
      </c>
      <c r="AJ292" s="3" t="n">
        <v>1.5252</v>
      </c>
      <c r="AK292" s="3" t="n">
        <v>-0.1524023429982439</v>
      </c>
      <c r="AL292" s="6" t="n">
        <v>0</v>
      </c>
      <c r="AM292" s="3" t="n">
        <v>0</v>
      </c>
      <c r="AN292" s="3" t="n">
        <v>0.4275</v>
      </c>
      <c r="AO292" s="3" t="n">
        <v>0.187704</v>
      </c>
      <c r="AP292" s="3">
        <f>N(X292)*N(BI292)</f>
        <v/>
      </c>
      <c r="AQ292" s="3" t="n">
        <v>0.2667</v>
      </c>
      <c r="AR292" s="3" t="n">
        <v>0</v>
      </c>
      <c r="AS292" s="3" t="n">
        <v>-0</v>
      </c>
      <c r="AT292" s="3" t="n">
        <v>-0.1524023429982439</v>
      </c>
      <c r="AU292" s="3">
        <f>SUM(AN292:AT292)</f>
        <v/>
      </c>
      <c r="AV292" s="7">
        <f>IF(OR(N(W292)&lt;=0,N(BG292)=0),0,N(W292)*IF(N(R292)/N(W292)&gt;=60,N(BG292),1))</f>
        <v/>
      </c>
      <c r="AW292" s="7">
        <f>N(W292)*N(AF292)*N(BH292)</f>
        <v/>
      </c>
      <c r="AX292" s="7">
        <f>N(AL292)*(Assumptions!$B$13*N(BJ292)-(1-Assumptions!$B$13)*Assumptions!$B$14)+N(AM292)</f>
        <v/>
      </c>
      <c r="AY292" s="7">
        <f>N(AU292)*N(R292)/90+N(AV292)+N(AW292)+N(AX292)</f>
        <v/>
      </c>
      <c r="AZ292" s="3">
        <f>IF(N(R292)&lt;=0,0,(N(AY292)-N(AX292))*90/N(R292))</f>
        <v/>
      </c>
      <c r="BA292" s="7">
        <f>IFERROR(AY292-VLOOKUP($E292,Assumptions!$A$40:$C$43,3,FALSE),"")</f>
        <v/>
      </c>
      <c r="BB292" s="3">
        <f>IFERROR(BA292/H292,"")</f>
        <v/>
      </c>
      <c r="BC292">
        <f>IF(AND($G292=TRUE,$E292="GKP"),AY292,"")</f>
        <v/>
      </c>
      <c r="BD292">
        <f>IF(AND($G292=TRUE,$E292="DEF"),AY292,"")</f>
        <v/>
      </c>
      <c r="BE292">
        <f>IF(AND($G292=TRUE,$E292="MID"),AY292,"")</f>
        <v/>
      </c>
      <c r="BF292">
        <f>IF(AND($G292=TRUE,$E292="FWD"),AY292,"")</f>
        <v/>
      </c>
      <c r="BG292" t="n">
        <v>2</v>
      </c>
      <c r="BH292" t="n">
        <v>2</v>
      </c>
      <c r="BI292" t="n">
        <v>1</v>
      </c>
      <c r="BJ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s="8" t="n">
        <v>821</v>
      </c>
      <c r="O293" s="8" t="n">
        <v>0</v>
      </c>
      <c r="Q293" t="inlineStr">
        <is>
          <t>fade (losing his place)</t>
        </is>
      </c>
      <c r="R293" s="6" t="n">
        <v>821</v>
      </c>
      <c r="S293" t="inlineStr">
        <is>
          <t>Solio</t>
        </is>
      </c>
      <c r="U293" s="6" t="n">
        <v>78</v>
      </c>
      <c r="V293" s="2" t="n">
        <v>2</v>
      </c>
      <c r="W293" s="7">
        <f>IF(N(U293)&lt;=0,0,MIN(Assumptions!$B$15,N(R293)/N(U293)))</f>
        <v/>
      </c>
      <c r="X293" s="6" t="n">
        <v>0.252</v>
      </c>
      <c r="Y293" s="3" t="n">
        <v>0.5479000000000001</v>
      </c>
      <c r="Z293" t="inlineStr">
        <is>
          <t>adjusted xGOT</t>
        </is>
      </c>
      <c r="AA293" s="3" t="n">
        <v>1</v>
      </c>
      <c r="AB293" s="3" t="n">
        <v>1.008</v>
      </c>
      <c r="AC293" s="3" t="n">
        <v>2.1</v>
      </c>
      <c r="AD293" s="3" t="n">
        <v>0.2333</v>
      </c>
      <c r="AE293" s="3" t="n">
        <v>6.668</v>
      </c>
      <c r="AF293" s="3" t="n">
        <v>0.01555437148041727</v>
      </c>
      <c r="AG293" s="3" t="n">
        <v>0.7692</v>
      </c>
      <c r="AH293" s="3" t="n">
        <v>23</v>
      </c>
      <c r="AI293" s="3" t="n">
        <v>2.8404</v>
      </c>
      <c r="AJ293" s="3" t="n">
        <v>1.439</v>
      </c>
      <c r="AK293" s="3" t="n">
        <v>-0.2432363271122691</v>
      </c>
      <c r="AL293" s="6" t="n">
        <v>0</v>
      </c>
      <c r="AM293" s="3" t="n">
        <v>0</v>
      </c>
      <c r="AN293" s="3" t="n">
        <v>2.1916</v>
      </c>
      <c r="AO293" s="3" t="n">
        <v>0.923868</v>
      </c>
      <c r="AP293" s="3">
        <f>N(X293)*N(BI293)</f>
        <v/>
      </c>
      <c r="AQ293" s="3" t="n">
        <v>0.7692</v>
      </c>
      <c r="AR293" s="3" t="n">
        <v>0</v>
      </c>
      <c r="AS293" s="3" t="n">
        <v>-0</v>
      </c>
      <c r="AT293" s="3" t="n">
        <v>-0.2432363271122691</v>
      </c>
      <c r="AU293" s="3">
        <f>SUM(AN293:AT293)</f>
        <v/>
      </c>
      <c r="AV293" s="7">
        <f>IF(OR(N(W293)&lt;=0,N(BG293)=0),0,N(W293)*IF(N(R293)/N(W293)&gt;=60,N(BG293),1))</f>
        <v/>
      </c>
      <c r="AW293" s="7">
        <f>N(W293)*N(AF293)*N(BH293)</f>
        <v/>
      </c>
      <c r="AX293" s="7">
        <f>N(AL293)*(Assumptions!$B$13*N(BJ293)-(1-Assumptions!$B$13)*Assumptions!$B$14)+N(AM293)</f>
        <v/>
      </c>
      <c r="AY293" s="7">
        <f>N(AU293)*N(R293)/90+N(AV293)+N(AW293)+N(AX293)</f>
        <v/>
      </c>
      <c r="AZ293" s="3">
        <f>IF(N(R293)&lt;=0,0,(N(AY293)-N(AX293))*90/N(R293))</f>
        <v/>
      </c>
      <c r="BA293" s="7">
        <f>IFERROR(AY293-VLOOKUP($E293,Assumptions!$A$40:$C$43,3,FALSE),"")</f>
        <v/>
      </c>
      <c r="BB293" s="3">
        <f>IFERROR(BA293/H293,"")</f>
        <v/>
      </c>
      <c r="BC293">
        <f>IF(AND($G293=TRUE,$E293="GKP"),AY293,"")</f>
        <v/>
      </c>
      <c r="BD293">
        <f>IF(AND($G293=TRUE,$E293="DEF"),AY293,"")</f>
        <v/>
      </c>
      <c r="BE293">
        <f>IF(AND($G293=TRUE,$E293="MID"),AY293,"")</f>
        <v/>
      </c>
      <c r="BF293">
        <f>IF(AND($G293=TRUE,$E293="FWD"),AY293,"")</f>
        <v/>
      </c>
      <c r="BG293" t="n">
        <v>2</v>
      </c>
      <c r="BH293" t="n">
        <v>2</v>
      </c>
      <c r="BI293" t="n">
        <v>0</v>
      </c>
      <c r="BJ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s="8" t="n">
        <v>261</v>
      </c>
      <c r="O294" s="8" t="n">
        <v>0</v>
      </c>
      <c r="Q294" t="inlineStr">
        <is>
          <t>flat</t>
        </is>
      </c>
      <c r="R294" s="6" t="n">
        <v>261</v>
      </c>
      <c r="S294" t="inlineStr">
        <is>
          <t>Solio</t>
        </is>
      </c>
      <c r="U294" s="6" t="n">
        <v>83.2</v>
      </c>
      <c r="V294" s="2" t="n">
        <v>8</v>
      </c>
      <c r="W294" s="7">
        <f>IF(N(U294)&lt;=0,0,MIN(Assumptions!$B$15,N(R294)/N(U294)))</f>
        <v/>
      </c>
      <c r="X294" s="6" t="n">
        <v>0.322</v>
      </c>
      <c r="Y294" s="3" t="n">
        <v>0.0126</v>
      </c>
      <c r="Z294" t="inlineStr">
        <is>
          <t>adjusted xGOT</t>
        </is>
      </c>
      <c r="AA294" s="3" t="n">
        <v>1</v>
      </c>
      <c r="AB294" s="3" t="n">
        <v>0.997</v>
      </c>
      <c r="AC294" s="3" t="n">
        <v>2.5</v>
      </c>
      <c r="AD294" s="3" t="n">
        <v>0.0466</v>
      </c>
      <c r="AE294" s="3" t="n">
        <v>9.458</v>
      </c>
      <c r="AF294" s="3" t="n">
        <v>0.3788244498363794</v>
      </c>
      <c r="AG294" s="3" t="n">
        <v>0.2284</v>
      </c>
      <c r="AH294" s="3" t="n">
        <v>23</v>
      </c>
      <c r="AI294" s="3" t="n">
        <v>2.4232</v>
      </c>
      <c r="AJ294" s="3" t="n">
        <v>1.1851</v>
      </c>
      <c r="AK294" s="3" t="n">
        <v>-0.2181706796945746</v>
      </c>
      <c r="AL294" s="6" t="n">
        <v>0</v>
      </c>
      <c r="AM294" s="3" t="n">
        <v>0</v>
      </c>
      <c r="AN294" s="3" t="n">
        <v>0.0756</v>
      </c>
      <c r="AO294" s="3" t="n">
        <v>0.184536</v>
      </c>
      <c r="AP294" s="3">
        <f>N(X294)*N(BI294)</f>
        <v/>
      </c>
      <c r="AQ294" s="3" t="n">
        <v>0.2284</v>
      </c>
      <c r="AR294" s="3" t="n">
        <v>0</v>
      </c>
      <c r="AS294" s="3" t="n">
        <v>-0.365915508000572</v>
      </c>
      <c r="AT294" s="3" t="n">
        <v>-0.2181706796945746</v>
      </c>
      <c r="AU294" s="3">
        <f>SUM(AN294:AT294)</f>
        <v/>
      </c>
      <c r="AV294" s="7">
        <f>IF(OR(N(W294)&lt;=0,N(BG294)=0),0,N(W294)*IF(N(R294)/N(W294)&gt;=60,N(BG294),1))</f>
        <v/>
      </c>
      <c r="AW294" s="7">
        <f>N(W294)*N(AF294)*N(BH294)</f>
        <v/>
      </c>
      <c r="AX294" s="7">
        <f>N(AL294)*(Assumptions!$B$13*N(BJ294)-(1-Assumptions!$B$13)*Assumptions!$B$14)+N(AM294)</f>
        <v/>
      </c>
      <c r="AY294" s="7">
        <f>N(AU294)*N(R294)/90+N(AV294)+N(AW294)+N(AX294)</f>
        <v/>
      </c>
      <c r="AZ294" s="3">
        <f>IF(N(R294)&lt;=0,0,(N(AY294)-N(AX294))*90/N(R294))</f>
        <v/>
      </c>
      <c r="BA294" s="7">
        <f>IFERROR(AY294-VLOOKUP($E294,Assumptions!$A$40:$C$43,3,FALSE),"")</f>
        <v/>
      </c>
      <c r="BB294" s="3">
        <f>IFERROR(BA294/H294,"")</f>
        <v/>
      </c>
      <c r="BC294">
        <f>IF(AND($G294=TRUE,$E294="GKP"),AY294,"")</f>
        <v/>
      </c>
      <c r="BD294">
        <f>IF(AND($G294=TRUE,$E294="DEF"),AY294,"")</f>
        <v/>
      </c>
      <c r="BE294">
        <f>IF(AND($G294=TRUE,$E294="MID"),AY294,"")</f>
        <v/>
      </c>
      <c r="BF294">
        <f>IF(AND($G294=TRUE,$E294="FWD"),AY294,"")</f>
        <v/>
      </c>
      <c r="BG294" t="n">
        <v>2</v>
      </c>
      <c r="BH294" t="n">
        <v>2</v>
      </c>
      <c r="BI294" t="n">
        <v>4</v>
      </c>
      <c r="BJ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s="8" t="n">
        <v>35</v>
      </c>
      <c r="O295" s="8" t="n">
        <v>0</v>
      </c>
      <c r="Q295" t="inlineStr">
        <is>
          <t>flat</t>
        </is>
      </c>
      <c r="R295" s="6" t="n">
        <v>35</v>
      </c>
      <c r="S295" t="inlineStr">
        <is>
          <t>Solio</t>
        </is>
      </c>
      <c r="U295" s="6" t="n">
        <v>88.2</v>
      </c>
      <c r="V295" s="2" t="n">
        <v>10</v>
      </c>
      <c r="W295" s="7">
        <f>IF(N(U295)&lt;=0,0,MIN(Assumptions!$B$15,N(R295)/N(U295)))</f>
        <v/>
      </c>
      <c r="X295" s="6" t="n">
        <v>0.342</v>
      </c>
      <c r="Y295" s="3" t="n">
        <v>0</v>
      </c>
      <c r="Z295" t="inlineStr">
        <is>
          <t>blended xG</t>
        </is>
      </c>
      <c r="AA295" s="3" t="n">
        <v>1</v>
      </c>
      <c r="AB295" s="3" t="n">
        <v>1</v>
      </c>
      <c r="AC295" s="3" t="n">
        <v>0</v>
      </c>
      <c r="AD295" s="3" t="n">
        <v>0</v>
      </c>
      <c r="AE295" s="3" t="n">
        <v>0</v>
      </c>
      <c r="AF295" s="3" t="n">
        <v>0</v>
      </c>
      <c r="AG295" s="3" t="n">
        <v>0.2076</v>
      </c>
      <c r="AH295" s="3" t="n">
        <v>19</v>
      </c>
      <c r="AI295" s="3" t="n">
        <v>2.409</v>
      </c>
      <c r="AJ295" s="3" t="n">
        <v>1.1228</v>
      </c>
      <c r="AK295" s="3" t="n">
        <v>-0.0487516886583745</v>
      </c>
      <c r="AL295" s="6" t="n">
        <v>0</v>
      </c>
      <c r="AM295" s="3" t="n">
        <v>0.0245300950350432</v>
      </c>
      <c r="AN295" s="3" t="n">
        <v>0</v>
      </c>
      <c r="AO295" s="3" t="n">
        <v>0</v>
      </c>
      <c r="AP295" s="3">
        <f>N(X295)*N(BI295)</f>
        <v/>
      </c>
      <c r="AQ295" s="3" t="n">
        <v>0.2076</v>
      </c>
      <c r="AR295" s="3" t="n">
        <v>0.4697511244203511</v>
      </c>
      <c r="AS295" s="3" t="n">
        <v>-0.3378660007281162</v>
      </c>
      <c r="AT295" s="3" t="n">
        <v>-0.0487516886583745</v>
      </c>
      <c r="AU295" s="3">
        <f>SUM(AN295:AT295)</f>
        <v/>
      </c>
      <c r="AV295" s="7">
        <f>IF(OR(N(W295)&lt;=0,N(BG295)=0),0,N(W295)*IF(N(R295)/N(W295)&gt;=60,N(BG295),1))</f>
        <v/>
      </c>
      <c r="AW295" s="7">
        <f>N(W295)*N(AF295)*N(BH295)</f>
        <v/>
      </c>
      <c r="AX295" s="7">
        <f>N(AL295)*(Assumptions!$B$13*N(BJ295)-(1-Assumptions!$B$13)*Assumptions!$B$14)+N(AM295)</f>
        <v/>
      </c>
      <c r="AY295" s="7">
        <f>N(AU295)*N(R295)/90+N(AV295)+N(AW295)+N(AX295)</f>
        <v/>
      </c>
      <c r="AZ295" s="3">
        <f>IF(N(R295)&lt;=0,0,(N(AY295)-N(AX295))*90/N(R295))</f>
        <v/>
      </c>
      <c r="BA295" s="7">
        <f>IFERROR(AY295-VLOOKUP($E295,Assumptions!$A$40:$C$43,3,FALSE),"")</f>
        <v/>
      </c>
      <c r="BB295" s="3">
        <f>IFERROR(BA295/H295,"")</f>
        <v/>
      </c>
      <c r="BC295">
        <f>IF(AND($G295=TRUE,$E295="GKP"),AY295,"")</f>
        <v/>
      </c>
      <c r="BD295">
        <f>IF(AND($G295=TRUE,$E295="DEF"),AY295,"")</f>
        <v/>
      </c>
      <c r="BE295">
        <f>IF(AND($G295=TRUE,$E295="MID"),AY295,"")</f>
        <v/>
      </c>
      <c r="BF295">
        <f>IF(AND($G295=TRUE,$E295="FWD"),AY295,"")</f>
        <v/>
      </c>
      <c r="BG295" t="n">
        <v>2</v>
      </c>
      <c r="BH295" t="n">
        <v>0</v>
      </c>
      <c r="BI295" t="n">
        <v>4</v>
      </c>
      <c r="BJ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s="8" t="n">
        <v>178</v>
      </c>
      <c r="O296" s="8" t="n">
        <v>0</v>
      </c>
      <c r="Q296" t="inlineStr">
        <is>
          <t>flat</t>
        </is>
      </c>
      <c r="R296" s="6" t="n">
        <v>178</v>
      </c>
      <c r="S296" t="inlineStr">
        <is>
          <t>Solio</t>
        </is>
      </c>
      <c r="U296" s="6" t="n">
        <v>72.40000000000001</v>
      </c>
      <c r="V296" s="2" t="n">
        <v>9</v>
      </c>
      <c r="W296" s="7">
        <f>IF(N(U296)&lt;=0,0,MIN(Assumptions!$B$15,N(R296)/N(U296)))</f>
        <v/>
      </c>
      <c r="X296" s="6" t="n">
        <v>0.204</v>
      </c>
      <c r="Y296" s="3" t="n">
        <v>0.0553</v>
      </c>
      <c r="Z296" t="inlineStr">
        <is>
          <t>adjusted xGOT</t>
        </is>
      </c>
      <c r="AA296" s="3" t="n">
        <v>1</v>
      </c>
      <c r="AB296" s="3" t="n">
        <v>1.139</v>
      </c>
      <c r="AC296" s="3" t="n">
        <v>7</v>
      </c>
      <c r="AD296" s="3" t="n">
        <v>0.09379999999999999</v>
      </c>
      <c r="AE296" s="3" t="n">
        <v>7.469</v>
      </c>
      <c r="AF296" s="3" t="n">
        <v>0.0202817691895143</v>
      </c>
      <c r="AG296" s="3" t="n">
        <v>0.416</v>
      </c>
      <c r="AH296" s="3" t="n">
        <v>21</v>
      </c>
      <c r="AI296" s="3" t="n">
        <v>3.3348</v>
      </c>
      <c r="AJ296" s="3" t="n">
        <v>1.6498</v>
      </c>
      <c r="AK296" s="3" t="n">
        <v>-0.1752701242227406</v>
      </c>
      <c r="AL296" s="6" t="n">
        <v>0</v>
      </c>
      <c r="AM296" s="3" t="n">
        <v>0</v>
      </c>
      <c r="AN296" s="3" t="n">
        <v>0.2765</v>
      </c>
      <c r="AO296" s="3" t="n">
        <v>0.371448</v>
      </c>
      <c r="AP296" s="3">
        <f>N(X296)*N(BI296)</f>
        <v/>
      </c>
      <c r="AQ296" s="3" t="n">
        <v>0.416</v>
      </c>
      <c r="AR296" s="3" t="n">
        <v>0</v>
      </c>
      <c r="AS296" s="3" t="n">
        <v>-0</v>
      </c>
      <c r="AT296" s="3" t="n">
        <v>-0.1752701242227406</v>
      </c>
      <c r="AU296" s="3">
        <f>SUM(AN296:AT296)</f>
        <v/>
      </c>
      <c r="AV296" s="7">
        <f>IF(OR(N(W296)&lt;=0,N(BG296)=0),0,N(W296)*IF(N(R296)/N(W296)&gt;=60,N(BG296),1))</f>
        <v/>
      </c>
      <c r="AW296" s="7">
        <f>N(W296)*N(AF296)*N(BH296)</f>
        <v/>
      </c>
      <c r="AX296" s="7">
        <f>N(AL296)*(Assumptions!$B$13*N(BJ296)-(1-Assumptions!$B$13)*Assumptions!$B$14)+N(AM296)</f>
        <v/>
      </c>
      <c r="AY296" s="7">
        <f>N(AU296)*N(R296)/90+N(AV296)+N(AW296)+N(AX296)</f>
        <v/>
      </c>
      <c r="AZ296" s="3">
        <f>IF(N(R296)&lt;=0,0,(N(AY296)-N(AX296))*90/N(R296))</f>
        <v/>
      </c>
      <c r="BA296" s="7">
        <f>IFERROR(AY296-VLOOKUP($E296,Assumptions!$A$40:$C$43,3,FALSE),"")</f>
        <v/>
      </c>
      <c r="BB296" s="3">
        <f>IFERROR(BA296/H296,"")</f>
        <v/>
      </c>
      <c r="BC296">
        <f>IF(AND($G296=TRUE,$E296="GKP"),AY296,"")</f>
        <v/>
      </c>
      <c r="BD296">
        <f>IF(AND($G296=TRUE,$E296="DEF"),AY296,"")</f>
        <v/>
      </c>
      <c r="BE296">
        <f>IF(AND($G296=TRUE,$E296="MID"),AY296,"")</f>
        <v/>
      </c>
      <c r="BF296">
        <f>IF(AND($G296=TRUE,$E296="FWD"),AY296,"")</f>
        <v/>
      </c>
      <c r="BG296" t="n">
        <v>2</v>
      </c>
      <c r="BH296" t="n">
        <v>2</v>
      </c>
      <c r="BI296" t="n">
        <v>1</v>
      </c>
      <c r="BJ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s="8" t="n">
        <v>442</v>
      </c>
      <c r="O297" s="8" t="n">
        <v>0</v>
      </c>
      <c r="Q297" t="inlineStr">
        <is>
          <t>flat</t>
        </is>
      </c>
      <c r="R297" s="6" t="n">
        <v>442</v>
      </c>
      <c r="S297" t="inlineStr">
        <is>
          <t>Solio</t>
        </is>
      </c>
      <c r="U297" s="6" t="n">
        <v>76.40000000000001</v>
      </c>
      <c r="V297" s="2" t="n">
        <v>7</v>
      </c>
      <c r="W297" s="7">
        <f>IF(N(U297)&lt;=0,0,MIN(Assumptions!$B$15,N(R297)/N(U297)))</f>
        <v/>
      </c>
      <c r="X297" s="6" t="n">
        <v>0.342</v>
      </c>
      <c r="Y297" s="3" t="n">
        <v>0.0397</v>
      </c>
      <c r="Z297" t="inlineStr">
        <is>
          <t>adjusted xGOT</t>
        </is>
      </c>
      <c r="AA297" s="3" t="n">
        <v>1</v>
      </c>
      <c r="AB297" s="3" t="n">
        <v>0.9360000000000001</v>
      </c>
      <c r="AC297" s="3" t="n">
        <v>1.8</v>
      </c>
      <c r="AD297" s="3" t="n">
        <v>0.1431</v>
      </c>
      <c r="AE297" s="3" t="n">
        <v>7.362</v>
      </c>
      <c r="AF297" s="3" t="n">
        <v>0.1021702212896267</v>
      </c>
      <c r="AG297" s="3" t="n">
        <v>0.303</v>
      </c>
      <c r="AH297" s="3" t="n">
        <v>26</v>
      </c>
      <c r="AI297" s="3" t="n">
        <v>2.409</v>
      </c>
      <c r="AJ297" s="3" t="n">
        <v>1.1228</v>
      </c>
      <c r="AK297" s="3" t="n">
        <v>-0.3022295023425802</v>
      </c>
      <c r="AL297" s="6" t="n">
        <v>0</v>
      </c>
      <c r="AM297" s="3" t="n">
        <v>0</v>
      </c>
      <c r="AN297" s="3" t="n">
        <v>0.2382</v>
      </c>
      <c r="AO297" s="3" t="n">
        <v>0.5666760000000001</v>
      </c>
      <c r="AP297" s="3">
        <f>N(X297)*N(BI297)</f>
        <v/>
      </c>
      <c r="AQ297" s="3" t="n">
        <v>0.303</v>
      </c>
      <c r="AR297" s="3" t="n">
        <v>0</v>
      </c>
      <c r="AS297" s="3" t="n">
        <v>-0.3378660007281162</v>
      </c>
      <c r="AT297" s="3" t="n">
        <v>-0.3022295023425802</v>
      </c>
      <c r="AU297" s="3">
        <f>SUM(AN297:AT297)</f>
        <v/>
      </c>
      <c r="AV297" s="7">
        <f>IF(OR(N(W297)&lt;=0,N(BG297)=0),0,N(W297)*IF(N(R297)/N(W297)&gt;=60,N(BG297),1))</f>
        <v/>
      </c>
      <c r="AW297" s="7">
        <f>N(W297)*N(AF297)*N(BH297)</f>
        <v/>
      </c>
      <c r="AX297" s="7">
        <f>N(AL297)*(Assumptions!$B$13*N(BJ297)-(1-Assumptions!$B$13)*Assumptions!$B$14)+N(AM297)</f>
        <v/>
      </c>
      <c r="AY297" s="7">
        <f>N(AU297)*N(R297)/90+N(AV297)+N(AW297)+N(AX297)</f>
        <v/>
      </c>
      <c r="AZ297" s="3">
        <f>IF(N(R297)&lt;=0,0,(N(AY297)-N(AX297))*90/N(R297))</f>
        <v/>
      </c>
      <c r="BA297" s="7">
        <f>IFERROR(AY297-VLOOKUP($E297,Assumptions!$A$40:$C$43,3,FALSE),"")</f>
        <v/>
      </c>
      <c r="BB297" s="3">
        <f>IFERROR(BA297/H297,"")</f>
        <v/>
      </c>
      <c r="BC297">
        <f>IF(AND($G297=TRUE,$E297="GKP"),AY297,"")</f>
        <v/>
      </c>
      <c r="BD297">
        <f>IF(AND($G297=TRUE,$E297="DEF"),AY297,"")</f>
        <v/>
      </c>
      <c r="BE297">
        <f>IF(AND($G297=TRUE,$E297="MID"),AY297,"")</f>
        <v/>
      </c>
      <c r="BF297">
        <f>IF(AND($G297=TRUE,$E297="FWD"),AY297,"")</f>
        <v/>
      </c>
      <c r="BG297" t="n">
        <v>2</v>
      </c>
      <c r="BH297" t="n">
        <v>2</v>
      </c>
      <c r="BI297" t="n">
        <v>4</v>
      </c>
      <c r="BJ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s="4" t="n">
        <v>2850</v>
      </c>
      <c r="O298" s="4" t="n">
        <v>-353</v>
      </c>
      <c r="P298" s="5" t="inlineStr">
        <is>
          <t>medium</t>
        </is>
      </c>
      <c r="Q298" t="inlineStr">
        <is>
          <t>flat</t>
        </is>
      </c>
      <c r="R298" s="6" t="n">
        <v>2850</v>
      </c>
      <c r="S298" t="inlineStr">
        <is>
          <t>research</t>
        </is>
      </c>
      <c r="T298" s="5" t="inlineStr">
        <is>
          <t>Directionally right but too aggressive. Solio projects 94% of the season for a centre-back who managed 678 minutes in 2025/26 across two hamstring operations - a complication requiring surgery confirmed in October 2025, then a further procedure after he was stretchered off in April's Merseyside derby. He is genuinely fit now: Read Everton records him starting against Bolton, Hamburg and Stuttgart (80 minutes, captain), being 'rested as a precaution' for Newcastle, and starting against Lille on 15 August, and he carries no FPL flag. The trim reflects the phased load management Moyes has openly applied all summer, not any current doubt about the opener.</t>
        </is>
      </c>
      <c r="U298" s="6" t="n">
        <v>86.5</v>
      </c>
      <c r="V298" s="2" t="n">
        <v>7</v>
      </c>
      <c r="W298" s="7">
        <f>IF(N(U298)&lt;=0,0,MIN(Assumptions!$B$15,N(R298)/N(U298)))</f>
        <v/>
      </c>
      <c r="X298" s="6" t="n">
        <v>0.231</v>
      </c>
      <c r="Y298" s="3" t="n">
        <v>0.0445</v>
      </c>
      <c r="Z298" t="inlineStr">
        <is>
          <t>adjusted xGOT</t>
        </is>
      </c>
      <c r="AA298" s="3" t="n">
        <v>1</v>
      </c>
      <c r="AB298" s="3" t="n">
        <v>0.986</v>
      </c>
      <c r="AC298" s="3" t="n">
        <v>3.2</v>
      </c>
      <c r="AD298" s="3" t="n">
        <v>0.0321</v>
      </c>
      <c r="AE298" s="3" t="n">
        <v>8.271000000000001</v>
      </c>
      <c r="AF298" s="3" t="n">
        <v>0.2771114751033783</v>
      </c>
      <c r="AG298" s="3" t="n">
        <v>0</v>
      </c>
      <c r="AH298" s="3" t="n">
        <v>17</v>
      </c>
      <c r="AI298" s="3" t="n">
        <v>3.0311</v>
      </c>
      <c r="AJ298" s="3" t="n">
        <v>1.5252</v>
      </c>
      <c r="AK298" s="3" t="n">
        <v>-0.1973841025688087</v>
      </c>
      <c r="AL298" s="6" t="n">
        <v>0</v>
      </c>
      <c r="AM298" s="3" t="n">
        <v>0</v>
      </c>
      <c r="AN298" s="3" t="n">
        <v>0.267</v>
      </c>
      <c r="AO298" s="3" t="n">
        <v>0.127116</v>
      </c>
      <c r="AP298" s="3">
        <f>N(X298)*N(BI298)</f>
        <v/>
      </c>
      <c r="AQ298" s="3" t="n">
        <v>0</v>
      </c>
      <c r="AR298" s="3" t="n">
        <v>0</v>
      </c>
      <c r="AS298" s="3" t="n">
        <v>-0.524434996152324</v>
      </c>
      <c r="AT298" s="3" t="n">
        <v>-0.1973841025688087</v>
      </c>
      <c r="AU298" s="3">
        <f>SUM(AN298:AT298)</f>
        <v/>
      </c>
      <c r="AV298" s="7">
        <f>IF(OR(N(W298)&lt;=0,N(BG298)=0),0,N(W298)*IF(N(R298)/N(W298)&gt;=60,N(BG298),1))</f>
        <v/>
      </c>
      <c r="AW298" s="7">
        <f>N(W298)*N(AF298)*N(BH298)</f>
        <v/>
      </c>
      <c r="AX298" s="7">
        <f>N(AL298)*(Assumptions!$B$13*N(BJ298)-(1-Assumptions!$B$13)*Assumptions!$B$14)+N(AM298)</f>
        <v/>
      </c>
      <c r="AY298" s="7">
        <f>N(AU298)*N(R298)/90+N(AV298)+N(AW298)+N(AX298)</f>
        <v/>
      </c>
      <c r="AZ298" s="3">
        <f>IF(N(R298)&lt;=0,0,(N(AY298)-N(AX298))*90/N(R298))</f>
        <v/>
      </c>
      <c r="BA298" s="7">
        <f>IFERROR(AY298-VLOOKUP($E298,Assumptions!$A$40:$C$43,3,FALSE),"")</f>
        <v/>
      </c>
      <c r="BB298" s="3">
        <f>IFERROR(BA298/H298,"")</f>
        <v/>
      </c>
      <c r="BC298">
        <f>IF(AND($G298=TRUE,$E298="GKP"),AY298,"")</f>
        <v/>
      </c>
      <c r="BD298">
        <f>IF(AND($G298=TRUE,$E298="DEF"),AY298,"")</f>
        <v/>
      </c>
      <c r="BE298">
        <f>IF(AND($G298=TRUE,$E298="MID"),AY298,"")</f>
        <v/>
      </c>
      <c r="BF298">
        <f>IF(AND($G298=TRUE,$E298="FWD"),AY298,"")</f>
        <v/>
      </c>
      <c r="BG298" t="n">
        <v>2</v>
      </c>
      <c r="BH298" t="n">
        <v>2</v>
      </c>
      <c r="BI298" t="n">
        <v>4</v>
      </c>
      <c r="BJ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s="4" t="n">
        <v>60</v>
      </c>
      <c r="O299" s="4" t="n">
        <v>-60</v>
      </c>
      <c r="P299" s="5" t="inlineStr">
        <is>
          <t>medium</t>
        </is>
      </c>
      <c r="Q299" t="inlineStr">
        <is>
          <t>flat</t>
        </is>
      </c>
      <c r="R299" s="6" t="n">
        <v>60</v>
      </c>
      <c r="S299" t="inlineStr">
        <is>
          <t>research</t>
        </is>
      </c>
      <c r="T299" s="5" t="inlineStr">
        <is>
          <t>Hamstring injury with no return timeframe, reported 15 Aug, expected to miss the Nottingham Forest opener. Not carried by the FPL feed yet, so this is another item the brief's data misses. Small absolute change - Solio already had him near zero.</t>
        </is>
      </c>
      <c r="U299" s="6" t="n">
        <v>74</v>
      </c>
      <c r="V299" s="2" t="n">
        <v>4</v>
      </c>
      <c r="W299" s="7">
        <f>IF(N(U299)&lt;=0,0,MIN(Assumptions!$B$15,N(R299)/N(U299)))</f>
        <v/>
      </c>
      <c r="X299" s="6" t="n">
        <v>0.218</v>
      </c>
      <c r="Y299" s="3" t="n">
        <v>0.0672</v>
      </c>
      <c r="Z299" t="inlineStr">
        <is>
          <t>adjusted xGOT</t>
        </is>
      </c>
      <c r="AA299" s="3" t="n">
        <v>1</v>
      </c>
      <c r="AB299" s="3" t="n">
        <v>0.972</v>
      </c>
      <c r="AC299" s="3" t="n">
        <v>2.2</v>
      </c>
      <c r="AD299" s="3" t="n">
        <v>0.1742</v>
      </c>
      <c r="AE299" s="3" t="n">
        <v>9.255000000000001</v>
      </c>
      <c r="AF299" s="3" t="n">
        <v>0.08582354740513853</v>
      </c>
      <c r="AG299" s="3" t="n">
        <v>0</v>
      </c>
      <c r="AH299" s="3" t="n">
        <v>25</v>
      </c>
      <c r="AI299" s="3" t="n">
        <v>3.0611</v>
      </c>
      <c r="AJ299" s="3" t="n">
        <v>1.5875</v>
      </c>
      <c r="AK299" s="3" t="n">
        <v>-0.3007492140094552</v>
      </c>
      <c r="AL299" s="6" t="n">
        <v>0</v>
      </c>
      <c r="AM299" s="3" t="n">
        <v>0</v>
      </c>
      <c r="AN299" s="3" t="n">
        <v>0.336</v>
      </c>
      <c r="AO299" s="3" t="n">
        <v>0.689832</v>
      </c>
      <c r="AP299" s="3">
        <f>N(X299)*N(BI299)</f>
        <v/>
      </c>
      <c r="AQ299" s="3" t="n">
        <v>0</v>
      </c>
      <c r="AR299" s="3" t="n">
        <v>0</v>
      </c>
      <c r="AS299" s="3" t="n">
        <v>-0</v>
      </c>
      <c r="AT299" s="3" t="n">
        <v>-0.3007492140094552</v>
      </c>
      <c r="AU299" s="3">
        <f>SUM(AN299:AT299)</f>
        <v/>
      </c>
      <c r="AV299" s="7">
        <f>IF(OR(N(W299)&lt;=0,N(BG299)=0),0,N(W299)*IF(N(R299)/N(W299)&gt;=60,N(BG299),1))</f>
        <v/>
      </c>
      <c r="AW299" s="7">
        <f>N(W299)*N(AF299)*N(BH299)</f>
        <v/>
      </c>
      <c r="AX299" s="7">
        <f>N(AL299)*(Assumptions!$B$13*N(BJ299)-(1-Assumptions!$B$13)*Assumptions!$B$14)+N(AM299)</f>
        <v/>
      </c>
      <c r="AY299" s="7">
        <f>N(AU299)*N(R299)/90+N(AV299)+N(AW299)+N(AX299)</f>
        <v/>
      </c>
      <c r="AZ299" s="3">
        <f>IF(N(R299)&lt;=0,0,(N(AY299)-N(AX299))*90/N(R299))</f>
        <v/>
      </c>
      <c r="BA299" s="7">
        <f>IFERROR(AY299-VLOOKUP($E299,Assumptions!$A$40:$C$43,3,FALSE),"")</f>
        <v/>
      </c>
      <c r="BB299" s="3">
        <f>IFERROR(BA299/H299,"")</f>
        <v/>
      </c>
      <c r="BC299">
        <f>IF(AND($G299=TRUE,$E299="GKP"),AY299,"")</f>
        <v/>
      </c>
      <c r="BD299">
        <f>IF(AND($G299=TRUE,$E299="DEF"),AY299,"")</f>
        <v/>
      </c>
      <c r="BE299">
        <f>IF(AND($G299=TRUE,$E299="MID"),AY299,"")</f>
        <v/>
      </c>
      <c r="BF299">
        <f>IF(AND($G299=TRUE,$E299="FWD"),AY299,"")</f>
        <v/>
      </c>
      <c r="BG299" t="n">
        <v>2</v>
      </c>
      <c r="BH299" t="n">
        <v>2</v>
      </c>
      <c r="BI299" t="n">
        <v>1</v>
      </c>
      <c r="BJ299" t="n">
        <v>5</v>
      </c>
    </row>
    <row r="300">
      <c r="A300" s="9" t="inlineStr">
        <is>
          <t>Issa Diop</t>
        </is>
      </c>
      <c r="B300" t="inlineStr">
        <is>
          <t>IPS</t>
        </is>
      </c>
      <c r="C300" s="9" t="inlineStr">
        <is>
          <t>FUL</t>
        </is>
      </c>
      <c r="D300" t="b">
        <v>1</v>
      </c>
      <c r="E300" t="inlineStr">
        <is>
          <t>DEF</t>
        </is>
      </c>
      <c r="F300" t="inlineStr">
        <is>
          <t>DEF</t>
        </is>
      </c>
      <c r="G300" t="b">
        <v>1</v>
      </c>
      <c r="H300" s="2" t="n">
        <v>4</v>
      </c>
      <c r="I300" t="inlineStr">
        <is>
          <t>a</t>
        </is>
      </c>
      <c r="K300" s="2" t="n">
        <v>812</v>
      </c>
      <c r="L300" t="n">
        <v>31</v>
      </c>
      <c r="M300" s="3" t="n">
        <v>2394</v>
      </c>
      <c r="N300" s="8" t="n">
        <v>2394</v>
      </c>
      <c r="O300" s="8" t="n">
        <v>0</v>
      </c>
      <c r="Q300" t="inlineStr">
        <is>
          <t>flat</t>
        </is>
      </c>
      <c r="R300" s="6" t="n">
        <v>2394</v>
      </c>
      <c r="S300" t="inlineStr">
        <is>
          <t>Solio</t>
        </is>
      </c>
      <c r="U300" s="6" t="n">
        <v>86.90000000000001</v>
      </c>
      <c r="V300" s="2" t="n">
        <v>8</v>
      </c>
      <c r="W300" s="7">
        <f>IF(N(U300)&lt;=0,0,MIN(Assumptions!$B$15,N(R300)/N(U300)))</f>
        <v/>
      </c>
      <c r="X300" s="6" t="n">
        <v>0.17</v>
      </c>
      <c r="Y300" s="10" t="n">
        <v>0.09619999999999999</v>
      </c>
      <c r="Z300" t="inlineStr">
        <is>
          <t>adjusted xGOT</t>
        </is>
      </c>
      <c r="AA300" s="3" t="n">
        <v>1</v>
      </c>
      <c r="AB300" s="3" t="n">
        <v>1.085</v>
      </c>
      <c r="AC300" s="3" t="n">
        <v>1.9</v>
      </c>
      <c r="AD300" s="10" t="n">
        <v>0.0028</v>
      </c>
      <c r="AE300" s="3" t="n">
        <v>7.195</v>
      </c>
      <c r="AF300" s="3" t="n">
        <v>0.1641877591817069</v>
      </c>
      <c r="AG300" s="3" t="n">
        <v>0.3325</v>
      </c>
      <c r="AH300" s="3" t="n">
        <v>21</v>
      </c>
      <c r="AI300" s="3" t="n">
        <v>3.5741</v>
      </c>
      <c r="AJ300" s="3" t="n">
        <v>1.8319</v>
      </c>
      <c r="AK300" s="3" t="n">
        <v>-0.1934947122418925</v>
      </c>
      <c r="AL300" s="6" t="n">
        <v>0</v>
      </c>
      <c r="AM300" s="3" t="n">
        <v>0</v>
      </c>
      <c r="AN300" s="10" t="n">
        <v>0.5771999999999999</v>
      </c>
      <c r="AO300" s="10" t="n">
        <v>0.011088</v>
      </c>
      <c r="AP300" s="3">
        <f>N(X300)*N(BI300)</f>
        <v/>
      </c>
      <c r="AQ300" s="3" t="n">
        <v>0.3325</v>
      </c>
      <c r="AR300" s="3" t="n">
        <v>0</v>
      </c>
      <c r="AS300" s="3" t="n">
        <v>-0.6723587286814016</v>
      </c>
      <c r="AT300" s="3" t="n">
        <v>-0.1934947122418925</v>
      </c>
      <c r="AU300" s="3">
        <f>SUM(AN300:AT300)</f>
        <v/>
      </c>
      <c r="AV300" s="7">
        <f>IF(OR(N(W300)&lt;=0,N(BG300)=0),0,N(W300)*IF(N(R300)/N(W300)&gt;=60,N(BG300),1))</f>
        <v/>
      </c>
      <c r="AW300" s="7">
        <f>N(W300)*N(AF300)*N(BH300)</f>
        <v/>
      </c>
      <c r="AX300" s="7">
        <f>N(AL300)*(Assumptions!$B$13*N(BJ300)-(1-Assumptions!$B$13)*Assumptions!$B$14)+N(AM300)</f>
        <v/>
      </c>
      <c r="AY300" s="7">
        <f>N(AU300)*N(R300)/90+N(AV300)+N(AW300)+N(AX300)</f>
        <v/>
      </c>
      <c r="AZ300" s="3">
        <f>IF(N(R300)&lt;=0,0,(N(AY300)-N(AX300))*90/N(R300))</f>
        <v/>
      </c>
      <c r="BA300" s="7">
        <f>IFERROR(AY300-VLOOKUP($E300,Assumptions!$A$40:$C$43,3,FALSE),"")</f>
        <v/>
      </c>
      <c r="BB300" s="3">
        <f>IFERROR(BA300/H300,"")</f>
        <v/>
      </c>
      <c r="BC300">
        <f>IF(AND($G300=TRUE,$E300="GKP"),AY300,"")</f>
        <v/>
      </c>
      <c r="BD300">
        <f>IF(AND($G300=TRUE,$E300="DEF"),AY300,"")</f>
        <v/>
      </c>
      <c r="BE300">
        <f>IF(AND($G300=TRUE,$E300="MID"),AY300,"")</f>
        <v/>
      </c>
      <c r="BF300">
        <f>IF(AND($G300=TRUE,$E300="FWD"),AY300,"")</f>
        <v/>
      </c>
      <c r="BG300" t="n">
        <v>2</v>
      </c>
      <c r="BH300" t="n">
        <v>2</v>
      </c>
      <c r="BI300" t="n">
        <v>4</v>
      </c>
      <c r="BJ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s="8" t="n">
        <v>340</v>
      </c>
      <c r="O301" s="8" t="n">
        <v>0</v>
      </c>
      <c r="Q301" t="inlineStr">
        <is>
          <t>flat</t>
        </is>
      </c>
      <c r="R301" s="6" t="n">
        <v>340</v>
      </c>
      <c r="S301" t="inlineStr">
        <is>
          <t>Solio</t>
        </is>
      </c>
      <c r="U301" s="6" t="n">
        <v>79.5</v>
      </c>
      <c r="V301" s="2" t="n">
        <v>2</v>
      </c>
      <c r="W301" s="7">
        <f>IF(N(U301)&lt;=0,0,MIN(Assumptions!$B$15,N(R301)/N(U301)))</f>
        <v/>
      </c>
      <c r="X301" s="6" t="n">
        <v>0.224</v>
      </c>
      <c r="Y301" s="3" t="n">
        <v>0.0646</v>
      </c>
      <c r="Z301" t="inlineStr">
        <is>
          <t>adjusted xGOT</t>
        </is>
      </c>
      <c r="AA301" s="3" t="n">
        <v>1</v>
      </c>
      <c r="AB301" s="3" t="n">
        <v>0.881</v>
      </c>
      <c r="AC301" s="3" t="n">
        <v>7.7</v>
      </c>
      <c r="AD301" s="3" t="n">
        <v>0.0447</v>
      </c>
      <c r="AE301" s="3" t="n">
        <v>9.369</v>
      </c>
      <c r="AF301" s="3" t="n">
        <v>0.1328660169520495</v>
      </c>
      <c r="AG301" s="3" t="n">
        <v>0</v>
      </c>
      <c r="AH301" s="3" t="n">
        <v>25</v>
      </c>
      <c r="AI301" s="3" t="n">
        <v>3.1134</v>
      </c>
      <c r="AJ301" s="3" t="n">
        <v>1.5588</v>
      </c>
      <c r="AK301" s="3" t="n">
        <v>-0.3470530485436379</v>
      </c>
      <c r="AL301" s="6" t="n">
        <v>0</v>
      </c>
      <c r="AM301" s="3" t="n">
        <v>0</v>
      </c>
      <c r="AN301" s="3" t="n">
        <v>0.323</v>
      </c>
      <c r="AO301" s="3" t="n">
        <v>0.177012</v>
      </c>
      <c r="AP301" s="3">
        <f>N(X301)*N(BI301)</f>
        <v/>
      </c>
      <c r="AQ301" s="3" t="n">
        <v>0</v>
      </c>
      <c r="AR301" s="3" t="n">
        <v>0</v>
      </c>
      <c r="AS301" s="3" t="n">
        <v>-0</v>
      </c>
      <c r="AT301" s="3" t="n">
        <v>-0.3470530485436379</v>
      </c>
      <c r="AU301" s="3">
        <f>SUM(AN301:AT301)</f>
        <v/>
      </c>
      <c r="AV301" s="7">
        <f>IF(OR(N(W301)&lt;=0,N(BG301)=0),0,N(W301)*IF(N(R301)/N(W301)&gt;=60,N(BG301),1))</f>
        <v/>
      </c>
      <c r="AW301" s="7">
        <f>N(W301)*N(AF301)*N(BH301)</f>
        <v/>
      </c>
      <c r="AX301" s="7">
        <f>N(AL301)*(Assumptions!$B$13*N(BJ301)-(1-Assumptions!$B$13)*Assumptions!$B$14)+N(AM301)</f>
        <v/>
      </c>
      <c r="AY301" s="7">
        <f>N(AU301)*N(R301)/90+N(AV301)+N(AW301)+N(AX301)</f>
        <v/>
      </c>
      <c r="AZ301" s="3">
        <f>IF(N(R301)&lt;=0,0,(N(AY301)-N(AX301))*90/N(R301))</f>
        <v/>
      </c>
      <c r="BA301" s="7">
        <f>IFERROR(AY301-VLOOKUP($E301,Assumptions!$A$40:$C$43,3,FALSE),"")</f>
        <v/>
      </c>
      <c r="BB301" s="3">
        <f>IFERROR(BA301/H301,"")</f>
        <v/>
      </c>
      <c r="BC301">
        <f>IF(AND($G301=TRUE,$E301="GKP"),AY301,"")</f>
        <v/>
      </c>
      <c r="BD301">
        <f>IF(AND($G301=TRUE,$E301="DEF"),AY301,"")</f>
        <v/>
      </c>
      <c r="BE301">
        <f>IF(AND($G301=TRUE,$E301="MID"),AY301,"")</f>
        <v/>
      </c>
      <c r="BF301">
        <f>IF(AND($G301=TRUE,$E301="FWD"),AY301,"")</f>
        <v/>
      </c>
      <c r="BG301" t="n">
        <v>2</v>
      </c>
      <c r="BH301" t="n">
        <v>2</v>
      </c>
      <c r="BI301" t="n">
        <v>1</v>
      </c>
      <c r="BJ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s="4" t="n">
        <v>1550</v>
      </c>
      <c r="O302" s="4" t="n">
        <v>865</v>
      </c>
      <c r="P302" s="5" t="inlineStr">
        <is>
          <t>medium</t>
        </is>
      </c>
      <c r="Q302" t="inlineStr">
        <is>
          <t>flat</t>
        </is>
      </c>
      <c r="R302" s="6" t="n">
        <v>1550</v>
      </c>
      <c r="S302" t="inlineStr">
        <is>
          <t>research</t>
        </is>
      </c>
      <c r="T302" s="5" t="inlineStr">
        <is>
          <t>Same structural reason as Robertson: with Spence sold there is roughly a full left-back slot to share between two players, and Solio's Robertson-plus-Udogie total of 1,403 is far short of it. Udogie is confirmed fully fit with his workload managed and Gold expects him available 'potentially within the next eight days'. Held below Robertson because he has not started a pre-season game, missed 180 days last season, and Roma have opened talks.</t>
        </is>
      </c>
      <c r="U302" s="6" t="n">
        <v>84.2</v>
      </c>
      <c r="V302" s="2" t="n">
        <v>14</v>
      </c>
      <c r="W302" s="7">
        <f>IF(N(U302)&lt;=0,0,MIN(Assumptions!$B$15,N(R302)/N(U302)))</f>
        <v/>
      </c>
      <c r="X302" s="6" t="n">
        <v>0.286</v>
      </c>
      <c r="Y302" s="3" t="n">
        <v>0.0132</v>
      </c>
      <c r="Z302" t="inlineStr">
        <is>
          <t>adjusted xGOT</t>
        </is>
      </c>
      <c r="AA302" s="3" t="n">
        <v>1</v>
      </c>
      <c r="AB302" s="3" t="n">
        <v>1.091</v>
      </c>
      <c r="AC302" s="3" t="n">
        <v>2.9</v>
      </c>
      <c r="AD302" s="3" t="n">
        <v>0.0621</v>
      </c>
      <c r="AE302" s="3" t="n">
        <v>5.671</v>
      </c>
      <c r="AF302" s="3" t="n">
        <v>0.04430803645344139</v>
      </c>
      <c r="AG302" s="3" t="n">
        <v>0.0674</v>
      </c>
      <c r="AH302" s="3" t="n">
        <v>33</v>
      </c>
      <c r="AI302" s="3" t="n">
        <v>2.5739</v>
      </c>
      <c r="AJ302" s="3" t="n">
        <v>1.3096</v>
      </c>
      <c r="AK302" s="3" t="n">
        <v>-0.2078824957100245</v>
      </c>
      <c r="AL302" s="6" t="n">
        <v>0</v>
      </c>
      <c r="AM302" s="3" t="n">
        <v>0</v>
      </c>
      <c r="AN302" s="3" t="n">
        <v>0.07919999999999999</v>
      </c>
      <c r="AO302" s="3" t="n">
        <v>0.2459160000000001</v>
      </c>
      <c r="AP302" s="3">
        <f>N(X302)*N(BI302)</f>
        <v/>
      </c>
      <c r="AQ302" s="3" t="n">
        <v>0.0674</v>
      </c>
      <c r="AR302" s="3" t="n">
        <v>0</v>
      </c>
      <c r="AS302" s="3" t="n">
        <v>-0.4230152821052008</v>
      </c>
      <c r="AT302" s="3" t="n">
        <v>-0.2078824957100245</v>
      </c>
      <c r="AU302" s="3">
        <f>SUM(AN302:AT302)</f>
        <v/>
      </c>
      <c r="AV302" s="7">
        <f>IF(OR(N(W302)&lt;=0,N(BG302)=0),0,N(W302)*IF(N(R302)/N(W302)&gt;=60,N(BG302),1))</f>
        <v/>
      </c>
      <c r="AW302" s="7">
        <f>N(W302)*N(AF302)*N(BH302)</f>
        <v/>
      </c>
      <c r="AX302" s="7">
        <f>N(AL302)*(Assumptions!$B$13*N(BJ302)-(1-Assumptions!$B$13)*Assumptions!$B$14)+N(AM302)</f>
        <v/>
      </c>
      <c r="AY302" s="7">
        <f>N(AU302)*N(R302)/90+N(AV302)+N(AW302)+N(AX302)</f>
        <v/>
      </c>
      <c r="AZ302" s="3">
        <f>IF(N(R302)&lt;=0,0,(N(AY302)-N(AX302))*90/N(R302))</f>
        <v/>
      </c>
      <c r="BA302" s="7">
        <f>IFERROR(AY302-VLOOKUP($E302,Assumptions!$A$40:$C$43,3,FALSE),"")</f>
        <v/>
      </c>
      <c r="BB302" s="3">
        <f>IFERROR(BA302/H302,"")</f>
        <v/>
      </c>
      <c r="BC302">
        <f>IF(AND($G302=TRUE,$E302="GKP"),AY302,"")</f>
        <v/>
      </c>
      <c r="BD302">
        <f>IF(AND($G302=TRUE,$E302="DEF"),AY302,"")</f>
        <v/>
      </c>
      <c r="BE302">
        <f>IF(AND($G302=TRUE,$E302="MID"),AY302,"")</f>
        <v/>
      </c>
      <c r="BF302">
        <f>IF(AND($G302=TRUE,$E302="FWD"),AY302,"")</f>
        <v/>
      </c>
      <c r="BG302" t="n">
        <v>2</v>
      </c>
      <c r="BH302" t="n">
        <v>2</v>
      </c>
      <c r="BI302" t="n">
        <v>4</v>
      </c>
      <c r="BJ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s="8" t="n">
        <v>394</v>
      </c>
      <c r="O303" s="8" t="n">
        <v>0</v>
      </c>
      <c r="Q303" t="inlineStr">
        <is>
          <t>flat</t>
        </is>
      </c>
      <c r="R303" s="6" t="n">
        <v>394</v>
      </c>
      <c r="S303" t="inlineStr">
        <is>
          <t>Solio</t>
        </is>
      </c>
      <c r="U303" s="6" t="n">
        <v>85.7</v>
      </c>
      <c r="V303" s="2" t="n">
        <v>5</v>
      </c>
      <c r="W303" s="7">
        <f>IF(N(U303)&lt;=0,0,MIN(Assumptions!$B$15,N(R303)/N(U303)))</f>
        <v/>
      </c>
      <c r="X303" s="6" t="n">
        <v>0.391</v>
      </c>
      <c r="Y303" s="3" t="n">
        <v>0.0128</v>
      </c>
      <c r="Z303" t="inlineStr">
        <is>
          <t>adjusted xGOT</t>
        </is>
      </c>
      <c r="AA303" s="3" t="n">
        <v>1</v>
      </c>
      <c r="AB303" s="3" t="n">
        <v>0.993</v>
      </c>
      <c r="AC303" s="3" t="n">
        <v>0.3</v>
      </c>
      <c r="AD303" s="3" t="n">
        <v>0.0244</v>
      </c>
      <c r="AE303" s="3" t="n">
        <v>5.493</v>
      </c>
      <c r="AF303" s="3" t="n">
        <v>0.007633382218670826</v>
      </c>
      <c r="AG303" s="3" t="n">
        <v>0</v>
      </c>
      <c r="AH303" s="3" t="n">
        <v>25</v>
      </c>
      <c r="AI303" s="3" t="n">
        <v>2.067</v>
      </c>
      <c r="AJ303" s="3" t="n">
        <v>0.9838</v>
      </c>
      <c r="AK303" s="3" t="n">
        <v>-0.26006729803636</v>
      </c>
      <c r="AL303" s="6" t="n">
        <v>0</v>
      </c>
      <c r="AM303" s="3" t="n">
        <v>0</v>
      </c>
      <c r="AN303" s="3" t="n">
        <v>0.064</v>
      </c>
      <c r="AO303" s="3" t="n">
        <v>0.096624</v>
      </c>
      <c r="AP303" s="3">
        <f>N(X303)*N(BI303)</f>
        <v/>
      </c>
      <c r="AQ303" s="3" t="n">
        <v>0</v>
      </c>
      <c r="AR303" s="3" t="n">
        <v>0</v>
      </c>
      <c r="AS303" s="3" t="n">
        <v>-0</v>
      </c>
      <c r="AT303" s="3" t="n">
        <v>-0.26006729803636</v>
      </c>
      <c r="AU303" s="3">
        <f>SUM(AN303:AT303)</f>
        <v/>
      </c>
      <c r="AV303" s="7">
        <f>IF(OR(N(W303)&lt;=0,N(BG303)=0),0,N(W303)*IF(N(R303)/N(W303)&gt;=60,N(BG303),1))</f>
        <v/>
      </c>
      <c r="AW303" s="7">
        <f>N(W303)*N(AF303)*N(BH303)</f>
        <v/>
      </c>
      <c r="AX303" s="7">
        <f>N(AL303)*(Assumptions!$B$13*N(BJ303)-(1-Assumptions!$B$13)*Assumptions!$B$14)+N(AM303)</f>
        <v/>
      </c>
      <c r="AY303" s="7">
        <f>N(AU303)*N(R303)/90+N(AV303)+N(AW303)+N(AX303)</f>
        <v/>
      </c>
      <c r="AZ303" s="3">
        <f>IF(N(R303)&lt;=0,0,(N(AY303)-N(AX303))*90/N(R303))</f>
        <v/>
      </c>
      <c r="BA303" s="7">
        <f>IFERROR(AY303-VLOOKUP($E303,Assumptions!$A$40:$C$43,3,FALSE),"")</f>
        <v/>
      </c>
      <c r="BB303" s="3">
        <f>IFERROR(BA303/H303,"")</f>
        <v/>
      </c>
      <c r="BC303">
        <f>IF(AND($G303=TRUE,$E303="GKP"),AY303,"")</f>
        <v/>
      </c>
      <c r="BD303">
        <f>IF(AND($G303=TRUE,$E303="DEF"),AY303,"")</f>
        <v/>
      </c>
      <c r="BE303">
        <f>IF(AND($G303=TRUE,$E303="MID"),AY303,"")</f>
        <v/>
      </c>
      <c r="BF303">
        <f>IF(AND($G303=TRUE,$E303="FWD"),AY303,"")</f>
        <v/>
      </c>
      <c r="BG303" t="n">
        <v>2</v>
      </c>
      <c r="BH303" t="n">
        <v>2</v>
      </c>
      <c r="BI303" t="n">
        <v>1</v>
      </c>
      <c r="BJ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s="4" t="n">
        <v>1150</v>
      </c>
      <c r="O304" s="4" t="n">
        <v>266</v>
      </c>
      <c r="P304" s="5" t="inlineStr">
        <is>
          <t>medium</t>
        </is>
      </c>
      <c r="Q304" t="inlineStr">
        <is>
          <t>fade (losing his place)</t>
        </is>
      </c>
      <c r="R304" s="6" t="n">
        <v>1150</v>
      </c>
      <c r="S304" t="inlineStr">
        <is>
          <t>research</t>
        </is>
      </c>
      <c r="T304" s="5" t="inlineStr">
        <is>
          <t>Solio flags 'fade (losing his place)', but Emery picked him to start the UEFA Super Cup final at centre-back and he started again against Monchengladbach. Raised only modestly because both those starts came while Konsa was away on post-World Cup rest, so they overstate his standing when the squad is whole.</t>
        </is>
      </c>
      <c r="U304" s="6" t="n">
        <v>84</v>
      </c>
      <c r="V304" s="2" t="n">
        <v>11</v>
      </c>
      <c r="W304" s="7">
        <f>IF(N(U304)&lt;=0,0,MIN(Assumptions!$B$15,N(R304)/N(U304)))</f>
        <v/>
      </c>
      <c r="X304" s="6" t="n">
        <v>0.273</v>
      </c>
      <c r="Y304" s="3" t="n">
        <v>0.0261</v>
      </c>
      <c r="Z304" t="inlineStr">
        <is>
          <t>adjusted xGOT</t>
        </is>
      </c>
      <c r="AA304" s="3" t="n">
        <v>1</v>
      </c>
      <c r="AB304" s="3" t="n">
        <v>0.976</v>
      </c>
      <c r="AC304" s="3" t="n">
        <v>1.2</v>
      </c>
      <c r="AD304" s="3" t="n">
        <v>0.0333</v>
      </c>
      <c r="AE304" s="3" t="n">
        <v>6.253</v>
      </c>
      <c r="AF304" s="3" t="n">
        <v>0.07310545644779953</v>
      </c>
      <c r="AG304" s="3" t="n">
        <v>0</v>
      </c>
      <c r="AH304" s="3" t="n">
        <v>27</v>
      </c>
      <c r="AI304" s="3" t="n">
        <v>2.7451</v>
      </c>
      <c r="AJ304" s="3" t="n">
        <v>1.3575</v>
      </c>
      <c r="AK304" s="3" t="n">
        <v>-0.1383049207274015</v>
      </c>
      <c r="AL304" s="6" t="n">
        <v>0</v>
      </c>
      <c r="AM304" s="3" t="n">
        <v>0</v>
      </c>
      <c r="AN304" s="3" t="n">
        <v>0.1566</v>
      </c>
      <c r="AO304" s="3" t="n">
        <v>0.131868</v>
      </c>
      <c r="AP304" s="3">
        <f>N(X304)*N(BI304)</f>
        <v/>
      </c>
      <c r="AQ304" s="3" t="n">
        <v>0</v>
      </c>
      <c r="AR304" s="3" t="n">
        <v>0</v>
      </c>
      <c r="AS304" s="3" t="n">
        <v>-0.4453012382517575</v>
      </c>
      <c r="AT304" s="3" t="n">
        <v>-0.1383049207274015</v>
      </c>
      <c r="AU304" s="3">
        <f>SUM(AN304:AT304)</f>
        <v/>
      </c>
      <c r="AV304" s="7">
        <f>IF(OR(N(W304)&lt;=0,N(BG304)=0),0,N(W304)*IF(N(R304)/N(W304)&gt;=60,N(BG304),1))</f>
        <v/>
      </c>
      <c r="AW304" s="7">
        <f>N(W304)*N(AF304)*N(BH304)</f>
        <v/>
      </c>
      <c r="AX304" s="7">
        <f>N(AL304)*(Assumptions!$B$13*N(BJ304)-(1-Assumptions!$B$13)*Assumptions!$B$14)+N(AM304)</f>
        <v/>
      </c>
      <c r="AY304" s="7">
        <f>N(AU304)*N(R304)/90+N(AV304)+N(AW304)+N(AX304)</f>
        <v/>
      </c>
      <c r="AZ304" s="3">
        <f>IF(N(R304)&lt;=0,0,(N(AY304)-N(AX304))*90/N(R304))</f>
        <v/>
      </c>
      <c r="BA304" s="7">
        <f>IFERROR(AY304-VLOOKUP($E304,Assumptions!$A$40:$C$43,3,FALSE),"")</f>
        <v/>
      </c>
      <c r="BB304" s="3">
        <f>IFERROR(BA304/H304,"")</f>
        <v/>
      </c>
      <c r="BC304">
        <f>IF(AND($G304=TRUE,$E304="GKP"),AY304,"")</f>
        <v/>
      </c>
      <c r="BD304">
        <f>IF(AND($G304=TRUE,$E304="DEF"),AY304,"")</f>
        <v/>
      </c>
      <c r="BE304">
        <f>IF(AND($G304=TRUE,$E304="MID"),AY304,"")</f>
        <v/>
      </c>
      <c r="BF304">
        <f>IF(AND($G304=TRUE,$E304="FWD"),AY304,"")</f>
        <v/>
      </c>
      <c r="BG304" t="n">
        <v>2</v>
      </c>
      <c r="BH304" t="n">
        <v>2</v>
      </c>
      <c r="BI304" t="n">
        <v>4</v>
      </c>
      <c r="BJ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s="8" t="n">
        <v>191</v>
      </c>
      <c r="O305" s="8" t="n">
        <v>0</v>
      </c>
      <c r="Q305" t="inlineStr">
        <is>
          <t>flat</t>
        </is>
      </c>
      <c r="R305" s="6" t="n">
        <v>191</v>
      </c>
      <c r="S305" t="inlineStr">
        <is>
          <t>Solio</t>
        </is>
      </c>
      <c r="U305" s="6" t="n">
        <v>78</v>
      </c>
      <c r="V305" s="2" t="n">
        <v>6</v>
      </c>
      <c r="W305" s="7">
        <f>IF(N(U305)&lt;=0,0,MIN(Assumptions!$B$15,N(R305)/N(U305)))</f>
        <v/>
      </c>
      <c r="X305" s="6" t="n">
        <v>0.231</v>
      </c>
      <c r="Y305" s="3" t="n">
        <v>0.1671</v>
      </c>
      <c r="Z305" t="inlineStr">
        <is>
          <t>adjusted xGOT</t>
        </is>
      </c>
      <c r="AA305" s="3" t="n">
        <v>1</v>
      </c>
      <c r="AB305" s="3" t="n">
        <v>1.078</v>
      </c>
      <c r="AC305" s="3" t="n">
        <v>4.7</v>
      </c>
      <c r="AD305" s="3" t="n">
        <v>0.1162</v>
      </c>
      <c r="AE305" s="3" t="n">
        <v>8.917</v>
      </c>
      <c r="AF305" s="3" t="n">
        <v>0.093299955205703</v>
      </c>
      <c r="AG305" s="3" t="n">
        <v>0</v>
      </c>
      <c r="AH305" s="3" t="n">
        <v>27</v>
      </c>
      <c r="AI305" s="3" t="n">
        <v>3.0311</v>
      </c>
      <c r="AJ305" s="3" t="n">
        <v>1.5252</v>
      </c>
      <c r="AK305" s="3" t="n">
        <v>-0.3513700501428538</v>
      </c>
      <c r="AL305" s="6" t="n">
        <v>0</v>
      </c>
      <c r="AM305" s="3" t="n">
        <v>0</v>
      </c>
      <c r="AN305" s="3" t="n">
        <v>0.8355</v>
      </c>
      <c r="AO305" s="3" t="n">
        <v>0.4601520000000001</v>
      </c>
      <c r="AP305" s="3">
        <f>N(X305)*N(BI305)</f>
        <v/>
      </c>
      <c r="AQ305" s="3" t="n">
        <v>0</v>
      </c>
      <c r="AR305" s="3" t="n">
        <v>0</v>
      </c>
      <c r="AS305" s="3" t="n">
        <v>-0</v>
      </c>
      <c r="AT305" s="3" t="n">
        <v>-0.3513700501428538</v>
      </c>
      <c r="AU305" s="3">
        <f>SUM(AN305:AT305)</f>
        <v/>
      </c>
      <c r="AV305" s="7">
        <f>IF(OR(N(W305)&lt;=0,N(BG305)=0),0,N(W305)*IF(N(R305)/N(W305)&gt;=60,N(BG305),1))</f>
        <v/>
      </c>
      <c r="AW305" s="7">
        <f>N(W305)*N(AF305)*N(BH305)</f>
        <v/>
      </c>
      <c r="AX305" s="7">
        <f>N(AL305)*(Assumptions!$B$13*N(BJ305)-(1-Assumptions!$B$13)*Assumptions!$B$14)+N(AM305)</f>
        <v/>
      </c>
      <c r="AY305" s="7">
        <f>N(AU305)*N(R305)/90+N(AV305)+N(AW305)+N(AX305)</f>
        <v/>
      </c>
      <c r="AZ305" s="3">
        <f>IF(N(R305)&lt;=0,0,(N(AY305)-N(AX305))*90/N(R305))</f>
        <v/>
      </c>
      <c r="BA305" s="7">
        <f>IFERROR(AY305-VLOOKUP($E305,Assumptions!$A$40:$C$43,3,FALSE),"")</f>
        <v/>
      </c>
      <c r="BB305" s="3">
        <f>IFERROR(BA305/H305,"")</f>
        <v/>
      </c>
      <c r="BC305">
        <f>IF(AND($G305=TRUE,$E305="GKP"),AY305,"")</f>
        <v/>
      </c>
      <c r="BD305">
        <f>IF(AND($G305=TRUE,$E305="DEF"),AY305,"")</f>
        <v/>
      </c>
      <c r="BE305">
        <f>IF(AND($G305=TRUE,$E305="MID"),AY305,"")</f>
        <v/>
      </c>
      <c r="BF305">
        <f>IF(AND($G305=TRUE,$E305="FWD"),AY305,"")</f>
        <v/>
      </c>
      <c r="BG305" t="n">
        <v>2</v>
      </c>
      <c r="BH305" t="n">
        <v>2</v>
      </c>
      <c r="BI305" t="n">
        <v>1</v>
      </c>
      <c r="BJ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s="4" t="n">
        <v>1900</v>
      </c>
      <c r="O306" s="4" t="n">
        <v>623</v>
      </c>
      <c r="P306" s="5" t="inlineStr">
        <is>
          <t>high</t>
        </is>
      </c>
      <c r="Q306" t="inlineStr">
        <is>
          <t>flat</t>
        </is>
      </c>
      <c r="R306" s="6" t="n">
        <v>1900</v>
      </c>
      <c r="S306" t="inlineStr">
        <is>
          <t>research</t>
        </is>
      </c>
      <c r="T306" s="5" t="inlineStr">
        <is>
          <t>Solio's 1,277 anchors on his injury-wrecked 517 minutes in 2025/26. He has started all three of Jaissle's pre-season matches (as the No.10 behind Osula v Everton, as the No.9 v Leverkusen) and scored twice after coming on at Valencia. The Athletic reported the club explored selling him but decided the loss was too large, and expects a World Cup plus a full pre-season to lift his output. The Mag's predicted XI has him leading the line v Liverpool.</t>
        </is>
      </c>
      <c r="U306" s="6" t="n">
        <v>76.09999999999999</v>
      </c>
      <c r="V306" s="2" t="n">
        <v>4</v>
      </c>
      <c r="W306" s="7">
        <f>IF(N(U306)&lt;=0,0,MIN(Assumptions!$B$15,N(R306)/N(U306)))</f>
        <v/>
      </c>
      <c r="X306" s="6" t="n">
        <v>0.248</v>
      </c>
      <c r="Y306" s="3" t="n">
        <v>0.5092</v>
      </c>
      <c r="Z306" t="inlineStr">
        <is>
          <t>adjusted xGOT</t>
        </is>
      </c>
      <c r="AA306" s="3" t="n">
        <v>1</v>
      </c>
      <c r="AB306" s="3" t="n">
        <v>0.9350000000000001</v>
      </c>
      <c r="AC306" s="3" t="n">
        <v>37.9</v>
      </c>
      <c r="AD306" s="3" t="n">
        <v>0.0618</v>
      </c>
      <c r="AE306" s="3" t="n">
        <v>4.39</v>
      </c>
      <c r="AF306" s="3" t="n">
        <v>0.000483569870980638</v>
      </c>
      <c r="AG306" s="3" t="n">
        <v>0</v>
      </c>
      <c r="AH306" s="3" t="n">
        <v>23</v>
      </c>
      <c r="AI306" s="3" t="n">
        <v>3.0912</v>
      </c>
      <c r="AJ306" s="3" t="n">
        <v>1.4534</v>
      </c>
      <c r="AK306" s="3" t="n">
        <v>-0.229874323940444</v>
      </c>
      <c r="AL306" s="6" t="n">
        <v>0.2172485302400686</v>
      </c>
      <c r="AM306" s="3" t="n">
        <v>0</v>
      </c>
      <c r="AN306" s="3" t="n">
        <v>2.0368</v>
      </c>
      <c r="AO306" s="3" t="n">
        <v>0.244728</v>
      </c>
      <c r="AP306" s="3">
        <f>N(X306)*N(BI306)</f>
        <v/>
      </c>
      <c r="AQ306" s="3" t="n">
        <v>0</v>
      </c>
      <c r="AR306" s="3" t="n">
        <v>0</v>
      </c>
      <c r="AS306" s="3" t="n">
        <v>-0</v>
      </c>
      <c r="AT306" s="3" t="n">
        <v>-0.229874323940444</v>
      </c>
      <c r="AU306" s="3">
        <f>SUM(AN306:AT306)</f>
        <v/>
      </c>
      <c r="AV306" s="7">
        <f>IF(OR(N(W306)&lt;=0,N(BG306)=0),0,N(W306)*IF(N(R306)/N(W306)&gt;=60,N(BG306),1))</f>
        <v/>
      </c>
      <c r="AW306" s="7">
        <f>N(W306)*N(AF306)*N(BH306)</f>
        <v/>
      </c>
      <c r="AX306" s="7">
        <f>N(AL306)*(Assumptions!$B$13*N(BJ306)-(1-Assumptions!$B$13)*Assumptions!$B$14)+N(AM306)</f>
        <v/>
      </c>
      <c r="AY306" s="7">
        <f>N(AU306)*N(R306)/90+N(AV306)+N(AW306)+N(AX306)</f>
        <v/>
      </c>
      <c r="AZ306" s="3">
        <f>IF(N(R306)&lt;=0,0,(N(AY306)-N(AX306))*90/N(R306))</f>
        <v/>
      </c>
      <c r="BA306" s="7">
        <f>IFERROR(AY306-VLOOKUP($E306,Assumptions!$A$40:$C$43,3,FALSE),"")</f>
        <v/>
      </c>
      <c r="BB306" s="3">
        <f>IFERROR(BA306/H306,"")</f>
        <v/>
      </c>
      <c r="BC306">
        <f>IF(AND($G306=TRUE,$E306="GKP"),AY306,"")</f>
        <v/>
      </c>
      <c r="BD306">
        <f>IF(AND($G306=TRUE,$E306="DEF"),AY306,"")</f>
        <v/>
      </c>
      <c r="BE306">
        <f>IF(AND($G306=TRUE,$E306="MID"),AY306,"")</f>
        <v/>
      </c>
      <c r="BF306">
        <f>IF(AND($G306=TRUE,$E306="FWD"),AY306,"")</f>
        <v/>
      </c>
      <c r="BG306" t="n">
        <v>2</v>
      </c>
      <c r="BH306" t="n">
        <v>2</v>
      </c>
      <c r="BI306" t="n">
        <v>0</v>
      </c>
      <c r="BJ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N307" s="4" t="n">
        <v>0</v>
      </c>
      <c r="O307" s="4" t="n">
        <v>-214</v>
      </c>
      <c r="P307" s="5" t="inlineStr">
        <is>
          <t>high</t>
        </is>
      </c>
      <c r="R307" s="6" t="n">
        <v>0</v>
      </c>
      <c r="S307" t="inlineStr">
        <is>
          <t>research</t>
        </is>
      </c>
      <c r="T307" s="5" t="inlineStr">
        <is>
          <t>Joined Getafe permanently on 13 Aug 2026, after Solio's data cutoff. He is no longer a Bournemouth player and cannot record a Premier League minute for them. The FPL bootstrap independently flags him status 'u' with the news string 'Has joined Getafe permanently'.</t>
        </is>
      </c>
      <c r="U307" s="6" t="n">
        <v>78.5</v>
      </c>
      <c r="V307" s="2" t="n">
        <v>0</v>
      </c>
      <c r="W307" s="7">
        <f>IF(N(U307)&lt;=0,0,MIN(Assumptions!$B$15,N(R307)/N(U307)))</f>
        <v/>
      </c>
      <c r="X307" s="6" t="n">
        <v>0.23</v>
      </c>
      <c r="Y307" s="3" t="n">
        <v>0.7023</v>
      </c>
      <c r="Z307" t="inlineStr">
        <is>
          <t>adjusted xGOT</t>
        </is>
      </c>
      <c r="AA307" s="3" t="n">
        <v>1</v>
      </c>
      <c r="AB307" s="3" t="n">
        <v>0.835</v>
      </c>
      <c r="AC307" s="3" t="n">
        <v>7.6</v>
      </c>
      <c r="AD307" s="3" t="n">
        <v>0.0745</v>
      </c>
      <c r="AE307" s="3" t="n">
        <v>5.911</v>
      </c>
      <c r="AF307" s="3" t="n">
        <v>0.006861587310216022</v>
      </c>
      <c r="AG307" s="3" t="n">
        <v>0.4206</v>
      </c>
      <c r="AH307" s="3" t="n">
        <v>23</v>
      </c>
      <c r="AI307" s="3" t="n">
        <v>3.0957</v>
      </c>
      <c r="AJ307" s="3" t="n">
        <v>1.53</v>
      </c>
      <c r="AK307" s="3" t="n">
        <v>-0.2485444029356791</v>
      </c>
      <c r="AL307" s="6" t="n">
        <v>0</v>
      </c>
      <c r="AM307" s="3" t="n">
        <v>0</v>
      </c>
      <c r="AN307" s="3" t="n">
        <v>2.8092</v>
      </c>
      <c r="AO307" s="3" t="n">
        <v>0.29502</v>
      </c>
      <c r="AP307" s="3">
        <f>N(X307)*N(BI307)</f>
        <v/>
      </c>
      <c r="AQ307" s="3" t="n">
        <v>0.4206</v>
      </c>
      <c r="AR307" s="3" t="n">
        <v>0</v>
      </c>
      <c r="AS307" s="3" t="n">
        <v>-0</v>
      </c>
      <c r="AT307" s="3" t="n">
        <v>-0.2485444029356791</v>
      </c>
      <c r="AU307" s="3">
        <f>SUM(AN307:AT307)</f>
        <v/>
      </c>
      <c r="AV307" s="7">
        <f>IF(OR(N(W307)&lt;=0,N(BG307)=0),0,N(W307)*IF(N(R307)/N(W307)&gt;=60,N(BG307),1))</f>
        <v/>
      </c>
      <c r="AW307" s="7">
        <f>N(W307)*N(AF307)*N(BH307)</f>
        <v/>
      </c>
      <c r="AX307" s="7">
        <f>N(AL307)*(Assumptions!$B$13*N(BJ307)-(1-Assumptions!$B$13)*Assumptions!$B$14)+N(AM307)</f>
        <v/>
      </c>
      <c r="AY307" s="7">
        <f>N(AU307)*N(R307)/90+N(AV307)+N(AW307)+N(AX307)</f>
        <v/>
      </c>
      <c r="AZ307" s="3">
        <f>IF(N(R307)&lt;=0,0,(N(AY307)-N(AX307))*90/N(R307))</f>
        <v/>
      </c>
      <c r="BA307" s="7">
        <f>IFERROR(AY307-VLOOKUP($E307,Assumptions!$A$40:$C$43,3,FALSE),"")</f>
        <v/>
      </c>
      <c r="BB307" s="3">
        <f>IFERROR(BA307/H307,"")</f>
        <v/>
      </c>
      <c r="BC307">
        <f>IF(AND($G307=TRUE,$E307="GKP"),AY307,"")</f>
        <v/>
      </c>
      <c r="BD307">
        <f>IF(AND($G307=TRUE,$E307="DEF"),AY307,"")</f>
        <v/>
      </c>
      <c r="BE307">
        <f>IF(AND($G307=TRUE,$E307="MID"),AY307,"")</f>
        <v/>
      </c>
      <c r="BF307">
        <f>IF(AND($G307=TRUE,$E307="FWD"),AY307,"")</f>
        <v/>
      </c>
      <c r="BG307" t="n">
        <v>2</v>
      </c>
      <c r="BH307" t="n">
        <v>2</v>
      </c>
      <c r="BI307" t="n">
        <v>0</v>
      </c>
      <c r="BJ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s="4" t="n">
        <v>1050</v>
      </c>
      <c r="O308" s="4" t="n">
        <v>644</v>
      </c>
      <c r="P308" s="5" t="inlineStr">
        <is>
          <t>medium</t>
        </is>
      </c>
      <c r="Q308" t="inlineStr">
        <is>
          <t>flat</t>
        </is>
      </c>
      <c r="R308" s="6" t="n">
        <v>1050</v>
      </c>
      <c r="S308" t="inlineStr">
        <is>
          <t>research</t>
        </is>
      </c>
      <c r="T308" s="5" t="inlineStr">
        <is>
          <t>Solio has O'Nien at 406 minutes, a deep-squad number. He started both August friendlies at centre-back, and both the 11 Aug Echo preview and follow-up analysis have him starting the opener, with Le Bris quoted that 'we know he's ready to be competitive in that league'. Deliberately not raised further: the opening is created by Mukiele's and Alderete's knocks, both of which Le Bris expects to clear within weeks, and O'Nien is 31 with 565 Premier League minutes last season. The proposed figure treats him as a genuine rotation defender who starts the season in the XI, not as a new nailed-on starter.</t>
        </is>
      </c>
      <c r="U308" s="6" t="n">
        <v>87</v>
      </c>
      <c r="V308" s="2" t="n">
        <v>5</v>
      </c>
      <c r="W308" s="7">
        <f>IF(N(U308)&lt;=0,0,MIN(Assumptions!$B$15,N(R308)/N(U308)))</f>
        <v/>
      </c>
      <c r="X308" s="6" t="n">
        <v>0.204</v>
      </c>
      <c r="Y308" s="3" t="n">
        <v>0.0237</v>
      </c>
      <c r="Z308" t="inlineStr">
        <is>
          <t>adjusted xGOT</t>
        </is>
      </c>
      <c r="AA308" s="3" t="n">
        <v>1</v>
      </c>
      <c r="AB308" s="3" t="n">
        <v>0.994</v>
      </c>
      <c r="AC308" s="3" t="n">
        <v>0.2</v>
      </c>
      <c r="AD308" s="3" t="n">
        <v>0.0188</v>
      </c>
      <c r="AE308" s="3" t="n">
        <v>7.318</v>
      </c>
      <c r="AF308" s="3" t="n">
        <v>0.1770935280343157</v>
      </c>
      <c r="AG308" s="3" t="n">
        <v>0.1593</v>
      </c>
      <c r="AH308" s="3" t="n">
        <v>18</v>
      </c>
      <c r="AI308" s="3" t="n">
        <v>3.3348</v>
      </c>
      <c r="AJ308" s="3" t="n">
        <v>1.6498</v>
      </c>
      <c r="AK308" s="3" t="n">
        <v>-0.1977506570608021</v>
      </c>
      <c r="AL308" s="6" t="n">
        <v>0</v>
      </c>
      <c r="AM308" s="3" t="n">
        <v>0</v>
      </c>
      <c r="AN308" s="3" t="n">
        <v>0.1422</v>
      </c>
      <c r="AO308" s="3" t="n">
        <v>0.07444800000000001</v>
      </c>
      <c r="AP308" s="3">
        <f>N(X308)*N(BI308)</f>
        <v/>
      </c>
      <c r="AQ308" s="3" t="n">
        <v>0.1593</v>
      </c>
      <c r="AR308" s="3" t="n">
        <v>0</v>
      </c>
      <c r="AS308" s="3" t="n">
        <v>-0.5841244809045405</v>
      </c>
      <c r="AT308" s="3" t="n">
        <v>-0.1977506570608021</v>
      </c>
      <c r="AU308" s="3">
        <f>SUM(AN308:AT308)</f>
        <v/>
      </c>
      <c r="AV308" s="7">
        <f>IF(OR(N(W308)&lt;=0,N(BG308)=0),0,N(W308)*IF(N(R308)/N(W308)&gt;=60,N(BG308),1))</f>
        <v/>
      </c>
      <c r="AW308" s="7">
        <f>N(W308)*N(AF308)*N(BH308)</f>
        <v/>
      </c>
      <c r="AX308" s="7">
        <f>N(AL308)*(Assumptions!$B$13*N(BJ308)-(1-Assumptions!$B$13)*Assumptions!$B$14)+N(AM308)</f>
        <v/>
      </c>
      <c r="AY308" s="7">
        <f>N(AU308)*N(R308)/90+N(AV308)+N(AW308)+N(AX308)</f>
        <v/>
      </c>
      <c r="AZ308" s="3">
        <f>IF(N(R308)&lt;=0,0,(N(AY308)-N(AX308))*90/N(R308))</f>
        <v/>
      </c>
      <c r="BA308" s="7">
        <f>IFERROR(AY308-VLOOKUP($E308,Assumptions!$A$40:$C$43,3,FALSE),"")</f>
        <v/>
      </c>
      <c r="BB308" s="3">
        <f>IFERROR(BA308/H308,"")</f>
        <v/>
      </c>
      <c r="BC308">
        <f>IF(AND($G308=TRUE,$E308="GKP"),AY308,"")</f>
        <v/>
      </c>
      <c r="BD308">
        <f>IF(AND($G308=TRUE,$E308="DEF"),AY308,"")</f>
        <v/>
      </c>
      <c r="BE308">
        <f>IF(AND($G308=TRUE,$E308="MID"),AY308,"")</f>
        <v/>
      </c>
      <c r="BF308">
        <f>IF(AND($G308=TRUE,$E308="FWD"),AY308,"")</f>
        <v/>
      </c>
      <c r="BG308" t="n">
        <v>2</v>
      </c>
      <c r="BH308" t="n">
        <v>2</v>
      </c>
      <c r="BI308" t="n">
        <v>4</v>
      </c>
      <c r="BJ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s="8" t="n">
        <v>164</v>
      </c>
      <c r="O309" s="8" t="n">
        <v>0</v>
      </c>
      <c r="Q309" t="inlineStr">
        <is>
          <t>flat</t>
        </is>
      </c>
      <c r="R309" s="6" t="n">
        <v>164</v>
      </c>
      <c r="S309" t="inlineStr">
        <is>
          <t>Solio</t>
        </is>
      </c>
      <c r="U309" s="6" t="n">
        <v>74.09999999999999</v>
      </c>
      <c r="V309" s="2" t="n">
        <v>6</v>
      </c>
      <c r="W309" s="7">
        <f>IF(N(U309)&lt;=0,0,MIN(Assumptions!$B$15,N(R309)/N(U309)))</f>
        <v/>
      </c>
      <c r="X309" s="6" t="n">
        <v>0.224</v>
      </c>
      <c r="Y309" s="3" t="n">
        <v>0.0851</v>
      </c>
      <c r="Z309" t="inlineStr">
        <is>
          <t>adjusted xGOT</t>
        </is>
      </c>
      <c r="AA309" s="3" t="n">
        <v>1</v>
      </c>
      <c r="AB309" s="3" t="n">
        <v>0.96</v>
      </c>
      <c r="AC309" s="3" t="n">
        <v>0.5</v>
      </c>
      <c r="AD309" s="3" t="n">
        <v>0.1825</v>
      </c>
      <c r="AE309" s="3" t="n">
        <v>7.349</v>
      </c>
      <c r="AF309" s="3" t="n">
        <v>0.02125795280200315</v>
      </c>
      <c r="AG309" s="3" t="n">
        <v>0.1639</v>
      </c>
      <c r="AH309" s="3" t="n">
        <v>18</v>
      </c>
      <c r="AI309" s="3" t="n">
        <v>3.1134</v>
      </c>
      <c r="AJ309" s="3" t="n">
        <v>1.5588</v>
      </c>
      <c r="AK309" s="3" t="n">
        <v>-0.2062518757226311</v>
      </c>
      <c r="AL309" s="6" t="n">
        <v>0</v>
      </c>
      <c r="AM309" s="3" t="n">
        <v>0</v>
      </c>
      <c r="AN309" s="3" t="n">
        <v>0.4255</v>
      </c>
      <c r="AO309" s="3" t="n">
        <v>0.7227</v>
      </c>
      <c r="AP309" s="3">
        <f>N(X309)*N(BI309)</f>
        <v/>
      </c>
      <c r="AQ309" s="3" t="n">
        <v>0.1639</v>
      </c>
      <c r="AR309" s="3" t="n">
        <v>0</v>
      </c>
      <c r="AS309" s="3" t="n">
        <v>-0</v>
      </c>
      <c r="AT309" s="3" t="n">
        <v>-0.2062518757226311</v>
      </c>
      <c r="AU309" s="3">
        <f>SUM(AN309:AT309)</f>
        <v/>
      </c>
      <c r="AV309" s="7">
        <f>IF(OR(N(W309)&lt;=0,N(BG309)=0),0,N(W309)*IF(N(R309)/N(W309)&gt;=60,N(BG309),1))</f>
        <v/>
      </c>
      <c r="AW309" s="7">
        <f>N(W309)*N(AF309)*N(BH309)</f>
        <v/>
      </c>
      <c r="AX309" s="7">
        <f>N(AL309)*(Assumptions!$B$13*N(BJ309)-(1-Assumptions!$B$13)*Assumptions!$B$14)+N(AM309)</f>
        <v/>
      </c>
      <c r="AY309" s="7">
        <f>N(AU309)*N(R309)/90+N(AV309)+N(AW309)+N(AX309)</f>
        <v/>
      </c>
      <c r="AZ309" s="3">
        <f>IF(N(R309)&lt;=0,0,(N(AY309)-N(AX309))*90/N(R309))</f>
        <v/>
      </c>
      <c r="BA309" s="7">
        <f>IFERROR(AY309-VLOOKUP($E309,Assumptions!$A$40:$C$43,3,FALSE),"")</f>
        <v/>
      </c>
      <c r="BB309" s="3">
        <f>IFERROR(BA309/H309,"")</f>
        <v/>
      </c>
      <c r="BC309">
        <f>IF(AND($G309=TRUE,$E309="GKP"),AY309,"")</f>
        <v/>
      </c>
      <c r="BD309">
        <f>IF(AND($G309=TRUE,$E309="DEF"),AY309,"")</f>
        <v/>
      </c>
      <c r="BE309">
        <f>IF(AND($G309=TRUE,$E309="MID"),AY309,"")</f>
        <v/>
      </c>
      <c r="BF309">
        <f>IF(AND($G309=TRUE,$E309="FWD"),AY309,"")</f>
        <v/>
      </c>
      <c r="BG309" t="n">
        <v>2</v>
      </c>
      <c r="BH309" t="n">
        <v>2</v>
      </c>
      <c r="BI309" t="n">
        <v>1</v>
      </c>
      <c r="BJ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s="8" t="n">
        <v>464</v>
      </c>
      <c r="O310" s="8" t="n">
        <v>0</v>
      </c>
      <c r="Q310" t="inlineStr">
        <is>
          <t>flat</t>
        </is>
      </c>
      <c r="R310" s="6" t="n">
        <v>464</v>
      </c>
      <c r="S310" t="inlineStr">
        <is>
          <t>Solio</t>
        </is>
      </c>
      <c r="U310" s="6" t="n">
        <v>72.3</v>
      </c>
      <c r="V310" s="2" t="n">
        <v>5</v>
      </c>
      <c r="W310" s="7">
        <f>IF(N(U310)&lt;=0,0,MIN(Assumptions!$B$15,N(R310)/N(U310)))</f>
        <v/>
      </c>
      <c r="X310" s="6" t="n">
        <v>0.322</v>
      </c>
      <c r="Y310" s="3" t="n">
        <v>0.138</v>
      </c>
      <c r="Z310" t="inlineStr">
        <is>
          <t>adjusted xGOT</t>
        </is>
      </c>
      <c r="AA310" s="3" t="n">
        <v>1</v>
      </c>
      <c r="AB310" s="3" t="n">
        <v>0.919</v>
      </c>
      <c r="AC310" s="3" t="n">
        <v>0.8</v>
      </c>
      <c r="AD310" s="3" t="n">
        <v>0.1776</v>
      </c>
      <c r="AE310" s="3" t="n">
        <v>7.285</v>
      </c>
      <c r="AF310" s="3" t="n">
        <v>0.01696414758920628</v>
      </c>
      <c r="AG310" s="3" t="n">
        <v>0</v>
      </c>
      <c r="AH310" s="3" t="n">
        <v>18</v>
      </c>
      <c r="AI310" s="3" t="n">
        <v>2.4232</v>
      </c>
      <c r="AJ310" s="3" t="n">
        <v>1.1851</v>
      </c>
      <c r="AK310" s="3" t="n">
        <v>-0.1657253341110213</v>
      </c>
      <c r="AL310" s="6" t="n">
        <v>0</v>
      </c>
      <c r="AM310" s="3" t="n">
        <v>0</v>
      </c>
      <c r="AN310" s="3" t="n">
        <v>0.6900000000000001</v>
      </c>
      <c r="AO310" s="3" t="n">
        <v>0.7032960000000001</v>
      </c>
      <c r="AP310" s="3">
        <f>N(X310)*N(BI310)</f>
        <v/>
      </c>
      <c r="AQ310" s="3" t="n">
        <v>0</v>
      </c>
      <c r="AR310" s="3" t="n">
        <v>0</v>
      </c>
      <c r="AS310" s="3" t="n">
        <v>-0</v>
      </c>
      <c r="AT310" s="3" t="n">
        <v>-0.1657253341110213</v>
      </c>
      <c r="AU310" s="3">
        <f>SUM(AN310:AT310)</f>
        <v/>
      </c>
      <c r="AV310" s="7">
        <f>IF(OR(N(W310)&lt;=0,N(BG310)=0),0,N(W310)*IF(N(R310)/N(W310)&gt;=60,N(BG310),1))</f>
        <v/>
      </c>
      <c r="AW310" s="7">
        <f>N(W310)*N(AF310)*N(BH310)</f>
        <v/>
      </c>
      <c r="AX310" s="7">
        <f>N(AL310)*(Assumptions!$B$13*N(BJ310)-(1-Assumptions!$B$13)*Assumptions!$B$14)+N(AM310)</f>
        <v/>
      </c>
      <c r="AY310" s="7">
        <f>N(AU310)*N(R310)/90+N(AV310)+N(AW310)+N(AX310)</f>
        <v/>
      </c>
      <c r="AZ310" s="3">
        <f>IF(N(R310)&lt;=0,0,(N(AY310)-N(AX310))*90/N(R310))</f>
        <v/>
      </c>
      <c r="BA310" s="7">
        <f>IFERROR(AY310-VLOOKUP($E310,Assumptions!$A$40:$C$43,3,FALSE),"")</f>
        <v/>
      </c>
      <c r="BB310" s="3">
        <f>IFERROR(BA310/H310,"")</f>
        <v/>
      </c>
      <c r="BC310">
        <f>IF(AND($G310=TRUE,$E310="GKP"),AY310,"")</f>
        <v/>
      </c>
      <c r="BD310">
        <f>IF(AND($G310=TRUE,$E310="DEF"),AY310,"")</f>
        <v/>
      </c>
      <c r="BE310">
        <f>IF(AND($G310=TRUE,$E310="MID"),AY310,"")</f>
        <v/>
      </c>
      <c r="BF310">
        <f>IF(AND($G310=TRUE,$E310="FWD"),AY310,"")</f>
        <v/>
      </c>
      <c r="BG310" t="n">
        <v>2</v>
      </c>
      <c r="BH310" t="n">
        <v>2</v>
      </c>
      <c r="BI310" t="n">
        <v>1</v>
      </c>
      <c r="BJ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s="4" t="n">
        <v>150</v>
      </c>
      <c r="O311" s="4" t="n">
        <v>-195</v>
      </c>
      <c r="P311" s="5" t="inlineStr">
        <is>
          <t>low</t>
        </is>
      </c>
      <c r="Q311" t="inlineStr">
        <is>
          <t>flat</t>
        </is>
      </c>
      <c r="R311" s="6" t="n">
        <v>150</v>
      </c>
      <c r="S311" t="inlineStr">
        <is>
          <t>research</t>
        </is>
      </c>
      <c r="T311" s="5" t="inlineStr">
        <is>
          <t>Likely departure. He was an unused substitute in the final friendly, local press on 15 Aug reported HSV 'closing in on a deal', and Farke confirmed on 13 Aug that Leeds are 'in very open, honest discussions also with him' about his future while saying 'I could live very, very good if he stays'. Separately, the Nico Elvedi deal is reported to be contingent on Bornauw leaving. Cut only partway rather than to zero because Farke has publicly said he would be happy to keep him and nothing is signed.</t>
        </is>
      </c>
      <c r="U311" s="6" t="n">
        <v>82.90000000000001</v>
      </c>
      <c r="V311" s="2" t="n">
        <v>5</v>
      </c>
      <c r="W311" s="7">
        <f>IF(N(U311)&lt;=0,0,MIN(Assumptions!$B$15,N(R311)/N(U311)))</f>
        <v/>
      </c>
      <c r="X311" s="6" t="n">
        <v>0.218</v>
      </c>
      <c r="Y311" s="3" t="n">
        <v>0.0409</v>
      </c>
      <c r="Z311" t="inlineStr">
        <is>
          <t>adjusted xGOT</t>
        </is>
      </c>
      <c r="AA311" s="3" t="n">
        <v>1</v>
      </c>
      <c r="AB311" s="3" t="n">
        <v>0.976</v>
      </c>
      <c r="AC311" s="3" t="n">
        <v>0.2</v>
      </c>
      <c r="AD311" s="3" t="n">
        <v>0.001</v>
      </c>
      <c r="AE311" s="3" t="n">
        <v>8.654</v>
      </c>
      <c r="AF311" s="3" t="n">
        <v>0.279820632909718</v>
      </c>
      <c r="AG311" s="3" t="n">
        <v>0</v>
      </c>
      <c r="AH311" s="3" t="n">
        <v>16</v>
      </c>
      <c r="AI311" s="3" t="n">
        <v>3.0611</v>
      </c>
      <c r="AJ311" s="3" t="n">
        <v>1.5875</v>
      </c>
      <c r="AK311" s="3" t="n">
        <v>-0.2105976440646309</v>
      </c>
      <c r="AL311" s="6" t="n">
        <v>0</v>
      </c>
      <c r="AM311" s="3" t="n">
        <v>0</v>
      </c>
      <c r="AN311" s="3" t="n">
        <v>0.2454</v>
      </c>
      <c r="AO311" s="3" t="n">
        <v>0.00396</v>
      </c>
      <c r="AP311" s="3">
        <f>N(X311)*N(BI311)</f>
        <v/>
      </c>
      <c r="AQ311" s="3" t="n">
        <v>0</v>
      </c>
      <c r="AR311" s="3" t="n">
        <v>0</v>
      </c>
      <c r="AS311" s="3" t="n">
        <v>-0.5541985260210861</v>
      </c>
      <c r="AT311" s="3" t="n">
        <v>-0.2105976440646309</v>
      </c>
      <c r="AU311" s="3">
        <f>SUM(AN311:AT311)</f>
        <v/>
      </c>
      <c r="AV311" s="7">
        <f>IF(OR(N(W311)&lt;=0,N(BG311)=0),0,N(W311)*IF(N(R311)/N(W311)&gt;=60,N(BG311),1))</f>
        <v/>
      </c>
      <c r="AW311" s="7">
        <f>N(W311)*N(AF311)*N(BH311)</f>
        <v/>
      </c>
      <c r="AX311" s="7">
        <f>N(AL311)*(Assumptions!$B$13*N(BJ311)-(1-Assumptions!$B$13)*Assumptions!$B$14)+N(AM311)</f>
        <v/>
      </c>
      <c r="AY311" s="7">
        <f>N(AU311)*N(R311)/90+N(AV311)+N(AW311)+N(AX311)</f>
        <v/>
      </c>
      <c r="AZ311" s="3">
        <f>IF(N(R311)&lt;=0,0,(N(AY311)-N(AX311))*90/N(R311))</f>
        <v/>
      </c>
      <c r="BA311" s="7">
        <f>IFERROR(AY311-VLOOKUP($E311,Assumptions!$A$40:$C$43,3,FALSE),"")</f>
        <v/>
      </c>
      <c r="BB311" s="3">
        <f>IFERROR(BA311/H311,"")</f>
        <v/>
      </c>
      <c r="BC311">
        <f>IF(AND($G311=TRUE,$E311="GKP"),AY311,"")</f>
        <v/>
      </c>
      <c r="BD311">
        <f>IF(AND($G311=TRUE,$E311="DEF"),AY311,"")</f>
        <v/>
      </c>
      <c r="BE311">
        <f>IF(AND($G311=TRUE,$E311="MID"),AY311,"")</f>
        <v/>
      </c>
      <c r="BF311">
        <f>IF(AND($G311=TRUE,$E311="FWD"),AY311,"")</f>
        <v/>
      </c>
      <c r="BG311" t="n">
        <v>2</v>
      </c>
      <c r="BH311" t="n">
        <v>2</v>
      </c>
      <c r="BI311" t="n">
        <v>4</v>
      </c>
      <c r="BJ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s="4" t="n">
        <v>0</v>
      </c>
      <c r="O312" s="4" t="n">
        <v>-86</v>
      </c>
      <c r="P312" s="5" t="inlineStr">
        <is>
          <t>medium</t>
        </is>
      </c>
      <c r="Q312" t="inlineStr">
        <is>
          <t>flat</t>
        </is>
      </c>
      <c r="R312" s="6" t="n">
        <v>0</v>
      </c>
      <c r="S312" t="inlineStr">
        <is>
          <t>research</t>
        </is>
      </c>
      <c r="T312" s="5" t="inlineStr">
        <is>
          <t>Arseblog News on 13 August: 'Napoli continue to be linked with Gabriel Jesus', and lists him among the players expected to move on before the window shuts. Behind Havertz, Gyokeres and Havertz-Gyokeres rotation he has no route to league minutes if he stays either.</t>
        </is>
      </c>
      <c r="U312" s="6" t="n">
        <v>75</v>
      </c>
      <c r="V312" s="2" t="n">
        <v>3</v>
      </c>
      <c r="W312" s="7">
        <f>IF(N(U312)&lt;=0,0,MIN(Assumptions!$B$15,N(R312)/N(U312)))</f>
        <v/>
      </c>
      <c r="X312" s="6" t="n">
        <v>0.391</v>
      </c>
      <c r="Y312" s="3" t="n">
        <v>0.509</v>
      </c>
      <c r="Z312" t="inlineStr">
        <is>
          <t>adjusted xGOT</t>
        </is>
      </c>
      <c r="AA312" s="3" t="n">
        <v>1</v>
      </c>
      <c r="AB312" s="3" t="n">
        <v>0.872</v>
      </c>
      <c r="AC312" s="3" t="n">
        <v>26.3</v>
      </c>
      <c r="AD312" s="3" t="n">
        <v>0.0504</v>
      </c>
      <c r="AE312" s="3" t="n">
        <v>5.405</v>
      </c>
      <c r="AF312" s="3" t="n">
        <v>0.002422105407343556</v>
      </c>
      <c r="AG312" s="3" t="n">
        <v>0</v>
      </c>
      <c r="AH312" s="3" t="n">
        <v>15</v>
      </c>
      <c r="AI312" s="3" t="n">
        <v>2.067</v>
      </c>
      <c r="AJ312" s="3" t="n">
        <v>0.9838</v>
      </c>
      <c r="AK312" s="3" t="n">
        <v>-0.3454871230750396</v>
      </c>
      <c r="AL312" s="6" t="n">
        <v>0</v>
      </c>
      <c r="AM312" s="3" t="n">
        <v>0</v>
      </c>
      <c r="AN312" s="3" t="n">
        <v>2.036</v>
      </c>
      <c r="AO312" s="3" t="n">
        <v>0.199584</v>
      </c>
      <c r="AP312" s="3">
        <f>N(X312)*N(BI312)</f>
        <v/>
      </c>
      <c r="AQ312" s="3" t="n">
        <v>0</v>
      </c>
      <c r="AR312" s="3" t="n">
        <v>0</v>
      </c>
      <c r="AS312" s="3" t="n">
        <v>-0</v>
      </c>
      <c r="AT312" s="3" t="n">
        <v>-0.3454871230750396</v>
      </c>
      <c r="AU312" s="3">
        <f>SUM(AN312:AT312)</f>
        <v/>
      </c>
      <c r="AV312" s="7">
        <f>IF(OR(N(W312)&lt;=0,N(BG312)=0),0,N(W312)*IF(N(R312)/N(W312)&gt;=60,N(BG312),1))</f>
        <v/>
      </c>
      <c r="AW312" s="7">
        <f>N(W312)*N(AF312)*N(BH312)</f>
        <v/>
      </c>
      <c r="AX312" s="7">
        <f>N(AL312)*(Assumptions!$B$13*N(BJ312)-(1-Assumptions!$B$13)*Assumptions!$B$14)+N(AM312)</f>
        <v/>
      </c>
      <c r="AY312" s="7">
        <f>N(AU312)*N(R312)/90+N(AV312)+N(AW312)+N(AX312)</f>
        <v/>
      </c>
      <c r="AZ312" s="3">
        <f>IF(N(R312)&lt;=0,0,(N(AY312)-N(AX312))*90/N(R312))</f>
        <v/>
      </c>
      <c r="BA312" s="7">
        <f>IFERROR(AY312-VLOOKUP($E312,Assumptions!$A$40:$C$43,3,FALSE),"")</f>
        <v/>
      </c>
      <c r="BB312" s="3">
        <f>IFERROR(BA312/H312,"")</f>
        <v/>
      </c>
      <c r="BC312">
        <f>IF(AND($G312=TRUE,$E312="GKP"),AY312,"")</f>
        <v/>
      </c>
      <c r="BD312">
        <f>IF(AND($G312=TRUE,$E312="DEF"),AY312,"")</f>
        <v/>
      </c>
      <c r="BE312">
        <f>IF(AND($G312=TRUE,$E312="MID"),AY312,"")</f>
        <v/>
      </c>
      <c r="BF312">
        <f>IF(AND($G312=TRUE,$E312="FWD"),AY312,"")</f>
        <v/>
      </c>
      <c r="BG312" t="n">
        <v>2</v>
      </c>
      <c r="BH312" t="n">
        <v>2</v>
      </c>
      <c r="BI312" t="n">
        <v>0</v>
      </c>
      <c r="BJ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s="8" t="n">
        <v>429</v>
      </c>
      <c r="O313" s="8" t="n">
        <v>0</v>
      </c>
      <c r="Q313" t="inlineStr">
        <is>
          <t>flat</t>
        </is>
      </c>
      <c r="R313" s="6" t="n">
        <v>429</v>
      </c>
      <c r="S313" t="inlineStr">
        <is>
          <t>Solio</t>
        </is>
      </c>
      <c r="U313" s="6" t="n">
        <v>73</v>
      </c>
      <c r="V313" s="2" t="n">
        <v>6</v>
      </c>
      <c r="W313" s="7">
        <f>IF(N(U313)&lt;=0,0,MIN(Assumptions!$B$15,N(R313)/N(U313)))</f>
        <v/>
      </c>
      <c r="X313" s="6" t="n">
        <v>0.218</v>
      </c>
      <c r="Y313" s="3" t="n">
        <v>0.1466</v>
      </c>
      <c r="Z313" t="inlineStr">
        <is>
          <t>adjusted xGOT</t>
        </is>
      </c>
      <c r="AA313" s="3" t="n">
        <v>1</v>
      </c>
      <c r="AB313" s="3" t="n">
        <v>0.979</v>
      </c>
      <c r="AC313" s="3" t="n">
        <v>2.9</v>
      </c>
      <c r="AD313" s="3" t="n">
        <v>0.0987</v>
      </c>
      <c r="AE313" s="3" t="n">
        <v>7.36</v>
      </c>
      <c r="AF313" s="3" t="n">
        <v>0.01941962191453017</v>
      </c>
      <c r="AG313" s="3" t="n">
        <v>0</v>
      </c>
      <c r="AH313" s="3" t="n">
        <v>22</v>
      </c>
      <c r="AI313" s="3" t="n">
        <v>3.0611</v>
      </c>
      <c r="AJ313" s="3" t="n">
        <v>1.5875</v>
      </c>
      <c r="AK313" s="3" t="n">
        <v>-0.1611483197653539</v>
      </c>
      <c r="AL313" s="6" t="n">
        <v>0</v>
      </c>
      <c r="AM313" s="3" t="n">
        <v>0</v>
      </c>
      <c r="AN313" s="3" t="n">
        <v>0.7330000000000001</v>
      </c>
      <c r="AO313" s="3" t="n">
        <v>0.390852</v>
      </c>
      <c r="AP313" s="3">
        <f>N(X313)*N(BI313)</f>
        <v/>
      </c>
      <c r="AQ313" s="3" t="n">
        <v>0</v>
      </c>
      <c r="AR313" s="3" t="n">
        <v>0</v>
      </c>
      <c r="AS313" s="3" t="n">
        <v>-0</v>
      </c>
      <c r="AT313" s="3" t="n">
        <v>-0.1611483197653539</v>
      </c>
      <c r="AU313" s="3">
        <f>SUM(AN313:AT313)</f>
        <v/>
      </c>
      <c r="AV313" s="7">
        <f>IF(OR(N(W313)&lt;=0,N(BG313)=0),0,N(W313)*IF(N(R313)/N(W313)&gt;=60,N(BG313),1))</f>
        <v/>
      </c>
      <c r="AW313" s="7">
        <f>N(W313)*N(AF313)*N(BH313)</f>
        <v/>
      </c>
      <c r="AX313" s="7">
        <f>N(AL313)*(Assumptions!$B$13*N(BJ313)-(1-Assumptions!$B$13)*Assumptions!$B$14)+N(AM313)</f>
        <v/>
      </c>
      <c r="AY313" s="7">
        <f>N(AU313)*N(R313)/90+N(AV313)+N(AW313)+N(AX313)</f>
        <v/>
      </c>
      <c r="AZ313" s="3">
        <f>IF(N(R313)&lt;=0,0,(N(AY313)-N(AX313))*90/N(R313))</f>
        <v/>
      </c>
      <c r="BA313" s="7">
        <f>IFERROR(AY313-VLOOKUP($E313,Assumptions!$A$40:$C$43,3,FALSE),"")</f>
        <v/>
      </c>
      <c r="BB313" s="3">
        <f>IFERROR(BA313/H313,"")</f>
        <v/>
      </c>
      <c r="BC313">
        <f>IF(AND($G313=TRUE,$E313="GKP"),AY313,"")</f>
        <v/>
      </c>
      <c r="BD313">
        <f>IF(AND($G313=TRUE,$E313="DEF"),AY313,"")</f>
        <v/>
      </c>
      <c r="BE313">
        <f>IF(AND($G313=TRUE,$E313="MID"),AY313,"")</f>
        <v/>
      </c>
      <c r="BF313">
        <f>IF(AND($G313=TRUE,$E313="FWD"),AY313,"")</f>
        <v/>
      </c>
      <c r="BG313" t="n">
        <v>2</v>
      </c>
      <c r="BH313" t="n">
        <v>2</v>
      </c>
      <c r="BI313" t="n">
        <v>1</v>
      </c>
      <c r="BJ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s="4" t="n">
        <v>400</v>
      </c>
      <c r="O314" s="4" t="n">
        <v>134</v>
      </c>
      <c r="P314" s="5" t="inlineStr">
        <is>
          <t>low</t>
        </is>
      </c>
      <c r="Q314" t="inlineStr">
        <is>
          <t>flat</t>
        </is>
      </c>
      <c r="R314" s="6" t="n">
        <v>400</v>
      </c>
      <c r="S314" t="inlineStr">
        <is>
          <t>research</t>
        </is>
      </c>
      <c r="T314" s="5" t="inlineStr">
        <is>
          <t>Small uplift. He scored twice against Swindon in July, scored again in the Como Cup against Al-Ula, and came on for Sarr at Freiburg, so he is fit and being used. Kept low because he is third in a three-way striker queue and is a candidate to be moved on before 1 September.</t>
        </is>
      </c>
      <c r="U314" s="6" t="n">
        <v>77.09999999999999</v>
      </c>
      <c r="V314" s="2" t="n">
        <v>2</v>
      </c>
      <c r="W314" s="7">
        <f>IF(N(U314)&lt;=0,0,MIN(Assumptions!$B$15,N(R314)/N(U314)))</f>
        <v/>
      </c>
      <c r="X314" s="6" t="n">
        <v>0.216</v>
      </c>
      <c r="Y314" s="3" t="n">
        <v>0.335</v>
      </c>
      <c r="Z314" t="inlineStr">
        <is>
          <t>adjusted xGOT</t>
        </is>
      </c>
      <c r="AA314" s="3" t="n">
        <v>1</v>
      </c>
      <c r="AB314" s="3" t="n">
        <v>0.871</v>
      </c>
      <c r="AC314" s="3" t="n">
        <v>20.2</v>
      </c>
      <c r="AD314" s="3" t="n">
        <v>0.1544</v>
      </c>
      <c r="AE314" s="3" t="n">
        <v>6.059</v>
      </c>
      <c r="AF314" s="3" t="n">
        <v>0.007212772624840658</v>
      </c>
      <c r="AG314" s="3" t="n">
        <v>0.6522</v>
      </c>
      <c r="AH314" s="3" t="n">
        <v>14</v>
      </c>
      <c r="AI314" s="3" t="n">
        <v>3.2035</v>
      </c>
      <c r="AJ314" s="3" t="n">
        <v>1.5923</v>
      </c>
      <c r="AK314" s="3" t="n">
        <v>-0.2672003494368691</v>
      </c>
      <c r="AL314" s="6" t="n">
        <v>0</v>
      </c>
      <c r="AM314" s="3" t="n">
        <v>0</v>
      </c>
      <c r="AN314" s="3" t="n">
        <v>1.34</v>
      </c>
      <c r="AO314" s="3" t="n">
        <v>0.6114240000000001</v>
      </c>
      <c r="AP314" s="3">
        <f>N(X314)*N(BI314)</f>
        <v/>
      </c>
      <c r="AQ314" s="3" t="n">
        <v>0.6522</v>
      </c>
      <c r="AR314" s="3" t="n">
        <v>0</v>
      </c>
      <c r="AS314" s="3" t="n">
        <v>-0</v>
      </c>
      <c r="AT314" s="3" t="n">
        <v>-0.2672003494368691</v>
      </c>
      <c r="AU314" s="3">
        <f>SUM(AN314:AT314)</f>
        <v/>
      </c>
      <c r="AV314" s="7">
        <f>IF(OR(N(W314)&lt;=0,N(BG314)=0),0,N(W314)*IF(N(R314)/N(W314)&gt;=60,N(BG314),1))</f>
        <v/>
      </c>
      <c r="AW314" s="7">
        <f>N(W314)*N(AF314)*N(BH314)</f>
        <v/>
      </c>
      <c r="AX314" s="7">
        <f>N(AL314)*(Assumptions!$B$13*N(BJ314)-(1-Assumptions!$B$13)*Assumptions!$B$14)+N(AM314)</f>
        <v/>
      </c>
      <c r="AY314" s="7">
        <f>N(AU314)*N(R314)/90+N(AV314)+N(AW314)+N(AX314)</f>
        <v/>
      </c>
      <c r="AZ314" s="3">
        <f>IF(N(R314)&lt;=0,0,(N(AY314)-N(AX314))*90/N(R314))</f>
        <v/>
      </c>
      <c r="BA314" s="7">
        <f>IFERROR(AY314-VLOOKUP($E314,Assumptions!$A$40:$C$43,3,FALSE),"")</f>
        <v/>
      </c>
      <c r="BB314" s="3">
        <f>IFERROR(BA314/H314,"")</f>
        <v/>
      </c>
      <c r="BC314">
        <f>IF(AND($G314=TRUE,$E314="GKP"),AY314,"")</f>
        <v/>
      </c>
      <c r="BD314">
        <f>IF(AND($G314=TRUE,$E314="DEF"),AY314,"")</f>
        <v/>
      </c>
      <c r="BE314">
        <f>IF(AND($G314=TRUE,$E314="MID"),AY314,"")</f>
        <v/>
      </c>
      <c r="BF314">
        <f>IF(AND($G314=TRUE,$E314="FWD"),AY314,"")</f>
        <v/>
      </c>
      <c r="BG314" t="n">
        <v>2</v>
      </c>
      <c r="BH314" t="n">
        <v>2</v>
      </c>
      <c r="BI314" t="n">
        <v>0</v>
      </c>
      <c r="BJ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s="4" t="n">
        <v>600</v>
      </c>
      <c r="O315" s="4" t="n">
        <v>320</v>
      </c>
      <c r="P315" s="5" t="inlineStr">
        <is>
          <t>medium</t>
        </is>
      </c>
      <c r="Q315" t="inlineStr">
        <is>
          <t>flat</t>
        </is>
      </c>
      <c r="R315" s="6" t="n">
        <v>600</v>
      </c>
      <c r="S315" t="inlineStr">
        <is>
          <t>research</t>
        </is>
      </c>
      <c r="T315" s="5" t="inlineStr">
        <is>
          <t>The backup-striker depth chart has emptied out. Malen was sold to Roma on 29 June, Guessand has been loaned to Crystal Palace, and Madjo is injured until at least September, leaving Abraham as Villa's only senior alternative to Watkins. He came off the bench in the Super Cup and started against Monchengladbach. Held to 600 rather than higher because he left the Monchengladbach pitch after slipping awkwardly.</t>
        </is>
      </c>
      <c r="U315" s="6" t="n">
        <v>77.8</v>
      </c>
      <c r="V315" s="2" t="n">
        <v>2</v>
      </c>
      <c r="W315" s="7">
        <f>IF(N(U315)&lt;=0,0,MIN(Assumptions!$B$15,N(R315)/N(U315)))</f>
        <v/>
      </c>
      <c r="X315" s="6" t="n">
        <v>0.273</v>
      </c>
      <c r="Y315" s="3" t="n">
        <v>0.6604</v>
      </c>
      <c r="Z315" t="inlineStr">
        <is>
          <t>adjusted xGOT</t>
        </is>
      </c>
      <c r="AA315" s="3" t="n">
        <v>1</v>
      </c>
      <c r="AB315" s="3" t="n">
        <v>0.995</v>
      </c>
      <c r="AC315" s="3" t="n">
        <v>2</v>
      </c>
      <c r="AD315" s="3" t="n">
        <v>0.07920000000000001</v>
      </c>
      <c r="AE315" s="3" t="n">
        <v>4.63</v>
      </c>
      <c r="AF315" s="3" t="n">
        <v>0.0009198147996386519</v>
      </c>
      <c r="AG315" s="3" t="n">
        <v>0.6475</v>
      </c>
      <c r="AH315" s="3" t="n">
        <v>13</v>
      </c>
      <c r="AI315" s="3" t="n">
        <v>2.7451</v>
      </c>
      <c r="AJ315" s="3" t="n">
        <v>1.3575</v>
      </c>
      <c r="AK315" s="3" t="n">
        <v>-0.1483047429334944</v>
      </c>
      <c r="AL315" s="6" t="n">
        <v>0</v>
      </c>
      <c r="AM315" s="3" t="n">
        <v>0</v>
      </c>
      <c r="AN315" s="3" t="n">
        <v>2.6416</v>
      </c>
      <c r="AO315" s="3" t="n">
        <v>0.3136320000000001</v>
      </c>
      <c r="AP315" s="3">
        <f>N(X315)*N(BI315)</f>
        <v/>
      </c>
      <c r="AQ315" s="3" t="n">
        <v>0.6475</v>
      </c>
      <c r="AR315" s="3" t="n">
        <v>0</v>
      </c>
      <c r="AS315" s="3" t="n">
        <v>-0</v>
      </c>
      <c r="AT315" s="3" t="n">
        <v>-0.1483047429334944</v>
      </c>
      <c r="AU315" s="3">
        <f>SUM(AN315:AT315)</f>
        <v/>
      </c>
      <c r="AV315" s="7">
        <f>IF(OR(N(W315)&lt;=0,N(BG315)=0),0,N(W315)*IF(N(R315)/N(W315)&gt;=60,N(BG315),1))</f>
        <v/>
      </c>
      <c r="AW315" s="7">
        <f>N(W315)*N(AF315)*N(BH315)</f>
        <v/>
      </c>
      <c r="AX315" s="7">
        <f>N(AL315)*(Assumptions!$B$13*N(BJ315)-(1-Assumptions!$B$13)*Assumptions!$B$14)+N(AM315)</f>
        <v/>
      </c>
      <c r="AY315" s="7">
        <f>N(AU315)*N(R315)/90+N(AV315)+N(AW315)+N(AX315)</f>
        <v/>
      </c>
      <c r="AZ315" s="3">
        <f>IF(N(R315)&lt;=0,0,(N(AY315)-N(AX315))*90/N(R315))</f>
        <v/>
      </c>
      <c r="BA315" s="7">
        <f>IFERROR(AY315-VLOOKUP($E315,Assumptions!$A$40:$C$43,3,FALSE),"")</f>
        <v/>
      </c>
      <c r="BB315" s="3">
        <f>IFERROR(BA315/H315,"")</f>
        <v/>
      </c>
      <c r="BC315">
        <f>IF(AND($G315=TRUE,$E315="GKP"),AY315,"")</f>
        <v/>
      </c>
      <c r="BD315">
        <f>IF(AND($G315=TRUE,$E315="DEF"),AY315,"")</f>
        <v/>
      </c>
      <c r="BE315">
        <f>IF(AND($G315=TRUE,$E315="MID"),AY315,"")</f>
        <v/>
      </c>
      <c r="BF315">
        <f>IF(AND($G315=TRUE,$E315="FWD"),AY315,"")</f>
        <v/>
      </c>
      <c r="BG315" t="n">
        <v>2</v>
      </c>
      <c r="BH315" t="n">
        <v>2</v>
      </c>
      <c r="BI315" t="n">
        <v>0</v>
      </c>
      <c r="BJ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s="4" t="n">
        <v>420</v>
      </c>
      <c r="O316" s="4" t="n">
        <v>280</v>
      </c>
      <c r="P316" s="5" t="inlineStr">
        <is>
          <t>low</t>
        </is>
      </c>
      <c r="Q316" t="inlineStr">
        <is>
          <t>flat</t>
        </is>
      </c>
      <c r="R316" s="6" t="n">
        <v>420</v>
      </c>
      <c r="S316" t="inlineStr">
        <is>
          <t>research</t>
        </is>
      </c>
      <c r="T316" s="5" t="inlineStr">
        <is>
          <t>Beneficiary of the unresolved right-back situation. Read Everton's 15 August preview says to 'expect another audition at the position - Nathan Patterson and Jake O'Brien have both featured there across pre-season, with Merlin Röhl also an option'. Patterson started at right-back against Newcastle on 12 August and was a substitute against Lille. Everton have failed to sign a specialist right-back all summer, so 140 minutes for the only recognised right-back on the books is too low - even if one of Fort, Munoz, Molina or Johnston arrives before 1 September.</t>
        </is>
      </c>
      <c r="U316" s="6" t="n">
        <v>83.5</v>
      </c>
      <c r="V316" s="2" t="n">
        <v>3</v>
      </c>
      <c r="W316" s="7">
        <f>IF(N(U316)&lt;=0,0,MIN(Assumptions!$B$15,N(R316)/N(U316)))</f>
        <v/>
      </c>
      <c r="X316" s="6" t="n">
        <v>0.231</v>
      </c>
      <c r="Y316" s="3" t="n">
        <v>0.0106</v>
      </c>
      <c r="Z316" t="inlineStr">
        <is>
          <t>adjusted xGOT</t>
        </is>
      </c>
      <c r="AA316" s="3" t="n">
        <v>1</v>
      </c>
      <c r="AB316" s="3" t="n">
        <v>0.93</v>
      </c>
      <c r="AC316" s="3" t="n">
        <v>0.9</v>
      </c>
      <c r="AD316" s="3" t="n">
        <v>0.0076</v>
      </c>
      <c r="AE316" s="3" t="n">
        <v>8.688000000000001</v>
      </c>
      <c r="AF316" s="3" t="n">
        <v>0.2909143720759721</v>
      </c>
      <c r="AG316" s="3" t="n">
        <v>0</v>
      </c>
      <c r="AH316" s="3" t="n">
        <v>10</v>
      </c>
      <c r="AI316" s="3" t="n">
        <v>3.0311</v>
      </c>
      <c r="AJ316" s="3" t="n">
        <v>1.5252</v>
      </c>
      <c r="AK316" s="3" t="n">
        <v>-0.2235404882666001</v>
      </c>
      <c r="AL316" s="6" t="n">
        <v>0</v>
      </c>
      <c r="AM316" s="3" t="n">
        <v>0</v>
      </c>
      <c r="AN316" s="3" t="n">
        <v>0.0636</v>
      </c>
      <c r="AO316" s="3" t="n">
        <v>0.030096</v>
      </c>
      <c r="AP316" s="3">
        <f>N(X316)*N(BI316)</f>
        <v/>
      </c>
      <c r="AQ316" s="3" t="n">
        <v>0</v>
      </c>
      <c r="AR316" s="3" t="n">
        <v>0</v>
      </c>
      <c r="AS316" s="3" t="n">
        <v>-0.524434996152324</v>
      </c>
      <c r="AT316" s="3" t="n">
        <v>-0.2235404882666001</v>
      </c>
      <c r="AU316" s="3">
        <f>SUM(AN316:AT316)</f>
        <v/>
      </c>
      <c r="AV316" s="7">
        <f>IF(OR(N(W316)&lt;=0,N(BG316)=0),0,N(W316)*IF(N(R316)/N(W316)&gt;=60,N(BG316),1))</f>
        <v/>
      </c>
      <c r="AW316" s="7">
        <f>N(W316)*N(AF316)*N(BH316)</f>
        <v/>
      </c>
      <c r="AX316" s="7">
        <f>N(AL316)*(Assumptions!$B$13*N(BJ316)-(1-Assumptions!$B$13)*Assumptions!$B$14)+N(AM316)</f>
        <v/>
      </c>
      <c r="AY316" s="7">
        <f>N(AU316)*N(R316)/90+N(AV316)+N(AW316)+N(AX316)</f>
        <v/>
      </c>
      <c r="AZ316" s="3">
        <f>IF(N(R316)&lt;=0,0,(N(AY316)-N(AX316))*90/N(R316))</f>
        <v/>
      </c>
      <c r="BA316" s="7">
        <f>IFERROR(AY316-VLOOKUP($E316,Assumptions!$A$40:$C$43,3,FALSE),"")</f>
        <v/>
      </c>
      <c r="BB316" s="3">
        <f>IFERROR(BA316/H316,"")</f>
        <v/>
      </c>
      <c r="BC316">
        <f>IF(AND($G316=TRUE,$E316="GKP"),AY316,"")</f>
        <v/>
      </c>
      <c r="BD316">
        <f>IF(AND($G316=TRUE,$E316="DEF"),AY316,"")</f>
        <v/>
      </c>
      <c r="BE316">
        <f>IF(AND($G316=TRUE,$E316="MID"),AY316,"")</f>
        <v/>
      </c>
      <c r="BF316">
        <f>IF(AND($G316=TRUE,$E316="FWD"),AY316,"")</f>
        <v/>
      </c>
      <c r="BG316" t="n">
        <v>2</v>
      </c>
      <c r="BH316" t="n">
        <v>2</v>
      </c>
      <c r="BI316" t="n">
        <v>4</v>
      </c>
      <c r="BJ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s="4" t="n">
        <v>50</v>
      </c>
      <c r="O317" s="4" t="n">
        <v>-61</v>
      </c>
      <c r="P317" s="5" t="inlineStr">
        <is>
          <t>low</t>
        </is>
      </c>
      <c r="Q317" t="inlineStr">
        <is>
          <t>flat</t>
        </is>
      </c>
      <c r="R317" s="6" t="n">
        <v>50</v>
      </c>
      <c r="S317" t="inlineStr">
        <is>
          <t>research</t>
        </is>
      </c>
      <c r="T317" s="5" t="inlineStr">
        <is>
          <t>Out with a muscle injury and deemed surplus to requirements, with Villa actively trying to move him on before the 1 September deadline. Not zeroed because the move has stalled once already and he may still be at the club in September.</t>
        </is>
      </c>
      <c r="U317" s="6" t="n">
        <v>77.90000000000001</v>
      </c>
      <c r="V317" s="2" t="n">
        <v>3</v>
      </c>
      <c r="W317" s="7">
        <f>IF(N(U317)&lt;=0,0,MIN(Assumptions!$B$15,N(R317)/N(U317)))</f>
        <v/>
      </c>
      <c r="X317" s="6" t="n">
        <v>0.273</v>
      </c>
      <c r="Y317" s="3" t="n">
        <v>0.081</v>
      </c>
      <c r="Z317" t="inlineStr">
        <is>
          <t>adjusted xGOT</t>
        </is>
      </c>
      <c r="AA317" s="3" t="n">
        <v>1</v>
      </c>
      <c r="AB317" s="3" t="n">
        <v>0.8100000000000001</v>
      </c>
      <c r="AC317" s="3" t="n">
        <v>13.9</v>
      </c>
      <c r="AD317" s="3" t="n">
        <v>0.2577</v>
      </c>
      <c r="AE317" s="3" t="n">
        <v>8.970000000000001</v>
      </c>
      <c r="AF317" s="3" t="n">
        <v>0.09564721303099855</v>
      </c>
      <c r="AG317" s="3" t="n">
        <v>0</v>
      </c>
      <c r="AH317" s="3" t="n">
        <v>16</v>
      </c>
      <c r="AI317" s="3" t="n">
        <v>2.7451</v>
      </c>
      <c r="AJ317" s="3" t="n">
        <v>1.3575</v>
      </c>
      <c r="AK317" s="3" t="n">
        <v>-0.2284979422828767</v>
      </c>
      <c r="AL317" s="6" t="n">
        <v>0</v>
      </c>
      <c r="AM317" s="3" t="n">
        <v>0</v>
      </c>
      <c r="AN317" s="3" t="n">
        <v>0.405</v>
      </c>
      <c r="AO317" s="3" t="n">
        <v>1.020492</v>
      </c>
      <c r="AP317" s="3">
        <f>N(X317)*N(BI317)</f>
        <v/>
      </c>
      <c r="AQ317" s="3" t="n">
        <v>0</v>
      </c>
      <c r="AR317" s="3" t="n">
        <v>0</v>
      </c>
      <c r="AS317" s="3" t="n">
        <v>-0</v>
      </c>
      <c r="AT317" s="3" t="n">
        <v>-0.2284979422828767</v>
      </c>
      <c r="AU317" s="3">
        <f>SUM(AN317:AT317)</f>
        <v/>
      </c>
      <c r="AV317" s="7">
        <f>IF(OR(N(W317)&lt;=0,N(BG317)=0),0,N(W317)*IF(N(R317)/N(W317)&gt;=60,N(BG317),1))</f>
        <v/>
      </c>
      <c r="AW317" s="7">
        <f>N(W317)*N(AF317)*N(BH317)</f>
        <v/>
      </c>
      <c r="AX317" s="7">
        <f>N(AL317)*(Assumptions!$B$13*N(BJ317)-(1-Assumptions!$B$13)*Assumptions!$B$14)+N(AM317)</f>
        <v/>
      </c>
      <c r="AY317" s="7">
        <f>N(AU317)*N(R317)/90+N(AV317)+N(AW317)+N(AX317)</f>
        <v/>
      </c>
      <c r="AZ317" s="3">
        <f>IF(N(R317)&lt;=0,0,(N(AY317)-N(AX317))*90/N(R317))</f>
        <v/>
      </c>
      <c r="BA317" s="7">
        <f>IFERROR(AY317-VLOOKUP($E317,Assumptions!$A$40:$C$43,3,FALSE),"")</f>
        <v/>
      </c>
      <c r="BB317" s="3">
        <f>IFERROR(BA317/H317,"")</f>
        <v/>
      </c>
      <c r="BC317">
        <f>IF(AND($G317=TRUE,$E317="GKP"),AY317,"")</f>
        <v/>
      </c>
      <c r="BD317">
        <f>IF(AND($G317=TRUE,$E317="DEF"),AY317,"")</f>
        <v/>
      </c>
      <c r="BE317">
        <f>IF(AND($G317=TRUE,$E317="MID"),AY317,"")</f>
        <v/>
      </c>
      <c r="BF317">
        <f>IF(AND($G317=TRUE,$E317="FWD"),AY317,"")</f>
        <v/>
      </c>
      <c r="BG317" t="n">
        <v>2</v>
      </c>
      <c r="BH317" t="n">
        <v>2</v>
      </c>
      <c r="BI317" t="n">
        <v>1</v>
      </c>
      <c r="BJ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s="8" t="n">
        <v>357</v>
      </c>
      <c r="O318" s="8" t="n">
        <v>0</v>
      </c>
      <c r="Q318" t="inlineStr">
        <is>
          <t>flat</t>
        </is>
      </c>
      <c r="R318" s="6" t="n">
        <v>357</v>
      </c>
      <c r="S318" t="inlineStr">
        <is>
          <t>Solio</t>
        </is>
      </c>
      <c r="U318" s="6" t="n">
        <v>77.59999999999999</v>
      </c>
      <c r="V318" s="2" t="n">
        <v>6</v>
      </c>
      <c r="W318" s="7">
        <f>IF(N(U318)&lt;=0,0,MIN(Assumptions!$B$15,N(R318)/N(U318)))</f>
        <v/>
      </c>
      <c r="X318" s="6" t="n">
        <v>0.231</v>
      </c>
      <c r="Y318" s="3" t="n">
        <v>0.1304</v>
      </c>
      <c r="Z318" t="inlineStr">
        <is>
          <t>adjusted xGOT</t>
        </is>
      </c>
      <c r="AA318" s="3" t="n">
        <v>1</v>
      </c>
      <c r="AB318" s="3" t="n">
        <v>0.961</v>
      </c>
      <c r="AC318" s="3" t="n">
        <v>1.2</v>
      </c>
      <c r="AD318" s="3" t="n">
        <v>0.0293</v>
      </c>
      <c r="AE318" s="3" t="n">
        <v>8.582000000000001</v>
      </c>
      <c r="AF318" s="3" t="n">
        <v>0.07350272849416184</v>
      </c>
      <c r="AG318" s="3" t="n">
        <v>0</v>
      </c>
      <c r="AH318" s="3" t="n">
        <v>18</v>
      </c>
      <c r="AI318" s="3" t="n">
        <v>3.0311</v>
      </c>
      <c r="AJ318" s="3" t="n">
        <v>1.5252</v>
      </c>
      <c r="AK318" s="3" t="n">
        <v>-0.1878768255767501</v>
      </c>
      <c r="AL318" s="6" t="n">
        <v>0</v>
      </c>
      <c r="AM318" s="3" t="n">
        <v>0</v>
      </c>
      <c r="AN318" s="3" t="n">
        <v>0.6519999999999999</v>
      </c>
      <c r="AO318" s="3" t="n">
        <v>0.116028</v>
      </c>
      <c r="AP318" s="3">
        <f>N(X318)*N(BI318)</f>
        <v/>
      </c>
      <c r="AQ318" s="3" t="n">
        <v>0</v>
      </c>
      <c r="AR318" s="3" t="n">
        <v>0</v>
      </c>
      <c r="AS318" s="3" t="n">
        <v>-0</v>
      </c>
      <c r="AT318" s="3" t="n">
        <v>-0.1878768255767501</v>
      </c>
      <c r="AU318" s="3">
        <f>SUM(AN318:AT318)</f>
        <v/>
      </c>
      <c r="AV318" s="7">
        <f>IF(OR(N(W318)&lt;=0,N(BG318)=0),0,N(W318)*IF(N(R318)/N(W318)&gt;=60,N(BG318),1))</f>
        <v/>
      </c>
      <c r="AW318" s="7">
        <f>N(W318)*N(AF318)*N(BH318)</f>
        <v/>
      </c>
      <c r="AX318" s="7">
        <f>N(AL318)*(Assumptions!$B$13*N(BJ318)-(1-Assumptions!$B$13)*Assumptions!$B$14)+N(AM318)</f>
        <v/>
      </c>
      <c r="AY318" s="7">
        <f>N(AU318)*N(R318)/90+N(AV318)+N(AW318)+N(AX318)</f>
        <v/>
      </c>
      <c r="AZ318" s="3">
        <f>IF(N(R318)&lt;=0,0,(N(AY318)-N(AX318))*90/N(R318))</f>
        <v/>
      </c>
      <c r="BA318" s="7">
        <f>IFERROR(AY318-VLOOKUP($E318,Assumptions!$A$40:$C$43,3,FALSE),"")</f>
        <v/>
      </c>
      <c r="BB318" s="3">
        <f>IFERROR(BA318/H318,"")</f>
        <v/>
      </c>
      <c r="BC318">
        <f>IF(AND($G318=TRUE,$E318="GKP"),AY318,"")</f>
        <v/>
      </c>
      <c r="BD318">
        <f>IF(AND($G318=TRUE,$E318="DEF"),AY318,"")</f>
        <v/>
      </c>
      <c r="BE318">
        <f>IF(AND($G318=TRUE,$E318="MID"),AY318,"")</f>
        <v/>
      </c>
      <c r="BF318">
        <f>IF(AND($G318=TRUE,$E318="FWD"),AY318,"")</f>
        <v/>
      </c>
      <c r="BG318" t="n">
        <v>2</v>
      </c>
      <c r="BH318" t="n">
        <v>2</v>
      </c>
      <c r="BI318" t="n">
        <v>1</v>
      </c>
      <c r="BJ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s="8" t="n">
        <v>3385</v>
      </c>
      <c r="O319" s="8" t="n">
        <v>0</v>
      </c>
      <c r="Q319" t="inlineStr">
        <is>
          <t>flat</t>
        </is>
      </c>
      <c r="R319" s="6" t="n">
        <v>3385</v>
      </c>
      <c r="S319" t="inlineStr">
        <is>
          <t>Solio</t>
        </is>
      </c>
      <c r="U319" s="6" t="n">
        <v>89.90000000000001</v>
      </c>
      <c r="V319" s="2" t="n">
        <v>7</v>
      </c>
      <c r="W319" s="7">
        <f>IF(N(U319)&lt;=0,0,MIN(Assumptions!$B$15,N(R319)/N(U319)))</f>
        <v/>
      </c>
      <c r="X319" s="6" t="n">
        <v>0.286</v>
      </c>
      <c r="Y319" s="3" t="n">
        <v>0</v>
      </c>
      <c r="Z319" t="inlineStr">
        <is>
          <t>blended xG</t>
        </is>
      </c>
      <c r="AA319" s="3" t="n">
        <v>1</v>
      </c>
      <c r="AB319" s="3" t="n">
        <v>1</v>
      </c>
      <c r="AC319" s="3" t="n">
        <v>0</v>
      </c>
      <c r="AD319" s="3" t="n">
        <v>0</v>
      </c>
      <c r="AE319" s="3" t="n">
        <v>0</v>
      </c>
      <c r="AF319" s="3" t="n">
        <v>0</v>
      </c>
      <c r="AG319" s="3" t="n">
        <v>0</v>
      </c>
      <c r="AH319" s="3" t="n">
        <v>14</v>
      </c>
      <c r="AI319" s="3" t="n">
        <v>2.5739</v>
      </c>
      <c r="AJ319" s="3" t="n">
        <v>1.3096</v>
      </c>
      <c r="AK319" s="3" t="n">
        <v>-0.08468159201970139</v>
      </c>
      <c r="AL319" s="6" t="n">
        <v>0</v>
      </c>
      <c r="AM319" s="3" t="n">
        <v>2.767265601918447</v>
      </c>
      <c r="AN319" s="3" t="n">
        <v>0</v>
      </c>
      <c r="AO319" s="3" t="n">
        <v>0</v>
      </c>
      <c r="AP319" s="3">
        <f>N(X319)*N(BI319)</f>
        <v/>
      </c>
      <c r="AQ319" s="3" t="n">
        <v>0</v>
      </c>
      <c r="AR319" s="3" t="n">
        <v>0.5235455255089686</v>
      </c>
      <c r="AS319" s="3" t="n">
        <v>-0.4230152821052008</v>
      </c>
      <c r="AT319" s="3" t="n">
        <v>-0.08468159201970139</v>
      </c>
      <c r="AU319" s="3">
        <f>SUM(AN319:AT319)</f>
        <v/>
      </c>
      <c r="AV319" s="7">
        <f>IF(OR(N(W319)&lt;=0,N(BG319)=0),0,N(W319)*IF(N(R319)/N(W319)&gt;=60,N(BG319),1))</f>
        <v/>
      </c>
      <c r="AW319" s="7">
        <f>N(W319)*N(AF319)*N(BH319)</f>
        <v/>
      </c>
      <c r="AX319" s="7">
        <f>N(AL319)*(Assumptions!$B$13*N(BJ319)-(1-Assumptions!$B$13)*Assumptions!$B$14)+N(AM319)</f>
        <v/>
      </c>
      <c r="AY319" s="7">
        <f>N(AU319)*N(R319)/90+N(AV319)+N(AW319)+N(AX319)</f>
        <v/>
      </c>
      <c r="AZ319" s="3">
        <f>IF(N(R319)&lt;=0,0,(N(AY319)-N(AX319))*90/N(R319))</f>
        <v/>
      </c>
      <c r="BA319" s="7">
        <f>IFERROR(AY319-VLOOKUP($E319,Assumptions!$A$40:$C$43,3,FALSE),"")</f>
        <v/>
      </c>
      <c r="BB319" s="3">
        <f>IFERROR(BA319/H319,"")</f>
        <v/>
      </c>
      <c r="BC319">
        <f>IF(AND($G319=TRUE,$E319="GKP"),AY319,"")</f>
        <v/>
      </c>
      <c r="BD319">
        <f>IF(AND($G319=TRUE,$E319="DEF"),AY319,"")</f>
        <v/>
      </c>
      <c r="BE319">
        <f>IF(AND($G319=TRUE,$E319="MID"),AY319,"")</f>
        <v/>
      </c>
      <c r="BF319">
        <f>IF(AND($G319=TRUE,$E319="FWD"),AY319,"")</f>
        <v/>
      </c>
      <c r="BG319" t="n">
        <v>2</v>
      </c>
      <c r="BH319" t="n">
        <v>0</v>
      </c>
      <c r="BI319" t="n">
        <v>4</v>
      </c>
      <c r="BJ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s="4" t="n">
        <v>1500</v>
      </c>
      <c r="O320" s="4" t="n">
        <v>1144</v>
      </c>
      <c r="P320" s="5" t="inlineStr">
        <is>
          <t>medium</t>
        </is>
      </c>
      <c r="Q320" t="inlineStr">
        <is>
          <t>flat</t>
        </is>
      </c>
      <c r="R320" s="6" t="n">
        <v>1500</v>
      </c>
      <c r="S320" t="inlineStr">
        <is>
          <t>research</t>
        </is>
      </c>
      <c r="T320" s="5" t="inlineStr">
        <is>
          <t>Solio has him at four matches' worth, which reflects his ACL-shortened 550 minutes in 2025/26 rather than his current standing. Lacroix was sold to Chelsea for GBP 52m on 30 July, opening a back-three slot, and Riad started the final pre-season friendly in that back three, with Tomiyasu introduced as his replacement. He also scored in the Como Cup friendly against Al-Ula.</t>
        </is>
      </c>
      <c r="U320" s="6" t="n">
        <v>82.09999999999999</v>
      </c>
      <c r="V320" s="2" t="n">
        <v>6</v>
      </c>
      <c r="W320" s="7">
        <f>IF(N(U320)&lt;=0,0,MIN(Assumptions!$B$15,N(R320)/N(U320)))</f>
        <v/>
      </c>
      <c r="X320" s="6" t="n">
        <v>0.216</v>
      </c>
      <c r="Y320" s="3" t="n">
        <v>0.0532</v>
      </c>
      <c r="Z320" t="inlineStr">
        <is>
          <t>adjusted xGOT</t>
        </is>
      </c>
      <c r="AA320" s="3" t="n">
        <v>1</v>
      </c>
      <c r="AB320" s="3" t="n">
        <v>0.984</v>
      </c>
      <c r="AC320" s="3" t="n">
        <v>0.3</v>
      </c>
      <c r="AD320" s="3" t="n">
        <v>0.0456</v>
      </c>
      <c r="AE320" s="3" t="n">
        <v>7.546</v>
      </c>
      <c r="AF320" s="3" t="n">
        <v>0.1579023202369128</v>
      </c>
      <c r="AG320" s="3" t="n">
        <v>0</v>
      </c>
      <c r="AH320" s="3" t="n">
        <v>15</v>
      </c>
      <c r="AI320" s="3" t="n">
        <v>3.2035</v>
      </c>
      <c r="AJ320" s="3" t="n">
        <v>1.5923</v>
      </c>
      <c r="AK320" s="3" t="n">
        <v>-0.2384133220713924</v>
      </c>
      <c r="AL320" s="6" t="n">
        <v>0</v>
      </c>
      <c r="AM320" s="3" t="n">
        <v>0</v>
      </c>
      <c r="AN320" s="3" t="n">
        <v>0.3192</v>
      </c>
      <c r="AO320" s="3" t="n">
        <v>0.180576</v>
      </c>
      <c r="AP320" s="3">
        <f>N(X320)*N(BI320)</f>
        <v/>
      </c>
      <c r="AQ320" s="3" t="n">
        <v>0</v>
      </c>
      <c r="AR320" s="3" t="n">
        <v>0</v>
      </c>
      <c r="AS320" s="3" t="n">
        <v>-0.5564987001023466</v>
      </c>
      <c r="AT320" s="3" t="n">
        <v>-0.2384133220713924</v>
      </c>
      <c r="AU320" s="3">
        <f>SUM(AN320:AT320)</f>
        <v/>
      </c>
      <c r="AV320" s="7">
        <f>IF(OR(N(W320)&lt;=0,N(BG320)=0),0,N(W320)*IF(N(R320)/N(W320)&gt;=60,N(BG320),1))</f>
        <v/>
      </c>
      <c r="AW320" s="7">
        <f>N(W320)*N(AF320)*N(BH320)</f>
        <v/>
      </c>
      <c r="AX320" s="7">
        <f>N(AL320)*(Assumptions!$B$13*N(BJ320)-(1-Assumptions!$B$13)*Assumptions!$B$14)+N(AM320)</f>
        <v/>
      </c>
      <c r="AY320" s="7">
        <f>N(AU320)*N(R320)/90+N(AV320)+N(AW320)+N(AX320)</f>
        <v/>
      </c>
      <c r="AZ320" s="3">
        <f>IF(N(R320)&lt;=0,0,(N(AY320)-N(AX320))*90/N(R320))</f>
        <v/>
      </c>
      <c r="BA320" s="7">
        <f>IFERROR(AY320-VLOOKUP($E320,Assumptions!$A$40:$C$43,3,FALSE),"")</f>
        <v/>
      </c>
      <c r="BB320" s="3">
        <f>IFERROR(BA320/H320,"")</f>
        <v/>
      </c>
      <c r="BC320">
        <f>IF(AND($G320=TRUE,$E320="GKP"),AY320,"")</f>
        <v/>
      </c>
      <c r="BD320">
        <f>IF(AND($G320=TRUE,$E320="DEF"),AY320,"")</f>
        <v/>
      </c>
      <c r="BE320">
        <f>IF(AND($G320=TRUE,$E320="MID"),AY320,"")</f>
        <v/>
      </c>
      <c r="BF320">
        <f>IF(AND($G320=TRUE,$E320="FWD"),AY320,"")</f>
        <v/>
      </c>
      <c r="BG320" t="n">
        <v>2</v>
      </c>
      <c r="BH320" t="n">
        <v>2</v>
      </c>
      <c r="BI320" t="n">
        <v>4</v>
      </c>
      <c r="BJ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s="8" t="n">
        <v>1151</v>
      </c>
      <c r="O321" s="8" t="n">
        <v>0</v>
      </c>
      <c r="Q321" t="inlineStr">
        <is>
          <t>flat</t>
        </is>
      </c>
      <c r="R321" s="6" t="n">
        <v>1151</v>
      </c>
      <c r="S321" t="inlineStr">
        <is>
          <t>Solio</t>
        </is>
      </c>
      <c r="U321" s="6" t="n">
        <v>80.8</v>
      </c>
      <c r="V321" s="2" t="n">
        <v>12</v>
      </c>
      <c r="W321" s="7">
        <f>IF(N(U321)&lt;=0,0,MIN(Assumptions!$B$15,N(R321)/N(U321)))</f>
        <v/>
      </c>
      <c r="X321" s="6" t="n">
        <v>0.322</v>
      </c>
      <c r="Y321" s="3" t="n">
        <v>0.0228</v>
      </c>
      <c r="Z321" t="inlineStr">
        <is>
          <t>adjusted xGOT</t>
        </is>
      </c>
      <c r="AA321" s="3" t="n">
        <v>1</v>
      </c>
      <c r="AB321" s="3" t="n">
        <v>0.964</v>
      </c>
      <c r="AC321" s="3" t="n">
        <v>0.3</v>
      </c>
      <c r="AD321" s="3" t="n">
        <v>0.0521</v>
      </c>
      <c r="AE321" s="3" t="n">
        <v>7.769</v>
      </c>
      <c r="AF321" s="3" t="n">
        <v>0.166961471422465</v>
      </c>
      <c r="AG321" s="3" t="n">
        <v>0</v>
      </c>
      <c r="AH321" s="3" t="n">
        <v>32</v>
      </c>
      <c r="AI321" s="3" t="n">
        <v>2.4232</v>
      </c>
      <c r="AJ321" s="3" t="n">
        <v>1.1851</v>
      </c>
      <c r="AK321" s="3" t="n">
        <v>-0.3678395973145783</v>
      </c>
      <c r="AL321" s="6" t="n">
        <v>0</v>
      </c>
      <c r="AM321" s="3" t="n">
        <v>0</v>
      </c>
      <c r="AN321" s="3" t="n">
        <v>0.1368</v>
      </c>
      <c r="AO321" s="3" t="n">
        <v>0.206316</v>
      </c>
      <c r="AP321" s="3">
        <f>N(X321)*N(BI321)</f>
        <v/>
      </c>
      <c r="AQ321" s="3" t="n">
        <v>0</v>
      </c>
      <c r="AR321" s="3" t="n">
        <v>0</v>
      </c>
      <c r="AS321" s="3" t="n">
        <v>-0.365915508000572</v>
      </c>
      <c r="AT321" s="3" t="n">
        <v>-0.3678395973145783</v>
      </c>
      <c r="AU321" s="3">
        <f>SUM(AN321:AT321)</f>
        <v/>
      </c>
      <c r="AV321" s="7">
        <f>IF(OR(N(W321)&lt;=0,N(BG321)=0),0,N(W321)*IF(N(R321)/N(W321)&gt;=60,N(BG321),1))</f>
        <v/>
      </c>
      <c r="AW321" s="7">
        <f>N(W321)*N(AF321)*N(BH321)</f>
        <v/>
      </c>
      <c r="AX321" s="7">
        <f>N(AL321)*(Assumptions!$B$13*N(BJ321)-(1-Assumptions!$B$13)*Assumptions!$B$14)+N(AM321)</f>
        <v/>
      </c>
      <c r="AY321" s="7">
        <f>N(AU321)*N(R321)/90+N(AV321)+N(AW321)+N(AX321)</f>
        <v/>
      </c>
      <c r="AZ321" s="3">
        <f>IF(N(R321)&lt;=0,0,(N(AY321)-N(AX321))*90/N(R321))</f>
        <v/>
      </c>
      <c r="BA321" s="7">
        <f>IFERROR(AY321-VLOOKUP($E321,Assumptions!$A$40:$C$43,3,FALSE),"")</f>
        <v/>
      </c>
      <c r="BB321" s="3">
        <f>IFERROR(BA321/H321,"")</f>
        <v/>
      </c>
      <c r="BC321">
        <f>IF(AND($G321=TRUE,$E321="GKP"),AY321,"")</f>
        <v/>
      </c>
      <c r="BD321">
        <f>IF(AND($G321=TRUE,$E321="DEF"),AY321,"")</f>
        <v/>
      </c>
      <c r="BE321">
        <f>IF(AND($G321=TRUE,$E321="MID"),AY321,"")</f>
        <v/>
      </c>
      <c r="BF321">
        <f>IF(AND($G321=TRUE,$E321="FWD"),AY321,"")</f>
        <v/>
      </c>
      <c r="BG321" t="n">
        <v>2</v>
      </c>
      <c r="BH321" t="n">
        <v>2</v>
      </c>
      <c r="BI321" t="n">
        <v>4</v>
      </c>
      <c r="BJ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s="8" t="n">
        <v>50</v>
      </c>
      <c r="O322" s="8" t="n">
        <v>0</v>
      </c>
      <c r="Q322" t="inlineStr">
        <is>
          <t>flat</t>
        </is>
      </c>
      <c r="R322" s="6" t="n">
        <v>50</v>
      </c>
      <c r="S322" t="inlineStr">
        <is>
          <t>Solio</t>
        </is>
      </c>
      <c r="U322" s="6" t="n">
        <v>85</v>
      </c>
      <c r="V322" s="2" t="n">
        <v>4</v>
      </c>
      <c r="W322" s="7">
        <f>IF(N(U322)&lt;=0,0,MIN(Assumptions!$B$15,N(R322)/N(U322)))</f>
        <v/>
      </c>
      <c r="X322" s="6" t="n">
        <v>0.371</v>
      </c>
      <c r="Y322" s="3" t="n">
        <v>0.0462</v>
      </c>
      <c r="Z322" t="inlineStr">
        <is>
          <t>adjusted xGOT</t>
        </is>
      </c>
      <c r="AA322" s="3" t="n">
        <v>1</v>
      </c>
      <c r="AB322" s="3" t="n">
        <v>1.082</v>
      </c>
      <c r="AC322" s="3" t="n">
        <v>2.4</v>
      </c>
      <c r="AD322" s="3" t="n">
        <v>0.3304</v>
      </c>
      <c r="AE322" s="3" t="n">
        <v>6.461</v>
      </c>
      <c r="AF322" s="3" t="n">
        <v>0.09112855939489939</v>
      </c>
      <c r="AG322" s="3" t="n">
        <v>0.4489</v>
      </c>
      <c r="AH322" s="3" t="n">
        <v>15</v>
      </c>
      <c r="AI322" s="3" t="n">
        <v>1.9737</v>
      </c>
      <c r="AJ322" s="3" t="n">
        <v>1.0365</v>
      </c>
      <c r="AK322" s="3" t="n">
        <v>-0.2160118104341646</v>
      </c>
      <c r="AL322" s="6" t="n">
        <v>0</v>
      </c>
      <c r="AM322" s="3" t="n">
        <v>0</v>
      </c>
      <c r="AN322" s="3" t="n">
        <v>0.2772</v>
      </c>
      <c r="AO322" s="3" t="n">
        <v>1.308384</v>
      </c>
      <c r="AP322" s="3">
        <f>N(X322)*N(BI322)</f>
        <v/>
      </c>
      <c r="AQ322" s="3" t="n">
        <v>0.4489</v>
      </c>
      <c r="AR322" s="3" t="n">
        <v>0</v>
      </c>
      <c r="AS322" s="3" t="n">
        <v>-0.2997019479071323</v>
      </c>
      <c r="AT322" s="3" t="n">
        <v>-0.2160118104341646</v>
      </c>
      <c r="AU322" s="3">
        <f>SUM(AN322:AT322)</f>
        <v/>
      </c>
      <c r="AV322" s="7">
        <f>IF(OR(N(W322)&lt;=0,N(BG322)=0),0,N(W322)*IF(N(R322)/N(W322)&gt;=60,N(BG322),1))</f>
        <v/>
      </c>
      <c r="AW322" s="7">
        <f>N(W322)*N(AF322)*N(BH322)</f>
        <v/>
      </c>
      <c r="AX322" s="7">
        <f>N(AL322)*(Assumptions!$B$13*N(BJ322)-(1-Assumptions!$B$13)*Assumptions!$B$14)+N(AM322)</f>
        <v/>
      </c>
      <c r="AY322" s="7">
        <f>N(AU322)*N(R322)/90+N(AV322)+N(AW322)+N(AX322)</f>
        <v/>
      </c>
      <c r="AZ322" s="3">
        <f>IF(N(R322)&lt;=0,0,(N(AY322)-N(AX322))*90/N(R322))</f>
        <v/>
      </c>
      <c r="BA322" s="7">
        <f>IFERROR(AY322-VLOOKUP($E322,Assumptions!$A$40:$C$43,3,FALSE),"")</f>
        <v/>
      </c>
      <c r="BB322" s="3">
        <f>IFERROR(BA322/H322,"")</f>
        <v/>
      </c>
      <c r="BC322">
        <f>IF(AND($G322=TRUE,$E322="GKP"),AY322,"")</f>
        <v/>
      </c>
      <c r="BD322">
        <f>IF(AND($G322=TRUE,$E322="DEF"),AY322,"")</f>
        <v/>
      </c>
      <c r="BE322">
        <f>IF(AND($G322=TRUE,$E322="MID"),AY322,"")</f>
        <v/>
      </c>
      <c r="BF322">
        <f>IF(AND($G322=TRUE,$E322="FWD"),AY322,"")</f>
        <v/>
      </c>
      <c r="BG322" t="n">
        <v>2</v>
      </c>
      <c r="BH322" t="n">
        <v>2</v>
      </c>
      <c r="BI322" t="n">
        <v>4</v>
      </c>
      <c r="BJ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s="8" t="n">
        <v>101</v>
      </c>
      <c r="O323" s="8" t="n">
        <v>0</v>
      </c>
      <c r="Q323" t="inlineStr">
        <is>
          <t>flat</t>
        </is>
      </c>
      <c r="R323" s="6" t="n">
        <v>101</v>
      </c>
      <c r="S323" t="inlineStr">
        <is>
          <t>Solio</t>
        </is>
      </c>
      <c r="U323" s="6" t="n">
        <v>86.8</v>
      </c>
      <c r="V323" s="2" t="n">
        <v>4</v>
      </c>
      <c r="W323" s="7">
        <f>IF(N(U323)&lt;=0,0,MIN(Assumptions!$B$15,N(R323)/N(U323)))</f>
        <v/>
      </c>
      <c r="X323" s="6" t="n">
        <v>0.23</v>
      </c>
      <c r="Y323" s="3" t="n">
        <v>0.036</v>
      </c>
      <c r="Z323" t="inlineStr">
        <is>
          <t>adjusted xGOT</t>
        </is>
      </c>
      <c r="AA323" s="3" t="n">
        <v>1</v>
      </c>
      <c r="AB323" s="3" t="n">
        <v>0.982</v>
      </c>
      <c r="AC323" s="3" t="n">
        <v>0.2</v>
      </c>
      <c r="AD323" s="3" t="n">
        <v>0.0315</v>
      </c>
      <c r="AE323" s="3" t="n">
        <v>8.319000000000001</v>
      </c>
      <c r="AF323" s="3" t="n">
        <v>0.286260126502204</v>
      </c>
      <c r="AG323" s="3" t="n">
        <v>0</v>
      </c>
      <c r="AH323" s="3" t="n">
        <v>11</v>
      </c>
      <c r="AI323" s="3" t="n">
        <v>3.0957</v>
      </c>
      <c r="AJ323" s="3" t="n">
        <v>1.53</v>
      </c>
      <c r="AK323" s="3" t="n">
        <v>-0.1672897928750006</v>
      </c>
      <c r="AL323" s="6" t="n">
        <v>0</v>
      </c>
      <c r="AM323" s="3" t="n">
        <v>0</v>
      </c>
      <c r="AN323" s="3" t="n">
        <v>0.216</v>
      </c>
      <c r="AO323" s="3" t="n">
        <v>0.12474</v>
      </c>
      <c r="AP323" s="3">
        <f>N(X323)*N(BI323)</f>
        <v/>
      </c>
      <c r="AQ323" s="3" t="n">
        <v>0</v>
      </c>
      <c r="AR323" s="3" t="n">
        <v>0</v>
      </c>
      <c r="AS323" s="3" t="n">
        <v>-0.5267219238049191</v>
      </c>
      <c r="AT323" s="3" t="n">
        <v>-0.1672897928750006</v>
      </c>
      <c r="AU323" s="3">
        <f>SUM(AN323:AT323)</f>
        <v/>
      </c>
      <c r="AV323" s="7">
        <f>IF(OR(N(W323)&lt;=0,N(BG323)=0),0,N(W323)*IF(N(R323)/N(W323)&gt;=60,N(BG323),1))</f>
        <v/>
      </c>
      <c r="AW323" s="7">
        <f>N(W323)*N(AF323)*N(BH323)</f>
        <v/>
      </c>
      <c r="AX323" s="7">
        <f>N(AL323)*(Assumptions!$B$13*N(BJ323)-(1-Assumptions!$B$13)*Assumptions!$B$14)+N(AM323)</f>
        <v/>
      </c>
      <c r="AY323" s="7">
        <f>N(AU323)*N(R323)/90+N(AV323)+N(AW323)+N(AX323)</f>
        <v/>
      </c>
      <c r="AZ323" s="3">
        <f>IF(N(R323)&lt;=0,0,(N(AY323)-N(AX323))*90/N(R323))</f>
        <v/>
      </c>
      <c r="BA323" s="7">
        <f>IFERROR(AY323-VLOOKUP($E323,Assumptions!$A$40:$C$43,3,FALSE),"")</f>
        <v/>
      </c>
      <c r="BB323" s="3">
        <f>IFERROR(BA323/H323,"")</f>
        <v/>
      </c>
      <c r="BC323">
        <f>IF(AND($G323=TRUE,$E323="GKP"),AY323,"")</f>
        <v/>
      </c>
      <c r="BD323">
        <f>IF(AND($G323=TRUE,$E323="DEF"),AY323,"")</f>
        <v/>
      </c>
      <c r="BE323">
        <f>IF(AND($G323=TRUE,$E323="MID"),AY323,"")</f>
        <v/>
      </c>
      <c r="BF323">
        <f>IF(AND($G323=TRUE,$E323="FWD"),AY323,"")</f>
        <v/>
      </c>
      <c r="BG323" t="n">
        <v>2</v>
      </c>
      <c r="BH323" t="n">
        <v>2</v>
      </c>
      <c r="BI323" t="n">
        <v>4</v>
      </c>
      <c r="BJ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s="8" t="n">
        <v>274</v>
      </c>
      <c r="O324" s="8" t="n">
        <v>0</v>
      </c>
      <c r="Q324" t="inlineStr">
        <is>
          <t>flat</t>
        </is>
      </c>
      <c r="R324" s="6" t="n">
        <v>274</v>
      </c>
      <c r="S324" t="inlineStr">
        <is>
          <t>Solio</t>
        </is>
      </c>
      <c r="U324" s="6" t="n">
        <v>76.3</v>
      </c>
      <c r="V324" s="2" t="n">
        <v>4</v>
      </c>
      <c r="W324" s="7">
        <f>IF(N(U324)&lt;=0,0,MIN(Assumptions!$B$15,N(R324)/N(U324)))</f>
        <v/>
      </c>
      <c r="X324" s="6" t="n">
        <v>0.231</v>
      </c>
      <c r="Y324" s="3" t="n">
        <v>0.05</v>
      </c>
      <c r="Z324" t="inlineStr">
        <is>
          <t>adjusted xGOT</t>
        </is>
      </c>
      <c r="AA324" s="3" t="n">
        <v>1</v>
      </c>
      <c r="AB324" s="3" t="n">
        <v>0.972</v>
      </c>
      <c r="AC324" s="3" t="n">
        <v>2.8</v>
      </c>
      <c r="AD324" s="3" t="n">
        <v>0.0455</v>
      </c>
      <c r="AE324" s="3" t="n">
        <v>9.144</v>
      </c>
      <c r="AF324" s="3" t="n">
        <v>0.09486317972344482</v>
      </c>
      <c r="AG324" s="3" t="n">
        <v>0</v>
      </c>
      <c r="AH324" s="3" t="n">
        <v>16</v>
      </c>
      <c r="AI324" s="3" t="n">
        <v>3.0311</v>
      </c>
      <c r="AJ324" s="3" t="n">
        <v>1.5252</v>
      </c>
      <c r="AK324" s="3" t="n">
        <v>-0.2888063596275141</v>
      </c>
      <c r="AL324" s="6" t="n">
        <v>0</v>
      </c>
      <c r="AM324" s="3" t="n">
        <v>0</v>
      </c>
      <c r="AN324" s="3" t="n">
        <v>0.25</v>
      </c>
      <c r="AO324" s="3" t="n">
        <v>0.18018</v>
      </c>
      <c r="AP324" s="3">
        <f>N(X324)*N(BI324)</f>
        <v/>
      </c>
      <c r="AQ324" s="3" t="n">
        <v>0</v>
      </c>
      <c r="AR324" s="3" t="n">
        <v>0</v>
      </c>
      <c r="AS324" s="3" t="n">
        <v>-0</v>
      </c>
      <c r="AT324" s="3" t="n">
        <v>-0.2888063596275141</v>
      </c>
      <c r="AU324" s="3">
        <f>SUM(AN324:AT324)</f>
        <v/>
      </c>
      <c r="AV324" s="7">
        <f>IF(OR(N(W324)&lt;=0,N(BG324)=0),0,N(W324)*IF(N(R324)/N(W324)&gt;=60,N(BG324),1))</f>
        <v/>
      </c>
      <c r="AW324" s="7">
        <f>N(W324)*N(AF324)*N(BH324)</f>
        <v/>
      </c>
      <c r="AX324" s="7">
        <f>N(AL324)*(Assumptions!$B$13*N(BJ324)-(1-Assumptions!$B$13)*Assumptions!$B$14)+N(AM324)</f>
        <v/>
      </c>
      <c r="AY324" s="7">
        <f>N(AU324)*N(R324)/90+N(AV324)+N(AW324)+N(AX324)</f>
        <v/>
      </c>
      <c r="AZ324" s="3">
        <f>IF(N(R324)&lt;=0,0,(N(AY324)-N(AX324))*90/N(R324))</f>
        <v/>
      </c>
      <c r="BA324" s="7">
        <f>IFERROR(AY324-VLOOKUP($E324,Assumptions!$A$40:$C$43,3,FALSE),"")</f>
        <v/>
      </c>
      <c r="BB324" s="3">
        <f>IFERROR(BA324/H324,"")</f>
        <v/>
      </c>
      <c r="BC324">
        <f>IF(AND($G324=TRUE,$E324="GKP"),AY324,"")</f>
        <v/>
      </c>
      <c r="BD324">
        <f>IF(AND($G324=TRUE,$E324="DEF"),AY324,"")</f>
        <v/>
      </c>
      <c r="BE324">
        <f>IF(AND($G324=TRUE,$E324="MID"),AY324,"")</f>
        <v/>
      </c>
      <c r="BF324">
        <f>IF(AND($G324=TRUE,$E324="FWD"),AY324,"")</f>
        <v/>
      </c>
      <c r="BG324" t="n">
        <v>2</v>
      </c>
      <c r="BH324" t="n">
        <v>2</v>
      </c>
      <c r="BI324" t="n">
        <v>1</v>
      </c>
      <c r="BJ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N325" s="4" t="n">
        <v>0</v>
      </c>
      <c r="O325" s="4" t="n">
        <v>-159</v>
      </c>
      <c r="P325" s="5" t="inlineStr">
        <is>
          <t>high</t>
        </is>
      </c>
      <c r="R325" s="6" t="n">
        <v>0</v>
      </c>
      <c r="S325" t="inlineStr">
        <is>
          <t>research</t>
        </is>
      </c>
      <c r="T325" s="5" t="inlineStr">
        <is>
          <t>Loan ended and he has returned to Getafe CF. FPL status is 'u' with chance_of_playing 0, news dated 2026-07-23. He will play no Premier League minutes for Palace.</t>
        </is>
      </c>
      <c r="U325" s="6" t="n">
        <v>78.5</v>
      </c>
      <c r="V325" s="2" t="n">
        <v>0</v>
      </c>
      <c r="W325" s="7">
        <f>IF(N(U325)&lt;=0,0,MIN(Assumptions!$B$15,N(R325)/N(U325)))</f>
        <v/>
      </c>
      <c r="X325" s="6" t="n">
        <v>0.216</v>
      </c>
      <c r="Y325" s="3" t="n">
        <v>0.2745</v>
      </c>
      <c r="Z325" t="inlineStr">
        <is>
          <t>adjusted xGOT</t>
        </is>
      </c>
      <c r="AA325" s="3" t="n">
        <v>1</v>
      </c>
      <c r="AB325" s="3" t="n">
        <v>0.989</v>
      </c>
      <c r="AC325" s="3" t="n">
        <v>0.5</v>
      </c>
      <c r="AD325" s="3" t="n">
        <v>0.0028</v>
      </c>
      <c r="AE325" s="3" t="n">
        <v>5.257</v>
      </c>
      <c r="AF325" s="3" t="n">
        <v>0.00279100051185055</v>
      </c>
      <c r="AG325" s="3" t="n">
        <v>0</v>
      </c>
      <c r="AH325" s="3" t="n">
        <v>14</v>
      </c>
      <c r="AI325" s="3" t="n">
        <v>3.2035</v>
      </c>
      <c r="AJ325" s="3" t="n">
        <v>1.5923</v>
      </c>
      <c r="AK325" s="3" t="n">
        <v>-0.1584765660383624</v>
      </c>
      <c r="AL325" s="6" t="n">
        <v>0</v>
      </c>
      <c r="AM325" s="3" t="n">
        <v>0</v>
      </c>
      <c r="AN325" s="3" t="n">
        <v>1.098</v>
      </c>
      <c r="AO325" s="3" t="n">
        <v>0.011088</v>
      </c>
      <c r="AP325" s="3">
        <f>N(X325)*N(BI325)</f>
        <v/>
      </c>
      <c r="AQ325" s="3" t="n">
        <v>0</v>
      </c>
      <c r="AR325" s="3" t="n">
        <v>0</v>
      </c>
      <c r="AS325" s="3" t="n">
        <v>-0</v>
      </c>
      <c r="AT325" s="3" t="n">
        <v>-0.1584765660383624</v>
      </c>
      <c r="AU325" s="3">
        <f>SUM(AN325:AT325)</f>
        <v/>
      </c>
      <c r="AV325" s="7">
        <f>IF(OR(N(W325)&lt;=0,N(BG325)=0),0,N(W325)*IF(N(R325)/N(W325)&gt;=60,N(BG325),1))</f>
        <v/>
      </c>
      <c r="AW325" s="7">
        <f>N(W325)*N(AF325)*N(BH325)</f>
        <v/>
      </c>
      <c r="AX325" s="7">
        <f>N(AL325)*(Assumptions!$B$13*N(BJ325)-(1-Assumptions!$B$13)*Assumptions!$B$14)+N(AM325)</f>
        <v/>
      </c>
      <c r="AY325" s="7">
        <f>N(AU325)*N(R325)/90+N(AV325)+N(AW325)+N(AX325)</f>
        <v/>
      </c>
      <c r="AZ325" s="3">
        <f>IF(N(R325)&lt;=0,0,(N(AY325)-N(AX325))*90/N(R325))</f>
        <v/>
      </c>
      <c r="BA325" s="7">
        <f>IFERROR(AY325-VLOOKUP($E325,Assumptions!$A$40:$C$43,3,FALSE),"")</f>
        <v/>
      </c>
      <c r="BB325" s="3">
        <f>IFERROR(BA325/H325,"")</f>
        <v/>
      </c>
      <c r="BC325">
        <f>IF(AND($G325=TRUE,$E325="GKP"),AY325,"")</f>
        <v/>
      </c>
      <c r="BD325">
        <f>IF(AND($G325=TRUE,$E325="DEF"),AY325,"")</f>
        <v/>
      </c>
      <c r="BE325">
        <f>IF(AND($G325=TRUE,$E325="MID"),AY325,"")</f>
        <v/>
      </c>
      <c r="BF325">
        <f>IF(AND($G325=TRUE,$E325="FWD"),AY325,"")</f>
        <v/>
      </c>
      <c r="BG325" t="n">
        <v>2</v>
      </c>
      <c r="BH325" t="n">
        <v>2</v>
      </c>
      <c r="BI325" t="n">
        <v>0</v>
      </c>
      <c r="BJ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s="8" t="n">
        <v>15</v>
      </c>
      <c r="O326" s="8" t="n">
        <v>0</v>
      </c>
      <c r="Q326" t="inlineStr">
        <is>
          <t>flat</t>
        </is>
      </c>
      <c r="R326" s="6" t="n">
        <v>15</v>
      </c>
      <c r="S326" t="inlineStr">
        <is>
          <t>Solio</t>
        </is>
      </c>
      <c r="U326" s="6" t="n">
        <v>76.59999999999999</v>
      </c>
      <c r="V326" s="2" t="n">
        <v>2</v>
      </c>
      <c r="W326" s="7">
        <f>IF(N(U326)&lt;=0,0,MIN(Assumptions!$B$15,N(R326)/N(U326)))</f>
        <v/>
      </c>
      <c r="X326" s="6" t="n">
        <v>0.218</v>
      </c>
      <c r="Y326" s="3" t="n">
        <v>0.3172</v>
      </c>
      <c r="Z326" t="inlineStr">
        <is>
          <t>adjusted xGOT</t>
        </is>
      </c>
      <c r="AA326" s="3" t="n">
        <v>1</v>
      </c>
      <c r="AB326" s="3" t="n">
        <v>0.955</v>
      </c>
      <c r="AC326" s="3" t="n">
        <v>0.9</v>
      </c>
      <c r="AD326" s="3" t="n">
        <v>0.0398</v>
      </c>
      <c r="AE326" s="3" t="n">
        <v>4.887</v>
      </c>
      <c r="AF326" s="3" t="n">
        <v>0.001267930977892684</v>
      </c>
      <c r="AG326" s="3" t="n">
        <v>0</v>
      </c>
      <c r="AH326" s="3" t="n">
        <v>17</v>
      </c>
      <c r="AI326" s="3" t="n">
        <v>3.0611</v>
      </c>
      <c r="AJ326" s="3" t="n">
        <v>1.5875</v>
      </c>
      <c r="AK326" s="3" t="n">
        <v>-0.1510642857133865</v>
      </c>
      <c r="AL326" s="6" t="n">
        <v>0.0016985847943565</v>
      </c>
      <c r="AM326" s="3" t="n">
        <v>0</v>
      </c>
      <c r="AN326" s="3" t="n">
        <v>1.2688</v>
      </c>
      <c r="AO326" s="3" t="n">
        <v>0.157608</v>
      </c>
      <c r="AP326" s="3">
        <f>N(X326)*N(BI326)</f>
        <v/>
      </c>
      <c r="AQ326" s="3" t="n">
        <v>0</v>
      </c>
      <c r="AR326" s="3" t="n">
        <v>0</v>
      </c>
      <c r="AS326" s="3" t="n">
        <v>-0</v>
      </c>
      <c r="AT326" s="3" t="n">
        <v>-0.1510642857133865</v>
      </c>
      <c r="AU326" s="3">
        <f>SUM(AN326:AT326)</f>
        <v/>
      </c>
      <c r="AV326" s="7">
        <f>IF(OR(N(W326)&lt;=0,N(BG326)=0),0,N(W326)*IF(N(R326)/N(W326)&gt;=60,N(BG326),1))</f>
        <v/>
      </c>
      <c r="AW326" s="7">
        <f>N(W326)*N(AF326)*N(BH326)</f>
        <v/>
      </c>
      <c r="AX326" s="7">
        <f>N(AL326)*(Assumptions!$B$13*N(BJ326)-(1-Assumptions!$B$13)*Assumptions!$B$14)+N(AM326)</f>
        <v/>
      </c>
      <c r="AY326" s="7">
        <f>N(AU326)*N(R326)/90+N(AV326)+N(AW326)+N(AX326)</f>
        <v/>
      </c>
      <c r="AZ326" s="3">
        <f>IF(N(R326)&lt;=0,0,(N(AY326)-N(AX326))*90/N(R326))</f>
        <v/>
      </c>
      <c r="BA326" s="7">
        <f>IFERROR(AY326-VLOOKUP($E326,Assumptions!$A$40:$C$43,3,FALSE),"")</f>
        <v/>
      </c>
      <c r="BB326" s="3">
        <f>IFERROR(BA326/H326,"")</f>
        <v/>
      </c>
      <c r="BC326">
        <f>IF(AND($G326=TRUE,$E326="GKP"),AY326,"")</f>
        <v/>
      </c>
      <c r="BD326">
        <f>IF(AND($G326=TRUE,$E326="DEF"),AY326,"")</f>
        <v/>
      </c>
      <c r="BE326">
        <f>IF(AND($G326=TRUE,$E326="MID"),AY326,"")</f>
        <v/>
      </c>
      <c r="BF326">
        <f>IF(AND($G326=TRUE,$E326="FWD"),AY326,"")</f>
        <v/>
      </c>
      <c r="BG326" t="n">
        <v>2</v>
      </c>
      <c r="BH326" t="n">
        <v>2</v>
      </c>
      <c r="BI326" t="n">
        <v>0</v>
      </c>
      <c r="BJ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s="4" t="n">
        <v>790</v>
      </c>
      <c r="O327" s="4" t="n">
        <v>157</v>
      </c>
      <c r="P327" s="5" t="inlineStr">
        <is>
          <t>low</t>
        </is>
      </c>
      <c r="Q327" t="inlineStr">
        <is>
          <t>flat</t>
        </is>
      </c>
      <c r="R327" s="6" t="n">
        <v>790</v>
      </c>
      <c r="S327" t="inlineStr">
        <is>
          <t>research</t>
        </is>
      </c>
      <c r="T327" s="5" t="inlineStr">
        <is>
          <t>Started Glasner's first pre-season XI. His 288 league minutes in 2025-26 came under previous managers, and a coaching change plus Elliot Anderson's departure both work in his favour for the contested central and ten roles.</t>
        </is>
      </c>
      <c r="U327" s="6" t="n">
        <v>79.2</v>
      </c>
      <c r="V327" s="2" t="n">
        <v>2</v>
      </c>
      <c r="W327" s="7">
        <f>IF(N(U327)&lt;=0,0,MIN(Assumptions!$B$15,N(R327)/N(U327)))</f>
        <v/>
      </c>
      <c r="X327" s="6" t="n">
        <v>0.224</v>
      </c>
      <c r="Y327" s="3" t="n">
        <v>0.0572</v>
      </c>
      <c r="Z327" t="inlineStr">
        <is>
          <t>adjusted xGOT</t>
        </is>
      </c>
      <c r="AA327" s="3" t="n">
        <v>1</v>
      </c>
      <c r="AB327" s="3" t="n">
        <v>1.017</v>
      </c>
      <c r="AC327" s="3" t="n">
        <v>6</v>
      </c>
      <c r="AD327" s="3" t="n">
        <v>0.1925</v>
      </c>
      <c r="AE327" s="3" t="n">
        <v>8.984</v>
      </c>
      <c r="AF327" s="3" t="n">
        <v>0.1052524412148426</v>
      </c>
      <c r="AG327" s="3" t="n">
        <v>0</v>
      </c>
      <c r="AH327" s="3" t="n">
        <v>15</v>
      </c>
      <c r="AI327" s="3" t="n">
        <v>3.1134</v>
      </c>
      <c r="AJ327" s="3" t="n">
        <v>1.5588</v>
      </c>
      <c r="AK327" s="3" t="n">
        <v>-0.2059306275428898</v>
      </c>
      <c r="AL327" s="6" t="n">
        <v>0</v>
      </c>
      <c r="AM327" s="3" t="n">
        <v>0</v>
      </c>
      <c r="AN327" s="3" t="n">
        <v>0.286</v>
      </c>
      <c r="AO327" s="3" t="n">
        <v>0.7623000000000001</v>
      </c>
      <c r="AP327" s="3">
        <f>N(X327)*N(BI327)</f>
        <v/>
      </c>
      <c r="AQ327" s="3" t="n">
        <v>0</v>
      </c>
      <c r="AR327" s="3" t="n">
        <v>0</v>
      </c>
      <c r="AS327" s="3" t="n">
        <v>-0</v>
      </c>
      <c r="AT327" s="3" t="n">
        <v>-0.2059306275428898</v>
      </c>
      <c r="AU327" s="3">
        <f>SUM(AN327:AT327)</f>
        <v/>
      </c>
      <c r="AV327" s="7">
        <f>IF(OR(N(W327)&lt;=0,N(BG327)=0),0,N(W327)*IF(N(R327)/N(W327)&gt;=60,N(BG327),1))</f>
        <v/>
      </c>
      <c r="AW327" s="7">
        <f>N(W327)*N(AF327)*N(BH327)</f>
        <v/>
      </c>
      <c r="AX327" s="7">
        <f>N(AL327)*(Assumptions!$B$13*N(BJ327)-(1-Assumptions!$B$13)*Assumptions!$B$14)+N(AM327)</f>
        <v/>
      </c>
      <c r="AY327" s="7">
        <f>N(AU327)*N(R327)/90+N(AV327)+N(AW327)+N(AX327)</f>
        <v/>
      </c>
      <c r="AZ327" s="3">
        <f>IF(N(R327)&lt;=0,0,(N(AY327)-N(AX327))*90/N(R327))</f>
        <v/>
      </c>
      <c r="BA327" s="7">
        <f>IFERROR(AY327-VLOOKUP($E327,Assumptions!$A$40:$C$43,3,FALSE),"")</f>
        <v/>
      </c>
      <c r="BB327" s="3">
        <f>IFERROR(BA327/H327,"")</f>
        <v/>
      </c>
      <c r="BC327">
        <f>IF(AND($G327=TRUE,$E327="GKP"),AY327,"")</f>
        <v/>
      </c>
      <c r="BD327">
        <f>IF(AND($G327=TRUE,$E327="DEF"),AY327,"")</f>
        <v/>
      </c>
      <c r="BE327">
        <f>IF(AND($G327=TRUE,$E327="MID"),AY327,"")</f>
        <v/>
      </c>
      <c r="BF327">
        <f>IF(AND($G327=TRUE,$E327="FWD"),AY327,"")</f>
        <v/>
      </c>
      <c r="BG327" t="n">
        <v>2</v>
      </c>
      <c r="BH327" t="n">
        <v>2</v>
      </c>
      <c r="BI327" t="n">
        <v>1</v>
      </c>
      <c r="BJ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s="8" t="n">
        <v>268</v>
      </c>
      <c r="O328" s="8" t="n">
        <v>0</v>
      </c>
      <c r="Q328" t="inlineStr">
        <is>
          <t>flat</t>
        </is>
      </c>
      <c r="R328" s="6" t="n">
        <v>268</v>
      </c>
      <c r="S328" t="inlineStr">
        <is>
          <t>Solio</t>
        </is>
      </c>
      <c r="U328" s="6" t="n">
        <v>73.5</v>
      </c>
      <c r="V328" s="2" t="n">
        <v>1</v>
      </c>
      <c r="W328" s="7">
        <f>IF(N(U328)&lt;=0,0,MIN(Assumptions!$B$15,N(R328)/N(U328)))</f>
        <v/>
      </c>
      <c r="X328" s="6" t="n">
        <v>0.252</v>
      </c>
      <c r="Y328" s="3" t="n">
        <v>0.3055</v>
      </c>
      <c r="Z328" t="inlineStr">
        <is>
          <t>adjusted xGOT</t>
        </is>
      </c>
      <c r="AA328" s="3" t="n">
        <v>1</v>
      </c>
      <c r="AB328" s="3" t="n">
        <v>1.019</v>
      </c>
      <c r="AC328" s="3" t="n">
        <v>0.4</v>
      </c>
      <c r="AD328" s="3" t="n">
        <v>0.1685</v>
      </c>
      <c r="AE328" s="3" t="n">
        <v>5.635</v>
      </c>
      <c r="AF328" s="3" t="n">
        <v>0.002872064348191428</v>
      </c>
      <c r="AG328" s="3" t="n">
        <v>0</v>
      </c>
      <c r="AH328" s="3" t="n">
        <v>9</v>
      </c>
      <c r="AI328" s="3" t="n">
        <v>2.8404</v>
      </c>
      <c r="AJ328" s="3" t="n">
        <v>1.439</v>
      </c>
      <c r="AK328" s="3" t="n">
        <v>-0.1609988049383475</v>
      </c>
      <c r="AL328" s="6" t="n">
        <v>0</v>
      </c>
      <c r="AM328" s="3" t="n">
        <v>0</v>
      </c>
      <c r="AN328" s="3" t="n">
        <v>1.222</v>
      </c>
      <c r="AO328" s="3" t="n">
        <v>0.6672600000000001</v>
      </c>
      <c r="AP328" s="3">
        <f>N(X328)*N(BI328)</f>
        <v/>
      </c>
      <c r="AQ328" s="3" t="n">
        <v>0</v>
      </c>
      <c r="AR328" s="3" t="n">
        <v>0</v>
      </c>
      <c r="AS328" s="3" t="n">
        <v>-0</v>
      </c>
      <c r="AT328" s="3" t="n">
        <v>-0.1609988049383475</v>
      </c>
      <c r="AU328" s="3">
        <f>SUM(AN328:AT328)</f>
        <v/>
      </c>
      <c r="AV328" s="7">
        <f>IF(OR(N(W328)&lt;=0,N(BG328)=0),0,N(W328)*IF(N(R328)/N(W328)&gt;=60,N(BG328),1))</f>
        <v/>
      </c>
      <c r="AW328" s="7">
        <f>N(W328)*N(AF328)*N(BH328)</f>
        <v/>
      </c>
      <c r="AX328" s="7">
        <f>N(AL328)*(Assumptions!$B$13*N(BJ328)-(1-Assumptions!$B$13)*Assumptions!$B$14)+N(AM328)</f>
        <v/>
      </c>
      <c r="AY328" s="7">
        <f>N(AU328)*N(R328)/90+N(AV328)+N(AW328)+N(AX328)</f>
        <v/>
      </c>
      <c r="AZ328" s="3">
        <f>IF(N(R328)&lt;=0,0,(N(AY328)-N(AX328))*90/N(R328))</f>
        <v/>
      </c>
      <c r="BA328" s="7">
        <f>IFERROR(AY328-VLOOKUP($E328,Assumptions!$A$40:$C$43,3,FALSE),"")</f>
        <v/>
      </c>
      <c r="BB328" s="3">
        <f>IFERROR(BA328/H328,"")</f>
        <v/>
      </c>
      <c r="BC328">
        <f>IF(AND($G328=TRUE,$E328="GKP"),AY328,"")</f>
        <v/>
      </c>
      <c r="BD328">
        <f>IF(AND($G328=TRUE,$E328="DEF"),AY328,"")</f>
        <v/>
      </c>
      <c r="BE328">
        <f>IF(AND($G328=TRUE,$E328="MID"),AY328,"")</f>
        <v/>
      </c>
      <c r="BF328">
        <f>IF(AND($G328=TRUE,$E328="FWD"),AY328,"")</f>
        <v/>
      </c>
      <c r="BG328" t="n">
        <v>2</v>
      </c>
      <c r="BH328" t="n">
        <v>2</v>
      </c>
      <c r="BI328" t="n">
        <v>0</v>
      </c>
      <c r="BJ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s="8" t="n">
        <v>0</v>
      </c>
      <c r="O329" s="8" t="n">
        <v>0</v>
      </c>
      <c r="Q329" t="inlineStr">
        <is>
          <t>flat</t>
        </is>
      </c>
      <c r="R329" s="6" t="n">
        <v>0</v>
      </c>
      <c r="S329" t="inlineStr">
        <is>
          <t>Solio</t>
        </is>
      </c>
      <c r="U329" s="6" t="n">
        <v>89.8</v>
      </c>
      <c r="V329" s="2" t="n">
        <v>3</v>
      </c>
      <c r="W329" s="7">
        <f>IF(N(U329)&lt;=0,0,MIN(Assumptions!$B$15,N(R329)/N(U329)))</f>
        <v/>
      </c>
      <c r="X329" s="6" t="n">
        <v>0.204</v>
      </c>
      <c r="Y329" s="3" t="n">
        <v>0</v>
      </c>
      <c r="Z329" t="inlineStr">
        <is>
          <t>blended xG</t>
        </is>
      </c>
      <c r="AA329" s="3" t="n">
        <v>1</v>
      </c>
      <c r="AB329" s="3" t="n">
        <v>1</v>
      </c>
      <c r="AC329" s="3" t="n">
        <v>0</v>
      </c>
      <c r="AD329" s="3" t="n">
        <v>0.0033</v>
      </c>
      <c r="AE329" s="3" t="n">
        <v>0</v>
      </c>
      <c r="AF329" s="3" t="n">
        <v>0</v>
      </c>
      <c r="AG329" s="3" t="n">
        <v>1</v>
      </c>
      <c r="AH329" s="3" t="n">
        <v>6</v>
      </c>
      <c r="AI329" s="3" t="n">
        <v>3.3348</v>
      </c>
      <c r="AJ329" s="3" t="n">
        <v>1.6498</v>
      </c>
      <c r="AK329" s="3" t="n">
        <v>-0.06473834845356891</v>
      </c>
      <c r="AL329" s="6" t="n">
        <v>0</v>
      </c>
      <c r="AM329" s="3" t="n">
        <v>0</v>
      </c>
      <c r="AN329" s="3" t="n">
        <v>0</v>
      </c>
      <c r="AO329" s="3" t="n">
        <v>0.013068</v>
      </c>
      <c r="AP329" s="3">
        <f>N(X329)*N(BI329)</f>
        <v/>
      </c>
      <c r="AQ329" s="3" t="n">
        <v>1</v>
      </c>
      <c r="AR329" s="3" t="n">
        <v>0.7764218657798218</v>
      </c>
      <c r="AS329" s="3" t="n">
        <v>-0.5841244809045405</v>
      </c>
      <c r="AT329" s="3" t="n">
        <v>-0.06473834845356891</v>
      </c>
      <c r="AU329" s="3">
        <f>SUM(AN329:AT329)</f>
        <v/>
      </c>
      <c r="AV329" s="7">
        <f>IF(OR(N(W329)&lt;=0,N(BG329)=0),0,N(W329)*IF(N(R329)/N(W329)&gt;=60,N(BG329),1))</f>
        <v/>
      </c>
      <c r="AW329" s="7">
        <f>N(W329)*N(AF329)*N(BH329)</f>
        <v/>
      </c>
      <c r="AX329" s="7">
        <f>N(AL329)*(Assumptions!$B$13*N(BJ329)-(1-Assumptions!$B$13)*Assumptions!$B$14)+N(AM329)</f>
        <v/>
      </c>
      <c r="AY329" s="7">
        <f>N(AU329)*N(R329)/90+N(AV329)+N(AW329)+N(AX329)</f>
        <v/>
      </c>
      <c r="AZ329" s="3">
        <f>IF(N(R329)&lt;=0,0,(N(AY329)-N(AX329))*90/N(R329))</f>
        <v/>
      </c>
      <c r="BA329" s="7">
        <f>IFERROR(AY329-VLOOKUP($E329,Assumptions!$A$40:$C$43,3,FALSE),"")</f>
        <v/>
      </c>
      <c r="BB329" s="3">
        <f>IFERROR(BA329/H329,"")</f>
        <v/>
      </c>
      <c r="BC329">
        <f>IF(AND($G329=TRUE,$E329="GKP"),AY329,"")</f>
        <v/>
      </c>
      <c r="BD329">
        <f>IF(AND($G329=TRUE,$E329="DEF"),AY329,"")</f>
        <v/>
      </c>
      <c r="BE329">
        <f>IF(AND($G329=TRUE,$E329="MID"),AY329,"")</f>
        <v/>
      </c>
      <c r="BF329">
        <f>IF(AND($G329=TRUE,$E329="FWD"),AY329,"")</f>
        <v/>
      </c>
      <c r="BG329" t="n">
        <v>2</v>
      </c>
      <c r="BH329" t="n">
        <v>0</v>
      </c>
      <c r="BI329" t="n">
        <v>4</v>
      </c>
      <c r="BJ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s="8" t="n">
        <v>0</v>
      </c>
      <c r="O330" s="8" t="n">
        <v>0</v>
      </c>
      <c r="Q330" t="inlineStr">
        <is>
          <t>flat</t>
        </is>
      </c>
      <c r="R330" s="6" t="n">
        <v>0</v>
      </c>
      <c r="S330" t="inlineStr">
        <is>
          <t>Solio</t>
        </is>
      </c>
      <c r="U330" s="6" t="n">
        <v>81.5</v>
      </c>
      <c r="V330" s="2" t="n">
        <v>2</v>
      </c>
      <c r="W330" s="7">
        <f>IF(N(U330)&lt;=0,0,MIN(Assumptions!$B$15,N(R330)/N(U330)))</f>
        <v/>
      </c>
      <c r="X330" s="6" t="n">
        <v>0.252</v>
      </c>
      <c r="Y330" s="3" t="n">
        <v>0.1705</v>
      </c>
      <c r="Z330" t="inlineStr">
        <is>
          <t>adjusted xGOT</t>
        </is>
      </c>
      <c r="AA330" s="3" t="n">
        <v>0.332</v>
      </c>
      <c r="AB330" s="3" t="n">
        <v>0.952</v>
      </c>
      <c r="AC330" s="3" t="n">
        <v>4</v>
      </c>
      <c r="AD330" s="3" t="n">
        <v>0.07340000000000001</v>
      </c>
      <c r="AE330" s="3" t="n">
        <v>7.674</v>
      </c>
      <c r="AF330" s="3" t="n">
        <v>0.05108959336326291</v>
      </c>
      <c r="AG330" s="3" t="n">
        <v>0.8911</v>
      </c>
      <c r="AH330" s="3" t="n">
        <v>8</v>
      </c>
      <c r="AI330" s="3" t="n">
        <v>2.8404</v>
      </c>
      <c r="AJ330" s="3" t="n">
        <v>1.439</v>
      </c>
      <c r="AK330" s="3" t="n">
        <v>-0.1717445329400345</v>
      </c>
      <c r="AL330" s="6" t="n">
        <v>0</v>
      </c>
      <c r="AM330" s="3" t="n">
        <v>0</v>
      </c>
      <c r="AN330" s="3" t="n">
        <v>0.8525</v>
      </c>
      <c r="AO330" s="3" t="n">
        <v>0.290664</v>
      </c>
      <c r="AP330" s="3">
        <f>N(X330)*N(BI330)</f>
        <v/>
      </c>
      <c r="AQ330" s="3" t="n">
        <v>0.8911</v>
      </c>
      <c r="AR330" s="3" t="n">
        <v>0</v>
      </c>
      <c r="AS330" s="3" t="n">
        <v>-0</v>
      </c>
      <c r="AT330" s="3" t="n">
        <v>-0.1717445329400345</v>
      </c>
      <c r="AU330" s="3">
        <f>SUM(AN330:AT330)</f>
        <v/>
      </c>
      <c r="AV330" s="7">
        <f>IF(OR(N(W330)&lt;=0,N(BG330)=0),0,N(W330)*IF(N(R330)/N(W330)&gt;=60,N(BG330),1))</f>
        <v/>
      </c>
      <c r="AW330" s="7">
        <f>N(W330)*N(AF330)*N(BH330)</f>
        <v/>
      </c>
      <c r="AX330" s="7">
        <f>N(AL330)*(Assumptions!$B$13*N(BJ330)-(1-Assumptions!$B$13)*Assumptions!$B$14)+N(AM330)</f>
        <v/>
      </c>
      <c r="AY330" s="7">
        <f>N(AU330)*N(R330)/90+N(AV330)+N(AW330)+N(AX330)</f>
        <v/>
      </c>
      <c r="AZ330" s="3">
        <f>IF(N(R330)&lt;=0,0,(N(AY330)-N(AX330))*90/N(R330))</f>
        <v/>
      </c>
      <c r="BA330" s="7">
        <f>IFERROR(AY330-VLOOKUP($E330,Assumptions!$A$40:$C$43,3,FALSE),"")</f>
        <v/>
      </c>
      <c r="BB330" s="3">
        <f>IFERROR(BA330/H330,"")</f>
        <v/>
      </c>
      <c r="BC330">
        <f>IF(AND($G330=TRUE,$E330="GKP"),AY330,"")</f>
        <v/>
      </c>
      <c r="BD330">
        <f>IF(AND($G330=TRUE,$E330="DEF"),AY330,"")</f>
        <v/>
      </c>
      <c r="BE330">
        <f>IF(AND($G330=TRUE,$E330="MID"),AY330,"")</f>
        <v/>
      </c>
      <c r="BF330">
        <f>IF(AND($G330=TRUE,$E330="FWD"),AY330,"")</f>
        <v/>
      </c>
      <c r="BG330" t="n">
        <v>2</v>
      </c>
      <c r="BH330" t="n">
        <v>2</v>
      </c>
      <c r="BI330" t="n">
        <v>1</v>
      </c>
      <c r="BJ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s="8" t="n">
        <v>885</v>
      </c>
      <c r="O331" s="8" t="n">
        <v>0</v>
      </c>
      <c r="Q331" t="inlineStr">
        <is>
          <t>flat</t>
        </is>
      </c>
      <c r="R331" s="6" t="n">
        <v>885</v>
      </c>
      <c r="S331" t="inlineStr">
        <is>
          <t>Solio</t>
        </is>
      </c>
      <c r="U331" s="6" t="n">
        <v>78.40000000000001</v>
      </c>
      <c r="V331" s="2" t="n">
        <v>1</v>
      </c>
      <c r="W331" s="7">
        <f>IF(N(U331)&lt;=0,0,MIN(Assumptions!$B$15,N(R331)/N(U331)))</f>
        <v/>
      </c>
      <c r="X331" s="6" t="n">
        <v>0.231</v>
      </c>
      <c r="Y331" s="3" t="n">
        <v>0.1821</v>
      </c>
      <c r="Z331" t="inlineStr">
        <is>
          <t>adjusted xGOT</t>
        </is>
      </c>
      <c r="AA331" s="3" t="n">
        <v>1</v>
      </c>
      <c r="AB331" s="3" t="n">
        <v>1.109</v>
      </c>
      <c r="AC331" s="3" t="n">
        <v>0.8</v>
      </c>
      <c r="AD331" s="3" t="n">
        <v>0.3246</v>
      </c>
      <c r="AE331" s="3" t="n">
        <v>7.699</v>
      </c>
      <c r="AF331" s="3" t="n">
        <v>0.04118937526389166</v>
      </c>
      <c r="AG331" s="3" t="n">
        <v>0</v>
      </c>
      <c r="AH331" s="3" t="n">
        <v>17</v>
      </c>
      <c r="AI331" s="3" t="n">
        <v>3.0311</v>
      </c>
      <c r="AJ331" s="3" t="n">
        <v>1.5252</v>
      </c>
      <c r="AK331" s="3" t="n">
        <v>-0.291328227694831</v>
      </c>
      <c r="AL331" s="6" t="n">
        <v>0</v>
      </c>
      <c r="AM331" s="3" t="n">
        <v>0</v>
      </c>
      <c r="AN331" s="3" t="n">
        <v>0.9105000000000001</v>
      </c>
      <c r="AO331" s="3" t="n">
        <v>1.285416</v>
      </c>
      <c r="AP331" s="3">
        <f>N(X331)*N(BI331)</f>
        <v/>
      </c>
      <c r="AQ331" s="3" t="n">
        <v>0</v>
      </c>
      <c r="AR331" s="3" t="n">
        <v>0</v>
      </c>
      <c r="AS331" s="3" t="n">
        <v>-0</v>
      </c>
      <c r="AT331" s="3" t="n">
        <v>-0.291328227694831</v>
      </c>
      <c r="AU331" s="3">
        <f>SUM(AN331:AT331)</f>
        <v/>
      </c>
      <c r="AV331" s="7">
        <f>IF(OR(N(W331)&lt;=0,N(BG331)=0),0,N(W331)*IF(N(R331)/N(W331)&gt;=60,N(BG331),1))</f>
        <v/>
      </c>
      <c r="AW331" s="7">
        <f>N(W331)*N(AF331)*N(BH331)</f>
        <v/>
      </c>
      <c r="AX331" s="7">
        <f>N(AL331)*(Assumptions!$B$13*N(BJ331)-(1-Assumptions!$B$13)*Assumptions!$B$14)+N(AM331)</f>
        <v/>
      </c>
      <c r="AY331" s="7">
        <f>N(AU331)*N(R331)/90+N(AV331)+N(AW331)+N(AX331)</f>
        <v/>
      </c>
      <c r="AZ331" s="3">
        <f>IF(N(R331)&lt;=0,0,(N(AY331)-N(AX331))*90/N(R331))</f>
        <v/>
      </c>
      <c r="BA331" s="7">
        <f>IFERROR(AY331-VLOOKUP($E331,Assumptions!$A$40:$C$43,3,FALSE),"")</f>
        <v/>
      </c>
      <c r="BB331" s="3">
        <f>IFERROR(BA331/H331,"")</f>
        <v/>
      </c>
      <c r="BC331">
        <f>IF(AND($G331=TRUE,$E331="GKP"),AY331,"")</f>
        <v/>
      </c>
      <c r="BD331">
        <f>IF(AND($G331=TRUE,$E331="DEF"),AY331,"")</f>
        <v/>
      </c>
      <c r="BE331">
        <f>IF(AND($G331=TRUE,$E331="MID"),AY331,"")</f>
        <v/>
      </c>
      <c r="BF331">
        <f>IF(AND($G331=TRUE,$E331="FWD"),AY331,"")</f>
        <v/>
      </c>
      <c r="BG331" t="n">
        <v>2</v>
      </c>
      <c r="BH331" t="n">
        <v>2</v>
      </c>
      <c r="BI331" t="n">
        <v>1</v>
      </c>
      <c r="BJ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s="4" t="n">
        <v>320</v>
      </c>
      <c r="O332" s="4" t="n">
        <v>285</v>
      </c>
      <c r="P332" s="5" t="inlineStr">
        <is>
          <t>low</t>
        </is>
      </c>
      <c r="Q332" t="inlineStr">
        <is>
          <t>flat</t>
        </is>
      </c>
      <c r="R332" s="6" t="n">
        <v>320</v>
      </c>
      <c r="S332" t="inlineStr">
        <is>
          <t>research</t>
        </is>
      </c>
      <c r="T332" s="5" t="inlineStr">
        <is>
          <t>The exact counterpart to the Martinez adjustment - the goalkeeper block still totals 3,420. Bizot started the UEFA Super Cup final and the Monchengladbach friendly, so he is a trusted deputy rather than an emergency option, and Martinez's late start plus exit speculation gives him a realistic path to a few league starts.</t>
        </is>
      </c>
      <c r="U332" s="6" t="n">
        <v>89.90000000000001</v>
      </c>
      <c r="V332" s="2" t="n">
        <v>6</v>
      </c>
      <c r="W332" s="7">
        <f>IF(N(U332)&lt;=0,0,MIN(Assumptions!$B$15,N(R332)/N(U332)))</f>
        <v/>
      </c>
      <c r="X332" s="6" t="n">
        <v>0.273</v>
      </c>
      <c r="Y332" s="3" t="n">
        <v>0</v>
      </c>
      <c r="Z332" t="inlineStr">
        <is>
          <t>blended xG</t>
        </is>
      </c>
      <c r="AA332" s="3" t="n">
        <v>1</v>
      </c>
      <c r="AB332" s="3" t="n">
        <v>1</v>
      </c>
      <c r="AC332" s="3" t="n">
        <v>0</v>
      </c>
      <c r="AD332" s="3" t="n">
        <v>0</v>
      </c>
      <c r="AE332" s="3" t="n">
        <v>0</v>
      </c>
      <c r="AF332" s="3" t="n">
        <v>0</v>
      </c>
      <c r="AG332" s="3" t="n">
        <v>0.1538</v>
      </c>
      <c r="AH332" s="3" t="n">
        <v>13</v>
      </c>
      <c r="AI332" s="3" t="n">
        <v>2.7451</v>
      </c>
      <c r="AJ332" s="3" t="n">
        <v>1.3575</v>
      </c>
      <c r="AK332" s="3" t="n">
        <v>-0.1440173892489311</v>
      </c>
      <c r="AL332" s="6" t="n">
        <v>0</v>
      </c>
      <c r="AM332" s="3" t="n">
        <v>0.0296591933078106</v>
      </c>
      <c r="AN332" s="3" t="n">
        <v>0</v>
      </c>
      <c r="AO332" s="3" t="n">
        <v>0</v>
      </c>
      <c r="AP332" s="3">
        <f>N(X332)*N(BI332)</f>
        <v/>
      </c>
      <c r="AQ332" s="3" t="n">
        <v>0.1538</v>
      </c>
      <c r="AR332" s="3" t="n">
        <v>0.5799503685565225</v>
      </c>
      <c r="AS332" s="3" t="n">
        <v>-0.4453012382517575</v>
      </c>
      <c r="AT332" s="3" t="n">
        <v>-0.1440173892489311</v>
      </c>
      <c r="AU332" s="3">
        <f>SUM(AN332:AT332)</f>
        <v/>
      </c>
      <c r="AV332" s="7">
        <f>IF(OR(N(W332)&lt;=0,N(BG332)=0),0,N(W332)*IF(N(R332)/N(W332)&gt;=60,N(BG332),1))</f>
        <v/>
      </c>
      <c r="AW332" s="7">
        <f>N(W332)*N(AF332)*N(BH332)</f>
        <v/>
      </c>
      <c r="AX332" s="7">
        <f>N(AL332)*(Assumptions!$B$13*N(BJ332)-(1-Assumptions!$B$13)*Assumptions!$B$14)+N(AM332)</f>
        <v/>
      </c>
      <c r="AY332" s="7">
        <f>N(AU332)*N(R332)/90+N(AV332)+N(AW332)+N(AX332)</f>
        <v/>
      </c>
      <c r="AZ332" s="3">
        <f>IF(N(R332)&lt;=0,0,(N(AY332)-N(AX332))*90/N(R332))</f>
        <v/>
      </c>
      <c r="BA332" s="7">
        <f>IFERROR(AY332-VLOOKUP($E332,Assumptions!$A$40:$C$43,3,FALSE),"")</f>
        <v/>
      </c>
      <c r="BB332" s="3">
        <f>IFERROR(BA332/H332,"")</f>
        <v/>
      </c>
      <c r="BC332">
        <f>IF(AND($G332=TRUE,$E332="GKP"),AY332,"")</f>
        <v/>
      </c>
      <c r="BD332">
        <f>IF(AND($G332=TRUE,$E332="DEF"),AY332,"")</f>
        <v/>
      </c>
      <c r="BE332">
        <f>IF(AND($G332=TRUE,$E332="MID"),AY332,"")</f>
        <v/>
      </c>
      <c r="BF332">
        <f>IF(AND($G332=TRUE,$E332="FWD"),AY332,"")</f>
        <v/>
      </c>
      <c r="BG332" t="n">
        <v>2</v>
      </c>
      <c r="BH332" t="n">
        <v>0</v>
      </c>
      <c r="BI332" t="n">
        <v>4</v>
      </c>
      <c r="BJ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s="8" t="n">
        <v>85</v>
      </c>
      <c r="O333" s="8" t="n">
        <v>0</v>
      </c>
      <c r="Q333" t="inlineStr">
        <is>
          <t>flat</t>
        </is>
      </c>
      <c r="R333" s="6" t="n">
        <v>85</v>
      </c>
      <c r="S333" t="inlineStr">
        <is>
          <t>Solio</t>
        </is>
      </c>
      <c r="U333" s="6" t="n">
        <v>78.40000000000001</v>
      </c>
      <c r="V333" s="2" t="n">
        <v>1</v>
      </c>
      <c r="W333" s="7">
        <f>IF(N(U333)&lt;=0,0,MIN(Assumptions!$B$15,N(R333)/N(U333)))</f>
        <v/>
      </c>
      <c r="X333" s="6" t="n">
        <v>0.391</v>
      </c>
      <c r="Y333" s="3" t="n">
        <v>0.6898</v>
      </c>
      <c r="Z333" t="inlineStr">
        <is>
          <t>adjusted xGOT</t>
        </is>
      </c>
      <c r="AA333" s="3" t="n">
        <v>1</v>
      </c>
      <c r="AB333" s="3" t="n">
        <v>0.979</v>
      </c>
      <c r="AC333" s="3" t="n">
        <v>1.2</v>
      </c>
      <c r="AD333" s="3" t="n">
        <v>0.2764</v>
      </c>
      <c r="AE333" s="3" t="n">
        <v>8.733000000000001</v>
      </c>
      <c r="AF333" s="3" t="n">
        <v>0.08568498755775111</v>
      </c>
      <c r="AG333" s="3" t="n">
        <v>0</v>
      </c>
      <c r="AH333" s="3" t="n">
        <v>7</v>
      </c>
      <c r="AI333" s="3" t="n">
        <v>2.067</v>
      </c>
      <c r="AJ333" s="3" t="n">
        <v>0.9838</v>
      </c>
      <c r="AK333" s="3" t="n">
        <v>-0.1970043952632675</v>
      </c>
      <c r="AL333" s="6" t="n">
        <v>0</v>
      </c>
      <c r="AM333" s="3" t="n">
        <v>0</v>
      </c>
      <c r="AN333" s="3" t="n">
        <v>3.449</v>
      </c>
      <c r="AO333" s="3" t="n">
        <v>1.094544</v>
      </c>
      <c r="AP333" s="3">
        <f>N(X333)*N(BI333)</f>
        <v/>
      </c>
      <c r="AQ333" s="3" t="n">
        <v>0</v>
      </c>
      <c r="AR333" s="3" t="n">
        <v>0</v>
      </c>
      <c r="AS333" s="3" t="n">
        <v>-0</v>
      </c>
      <c r="AT333" s="3" t="n">
        <v>-0.1970043952632675</v>
      </c>
      <c r="AU333" s="3">
        <f>SUM(AN333:AT333)</f>
        <v/>
      </c>
      <c r="AV333" s="7">
        <f>IF(OR(N(W333)&lt;=0,N(BG333)=0),0,N(W333)*IF(N(R333)/N(W333)&gt;=60,N(BG333),1))</f>
        <v/>
      </c>
      <c r="AW333" s="7">
        <f>N(W333)*N(AF333)*N(BH333)</f>
        <v/>
      </c>
      <c r="AX333" s="7">
        <f>N(AL333)*(Assumptions!$B$13*N(BJ333)-(1-Assumptions!$B$13)*Assumptions!$B$14)+N(AM333)</f>
        <v/>
      </c>
      <c r="AY333" s="7">
        <f>N(AU333)*N(R333)/90+N(AV333)+N(AW333)+N(AX333)</f>
        <v/>
      </c>
      <c r="AZ333" s="3">
        <f>IF(N(R333)&lt;=0,0,(N(AY333)-N(AX333))*90/N(R333))</f>
        <v/>
      </c>
      <c r="BA333" s="7">
        <f>IFERROR(AY333-VLOOKUP($E333,Assumptions!$A$40:$C$43,3,FALSE),"")</f>
        <v/>
      </c>
      <c r="BB333" s="3">
        <f>IFERROR(BA333/H333,"")</f>
        <v/>
      </c>
      <c r="BC333">
        <f>IF(AND($G333=TRUE,$E333="GKP"),AY333,"")</f>
        <v/>
      </c>
      <c r="BD333">
        <f>IF(AND($G333=TRUE,$E333="DEF"),AY333,"")</f>
        <v/>
      </c>
      <c r="BE333">
        <f>IF(AND($G333=TRUE,$E333="MID"),AY333,"")</f>
        <v/>
      </c>
      <c r="BF333">
        <f>IF(AND($G333=TRUE,$E333="FWD"),AY333,"")</f>
        <v/>
      </c>
      <c r="BG333" t="n">
        <v>2</v>
      </c>
      <c r="BH333" t="n">
        <v>2</v>
      </c>
      <c r="BI333" t="n">
        <v>1</v>
      </c>
      <c r="BJ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s="8" t="n">
        <v>46</v>
      </c>
      <c r="O334" s="8" t="n">
        <v>0</v>
      </c>
      <c r="Q334" t="inlineStr">
        <is>
          <t>flat</t>
        </is>
      </c>
      <c r="R334" s="6" t="n">
        <v>46</v>
      </c>
      <c r="S334" t="inlineStr">
        <is>
          <t>Solio</t>
        </is>
      </c>
      <c r="U334" s="6" t="n">
        <v>78.5</v>
      </c>
      <c r="V334" s="2" t="n">
        <v>1</v>
      </c>
      <c r="W334" s="7">
        <f>IF(N(U334)&lt;=0,0,MIN(Assumptions!$B$15,N(R334)/N(U334)))</f>
        <v/>
      </c>
      <c r="X334" s="6" t="n">
        <v>0.214</v>
      </c>
      <c r="Y334" s="3" t="n">
        <v>0.1547</v>
      </c>
      <c r="Z334" t="inlineStr">
        <is>
          <t>adjusted xGOT</t>
        </is>
      </c>
      <c r="AA334" s="3" t="n">
        <v>1</v>
      </c>
      <c r="AB334" s="3" t="n">
        <v>1.179</v>
      </c>
      <c r="AC334" s="3" t="n">
        <v>2.6</v>
      </c>
      <c r="AD334" s="3" t="n">
        <v>0.4313</v>
      </c>
      <c r="AE334" s="3" t="n">
        <v>8.301</v>
      </c>
      <c r="AF334" s="3" t="n">
        <v>0.0649601618255804</v>
      </c>
      <c r="AG334" s="3" t="n">
        <v>2.0225</v>
      </c>
      <c r="AH334" s="3" t="n">
        <v>8</v>
      </c>
      <c r="AI334" s="3" t="n">
        <v>3.22</v>
      </c>
      <c r="AJ334" s="3" t="n">
        <v>1.6019</v>
      </c>
      <c r="AK334" s="3" t="n">
        <v>-0.3054845747314056</v>
      </c>
      <c r="AL334" s="6" t="n">
        <v>0</v>
      </c>
      <c r="AM334" s="3" t="n">
        <v>0</v>
      </c>
      <c r="AN334" s="3" t="n">
        <v>0.7735000000000001</v>
      </c>
      <c r="AO334" s="3" t="n">
        <v>1.707948</v>
      </c>
      <c r="AP334" s="3">
        <f>N(X334)*N(BI334)</f>
        <v/>
      </c>
      <c r="AQ334" s="3" t="n">
        <v>2.0225</v>
      </c>
      <c r="AR334" s="3" t="n">
        <v>0</v>
      </c>
      <c r="AS334" s="3" t="n">
        <v>-0</v>
      </c>
      <c r="AT334" s="3" t="n">
        <v>-0.3054845747314056</v>
      </c>
      <c r="AU334" s="3">
        <f>SUM(AN334:AT334)</f>
        <v/>
      </c>
      <c r="AV334" s="7">
        <f>IF(OR(N(W334)&lt;=0,N(BG334)=0),0,N(W334)*IF(N(R334)/N(W334)&gt;=60,N(BG334),1))</f>
        <v/>
      </c>
      <c r="AW334" s="7">
        <f>N(W334)*N(AF334)*N(BH334)</f>
        <v/>
      </c>
      <c r="AX334" s="7">
        <f>N(AL334)*(Assumptions!$B$13*N(BJ334)-(1-Assumptions!$B$13)*Assumptions!$B$14)+N(AM334)</f>
        <v/>
      </c>
      <c r="AY334" s="7">
        <f>N(AU334)*N(R334)/90+N(AV334)+N(AW334)+N(AX334)</f>
        <v/>
      </c>
      <c r="AZ334" s="3">
        <f>IF(N(R334)&lt;=0,0,(N(AY334)-N(AX334))*90/N(R334))</f>
        <v/>
      </c>
      <c r="BA334" s="7">
        <f>IFERROR(AY334-VLOOKUP($E334,Assumptions!$A$40:$C$43,3,FALSE),"")</f>
        <v/>
      </c>
      <c r="BB334" s="3">
        <f>IFERROR(BA334/H334,"")</f>
        <v/>
      </c>
      <c r="BC334">
        <f>IF(AND($G334=TRUE,$E334="GKP"),AY334,"")</f>
        <v/>
      </c>
      <c r="BD334">
        <f>IF(AND($G334=TRUE,$E334="DEF"),AY334,"")</f>
        <v/>
      </c>
      <c r="BE334">
        <f>IF(AND($G334=TRUE,$E334="MID"),AY334,"")</f>
        <v/>
      </c>
      <c r="BF334">
        <f>IF(AND($G334=TRUE,$E334="FWD"),AY334,"")</f>
        <v/>
      </c>
      <c r="BG334" t="n">
        <v>2</v>
      </c>
      <c r="BH334" t="n">
        <v>2</v>
      </c>
      <c r="BI334" t="n">
        <v>1</v>
      </c>
      <c r="BJ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s="4" t="n">
        <v>300</v>
      </c>
      <c r="O335" s="4" t="n">
        <v>248</v>
      </c>
      <c r="P335" s="5" t="inlineStr">
        <is>
          <t>low</t>
        </is>
      </c>
      <c r="Q335" t="inlineStr">
        <is>
          <t>flat</t>
        </is>
      </c>
      <c r="R335" s="6" t="n">
        <v>300</v>
      </c>
      <c r="S335" t="inlineStr">
        <is>
          <t>research</t>
        </is>
      </c>
      <c r="T335" s="5" t="inlineStr">
        <is>
          <t>Solio's 52 minutes is effectively an exit assumption, but Mundle is still at the club, recovered from the minor knock that kept him out of the Lens friendly, and came off the bench on 64' against Rennes a week before the opener. He played 399 Premier League minutes last season. With Adingra in a walking boot and possibly leaving on loan, Mundle is the fourth wide option in a squad playing at least 46 fixtures. Small delta and low confidence — he could still be moved before 31 Aug.</t>
        </is>
      </c>
      <c r="U335" s="6" t="n">
        <v>77.8</v>
      </c>
      <c r="V335" s="2" t="n">
        <v>2</v>
      </c>
      <c r="W335" s="7">
        <f>IF(N(U335)&lt;=0,0,MIN(Assumptions!$B$15,N(R335)/N(U335)))</f>
        <v/>
      </c>
      <c r="X335" s="6" t="n">
        <v>0.204</v>
      </c>
      <c r="Y335" s="3" t="n">
        <v>0.1791</v>
      </c>
      <c r="Z335" t="inlineStr">
        <is>
          <t>adjusted xGOT</t>
        </is>
      </c>
      <c r="AA335" s="3" t="n">
        <v>1</v>
      </c>
      <c r="AB335" s="3" t="n">
        <v>0.913</v>
      </c>
      <c r="AC335" s="3" t="n">
        <v>0.9</v>
      </c>
      <c r="AD335" s="3" t="n">
        <v>0.0561</v>
      </c>
      <c r="AE335" s="3" t="n">
        <v>8.173</v>
      </c>
      <c r="AF335" s="3" t="n">
        <v>0.05634537800256501</v>
      </c>
      <c r="AG335" s="3" t="n">
        <v>0</v>
      </c>
      <c r="AH335" s="3" t="n">
        <v>15</v>
      </c>
      <c r="AI335" s="3" t="n">
        <v>3.3348</v>
      </c>
      <c r="AJ335" s="3" t="n">
        <v>1.6498</v>
      </c>
      <c r="AK335" s="3" t="n">
        <v>-0.2217182016969436</v>
      </c>
      <c r="AL335" s="6" t="n">
        <v>0</v>
      </c>
      <c r="AM335" s="3" t="n">
        <v>0</v>
      </c>
      <c r="AN335" s="3" t="n">
        <v>0.8955000000000001</v>
      </c>
      <c r="AO335" s="3" t="n">
        <v>0.222156</v>
      </c>
      <c r="AP335" s="3">
        <f>N(X335)*N(BI335)</f>
        <v/>
      </c>
      <c r="AQ335" s="3" t="n">
        <v>0</v>
      </c>
      <c r="AR335" s="3" t="n">
        <v>0</v>
      </c>
      <c r="AS335" s="3" t="n">
        <v>-0</v>
      </c>
      <c r="AT335" s="3" t="n">
        <v>-0.2217182016969436</v>
      </c>
      <c r="AU335" s="3">
        <f>SUM(AN335:AT335)</f>
        <v/>
      </c>
      <c r="AV335" s="7">
        <f>IF(OR(N(W335)&lt;=0,N(BG335)=0),0,N(W335)*IF(N(R335)/N(W335)&gt;=60,N(BG335),1))</f>
        <v/>
      </c>
      <c r="AW335" s="7">
        <f>N(W335)*N(AF335)*N(BH335)</f>
        <v/>
      </c>
      <c r="AX335" s="7">
        <f>N(AL335)*(Assumptions!$B$13*N(BJ335)-(1-Assumptions!$B$13)*Assumptions!$B$14)+N(AM335)</f>
        <v/>
      </c>
      <c r="AY335" s="7">
        <f>N(AU335)*N(R335)/90+N(AV335)+N(AW335)+N(AX335)</f>
        <v/>
      </c>
      <c r="AZ335" s="3">
        <f>IF(N(R335)&lt;=0,0,(N(AY335)-N(AX335))*90/N(R335))</f>
        <v/>
      </c>
      <c r="BA335" s="7">
        <f>IFERROR(AY335-VLOOKUP($E335,Assumptions!$A$40:$C$43,3,FALSE),"")</f>
        <v/>
      </c>
      <c r="BB335" s="3">
        <f>IFERROR(BA335/H335,"")</f>
        <v/>
      </c>
      <c r="BC335">
        <f>IF(AND($G335=TRUE,$E335="GKP"),AY335,"")</f>
        <v/>
      </c>
      <c r="BD335">
        <f>IF(AND($G335=TRUE,$E335="DEF"),AY335,"")</f>
        <v/>
      </c>
      <c r="BE335">
        <f>IF(AND($G335=TRUE,$E335="MID"),AY335,"")</f>
        <v/>
      </c>
      <c r="BF335">
        <f>IF(AND($G335=TRUE,$E335="FWD"),AY335,"")</f>
        <v/>
      </c>
      <c r="BG335" t="n">
        <v>2</v>
      </c>
      <c r="BH335" t="n">
        <v>2</v>
      </c>
      <c r="BI335" t="n">
        <v>1</v>
      </c>
      <c r="BJ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s="8" t="n">
        <v>0</v>
      </c>
      <c r="O336" s="8" t="n">
        <v>0</v>
      </c>
      <c r="Q336" t="inlineStr">
        <is>
          <t>flat</t>
        </is>
      </c>
      <c r="R336" s="6" t="n">
        <v>0</v>
      </c>
      <c r="S336" t="inlineStr">
        <is>
          <t>Solio</t>
        </is>
      </c>
      <c r="U336" s="6" t="n">
        <v>83.8</v>
      </c>
      <c r="V336" s="2" t="n">
        <v>4</v>
      </c>
      <c r="W336" s="7">
        <f>IF(N(U336)&lt;=0,0,MIN(Assumptions!$B$15,N(R336)/N(U336)))</f>
        <v/>
      </c>
      <c r="X336" s="6" t="n">
        <v>0.228</v>
      </c>
      <c r="Y336" s="3" t="n">
        <v>0.0028</v>
      </c>
      <c r="Z336" t="inlineStr">
        <is>
          <t>adjusted xGOT</t>
        </is>
      </c>
      <c r="AA336" s="3" t="n">
        <v>1</v>
      </c>
      <c r="AB336" s="3" t="n">
        <v>1.034</v>
      </c>
      <c r="AC336" s="3" t="n">
        <v>5.8</v>
      </c>
      <c r="AD336" s="3" t="n">
        <v>0.008500000000000001</v>
      </c>
      <c r="AE336" s="3" t="n">
        <v>8.972</v>
      </c>
      <c r="AF336" s="3" t="n">
        <v>0.3281459741394295</v>
      </c>
      <c r="AG336" s="3" t="n">
        <v>0.5659999999999999</v>
      </c>
      <c r="AH336" s="3" t="n">
        <v>8</v>
      </c>
      <c r="AI336" s="3" t="n">
        <v>3.2371</v>
      </c>
      <c r="AJ336" s="3" t="n">
        <v>1.5396</v>
      </c>
      <c r="AK336" s="3" t="n">
        <v>-0.1484440341714589</v>
      </c>
      <c r="AL336" s="6" t="n">
        <v>0</v>
      </c>
      <c r="AM336" s="3" t="n">
        <v>0</v>
      </c>
      <c r="AN336" s="3" t="n">
        <v>0.0168</v>
      </c>
      <c r="AO336" s="3" t="n">
        <v>0.03366</v>
      </c>
      <c r="AP336" s="3">
        <f>N(X336)*N(BI336)</f>
        <v/>
      </c>
      <c r="AQ336" s="3" t="n">
        <v>0.5659999999999999</v>
      </c>
      <c r="AR336" s="3" t="n">
        <v>0</v>
      </c>
      <c r="AS336" s="3" t="n">
        <v>-0.5312990096912251</v>
      </c>
      <c r="AT336" s="3" t="n">
        <v>-0.1484440341714589</v>
      </c>
      <c r="AU336" s="3">
        <f>SUM(AN336:AT336)</f>
        <v/>
      </c>
      <c r="AV336" s="7">
        <f>IF(OR(N(W336)&lt;=0,N(BG336)=0),0,N(W336)*IF(N(R336)/N(W336)&gt;=60,N(BG336),1))</f>
        <v/>
      </c>
      <c r="AW336" s="7">
        <f>N(W336)*N(AF336)*N(BH336)</f>
        <v/>
      </c>
      <c r="AX336" s="7">
        <f>N(AL336)*(Assumptions!$B$13*N(BJ336)-(1-Assumptions!$B$13)*Assumptions!$B$14)+N(AM336)</f>
        <v/>
      </c>
      <c r="AY336" s="7">
        <f>N(AU336)*N(R336)/90+N(AV336)+N(AW336)+N(AX336)</f>
        <v/>
      </c>
      <c r="AZ336" s="3">
        <f>IF(N(R336)&lt;=0,0,(N(AY336)-N(AX336))*90/N(R336))</f>
        <v/>
      </c>
      <c r="BA336" s="7">
        <f>IFERROR(AY336-VLOOKUP($E336,Assumptions!$A$40:$C$43,3,FALSE),"")</f>
        <v/>
      </c>
      <c r="BB336" s="3">
        <f>IFERROR(BA336/H336,"")</f>
        <v/>
      </c>
      <c r="BC336">
        <f>IF(AND($G336=TRUE,$E336="GKP"),AY336,"")</f>
        <v/>
      </c>
      <c r="BD336">
        <f>IF(AND($G336=TRUE,$E336="DEF"),AY336,"")</f>
        <v/>
      </c>
      <c r="BE336">
        <f>IF(AND($G336=TRUE,$E336="MID"),AY336,"")</f>
        <v/>
      </c>
      <c r="BF336">
        <f>IF(AND($G336=TRUE,$E336="FWD"),AY336,"")</f>
        <v/>
      </c>
      <c r="BG336" t="n">
        <v>2</v>
      </c>
      <c r="BH336" t="n">
        <v>2</v>
      </c>
      <c r="BI336" t="n">
        <v>4</v>
      </c>
      <c r="BJ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s="8" t="n">
        <v>0</v>
      </c>
      <c r="O337" s="8" t="n">
        <v>0</v>
      </c>
      <c r="Q337" t="inlineStr">
        <is>
          <t>flat</t>
        </is>
      </c>
      <c r="R337" s="6" t="n">
        <v>0</v>
      </c>
      <c r="S337" t="inlineStr">
        <is>
          <t>Solio</t>
        </is>
      </c>
      <c r="U337" s="6" t="n">
        <v>78.2</v>
      </c>
      <c r="V337" s="2" t="n">
        <v>1</v>
      </c>
      <c r="W337" s="7">
        <f>IF(N(U337)&lt;=0,0,MIN(Assumptions!$B$15,N(R337)/N(U337)))</f>
        <v/>
      </c>
      <c r="X337" s="6" t="n">
        <v>0.322</v>
      </c>
      <c r="Y337" s="3" t="n">
        <v>0.4442</v>
      </c>
      <c r="Z337" t="inlineStr">
        <is>
          <t>adjusted xGOT</t>
        </is>
      </c>
      <c r="AA337" s="3" t="n">
        <v>1</v>
      </c>
      <c r="AB337" s="3" t="n">
        <v>0.849</v>
      </c>
      <c r="AC337" s="3" t="n">
        <v>1.5</v>
      </c>
      <c r="AD337" s="3" t="n">
        <v>0.1781</v>
      </c>
      <c r="AE337" s="3" t="n">
        <v>4.234</v>
      </c>
      <c r="AF337" s="3" t="n">
        <v>0.0004474021992010302</v>
      </c>
      <c r="AG337" s="3" t="n">
        <v>0</v>
      </c>
      <c r="AH337" s="3" t="n">
        <v>11</v>
      </c>
      <c r="AI337" s="3" t="n">
        <v>2.4232</v>
      </c>
      <c r="AJ337" s="3" t="n">
        <v>1.1851</v>
      </c>
      <c r="AK337" s="3" t="n">
        <v>-0.197488947267108</v>
      </c>
      <c r="AL337" s="6" t="n">
        <v>0</v>
      </c>
      <c r="AM337" s="3" t="n">
        <v>0</v>
      </c>
      <c r="AN337" s="3" t="n">
        <v>1.7768</v>
      </c>
      <c r="AO337" s="3" t="n">
        <v>0.705276</v>
      </c>
      <c r="AP337" s="3">
        <f>N(X337)*N(BI337)</f>
        <v/>
      </c>
      <c r="AQ337" s="3" t="n">
        <v>0</v>
      </c>
      <c r="AR337" s="3" t="n">
        <v>0</v>
      </c>
      <c r="AS337" s="3" t="n">
        <v>-0</v>
      </c>
      <c r="AT337" s="3" t="n">
        <v>-0.197488947267108</v>
      </c>
      <c r="AU337" s="3">
        <f>SUM(AN337:AT337)</f>
        <v/>
      </c>
      <c r="AV337" s="7">
        <f>IF(OR(N(W337)&lt;=0,N(BG337)=0),0,N(W337)*IF(N(R337)/N(W337)&gt;=60,N(BG337),1))</f>
        <v/>
      </c>
      <c r="AW337" s="7">
        <f>N(W337)*N(AF337)*N(BH337)</f>
        <v/>
      </c>
      <c r="AX337" s="7">
        <f>N(AL337)*(Assumptions!$B$13*N(BJ337)-(1-Assumptions!$B$13)*Assumptions!$B$14)+N(AM337)</f>
        <v/>
      </c>
      <c r="AY337" s="7">
        <f>N(AU337)*N(R337)/90+N(AV337)+N(AW337)+N(AX337)</f>
        <v/>
      </c>
      <c r="AZ337" s="3">
        <f>IF(N(R337)&lt;=0,0,(N(AY337)-N(AX337))*90/N(R337))</f>
        <v/>
      </c>
      <c r="BA337" s="7">
        <f>IFERROR(AY337-VLOOKUP($E337,Assumptions!$A$40:$C$43,3,FALSE),"")</f>
        <v/>
      </c>
      <c r="BB337" s="3">
        <f>IFERROR(BA337/H337,"")</f>
        <v/>
      </c>
      <c r="BC337">
        <f>IF(AND($G337=TRUE,$E337="GKP"),AY337,"")</f>
        <v/>
      </c>
      <c r="BD337">
        <f>IF(AND($G337=TRUE,$E337="DEF"),AY337,"")</f>
        <v/>
      </c>
      <c r="BE337">
        <f>IF(AND($G337=TRUE,$E337="MID"),AY337,"")</f>
        <v/>
      </c>
      <c r="BF337">
        <f>IF(AND($G337=TRUE,$E337="FWD"),AY337,"")</f>
        <v/>
      </c>
      <c r="BG337" t="n">
        <v>2</v>
      </c>
      <c r="BH337" t="n">
        <v>2</v>
      </c>
      <c r="BI337" t="n">
        <v>0</v>
      </c>
      <c r="BJ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s="4" t="n">
        <v>540</v>
      </c>
      <c r="O338" s="4" t="n">
        <v>291</v>
      </c>
      <c r="P338" s="5" t="inlineStr">
        <is>
          <t>low</t>
        </is>
      </c>
      <c r="Q338" t="inlineStr">
        <is>
          <t>flat</t>
        </is>
      </c>
      <c r="R338" s="6" t="n">
        <v>540</v>
      </c>
      <c r="S338" t="inlineStr">
        <is>
          <t>research</t>
        </is>
      </c>
      <c r="T338" s="5" t="inlineStr">
        <is>
          <t>Same structural point as Morato. Cunha started in the back three in Glasner's first pre-season match at Notts County and is one of five senior centre-backs for three slots in a system that plays three all season.</t>
        </is>
      </c>
      <c r="U338" s="6" t="n">
        <v>80.09999999999999</v>
      </c>
      <c r="V338" s="2" t="n">
        <v>6</v>
      </c>
      <c r="W338" s="7">
        <f>IF(N(U338)&lt;=0,0,MIN(Assumptions!$B$15,N(R338)/N(U338)))</f>
        <v/>
      </c>
      <c r="X338" s="6" t="n">
        <v>0.224</v>
      </c>
      <c r="Y338" s="3" t="n">
        <v>0.0462</v>
      </c>
      <c r="Z338" t="inlineStr">
        <is>
          <t>adjusted xGOT</t>
        </is>
      </c>
      <c r="AA338" s="3" t="n">
        <v>1</v>
      </c>
      <c r="AB338" s="3" t="n">
        <v>0.979</v>
      </c>
      <c r="AC338" s="3" t="n">
        <v>0.3</v>
      </c>
      <c r="AD338" s="3" t="n">
        <v>0.0122</v>
      </c>
      <c r="AE338" s="3" t="n">
        <v>7.912</v>
      </c>
      <c r="AF338" s="3" t="n">
        <v>0.1737556495456569</v>
      </c>
      <c r="AG338" s="3" t="n">
        <v>0</v>
      </c>
      <c r="AH338" s="3" t="n">
        <v>13</v>
      </c>
      <c r="AI338" s="3" t="n">
        <v>3.1134</v>
      </c>
      <c r="AJ338" s="3" t="n">
        <v>1.5588</v>
      </c>
      <c r="AK338" s="3" t="n">
        <v>-0.1562993428419221</v>
      </c>
      <c r="AL338" s="6" t="n">
        <v>0</v>
      </c>
      <c r="AM338" s="3" t="n">
        <v>0</v>
      </c>
      <c r="AN338" s="3" t="n">
        <v>0.2772</v>
      </c>
      <c r="AO338" s="3" t="n">
        <v>0.048312</v>
      </c>
      <c r="AP338" s="3">
        <f>N(X338)*N(BI338)</f>
        <v/>
      </c>
      <c r="AQ338" s="3" t="n">
        <v>0</v>
      </c>
      <c r="AR338" s="3" t="n">
        <v>0</v>
      </c>
      <c r="AS338" s="3" t="n">
        <v>-0.5404658182244797</v>
      </c>
      <c r="AT338" s="3" t="n">
        <v>-0.1562993428419221</v>
      </c>
      <c r="AU338" s="3">
        <f>SUM(AN338:AT338)</f>
        <v/>
      </c>
      <c r="AV338" s="7">
        <f>IF(OR(N(W338)&lt;=0,N(BG338)=0),0,N(W338)*IF(N(R338)/N(W338)&gt;=60,N(BG338),1))</f>
        <v/>
      </c>
      <c r="AW338" s="7">
        <f>N(W338)*N(AF338)*N(BH338)</f>
        <v/>
      </c>
      <c r="AX338" s="7">
        <f>N(AL338)*(Assumptions!$B$13*N(BJ338)-(1-Assumptions!$B$13)*Assumptions!$B$14)+N(AM338)</f>
        <v/>
      </c>
      <c r="AY338" s="7">
        <f>N(AU338)*N(R338)/90+N(AV338)+N(AW338)+N(AX338)</f>
        <v/>
      </c>
      <c r="AZ338" s="3">
        <f>IF(N(R338)&lt;=0,0,(N(AY338)-N(AX338))*90/N(R338))</f>
        <v/>
      </c>
      <c r="BA338" s="7">
        <f>IFERROR(AY338-VLOOKUP($E338,Assumptions!$A$40:$C$43,3,FALSE),"")</f>
        <v/>
      </c>
      <c r="BB338" s="3">
        <f>IFERROR(BA338/H338,"")</f>
        <v/>
      </c>
      <c r="BC338">
        <f>IF(AND($G338=TRUE,$E338="GKP"),AY338,"")</f>
        <v/>
      </c>
      <c r="BD338">
        <f>IF(AND($G338=TRUE,$E338="DEF"),AY338,"")</f>
        <v/>
      </c>
      <c r="BE338">
        <f>IF(AND($G338=TRUE,$E338="MID"),AY338,"")</f>
        <v/>
      </c>
      <c r="BF338">
        <f>IF(AND($G338=TRUE,$E338="FWD"),AY338,"")</f>
        <v/>
      </c>
      <c r="BG338" t="n">
        <v>2</v>
      </c>
      <c r="BH338" t="n">
        <v>2</v>
      </c>
      <c r="BI338" t="n">
        <v>4</v>
      </c>
      <c r="BJ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s="8" t="n">
        <v>128</v>
      </c>
      <c r="O339" s="8" t="n">
        <v>0</v>
      </c>
      <c r="Q339" t="inlineStr">
        <is>
          <t>flat</t>
        </is>
      </c>
      <c r="R339" s="6" t="n">
        <v>128</v>
      </c>
      <c r="S339" t="inlineStr">
        <is>
          <t>Solio</t>
        </is>
      </c>
      <c r="U339" s="6" t="n">
        <v>73.59999999999999</v>
      </c>
      <c r="V339" s="2" t="n">
        <v>4</v>
      </c>
      <c r="W339" s="7">
        <f>IF(N(U339)&lt;=0,0,MIN(Assumptions!$B$15,N(R339)/N(U339)))</f>
        <v/>
      </c>
      <c r="X339" s="6" t="n">
        <v>0.322</v>
      </c>
      <c r="Y339" s="3" t="n">
        <v>0.0484</v>
      </c>
      <c r="Z339" t="inlineStr">
        <is>
          <t>adjusted xGOT</t>
        </is>
      </c>
      <c r="AA339" s="3" t="n">
        <v>1</v>
      </c>
      <c r="AB339" s="3" t="n">
        <v>0.957</v>
      </c>
      <c r="AC339" s="3" t="n">
        <v>0.9</v>
      </c>
      <c r="AD339" s="3" t="n">
        <v>0.1161</v>
      </c>
      <c r="AE339" s="3" t="n">
        <v>8.689</v>
      </c>
      <c r="AF339" s="3" t="n">
        <v>0.05826789956131262</v>
      </c>
      <c r="AG339" s="3" t="n">
        <v>0</v>
      </c>
      <c r="AH339" s="3" t="n">
        <v>13</v>
      </c>
      <c r="AI339" s="3" t="n">
        <v>2.4232</v>
      </c>
      <c r="AJ339" s="3" t="n">
        <v>1.1851</v>
      </c>
      <c r="AK339" s="3" t="n">
        <v>-0.2352048861625498</v>
      </c>
      <c r="AL339" s="6" t="n">
        <v>0</v>
      </c>
      <c r="AM339" s="3" t="n">
        <v>0</v>
      </c>
      <c r="AN339" s="3" t="n">
        <v>0.242</v>
      </c>
      <c r="AO339" s="3" t="n">
        <v>0.459756</v>
      </c>
      <c r="AP339" s="3">
        <f>N(X339)*N(BI339)</f>
        <v/>
      </c>
      <c r="AQ339" s="3" t="n">
        <v>0</v>
      </c>
      <c r="AR339" s="3" t="n">
        <v>0</v>
      </c>
      <c r="AS339" s="3" t="n">
        <v>-0</v>
      </c>
      <c r="AT339" s="3" t="n">
        <v>-0.2352048861625498</v>
      </c>
      <c r="AU339" s="3">
        <f>SUM(AN339:AT339)</f>
        <v/>
      </c>
      <c r="AV339" s="7">
        <f>IF(OR(N(W339)&lt;=0,N(BG339)=0),0,N(W339)*IF(N(R339)/N(W339)&gt;=60,N(BG339),1))</f>
        <v/>
      </c>
      <c r="AW339" s="7">
        <f>N(W339)*N(AF339)*N(BH339)</f>
        <v/>
      </c>
      <c r="AX339" s="7">
        <f>N(AL339)*(Assumptions!$B$13*N(BJ339)-(1-Assumptions!$B$13)*Assumptions!$B$14)+N(AM339)</f>
        <v/>
      </c>
      <c r="AY339" s="7">
        <f>N(AU339)*N(R339)/90+N(AV339)+N(AW339)+N(AX339)</f>
        <v/>
      </c>
      <c r="AZ339" s="3">
        <f>IF(N(R339)&lt;=0,0,(N(AY339)-N(AX339))*90/N(R339))</f>
        <v/>
      </c>
      <c r="BA339" s="7">
        <f>IFERROR(AY339-VLOOKUP($E339,Assumptions!$A$40:$C$43,3,FALSE),"")</f>
        <v/>
      </c>
      <c r="BB339" s="3">
        <f>IFERROR(BA339/H339,"")</f>
        <v/>
      </c>
      <c r="BC339">
        <f>IF(AND($G339=TRUE,$E339="GKP"),AY339,"")</f>
        <v/>
      </c>
      <c r="BD339">
        <f>IF(AND($G339=TRUE,$E339="DEF"),AY339,"")</f>
        <v/>
      </c>
      <c r="BE339">
        <f>IF(AND($G339=TRUE,$E339="MID"),AY339,"")</f>
        <v/>
      </c>
      <c r="BF339">
        <f>IF(AND($G339=TRUE,$E339="FWD"),AY339,"")</f>
        <v/>
      </c>
      <c r="BG339" t="n">
        <v>2</v>
      </c>
      <c r="BH339" t="n">
        <v>2</v>
      </c>
      <c r="BI339" t="n">
        <v>1</v>
      </c>
      <c r="BJ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s="4" t="n">
        <v>1500</v>
      </c>
      <c r="O340" s="4" t="n">
        <v>852</v>
      </c>
      <c r="P340" s="5" t="inlineStr">
        <is>
          <t>medium</t>
        </is>
      </c>
      <c r="Q340" t="inlineStr">
        <is>
          <t>flat</t>
        </is>
      </c>
      <c r="R340" s="6" t="n">
        <v>1500</v>
      </c>
      <c r="S340" t="inlineStr">
        <is>
          <t>research</t>
        </is>
      </c>
      <c r="T340" s="5" t="inlineStr">
        <is>
          <t>Solio's 648 extrapolates from a stop-start 401-minute half-season after his January arrival from Anderlecht for around GBP15m, during which injuries limited him to eight appearances. That is a bad base rate for 2026/27. He started the final pre-season friendly on the left of the front three, the Echo names him as pushing for the one 'up for grabs' starting spot, and beat coverage expects him to share the left flank with Talbi across four competitions. Set below Talbi because Talbi has the Premier League experience the Echo says 'might count' in the opener, and because Sunderland may still sign a wide attacker.</t>
        </is>
      </c>
      <c r="U340" s="6" t="n">
        <v>78.09999999999999</v>
      </c>
      <c r="V340" s="2" t="n">
        <v>5</v>
      </c>
      <c r="W340" s="7">
        <f>IF(N(U340)&lt;=0,0,MIN(Assumptions!$B$15,N(R340)/N(U340)))</f>
        <v/>
      </c>
      <c r="X340" s="6" t="n">
        <v>0.204</v>
      </c>
      <c r="Y340" s="3" t="n">
        <v>0.1674</v>
      </c>
      <c r="Z340" t="inlineStr">
        <is>
          <t>adjusted xGOT</t>
        </is>
      </c>
      <c r="AA340" s="3" t="n">
        <v>1</v>
      </c>
      <c r="AB340" s="3" t="n">
        <v>0.969</v>
      </c>
      <c r="AC340" s="3" t="n">
        <v>0.8</v>
      </c>
      <c r="AD340" s="3" t="n">
        <v>0.0194</v>
      </c>
      <c r="AE340" s="3" t="n">
        <v>8.319000000000001</v>
      </c>
      <c r="AF340" s="3" t="n">
        <v>0.06387078025033821</v>
      </c>
      <c r="AG340" s="3" t="n">
        <v>0</v>
      </c>
      <c r="AH340" s="3" t="n">
        <v>13</v>
      </c>
      <c r="AI340" s="3" t="n">
        <v>3.3348</v>
      </c>
      <c r="AJ340" s="3" t="n">
        <v>1.6498</v>
      </c>
      <c r="AK340" s="3" t="n">
        <v>-0.2214954059528704</v>
      </c>
      <c r="AL340" s="6" t="n">
        <v>0</v>
      </c>
      <c r="AM340" s="3" t="n">
        <v>0</v>
      </c>
      <c r="AN340" s="3" t="n">
        <v>0.837</v>
      </c>
      <c r="AO340" s="3" t="n">
        <v>0.076824</v>
      </c>
      <c r="AP340" s="3">
        <f>N(X340)*N(BI340)</f>
        <v/>
      </c>
      <c r="AQ340" s="3" t="n">
        <v>0</v>
      </c>
      <c r="AR340" s="3" t="n">
        <v>0</v>
      </c>
      <c r="AS340" s="3" t="n">
        <v>-0</v>
      </c>
      <c r="AT340" s="3" t="n">
        <v>-0.2214954059528704</v>
      </c>
      <c r="AU340" s="3">
        <f>SUM(AN340:AT340)</f>
        <v/>
      </c>
      <c r="AV340" s="7">
        <f>IF(OR(N(W340)&lt;=0,N(BG340)=0),0,N(W340)*IF(N(R340)/N(W340)&gt;=60,N(BG340),1))</f>
        <v/>
      </c>
      <c r="AW340" s="7">
        <f>N(W340)*N(AF340)*N(BH340)</f>
        <v/>
      </c>
      <c r="AX340" s="7">
        <f>N(AL340)*(Assumptions!$B$13*N(BJ340)-(1-Assumptions!$B$13)*Assumptions!$B$14)+N(AM340)</f>
        <v/>
      </c>
      <c r="AY340" s="7">
        <f>N(AU340)*N(R340)/90+N(AV340)+N(AW340)+N(AX340)</f>
        <v/>
      </c>
      <c r="AZ340" s="3">
        <f>IF(N(R340)&lt;=0,0,(N(AY340)-N(AX340))*90/N(R340))</f>
        <v/>
      </c>
      <c r="BA340" s="7">
        <f>IFERROR(AY340-VLOOKUP($E340,Assumptions!$A$40:$C$43,3,FALSE),"")</f>
        <v/>
      </c>
      <c r="BB340" s="3">
        <f>IFERROR(BA340/H340,"")</f>
        <v/>
      </c>
      <c r="BC340">
        <f>IF(AND($G340=TRUE,$E340="GKP"),AY340,"")</f>
        <v/>
      </c>
      <c r="BD340">
        <f>IF(AND($G340=TRUE,$E340="DEF"),AY340,"")</f>
        <v/>
      </c>
      <c r="BE340">
        <f>IF(AND($G340=TRUE,$E340="MID"),AY340,"")</f>
        <v/>
      </c>
      <c r="BF340">
        <f>IF(AND($G340=TRUE,$E340="FWD"),AY340,"")</f>
        <v/>
      </c>
      <c r="BG340" t="n">
        <v>2</v>
      </c>
      <c r="BH340" t="n">
        <v>2</v>
      </c>
      <c r="BI340" t="n">
        <v>1</v>
      </c>
      <c r="BJ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s="8" t="n">
        <v>10</v>
      </c>
      <c r="O341" s="8" t="n">
        <v>0</v>
      </c>
      <c r="Q341" t="inlineStr">
        <is>
          <t>flat</t>
        </is>
      </c>
      <c r="R341" s="6" t="n">
        <v>10</v>
      </c>
      <c r="S341" t="inlineStr">
        <is>
          <t>Solio</t>
        </is>
      </c>
      <c r="U341" s="6" t="n">
        <v>81</v>
      </c>
      <c r="V341" s="2" t="n">
        <v>1</v>
      </c>
      <c r="W341" s="7">
        <f>IF(N(U341)&lt;=0,0,MIN(Assumptions!$B$15,N(R341)/N(U341)))</f>
        <v/>
      </c>
      <c r="X341" s="6" t="n">
        <v>0.228</v>
      </c>
      <c r="Y341" s="3" t="n">
        <v>0.63</v>
      </c>
      <c r="Z341" t="inlineStr">
        <is>
          <t>adjusted xGOT</t>
        </is>
      </c>
      <c r="AA341" s="3" t="n">
        <v>1</v>
      </c>
      <c r="AB341" s="3" t="n">
        <v>1</v>
      </c>
      <c r="AC341" s="3" t="n">
        <v>4.3</v>
      </c>
      <c r="AD341" s="3" t="n">
        <v>0.0135</v>
      </c>
      <c r="AE341" s="3" t="n">
        <v>8.409000000000001</v>
      </c>
      <c r="AF341" s="3" t="n">
        <v>0.08328995755939095</v>
      </c>
      <c r="AG341" s="3" t="n">
        <v>0.9</v>
      </c>
      <c r="AH341" s="3" t="n">
        <v>7</v>
      </c>
      <c r="AI341" s="3" t="n">
        <v>3.2371</v>
      </c>
      <c r="AJ341" s="3" t="n">
        <v>1.5396</v>
      </c>
      <c r="AK341" s="3" t="n">
        <v>-0.205552940658248</v>
      </c>
      <c r="AL341" s="6" t="n">
        <v>0</v>
      </c>
      <c r="AM341" s="3" t="n">
        <v>0</v>
      </c>
      <c r="AN341" s="3" t="n">
        <v>3.15</v>
      </c>
      <c r="AO341" s="3" t="n">
        <v>0.05346000000000001</v>
      </c>
      <c r="AP341" s="3">
        <f>N(X341)*N(BI341)</f>
        <v/>
      </c>
      <c r="AQ341" s="3" t="n">
        <v>0.9</v>
      </c>
      <c r="AR341" s="3" t="n">
        <v>0</v>
      </c>
      <c r="AS341" s="3" t="n">
        <v>-0</v>
      </c>
      <c r="AT341" s="3" t="n">
        <v>-0.205552940658248</v>
      </c>
      <c r="AU341" s="3">
        <f>SUM(AN341:AT341)</f>
        <v/>
      </c>
      <c r="AV341" s="7">
        <f>IF(OR(N(W341)&lt;=0,N(BG341)=0),0,N(W341)*IF(N(R341)/N(W341)&gt;=60,N(BG341),1))</f>
        <v/>
      </c>
      <c r="AW341" s="7">
        <f>N(W341)*N(AF341)*N(BH341)</f>
        <v/>
      </c>
      <c r="AX341" s="7">
        <f>N(AL341)*(Assumptions!$B$13*N(BJ341)-(1-Assumptions!$B$13)*Assumptions!$B$14)+N(AM341)</f>
        <v/>
      </c>
      <c r="AY341" s="7">
        <f>N(AU341)*N(R341)/90+N(AV341)+N(AW341)+N(AX341)</f>
        <v/>
      </c>
      <c r="AZ341" s="3">
        <f>IF(N(R341)&lt;=0,0,(N(AY341)-N(AX341))*90/N(R341))</f>
        <v/>
      </c>
      <c r="BA341" s="7">
        <f>IFERROR(AY341-VLOOKUP($E341,Assumptions!$A$40:$C$43,3,FALSE),"")</f>
        <v/>
      </c>
      <c r="BB341" s="3">
        <f>IFERROR(BA341/H341,"")</f>
        <v/>
      </c>
      <c r="BC341">
        <f>IF(AND($G341=TRUE,$E341="GKP"),AY341,"")</f>
        <v/>
      </c>
      <c r="BD341">
        <f>IF(AND($G341=TRUE,$E341="DEF"),AY341,"")</f>
        <v/>
      </c>
      <c r="BE341">
        <f>IF(AND($G341=TRUE,$E341="MID"),AY341,"")</f>
        <v/>
      </c>
      <c r="BF341">
        <f>IF(AND($G341=TRUE,$E341="FWD"),AY341,"")</f>
        <v/>
      </c>
      <c r="BG341" t="n">
        <v>2</v>
      </c>
      <c r="BH341" t="n">
        <v>2</v>
      </c>
      <c r="BI341" t="n">
        <v>1</v>
      </c>
      <c r="BJ341" t="n">
        <v>5</v>
      </c>
    </row>
    <row r="342">
      <c r="A342" s="9" t="inlineStr">
        <is>
          <t>Reiss Nelson</t>
        </is>
      </c>
      <c r="B342" t="inlineStr">
        <is>
          <t>ARS</t>
        </is>
      </c>
      <c r="C342" s="9" t="inlineStr">
        <is>
          <t>BRE</t>
        </is>
      </c>
      <c r="D342" t="b">
        <v>1</v>
      </c>
      <c r="E342" t="inlineStr">
        <is>
          <t>MID</t>
        </is>
      </c>
      <c r="F342" t="inlineStr">
        <is>
          <t>MID</t>
        </is>
      </c>
      <c r="G342" t="b">
        <v>1</v>
      </c>
      <c r="H342" s="2" t="n">
        <v>5.5</v>
      </c>
      <c r="I342" t="inlineStr">
        <is>
          <t>a</t>
        </is>
      </c>
      <c r="K342" s="2" t="n">
        <v>118</v>
      </c>
      <c r="L342" t="n">
        <v>13</v>
      </c>
      <c r="M342" s="3" t="n">
        <v>0</v>
      </c>
      <c r="N342" s="8" t="n">
        <v>0</v>
      </c>
      <c r="O342" s="8" t="n">
        <v>0</v>
      </c>
      <c r="Q342" t="inlineStr">
        <is>
          <t>flat</t>
        </is>
      </c>
      <c r="R342" s="6" t="n">
        <v>0</v>
      </c>
      <c r="S342" t="inlineStr">
        <is>
          <t>Solio</t>
        </is>
      </c>
      <c r="U342" s="6" t="n">
        <v>80.09999999999999</v>
      </c>
      <c r="V342" s="2" t="n">
        <v>0</v>
      </c>
      <c r="W342" s="7">
        <f>IF(N(U342)&lt;=0,0,MIN(Assumptions!$B$15,N(R342)/N(U342)))</f>
        <v/>
      </c>
      <c r="X342" s="6" t="n">
        <v>0.391</v>
      </c>
      <c r="Y342" s="10" t="n">
        <v>0.6079</v>
      </c>
      <c r="Z342" t="inlineStr">
        <is>
          <t>adjusted xGOT</t>
        </is>
      </c>
      <c r="AA342" s="3" t="n">
        <v>1</v>
      </c>
      <c r="AB342" s="3" t="n">
        <v>1.122</v>
      </c>
      <c r="AC342" s="3" t="n">
        <v>3</v>
      </c>
      <c r="AD342" s="10" t="n">
        <v>0.0645</v>
      </c>
      <c r="AE342" s="3" t="n">
        <v>9.839</v>
      </c>
      <c r="AF342" s="3" t="n">
        <v>0.1740450759616596</v>
      </c>
      <c r="AG342" s="3" t="n">
        <v>0</v>
      </c>
      <c r="AH342" s="3" t="n">
        <v>10</v>
      </c>
      <c r="AI342" s="3" t="n">
        <v>2.067</v>
      </c>
      <c r="AJ342" s="3" t="n">
        <v>0.9838</v>
      </c>
      <c r="AK342" s="3" t="n">
        <v>-0.2100243840141236</v>
      </c>
      <c r="AL342" s="6" t="n">
        <v>0</v>
      </c>
      <c r="AM342" s="3" t="n">
        <v>0</v>
      </c>
      <c r="AN342" s="10" t="n">
        <v>3.0395</v>
      </c>
      <c r="AO342" s="10" t="n">
        <v>0.25542</v>
      </c>
      <c r="AP342" s="3">
        <f>N(X342)*N(BI342)</f>
        <v/>
      </c>
      <c r="AQ342" s="3" t="n">
        <v>0</v>
      </c>
      <c r="AR342" s="3" t="n">
        <v>0</v>
      </c>
      <c r="AS342" s="3" t="n">
        <v>-0</v>
      </c>
      <c r="AT342" s="3" t="n">
        <v>-0.2100243840141236</v>
      </c>
      <c r="AU342" s="3">
        <f>SUM(AN342:AT342)</f>
        <v/>
      </c>
      <c r="AV342" s="7">
        <f>IF(OR(N(W342)&lt;=0,N(BG342)=0),0,N(W342)*IF(N(R342)/N(W342)&gt;=60,N(BG342),1))</f>
        <v/>
      </c>
      <c r="AW342" s="7">
        <f>N(W342)*N(AF342)*N(BH342)</f>
        <v/>
      </c>
      <c r="AX342" s="7">
        <f>N(AL342)*(Assumptions!$B$13*N(BJ342)-(1-Assumptions!$B$13)*Assumptions!$B$14)+N(AM342)</f>
        <v/>
      </c>
      <c r="AY342" s="7">
        <f>N(AU342)*N(R342)/90+N(AV342)+N(AW342)+N(AX342)</f>
        <v/>
      </c>
      <c r="AZ342" s="3">
        <f>IF(N(R342)&lt;=0,0,(N(AY342)-N(AX342))*90/N(R342))</f>
        <v/>
      </c>
      <c r="BA342" s="7">
        <f>IFERROR(AY342-VLOOKUP($E342,Assumptions!$A$40:$C$43,3,FALSE),"")</f>
        <v/>
      </c>
      <c r="BB342" s="3">
        <f>IFERROR(BA342/H342,"")</f>
        <v/>
      </c>
      <c r="BC342">
        <f>IF(AND($G342=TRUE,$E342="GKP"),AY342,"")</f>
        <v/>
      </c>
      <c r="BD342">
        <f>IF(AND($G342=TRUE,$E342="DEF"),AY342,"")</f>
        <v/>
      </c>
      <c r="BE342">
        <f>IF(AND($G342=TRUE,$E342="MID"),AY342,"")</f>
        <v/>
      </c>
      <c r="BF342">
        <f>IF(AND($G342=TRUE,$E342="FWD"),AY342,"")</f>
        <v/>
      </c>
      <c r="BG342" t="n">
        <v>2</v>
      </c>
      <c r="BH342" t="n">
        <v>2</v>
      </c>
      <c r="BI342" t="n">
        <v>1</v>
      </c>
      <c r="BJ342" t="n">
        <v>5</v>
      </c>
    </row>
    <row r="343">
      <c r="A343" s="9" t="inlineStr">
        <is>
          <t>James Trafford</t>
        </is>
      </c>
      <c r="B343" t="inlineStr">
        <is>
          <t>LEE</t>
        </is>
      </c>
      <c r="C343" s="9" t="inlineStr">
        <is>
          <t>MCI</t>
        </is>
      </c>
      <c r="D343" t="b">
        <v>1</v>
      </c>
      <c r="E343" t="inlineStr">
        <is>
          <t>GKP</t>
        </is>
      </c>
      <c r="F343" t="inlineStr">
        <is>
          <t>GKP</t>
        </is>
      </c>
      <c r="G343" t="b">
        <v>1</v>
      </c>
      <c r="H343" s="2" t="n">
        <v>5</v>
      </c>
      <c r="I343" t="inlineStr">
        <is>
          <t>a</t>
        </is>
      </c>
      <c r="K343" s="2" t="n">
        <v>360</v>
      </c>
      <c r="L343" t="n">
        <v>13</v>
      </c>
      <c r="M343" s="3" t="n">
        <v>3385</v>
      </c>
      <c r="N343" s="8" t="n">
        <v>3385</v>
      </c>
      <c r="O343" s="8" t="n">
        <v>0</v>
      </c>
      <c r="Q343" t="inlineStr">
        <is>
          <t>flat</t>
        </is>
      </c>
      <c r="R343" s="6" t="n">
        <v>3385</v>
      </c>
      <c r="S343" t="inlineStr">
        <is>
          <t>Solio</t>
        </is>
      </c>
      <c r="U343" s="6" t="n">
        <v>89.90000000000001</v>
      </c>
      <c r="V343" s="2" t="n">
        <v>4</v>
      </c>
      <c r="W343" s="7">
        <f>IF(N(U343)&lt;=0,0,MIN(Assumptions!$B$15,N(R343)/N(U343)))</f>
        <v/>
      </c>
      <c r="X343" s="6" t="n">
        <v>0.218</v>
      </c>
      <c r="Y343" s="10" t="n">
        <v>0</v>
      </c>
      <c r="Z343" t="inlineStr">
        <is>
          <t>blended xG</t>
        </is>
      </c>
      <c r="AA343" s="3" t="n">
        <v>1</v>
      </c>
      <c r="AB343" s="3" t="n">
        <v>1</v>
      </c>
      <c r="AC343" s="3" t="n">
        <v>0</v>
      </c>
      <c r="AD343" s="10" t="n">
        <v>0</v>
      </c>
      <c r="AE343" s="3" t="n">
        <v>0</v>
      </c>
      <c r="AF343" s="3" t="n">
        <v>0</v>
      </c>
      <c r="AG343" s="3" t="n">
        <v>0</v>
      </c>
      <c r="AH343" s="3" t="n">
        <v>8</v>
      </c>
      <c r="AI343" s="3" t="n">
        <v>3.0611</v>
      </c>
      <c r="AJ343" s="3" t="n">
        <v>1.5875</v>
      </c>
      <c r="AK343" s="3" t="n">
        <v>-0.0662227504528997</v>
      </c>
      <c r="AL343" s="6" t="n">
        <v>0</v>
      </c>
      <c r="AM343" s="3" t="n">
        <v>3.354460167611065</v>
      </c>
      <c r="AN343" s="10" t="n">
        <v>0</v>
      </c>
      <c r="AO343" s="10" t="n">
        <v>0</v>
      </c>
      <c r="AP343" s="3">
        <f>N(X343)*N(BI343)</f>
        <v/>
      </c>
      <c r="AQ343" s="3" t="n">
        <v>0</v>
      </c>
      <c r="AR343" s="3" t="n">
        <v>0.684972232751521</v>
      </c>
      <c r="AS343" s="3" t="n">
        <v>-0.5541985260210861</v>
      </c>
      <c r="AT343" s="3" t="n">
        <v>-0.0662227504528997</v>
      </c>
      <c r="AU343" s="3">
        <f>SUM(AN343:AT343)</f>
        <v/>
      </c>
      <c r="AV343" s="7">
        <f>IF(OR(N(W343)&lt;=0,N(BG343)=0),0,N(W343)*IF(N(R343)/N(W343)&gt;=60,N(BG343),1))</f>
        <v/>
      </c>
      <c r="AW343" s="7">
        <f>N(W343)*N(AF343)*N(BH343)</f>
        <v/>
      </c>
      <c r="AX343" s="7">
        <f>N(AL343)*(Assumptions!$B$13*N(BJ343)-(1-Assumptions!$B$13)*Assumptions!$B$14)+N(AM343)</f>
        <v/>
      </c>
      <c r="AY343" s="7">
        <f>N(AU343)*N(R343)/90+N(AV343)+N(AW343)+N(AX343)</f>
        <v/>
      </c>
      <c r="AZ343" s="3">
        <f>IF(N(R343)&lt;=0,0,(N(AY343)-N(AX343))*90/N(R343))</f>
        <v/>
      </c>
      <c r="BA343" s="7">
        <f>IFERROR(AY343-VLOOKUP($E343,Assumptions!$A$40:$C$43,3,FALSE),"")</f>
        <v/>
      </c>
      <c r="BB343" s="3">
        <f>IFERROR(BA343/H343,"")</f>
        <v/>
      </c>
      <c r="BC343">
        <f>IF(AND($G343=TRUE,$E343="GKP"),AY343,"")</f>
        <v/>
      </c>
      <c r="BD343">
        <f>IF(AND($G343=TRUE,$E343="DEF"),AY343,"")</f>
        <v/>
      </c>
      <c r="BE343">
        <f>IF(AND($G343=TRUE,$E343="MID"),AY343,"")</f>
        <v/>
      </c>
      <c r="BF343">
        <f>IF(AND($G343=TRUE,$E343="FWD"),AY343,"")</f>
        <v/>
      </c>
      <c r="BG343" t="n">
        <v>2</v>
      </c>
      <c r="BH343" t="n">
        <v>0</v>
      </c>
      <c r="BI343" t="n">
        <v>4</v>
      </c>
      <c r="BJ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N344" s="4" t="n">
        <v>0</v>
      </c>
      <c r="O344" s="4" t="n">
        <v>-262</v>
      </c>
      <c r="P344" s="5" t="inlineStr">
        <is>
          <t>high</t>
        </is>
      </c>
      <c r="R344" s="6" t="n">
        <v>0</v>
      </c>
      <c r="S344" t="inlineStr">
        <is>
          <t>research</t>
        </is>
      </c>
      <c r="T344" s="5" t="inlineStr">
        <is>
          <t>Sold. Permanent transfer to New England Revolution - FPL flagged him status 'u' with the news string 'Has joined New England Revolution permanently' added 2026-07-28, and both Transfermarkt and the Wikipedia season page list him under departures. He cannot play a Premier League minute for Leeds in 2026/27. This is the Chelsea-style stale-departure case the brief asked me to look for.</t>
        </is>
      </c>
      <c r="U344" s="6" t="n">
        <v>78.7</v>
      </c>
      <c r="V344" s="2" t="n">
        <v>1</v>
      </c>
      <c r="W344" s="7">
        <f>IF(N(U344)&lt;=0,0,MIN(Assumptions!$B$15,N(R344)/N(U344)))</f>
        <v/>
      </c>
      <c r="X344" s="6" t="n">
        <v>0.218</v>
      </c>
      <c r="Y344" s="3" t="n">
        <v>0.0814</v>
      </c>
      <c r="Z344" t="inlineStr">
        <is>
          <t>adjusted xGOT</t>
        </is>
      </c>
      <c r="AA344" s="3" t="n">
        <v>1</v>
      </c>
      <c r="AB344" s="3" t="n">
        <v>0.845</v>
      </c>
      <c r="AC344" s="3" t="n">
        <v>12.9</v>
      </c>
      <c r="AD344" s="3" t="n">
        <v>0.09760000000000001</v>
      </c>
      <c r="AE344" s="3" t="n">
        <v>8.488</v>
      </c>
      <c r="AF344" s="3" t="n">
        <v>0.07477569901752035</v>
      </c>
      <c r="AG344" s="3" t="n">
        <v>0</v>
      </c>
      <c r="AH344" s="3" t="n">
        <v>12</v>
      </c>
      <c r="AI344" s="3" t="n">
        <v>3.0611</v>
      </c>
      <c r="AJ344" s="3" t="n">
        <v>1.5875</v>
      </c>
      <c r="AK344" s="3" t="n">
        <v>-0.1010606060393028</v>
      </c>
      <c r="AL344" s="6" t="n">
        <v>0</v>
      </c>
      <c r="AM344" s="3" t="n">
        <v>0</v>
      </c>
      <c r="AN344" s="3" t="n">
        <v>0.407</v>
      </c>
      <c r="AO344" s="3" t="n">
        <v>0.386496</v>
      </c>
      <c r="AP344" s="3">
        <f>N(X344)*N(BI344)</f>
        <v/>
      </c>
      <c r="AQ344" s="3" t="n">
        <v>0</v>
      </c>
      <c r="AR344" s="3" t="n">
        <v>0</v>
      </c>
      <c r="AS344" s="3" t="n">
        <v>-0</v>
      </c>
      <c r="AT344" s="3" t="n">
        <v>-0.1010606060393028</v>
      </c>
      <c r="AU344" s="3">
        <f>SUM(AN344:AT344)</f>
        <v/>
      </c>
      <c r="AV344" s="7">
        <f>IF(OR(N(W344)&lt;=0,N(BG344)=0),0,N(W344)*IF(N(R344)/N(W344)&gt;=60,N(BG344),1))</f>
        <v/>
      </c>
      <c r="AW344" s="7">
        <f>N(W344)*N(AF344)*N(BH344)</f>
        <v/>
      </c>
      <c r="AX344" s="7">
        <f>N(AL344)*(Assumptions!$B$13*N(BJ344)-(1-Assumptions!$B$13)*Assumptions!$B$14)+N(AM344)</f>
        <v/>
      </c>
      <c r="AY344" s="7">
        <f>N(AU344)*N(R344)/90+N(AV344)+N(AW344)+N(AX344)</f>
        <v/>
      </c>
      <c r="AZ344" s="3">
        <f>IF(N(R344)&lt;=0,0,(N(AY344)-N(AX344))*90/N(R344))</f>
        <v/>
      </c>
      <c r="BA344" s="7">
        <f>IFERROR(AY344-VLOOKUP($E344,Assumptions!$A$40:$C$43,3,FALSE),"")</f>
        <v/>
      </c>
      <c r="BB344" s="3">
        <f>IFERROR(BA344/H344,"")</f>
        <v/>
      </c>
      <c r="BC344">
        <f>IF(AND($G344=TRUE,$E344="GKP"),AY344,"")</f>
        <v/>
      </c>
      <c r="BD344">
        <f>IF(AND($G344=TRUE,$E344="DEF"),AY344,"")</f>
        <v/>
      </c>
      <c r="BE344">
        <f>IF(AND($G344=TRUE,$E344="MID"),AY344,"")</f>
        <v/>
      </c>
      <c r="BF344">
        <f>IF(AND($G344=TRUE,$E344="FWD"),AY344,"")</f>
        <v/>
      </c>
      <c r="BG344" t="n">
        <v>2</v>
      </c>
      <c r="BH344" t="n">
        <v>2</v>
      </c>
      <c r="BI344" t="n">
        <v>1</v>
      </c>
      <c r="BJ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s="8" t="n">
        <v>76</v>
      </c>
      <c r="O345" s="8" t="n">
        <v>0</v>
      </c>
      <c r="Q345" t="inlineStr">
        <is>
          <t>flat</t>
        </is>
      </c>
      <c r="R345" s="6" t="n">
        <v>76</v>
      </c>
      <c r="S345" t="inlineStr">
        <is>
          <t>Solio</t>
        </is>
      </c>
      <c r="U345" s="6" t="n">
        <v>79</v>
      </c>
      <c r="V345" s="2" t="n">
        <v>1</v>
      </c>
      <c r="W345" s="7">
        <f>IF(N(U345)&lt;=0,0,MIN(Assumptions!$B$15,N(R345)/N(U345)))</f>
        <v/>
      </c>
      <c r="X345" s="6" t="n">
        <v>0.342</v>
      </c>
      <c r="Y345" s="3" t="n">
        <v>0.0222</v>
      </c>
      <c r="Z345" t="inlineStr">
        <is>
          <t>adjusted xGOT</t>
        </is>
      </c>
      <c r="AA345" s="3" t="n">
        <v>1</v>
      </c>
      <c r="AB345" s="3" t="n">
        <v>1.041</v>
      </c>
      <c r="AC345" s="3" t="n">
        <v>0.6</v>
      </c>
      <c r="AD345" s="3" t="n">
        <v>0.05</v>
      </c>
      <c r="AE345" s="3" t="n">
        <v>9.265000000000001</v>
      </c>
      <c r="AF345" s="3" t="n">
        <v>0.1217342913566316</v>
      </c>
      <c r="AG345" s="3" t="n">
        <v>0</v>
      </c>
      <c r="AH345" s="3" t="n">
        <v>9</v>
      </c>
      <c r="AI345" s="3" t="n">
        <v>2.409</v>
      </c>
      <c r="AJ345" s="3" t="n">
        <v>1.1228</v>
      </c>
      <c r="AK345" s="3" t="n">
        <v>-0.3173889111050779</v>
      </c>
      <c r="AL345" s="6" t="n">
        <v>0</v>
      </c>
      <c r="AM345" s="3" t="n">
        <v>0</v>
      </c>
      <c r="AN345" s="3" t="n">
        <v>0.111</v>
      </c>
      <c r="AO345" s="3" t="n">
        <v>0.198</v>
      </c>
      <c r="AP345" s="3">
        <f>N(X345)*N(BI345)</f>
        <v/>
      </c>
      <c r="AQ345" s="3" t="n">
        <v>0</v>
      </c>
      <c r="AR345" s="3" t="n">
        <v>0</v>
      </c>
      <c r="AS345" s="3" t="n">
        <v>-0</v>
      </c>
      <c r="AT345" s="3" t="n">
        <v>-0.3173889111050779</v>
      </c>
      <c r="AU345" s="3">
        <f>SUM(AN345:AT345)</f>
        <v/>
      </c>
      <c r="AV345" s="7">
        <f>IF(OR(N(W345)&lt;=0,N(BG345)=0),0,N(W345)*IF(N(R345)/N(W345)&gt;=60,N(BG345),1))</f>
        <v/>
      </c>
      <c r="AW345" s="7">
        <f>N(W345)*N(AF345)*N(BH345)</f>
        <v/>
      </c>
      <c r="AX345" s="7">
        <f>N(AL345)*(Assumptions!$B$13*N(BJ345)-(1-Assumptions!$B$13)*Assumptions!$B$14)+N(AM345)</f>
        <v/>
      </c>
      <c r="AY345" s="7">
        <f>N(AU345)*N(R345)/90+N(AV345)+N(AW345)+N(AX345)</f>
        <v/>
      </c>
      <c r="AZ345" s="3">
        <f>IF(N(R345)&lt;=0,0,(N(AY345)-N(AX345))*90/N(R345))</f>
        <v/>
      </c>
      <c r="BA345" s="7">
        <f>IFERROR(AY345-VLOOKUP($E345,Assumptions!$A$40:$C$43,3,FALSE),"")</f>
        <v/>
      </c>
      <c r="BB345" s="3">
        <f>IFERROR(BA345/H345,"")</f>
        <v/>
      </c>
      <c r="BC345">
        <f>IF(AND($G345=TRUE,$E345="GKP"),AY345,"")</f>
        <v/>
      </c>
      <c r="BD345">
        <f>IF(AND($G345=TRUE,$E345="DEF"),AY345,"")</f>
        <v/>
      </c>
      <c r="BE345">
        <f>IF(AND($G345=TRUE,$E345="MID"),AY345,"")</f>
        <v/>
      </c>
      <c r="BF345">
        <f>IF(AND($G345=TRUE,$E345="FWD"),AY345,"")</f>
        <v/>
      </c>
      <c r="BG345" t="n">
        <v>2</v>
      </c>
      <c r="BH345" t="n">
        <v>2</v>
      </c>
      <c r="BI345" t="n">
        <v>1</v>
      </c>
      <c r="BJ345" t="n">
        <v>5</v>
      </c>
    </row>
    <row r="346">
      <c r="A346" s="9" t="inlineStr">
        <is>
          <t>Frank Onyeka</t>
        </is>
      </c>
      <c r="B346" t="inlineStr">
        <is>
          <t>COV</t>
        </is>
      </c>
      <c r="C346" s="9" t="inlineStr">
        <is>
          <t>BRE</t>
        </is>
      </c>
      <c r="D346" t="b">
        <v>1</v>
      </c>
      <c r="E346" t="inlineStr">
        <is>
          <t>MID</t>
        </is>
      </c>
      <c r="F346" t="inlineStr">
        <is>
          <t>MID</t>
        </is>
      </c>
      <c r="G346" t="b">
        <v>1</v>
      </c>
      <c r="H346" s="2" t="n">
        <v>5</v>
      </c>
      <c r="I346" t="inlineStr">
        <is>
          <t>a</t>
        </is>
      </c>
      <c r="K346" s="2" t="n">
        <v>88</v>
      </c>
      <c r="L346" t="n">
        <v>12</v>
      </c>
      <c r="M346" s="3" t="n">
        <v>480</v>
      </c>
      <c r="N346" s="8" t="n">
        <v>480</v>
      </c>
      <c r="O346" s="8" t="n">
        <v>0</v>
      </c>
      <c r="Q346" t="inlineStr">
        <is>
          <t>flat</t>
        </is>
      </c>
      <c r="R346" s="6" t="n">
        <v>480</v>
      </c>
      <c r="S346" t="inlineStr">
        <is>
          <t>Solio</t>
        </is>
      </c>
      <c r="U346" s="6" t="n">
        <v>80.09999999999999</v>
      </c>
      <c r="V346" s="2" t="n">
        <v>0</v>
      </c>
      <c r="W346" s="7">
        <f>IF(N(U346)&lt;=0,0,MIN(Assumptions!$B$15,N(R346)/N(U346)))</f>
        <v/>
      </c>
      <c r="X346" s="6" t="n">
        <v>0.17</v>
      </c>
      <c r="Y346" s="10" t="n">
        <v>0</v>
      </c>
      <c r="Z346" t="inlineStr">
        <is>
          <t>adjusted xGOT</t>
        </is>
      </c>
      <c r="AA346" s="3" t="n">
        <v>1</v>
      </c>
      <c r="AB346" s="3" t="n">
        <v>0.908</v>
      </c>
      <c r="AC346" s="3" t="n">
        <v>3.1</v>
      </c>
      <c r="AD346" s="10" t="n">
        <v>0.3736</v>
      </c>
      <c r="AE346" s="3" t="n">
        <v>8.757</v>
      </c>
      <c r="AF346" s="3" t="n">
        <v>0.09761199902347195</v>
      </c>
      <c r="AG346" s="3" t="n">
        <v>0</v>
      </c>
      <c r="AH346" s="3" t="n">
        <v>6</v>
      </c>
      <c r="AI346" s="3" t="n">
        <v>3.6194</v>
      </c>
      <c r="AJ346" s="3" t="n">
        <v>1.8271</v>
      </c>
      <c r="AK346" s="3" t="n">
        <v>-0.3041227349574793</v>
      </c>
      <c r="AL346" s="6" t="n">
        <v>0</v>
      </c>
      <c r="AM346" s="3" t="n">
        <v>0</v>
      </c>
      <c r="AN346" s="10" t="n">
        <v>0</v>
      </c>
      <c r="AO346" s="10" t="n">
        <v>1.479456</v>
      </c>
      <c r="AP346" s="3">
        <f>N(X346)*N(BI346)</f>
        <v/>
      </c>
      <c r="AQ346" s="3" t="n">
        <v>0</v>
      </c>
      <c r="AR346" s="3" t="n">
        <v>0</v>
      </c>
      <c r="AS346" s="3" t="n">
        <v>-0</v>
      </c>
      <c r="AT346" s="3" t="n">
        <v>-0.3041227349574793</v>
      </c>
      <c r="AU346" s="3">
        <f>SUM(AN346:AT346)</f>
        <v/>
      </c>
      <c r="AV346" s="7">
        <f>IF(OR(N(W346)&lt;=0,N(BG346)=0),0,N(W346)*IF(N(R346)/N(W346)&gt;=60,N(BG346),1))</f>
        <v/>
      </c>
      <c r="AW346" s="7">
        <f>N(W346)*N(AF346)*N(BH346)</f>
        <v/>
      </c>
      <c r="AX346" s="7">
        <f>N(AL346)*(Assumptions!$B$13*N(BJ346)-(1-Assumptions!$B$13)*Assumptions!$B$14)+N(AM346)</f>
        <v/>
      </c>
      <c r="AY346" s="7">
        <f>N(AU346)*N(R346)/90+N(AV346)+N(AW346)+N(AX346)</f>
        <v/>
      </c>
      <c r="AZ346" s="3">
        <f>IF(N(R346)&lt;=0,0,(N(AY346)-N(AX346))*90/N(R346))</f>
        <v/>
      </c>
      <c r="BA346" s="7">
        <f>IFERROR(AY346-VLOOKUP($E346,Assumptions!$A$40:$C$43,3,FALSE),"")</f>
        <v/>
      </c>
      <c r="BB346" s="3">
        <f>IFERROR(BA346/H346,"")</f>
        <v/>
      </c>
      <c r="BC346">
        <f>IF(AND($G346=TRUE,$E346="GKP"),AY346,"")</f>
        <v/>
      </c>
      <c r="BD346">
        <f>IF(AND($G346=TRUE,$E346="DEF"),AY346,"")</f>
        <v/>
      </c>
      <c r="BE346">
        <f>IF(AND($G346=TRUE,$E346="MID"),AY346,"")</f>
        <v/>
      </c>
      <c r="BF346">
        <f>IF(AND($G346=TRUE,$E346="FWD"),AY346,"")</f>
        <v/>
      </c>
      <c r="BG346" t="n">
        <v>2</v>
      </c>
      <c r="BH346" t="n">
        <v>2</v>
      </c>
      <c r="BI346" t="n">
        <v>1</v>
      </c>
      <c r="BJ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N347" s="4" t="n">
        <v>0</v>
      </c>
      <c r="O347" s="4" t="n">
        <v>-540</v>
      </c>
      <c r="P347" s="5" t="inlineStr">
        <is>
          <t>high</t>
        </is>
      </c>
      <c r="R347" s="6" t="n">
        <v>0</v>
      </c>
      <c r="S347" t="inlineStr">
        <is>
          <t>research</t>
        </is>
      </c>
      <c r="T347" s="5" t="inlineStr">
        <is>
          <t>Joined Celta Vigo on loan for the whole season on 7 August. He cannot record a Premier League minute for United. This is also the single cleanest arithmetic error in Solio's allocation: Lammens 3,385 + Bayindir 540 + Darlow 35 = 3,960 against a hard goalkeeping cap of 3,420. Removing Bayindir lands the goalkeeping pool on exactly 3,420.</t>
        </is>
      </c>
      <c r="U347" s="6" t="n">
        <v>89.90000000000001</v>
      </c>
      <c r="V347" s="2" t="n">
        <v>6</v>
      </c>
      <c r="W347" s="7">
        <f>IF(N(U347)&lt;=0,0,MIN(Assumptions!$B$15,N(R347)/N(U347)))</f>
        <v/>
      </c>
      <c r="X347" s="6" t="n">
        <v>0.334</v>
      </c>
      <c r="Y347" s="3" t="n">
        <v>0</v>
      </c>
      <c r="Z347" t="inlineStr">
        <is>
          <t>blended xG</t>
        </is>
      </c>
      <c r="AA347" s="3" t="n">
        <v>1</v>
      </c>
      <c r="AB347" s="3" t="n">
        <v>1</v>
      </c>
      <c r="AC347" s="3" t="n">
        <v>0</v>
      </c>
      <c r="AD347" s="3" t="n">
        <v>0.0287</v>
      </c>
      <c r="AE347" s="3" t="n">
        <v>0</v>
      </c>
      <c r="AF347" s="3" t="n">
        <v>0</v>
      </c>
      <c r="AG347" s="3" t="n">
        <v>0</v>
      </c>
      <c r="AH347" s="3" t="n">
        <v>12</v>
      </c>
      <c r="AI347" s="3" t="n">
        <v>2.2165</v>
      </c>
      <c r="AJ347" s="3" t="n">
        <v>1.1467</v>
      </c>
      <c r="AK347" s="3" t="n">
        <v>-0.0510662577818652</v>
      </c>
      <c r="AL347" s="6" t="n">
        <v>0</v>
      </c>
      <c r="AM347" s="3" t="n">
        <v>0.3865365731175343</v>
      </c>
      <c r="AN347" s="3" t="n">
        <v>0</v>
      </c>
      <c r="AO347" s="3" t="n">
        <v>0.113652</v>
      </c>
      <c r="AP347" s="3">
        <f>N(X347)*N(BI347)</f>
        <v/>
      </c>
      <c r="AQ347" s="3" t="n">
        <v>0</v>
      </c>
      <c r="AR347" s="3" t="n">
        <v>0.407909225741714</v>
      </c>
      <c r="AS347" s="3" t="n">
        <v>-0.348580685135232</v>
      </c>
      <c r="AT347" s="3" t="n">
        <v>-0.0510662577818652</v>
      </c>
      <c r="AU347" s="3">
        <f>SUM(AN347:AT347)</f>
        <v/>
      </c>
      <c r="AV347" s="7">
        <f>IF(OR(N(W347)&lt;=0,N(BG347)=0),0,N(W347)*IF(N(R347)/N(W347)&gt;=60,N(BG347),1))</f>
        <v/>
      </c>
      <c r="AW347" s="7">
        <f>N(W347)*N(AF347)*N(BH347)</f>
        <v/>
      </c>
      <c r="AX347" s="7">
        <f>N(AL347)*(Assumptions!$B$13*N(BJ347)-(1-Assumptions!$B$13)*Assumptions!$B$14)+N(AM347)</f>
        <v/>
      </c>
      <c r="AY347" s="7">
        <f>N(AU347)*N(R347)/90+N(AV347)+N(AW347)+N(AX347)</f>
        <v/>
      </c>
      <c r="AZ347" s="3">
        <f>IF(N(R347)&lt;=0,0,(N(AY347)-N(AX347))*90/N(R347))</f>
        <v/>
      </c>
      <c r="BA347" s="7">
        <f>IFERROR(AY347-VLOOKUP($E347,Assumptions!$A$40:$C$43,3,FALSE),"")</f>
        <v/>
      </c>
      <c r="BB347" s="3">
        <f>IFERROR(BA347/H347,"")</f>
        <v/>
      </c>
      <c r="BC347">
        <f>IF(AND($G347=TRUE,$E347="GKP"),AY347,"")</f>
        <v/>
      </c>
      <c r="BD347">
        <f>IF(AND($G347=TRUE,$E347="DEF"),AY347,"")</f>
        <v/>
      </c>
      <c r="BE347">
        <f>IF(AND($G347=TRUE,$E347="MID"),AY347,"")</f>
        <v/>
      </c>
      <c r="BF347">
        <f>IF(AND($G347=TRUE,$E347="FWD"),AY347,"")</f>
        <v/>
      </c>
      <c r="BG347" t="n">
        <v>2</v>
      </c>
      <c r="BH347" t="n">
        <v>0</v>
      </c>
      <c r="BI347" t="n">
        <v>4</v>
      </c>
      <c r="BJ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s="4" t="n">
        <v>450</v>
      </c>
      <c r="O348" s="4" t="n">
        <v>290</v>
      </c>
      <c r="P348" s="5" t="inlineStr">
        <is>
          <t>low</t>
        </is>
      </c>
      <c r="Q348" t="inlineStr">
        <is>
          <t>flat</t>
        </is>
      </c>
      <c r="R348" s="6" t="n">
        <v>450</v>
      </c>
      <c r="S348" t="inlineStr">
        <is>
          <t>research</t>
        </is>
      </c>
      <c r="T348" s="5" t="inlineStr">
        <is>
          <t>Solio's 160 minutes carries forward a 105-minute debut season. He was named on the bench for the final friendly vs Mainz, is the third senior wide option behind Rayan and Tavernier, and Adli - the other competitor - is now injured with no return date. A Europa League campaign gives a fringe winger more routes into the side than last season did. Small, low-stakes correction.</t>
        </is>
      </c>
      <c r="U348" s="6" t="n">
        <v>80.09999999999999</v>
      </c>
      <c r="V348" s="2" t="n">
        <v>0</v>
      </c>
      <c r="W348" s="7">
        <f>IF(N(U348)&lt;=0,0,MIN(Assumptions!$B$15,N(R348)/N(U348)))</f>
        <v/>
      </c>
      <c r="X348" s="6" t="n">
        <v>0.23</v>
      </c>
      <c r="Y348" s="3" t="n">
        <v>0.2186</v>
      </c>
      <c r="Z348" t="inlineStr">
        <is>
          <t>adjusted xGOT</t>
        </is>
      </c>
      <c r="AA348" s="3" t="n">
        <v>1</v>
      </c>
      <c r="AB348" s="3" t="n">
        <v>0.981</v>
      </c>
      <c r="AC348" s="3" t="n">
        <v>0.3</v>
      </c>
      <c r="AD348" s="3" t="n">
        <v>0.2516</v>
      </c>
      <c r="AE348" s="3" t="n">
        <v>8.904</v>
      </c>
      <c r="AF348" s="3" t="n">
        <v>0.1065551578272375</v>
      </c>
      <c r="AG348" s="3" t="n">
        <v>0</v>
      </c>
      <c r="AH348" s="3" t="n">
        <v>8</v>
      </c>
      <c r="AI348" s="3" t="n">
        <v>3.0957</v>
      </c>
      <c r="AJ348" s="3" t="n">
        <v>1.53</v>
      </c>
      <c r="AK348" s="3" t="n">
        <v>-0.2018679305852921</v>
      </c>
      <c r="AL348" s="6" t="n">
        <v>0</v>
      </c>
      <c r="AM348" s="3" t="n">
        <v>0</v>
      </c>
      <c r="AN348" s="3" t="n">
        <v>1.093</v>
      </c>
      <c r="AO348" s="3" t="n">
        <v>0.9963359999999999</v>
      </c>
      <c r="AP348" s="3">
        <f>N(X348)*N(BI348)</f>
        <v/>
      </c>
      <c r="AQ348" s="3" t="n">
        <v>0</v>
      </c>
      <c r="AR348" s="3" t="n">
        <v>0</v>
      </c>
      <c r="AS348" s="3" t="n">
        <v>-0</v>
      </c>
      <c r="AT348" s="3" t="n">
        <v>-0.2018679305852921</v>
      </c>
      <c r="AU348" s="3">
        <f>SUM(AN348:AT348)</f>
        <v/>
      </c>
      <c r="AV348" s="7">
        <f>IF(OR(N(W348)&lt;=0,N(BG348)=0),0,N(W348)*IF(N(R348)/N(W348)&gt;=60,N(BG348),1))</f>
        <v/>
      </c>
      <c r="AW348" s="7">
        <f>N(W348)*N(AF348)*N(BH348)</f>
        <v/>
      </c>
      <c r="AX348" s="7">
        <f>N(AL348)*(Assumptions!$B$13*N(BJ348)-(1-Assumptions!$B$13)*Assumptions!$B$14)+N(AM348)</f>
        <v/>
      </c>
      <c r="AY348" s="7">
        <f>N(AU348)*N(R348)/90+N(AV348)+N(AW348)+N(AX348)</f>
        <v/>
      </c>
      <c r="AZ348" s="3">
        <f>IF(N(R348)&lt;=0,0,(N(AY348)-N(AX348))*90/N(R348))</f>
        <v/>
      </c>
      <c r="BA348" s="7">
        <f>IFERROR(AY348-VLOOKUP($E348,Assumptions!$A$40:$C$43,3,FALSE),"")</f>
        <v/>
      </c>
      <c r="BB348" s="3">
        <f>IFERROR(BA348/H348,"")</f>
        <v/>
      </c>
      <c r="BC348">
        <f>IF(AND($G348=TRUE,$E348="GKP"),AY348,"")</f>
        <v/>
      </c>
      <c r="BD348">
        <f>IF(AND($G348=TRUE,$E348="DEF"),AY348,"")</f>
        <v/>
      </c>
      <c r="BE348">
        <f>IF(AND($G348=TRUE,$E348="MID"),AY348,"")</f>
        <v/>
      </c>
      <c r="BF348">
        <f>IF(AND($G348=TRUE,$E348="FWD"),AY348,"")</f>
        <v/>
      </c>
      <c r="BG348" t="n">
        <v>2</v>
      </c>
      <c r="BH348" t="n">
        <v>2</v>
      </c>
      <c r="BI348" t="n">
        <v>1</v>
      </c>
      <c r="BJ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s="4" t="n">
        <v>170</v>
      </c>
      <c r="O349" s="4" t="n">
        <v>135</v>
      </c>
      <c r="P349" s="5" t="inlineStr">
        <is>
          <t>low</t>
        </is>
      </c>
      <c r="Q349" t="inlineStr">
        <is>
          <t>flat</t>
        </is>
      </c>
      <c r="R349" s="6" t="n">
        <v>170</v>
      </c>
      <c r="S349" t="inlineStr">
        <is>
          <t>research</t>
        </is>
      </c>
      <c r="T349" s="5" t="inlineStr">
        <is>
          <t>Played 437 league minutes in 2025-26 as Sels's deputy, so the pairing has demonstrably split league minutes within the last year. Thirty-five minutes assumes Sels plays effectively every second of the season.</t>
        </is>
      </c>
      <c r="U349" s="6" t="n">
        <v>89</v>
      </c>
      <c r="V349" s="2" t="n">
        <v>5</v>
      </c>
      <c r="W349" s="7">
        <f>IF(N(U349)&lt;=0,0,MIN(Assumptions!$B$15,N(R349)/N(U349)))</f>
        <v/>
      </c>
      <c r="X349" s="6" t="n">
        <v>0.224</v>
      </c>
      <c r="Y349" s="3" t="n">
        <v>0</v>
      </c>
      <c r="Z349" t="inlineStr">
        <is>
          <t>blended xG</t>
        </is>
      </c>
      <c r="AA349" s="3" t="n">
        <v>1</v>
      </c>
      <c r="AB349" s="3" t="n">
        <v>1</v>
      </c>
      <c r="AC349" s="3" t="n">
        <v>0</v>
      </c>
      <c r="AD349" s="3" t="n">
        <v>0</v>
      </c>
      <c r="AE349" s="3" t="n">
        <v>0</v>
      </c>
      <c r="AF349" s="3" t="n">
        <v>0</v>
      </c>
      <c r="AG349" s="3" t="n">
        <v>0</v>
      </c>
      <c r="AH349" s="3" t="n">
        <v>10</v>
      </c>
      <c r="AI349" s="3" t="n">
        <v>3.1134</v>
      </c>
      <c r="AJ349" s="3" t="n">
        <v>1.5588</v>
      </c>
      <c r="AK349" s="3" t="n">
        <v>-0.1071907414497747</v>
      </c>
      <c r="AL349" s="6" t="n">
        <v>0</v>
      </c>
      <c r="AM349" s="3" t="n">
        <v>0.0340558096615661</v>
      </c>
      <c r="AN349" s="3" t="n">
        <v>0</v>
      </c>
      <c r="AO349" s="3" t="n">
        <v>0</v>
      </c>
      <c r="AP349" s="3">
        <f>N(X349)*N(BI349)</f>
        <v/>
      </c>
      <c r="AQ349" s="3" t="n">
        <v>0</v>
      </c>
      <c r="AR349" s="3" t="n">
        <v>0.7024243676191486</v>
      </c>
      <c r="AS349" s="3" t="n">
        <v>-0.5404658182244797</v>
      </c>
      <c r="AT349" s="3" t="n">
        <v>-0.1071907414497747</v>
      </c>
      <c r="AU349" s="3">
        <f>SUM(AN349:AT349)</f>
        <v/>
      </c>
      <c r="AV349" s="7">
        <f>IF(OR(N(W349)&lt;=0,N(BG349)=0),0,N(W349)*IF(N(R349)/N(W349)&gt;=60,N(BG349),1))</f>
        <v/>
      </c>
      <c r="AW349" s="7">
        <f>N(W349)*N(AF349)*N(BH349)</f>
        <v/>
      </c>
      <c r="AX349" s="7">
        <f>N(AL349)*(Assumptions!$B$13*N(BJ349)-(1-Assumptions!$B$13)*Assumptions!$B$14)+N(AM349)</f>
        <v/>
      </c>
      <c r="AY349" s="7">
        <f>N(AU349)*N(R349)/90+N(AV349)+N(AW349)+N(AX349)</f>
        <v/>
      </c>
      <c r="AZ349" s="3">
        <f>IF(N(R349)&lt;=0,0,(N(AY349)-N(AX349))*90/N(R349))</f>
        <v/>
      </c>
      <c r="BA349" s="7">
        <f>IFERROR(AY349-VLOOKUP($E349,Assumptions!$A$40:$C$43,3,FALSE),"")</f>
        <v/>
      </c>
      <c r="BB349" s="3">
        <f>IFERROR(BA349/H349,"")</f>
        <v/>
      </c>
      <c r="BC349">
        <f>IF(AND($G349=TRUE,$E349="GKP"),AY349,"")</f>
        <v/>
      </c>
      <c r="BD349">
        <f>IF(AND($G349=TRUE,$E349="DEF"),AY349,"")</f>
        <v/>
      </c>
      <c r="BE349">
        <f>IF(AND($G349=TRUE,$E349="MID"),AY349,"")</f>
        <v/>
      </c>
      <c r="BF349">
        <f>IF(AND($G349=TRUE,$E349="FWD"),AY349,"")</f>
        <v/>
      </c>
      <c r="BG349" t="n">
        <v>2</v>
      </c>
      <c r="BH349" t="n">
        <v>0</v>
      </c>
      <c r="BI349" t="n">
        <v>4</v>
      </c>
      <c r="BJ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s="4" t="n">
        <v>470</v>
      </c>
      <c r="O350" s="4" t="n">
        <v>355</v>
      </c>
      <c r="P350" s="5" t="inlineStr">
        <is>
          <t>medium</t>
        </is>
      </c>
      <c r="Q350" t="inlineStr">
        <is>
          <t>flat</t>
        </is>
      </c>
      <c r="R350" s="6" t="n">
        <v>470</v>
      </c>
      <c r="S350" t="inlineStr">
        <is>
          <t>research</t>
        </is>
      </c>
      <c r="T350" s="5" t="inlineStr">
        <is>
          <t>Glasner's 3-4-2-1 requires a left wing-back for all 3,420 minutes, and Forest are filling it with a natural right-back in Ola Aina. Netz is the only natural left-sided defender in the squad, the third-choice wing-back Savona is injured with no return date, and Forest have had three bids rejected for a wing-back this window. 115 minutes is not a coherent number for that role.</t>
        </is>
      </c>
      <c r="U350" s="6" t="n">
        <v>85.40000000000001</v>
      </c>
      <c r="V350" s="2" t="n">
        <v>3</v>
      </c>
      <c r="W350" s="7">
        <f>IF(N(U350)&lt;=0,0,MIN(Assumptions!$B$15,N(R350)/N(U350)))</f>
        <v/>
      </c>
      <c r="X350" s="6" t="n">
        <v>0.224</v>
      </c>
      <c r="Y350" s="3" t="n">
        <v>0</v>
      </c>
      <c r="Z350" t="inlineStr">
        <is>
          <t>blended xG</t>
        </is>
      </c>
      <c r="AA350" s="3" t="n">
        <v>1</v>
      </c>
      <c r="AB350" s="3" t="n">
        <v>1</v>
      </c>
      <c r="AC350" s="3" t="n">
        <v>0</v>
      </c>
      <c r="AD350" s="3" t="n">
        <v>0.0648</v>
      </c>
      <c r="AE350" s="3" t="n">
        <v>7.421</v>
      </c>
      <c r="AF350" s="3" t="n">
        <v>0.1737581576316021</v>
      </c>
      <c r="AG350" s="3" t="n">
        <v>0</v>
      </c>
      <c r="AH350" s="3" t="n">
        <v>10</v>
      </c>
      <c r="AI350" s="3" t="n">
        <v>3.1134</v>
      </c>
      <c r="AJ350" s="3" t="n">
        <v>1.5588</v>
      </c>
      <c r="AK350" s="3" t="n">
        <v>-0.1684304902624404</v>
      </c>
      <c r="AL350" s="6" t="n">
        <v>0</v>
      </c>
      <c r="AM350" s="3" t="n">
        <v>0</v>
      </c>
      <c r="AN350" s="3" t="n">
        <v>0</v>
      </c>
      <c r="AO350" s="3" t="n">
        <v>0.256608</v>
      </c>
      <c r="AP350" s="3">
        <f>N(X350)*N(BI350)</f>
        <v/>
      </c>
      <c r="AQ350" s="3" t="n">
        <v>0</v>
      </c>
      <c r="AR350" s="3" t="n">
        <v>0</v>
      </c>
      <c r="AS350" s="3" t="n">
        <v>-0.5404658182244797</v>
      </c>
      <c r="AT350" s="3" t="n">
        <v>-0.1684304902624404</v>
      </c>
      <c r="AU350" s="3">
        <f>SUM(AN350:AT350)</f>
        <v/>
      </c>
      <c r="AV350" s="7">
        <f>IF(OR(N(W350)&lt;=0,N(BG350)=0),0,N(W350)*IF(N(R350)/N(W350)&gt;=60,N(BG350),1))</f>
        <v/>
      </c>
      <c r="AW350" s="7">
        <f>N(W350)*N(AF350)*N(BH350)</f>
        <v/>
      </c>
      <c r="AX350" s="7">
        <f>N(AL350)*(Assumptions!$B$13*N(BJ350)-(1-Assumptions!$B$13)*Assumptions!$B$14)+N(AM350)</f>
        <v/>
      </c>
      <c r="AY350" s="7">
        <f>N(AU350)*N(R350)/90+N(AV350)+N(AW350)+N(AX350)</f>
        <v/>
      </c>
      <c r="AZ350" s="3">
        <f>IF(N(R350)&lt;=0,0,(N(AY350)-N(AX350))*90/N(R350))</f>
        <v/>
      </c>
      <c r="BA350" s="7">
        <f>IFERROR(AY350-VLOOKUP($E350,Assumptions!$A$40:$C$43,3,FALSE),"")</f>
        <v/>
      </c>
      <c r="BB350" s="3">
        <f>IFERROR(BA350/H350,"")</f>
        <v/>
      </c>
      <c r="BC350">
        <f>IF(AND($G350=TRUE,$E350="GKP"),AY350,"")</f>
        <v/>
      </c>
      <c r="BD350">
        <f>IF(AND($G350=TRUE,$E350="DEF"),AY350,"")</f>
        <v/>
      </c>
      <c r="BE350">
        <f>IF(AND($G350=TRUE,$E350="MID"),AY350,"")</f>
        <v/>
      </c>
      <c r="BF350">
        <f>IF(AND($G350=TRUE,$E350="FWD"),AY350,"")</f>
        <v/>
      </c>
      <c r="BG350" t="n">
        <v>2</v>
      </c>
      <c r="BH350" t="n">
        <v>2</v>
      </c>
      <c r="BI350" t="n">
        <v>4</v>
      </c>
      <c r="BJ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s="4" t="n">
        <v>250</v>
      </c>
      <c r="O351" s="4" t="n">
        <v>142</v>
      </c>
      <c r="P351" s="5" t="inlineStr">
        <is>
          <t>low</t>
        </is>
      </c>
      <c r="Q351" t="inlineStr">
        <is>
          <t>flat</t>
        </is>
      </c>
      <c r="R351" s="6" t="n">
        <v>250</v>
      </c>
      <c r="S351" t="inlineStr">
        <is>
          <t>research</t>
        </is>
      </c>
      <c r="T351" s="5" t="inlineStr">
        <is>
          <t>Davies started at centre-back against Getafe on 8 August. With Romero, Vuskovic and Phillips sold, Dragusin loaned out and Spence gone, he is now one of very few senior bodies who can cover both centre-back and left-back. Small raise only - he is a 33-year-old emergency option, not a starter.</t>
        </is>
      </c>
      <c r="U351" s="6" t="n">
        <v>80</v>
      </c>
      <c r="V351" s="2" t="n">
        <v>2</v>
      </c>
      <c r="W351" s="7">
        <f>IF(N(U351)&lt;=0,0,MIN(Assumptions!$B$15,N(R351)/N(U351)))</f>
        <v/>
      </c>
      <c r="X351" s="6" t="n">
        <v>0.286</v>
      </c>
      <c r="Y351" s="3" t="n">
        <v>0.3051</v>
      </c>
      <c r="Z351" t="inlineStr">
        <is>
          <t>adjusted xGOT</t>
        </is>
      </c>
      <c r="AA351" s="3" t="n">
        <v>1</v>
      </c>
      <c r="AB351" s="3" t="n">
        <v>0.9409999999999999</v>
      </c>
      <c r="AC351" s="3" t="n">
        <v>4.1</v>
      </c>
      <c r="AD351" s="3" t="n">
        <v>0.0313</v>
      </c>
      <c r="AE351" s="3" t="n">
        <v>7.936</v>
      </c>
      <c r="AF351" s="3" t="n">
        <v>0.1750447620786324</v>
      </c>
      <c r="AG351" s="3" t="n">
        <v>0.6618000000000001</v>
      </c>
      <c r="AH351" s="3" t="n">
        <v>4</v>
      </c>
      <c r="AI351" s="3" t="n">
        <v>2.5739</v>
      </c>
      <c r="AJ351" s="3" t="n">
        <v>1.3096</v>
      </c>
      <c r="AK351" s="3" t="n">
        <v>-0.2691102743615358</v>
      </c>
      <c r="AL351" s="6" t="n">
        <v>0</v>
      </c>
      <c r="AM351" s="3" t="n">
        <v>0</v>
      </c>
      <c r="AN351" s="3" t="n">
        <v>1.8306</v>
      </c>
      <c r="AO351" s="3" t="n">
        <v>0.123948</v>
      </c>
      <c r="AP351" s="3">
        <f>N(X351)*N(BI351)</f>
        <v/>
      </c>
      <c r="AQ351" s="3" t="n">
        <v>0.6618000000000001</v>
      </c>
      <c r="AR351" s="3" t="n">
        <v>0</v>
      </c>
      <c r="AS351" s="3" t="n">
        <v>-0.4230152821052008</v>
      </c>
      <c r="AT351" s="3" t="n">
        <v>-0.2691102743615358</v>
      </c>
      <c r="AU351" s="3">
        <f>SUM(AN351:AT351)</f>
        <v/>
      </c>
      <c r="AV351" s="7">
        <f>IF(OR(N(W351)&lt;=0,N(BG351)=0),0,N(W351)*IF(N(R351)/N(W351)&gt;=60,N(BG351),1))</f>
        <v/>
      </c>
      <c r="AW351" s="7">
        <f>N(W351)*N(AF351)*N(BH351)</f>
        <v/>
      </c>
      <c r="AX351" s="7">
        <f>N(AL351)*(Assumptions!$B$13*N(BJ351)-(1-Assumptions!$B$13)*Assumptions!$B$14)+N(AM351)</f>
        <v/>
      </c>
      <c r="AY351" s="7">
        <f>N(AU351)*N(R351)/90+N(AV351)+N(AW351)+N(AX351)</f>
        <v/>
      </c>
      <c r="AZ351" s="3">
        <f>IF(N(R351)&lt;=0,0,(N(AY351)-N(AX351))*90/N(R351))</f>
        <v/>
      </c>
      <c r="BA351" s="7">
        <f>IFERROR(AY351-VLOOKUP($E351,Assumptions!$A$40:$C$43,3,FALSE),"")</f>
        <v/>
      </c>
      <c r="BB351" s="3">
        <f>IFERROR(BA351/H351,"")</f>
        <v/>
      </c>
      <c r="BC351">
        <f>IF(AND($G351=TRUE,$E351="GKP"),AY351,"")</f>
        <v/>
      </c>
      <c r="BD351">
        <f>IF(AND($G351=TRUE,$E351="DEF"),AY351,"")</f>
        <v/>
      </c>
      <c r="BE351">
        <f>IF(AND($G351=TRUE,$E351="MID"),AY351,"")</f>
        <v/>
      </c>
      <c r="BF351">
        <f>IF(AND($G351=TRUE,$E351="FWD"),AY351,"")</f>
        <v/>
      </c>
      <c r="BG351" t="n">
        <v>2</v>
      </c>
      <c r="BH351" t="n">
        <v>2</v>
      </c>
      <c r="BI351" t="n">
        <v>4</v>
      </c>
      <c r="BJ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s="4" t="n">
        <v>0</v>
      </c>
      <c r="O352" s="4" t="n">
        <v>-3</v>
      </c>
      <c r="P352" s="5" t="inlineStr">
        <is>
          <t>high</t>
        </is>
      </c>
      <c r="Q352" t="inlineStr">
        <is>
          <t>flat</t>
        </is>
      </c>
      <c r="R352" s="6" t="n">
        <v>0</v>
      </c>
      <c r="S352" t="inlineStr">
        <is>
          <t>research</t>
        </is>
      </c>
      <c r="T352" s="5" t="inlineStr">
        <is>
          <t>Sold permanently to Paris FC on 16 Jul 2026 for GBP 16.5m (reported EUR 18m plus EUR 2m add-ons) after a loan spell there from January. He can play no Premier League minutes. Note: the FPL bootstrap STILL lists him as an available Brighton player as of 2026-08-16, which is an FPL data lag worth flagging to anyone else consuming that feed.</t>
        </is>
      </c>
      <c r="U352" s="6" t="n">
        <v>85.90000000000001</v>
      </c>
      <c r="V352" s="2" t="n">
        <v>2</v>
      </c>
      <c r="W352" s="7">
        <f>IF(N(U352)&lt;=0,0,MIN(Assumptions!$B$15,N(R352)/N(U352)))</f>
        <v/>
      </c>
      <c r="X352" s="6" t="n">
        <v>0.252</v>
      </c>
      <c r="Y352" s="3" t="n">
        <v>0</v>
      </c>
      <c r="Z352" t="inlineStr">
        <is>
          <t>blended xG</t>
        </is>
      </c>
      <c r="AA352" s="3" t="n">
        <v>1</v>
      </c>
      <c r="AB352" s="3" t="n">
        <v>1</v>
      </c>
      <c r="AC352" s="3" t="n">
        <v>0</v>
      </c>
      <c r="AD352" s="3" t="n">
        <v>0.0023</v>
      </c>
      <c r="AE352" s="3" t="n">
        <v>7.835</v>
      </c>
      <c r="AF352" s="3" t="n">
        <v>0.2210884879564577</v>
      </c>
      <c r="AG352" s="3" t="n">
        <v>0</v>
      </c>
      <c r="AH352" s="3" t="n">
        <v>7</v>
      </c>
      <c r="AI352" s="3" t="n">
        <v>2.8404</v>
      </c>
      <c r="AJ352" s="3" t="n">
        <v>1.439</v>
      </c>
      <c r="AK352" s="3" t="n">
        <v>-0.2930826829252255</v>
      </c>
      <c r="AL352" s="6" t="n">
        <v>0</v>
      </c>
      <c r="AM352" s="3" t="n">
        <v>0</v>
      </c>
      <c r="AN352" s="3" t="n">
        <v>0</v>
      </c>
      <c r="AO352" s="3" t="n">
        <v>0.009108</v>
      </c>
      <c r="AP352" s="3">
        <f>N(X352)*N(BI352)</f>
        <v/>
      </c>
      <c r="AQ352" s="3" t="n">
        <v>0</v>
      </c>
      <c r="AR352" s="3" t="n">
        <v>0</v>
      </c>
      <c r="AS352" s="3" t="n">
        <v>-0.4835617861760246</v>
      </c>
      <c r="AT352" s="3" t="n">
        <v>-0.2930826829252255</v>
      </c>
      <c r="AU352" s="3">
        <f>SUM(AN352:AT352)</f>
        <v/>
      </c>
      <c r="AV352" s="7">
        <f>IF(OR(N(W352)&lt;=0,N(BG352)=0),0,N(W352)*IF(N(R352)/N(W352)&gt;=60,N(BG352),1))</f>
        <v/>
      </c>
      <c r="AW352" s="7">
        <f>N(W352)*N(AF352)*N(BH352)</f>
        <v/>
      </c>
      <c r="AX352" s="7">
        <f>N(AL352)*(Assumptions!$B$13*N(BJ352)-(1-Assumptions!$B$13)*Assumptions!$B$14)+N(AM352)</f>
        <v/>
      </c>
      <c r="AY352" s="7">
        <f>N(AU352)*N(R352)/90+N(AV352)+N(AW352)+N(AX352)</f>
        <v/>
      </c>
      <c r="AZ352" s="3">
        <f>IF(N(R352)&lt;=0,0,(N(AY352)-N(AX352))*90/N(R352))</f>
        <v/>
      </c>
      <c r="BA352" s="7">
        <f>IFERROR(AY352-VLOOKUP($E352,Assumptions!$A$40:$C$43,3,FALSE),"")</f>
        <v/>
      </c>
      <c r="BB352" s="3">
        <f>IFERROR(BA352/H352,"")</f>
        <v/>
      </c>
      <c r="BC352">
        <f>IF(AND($G352=TRUE,$E352="GKP"),AY352,"")</f>
        <v/>
      </c>
      <c r="BD352">
        <f>IF(AND($G352=TRUE,$E352="DEF"),AY352,"")</f>
        <v/>
      </c>
      <c r="BE352">
        <f>IF(AND($G352=TRUE,$E352="MID"),AY352,"")</f>
        <v/>
      </c>
      <c r="BF352">
        <f>IF(AND($G352=TRUE,$E352="FWD"),AY352,"")</f>
        <v/>
      </c>
      <c r="BG352" t="n">
        <v>2</v>
      </c>
      <c r="BH352" t="n">
        <v>2</v>
      </c>
      <c r="BI352" t="n">
        <v>4</v>
      </c>
      <c r="BJ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s="4" t="n">
        <v>400</v>
      </c>
      <c r="O353" s="4" t="n">
        <v>194</v>
      </c>
      <c r="P353" s="5" t="inlineStr">
        <is>
          <t>low</t>
        </is>
      </c>
      <c r="Q353" t="inlineStr">
        <is>
          <t>flat</t>
        </is>
      </c>
      <c r="R353" s="6" t="n">
        <v>400</v>
      </c>
      <c r="S353" t="inlineStr">
        <is>
          <t>research</t>
        </is>
      </c>
      <c r="T353" s="5" t="inlineStr">
        <is>
          <t>Started the final pre-season match, is in the Community Shield predicted XI in the double pivot, and Opta still rates his passing volume as elite. With Reijnders sold and Rodri out, the senior pivot cover is thin enough that 206 minutes looks too close to zero. Kept small because he is 32, missed most of last season injured, and his own future has been the subject of a Maresca update.</t>
        </is>
      </c>
      <c r="U353" s="6" t="n">
        <v>77.8</v>
      </c>
      <c r="V353" s="2" t="n">
        <v>1</v>
      </c>
      <c r="W353" s="7">
        <f>IF(N(U353)&lt;=0,0,MIN(Assumptions!$B$15,N(R353)/N(U353)))</f>
        <v/>
      </c>
      <c r="X353" s="6" t="n">
        <v>0.371</v>
      </c>
      <c r="Y353" s="3" t="n">
        <v>0.08210000000000001</v>
      </c>
      <c r="Z353" t="inlineStr">
        <is>
          <t>adjusted xGOT</t>
        </is>
      </c>
      <c r="AA353" s="3" t="n">
        <v>1</v>
      </c>
      <c r="AB353" s="3" t="n">
        <v>0.88</v>
      </c>
      <c r="AC353" s="3" t="n">
        <v>5.1</v>
      </c>
      <c r="AD353" s="3" t="n">
        <v>0.3051</v>
      </c>
      <c r="AE353" s="3" t="n">
        <v>9.225</v>
      </c>
      <c r="AF353" s="3" t="n">
        <v>0.110091958430223</v>
      </c>
      <c r="AG353" s="3" t="n">
        <v>0</v>
      </c>
      <c r="AH353" s="3" t="n">
        <v>6</v>
      </c>
      <c r="AI353" s="3" t="n">
        <v>1.9737</v>
      </c>
      <c r="AJ353" s="3" t="n">
        <v>1.0365</v>
      </c>
      <c r="AK353" s="3" t="n">
        <v>-0.2171347261889832</v>
      </c>
      <c r="AL353" s="6" t="n">
        <v>0</v>
      </c>
      <c r="AM353" s="3" t="n">
        <v>0</v>
      </c>
      <c r="AN353" s="3" t="n">
        <v>0.4105</v>
      </c>
      <c r="AO353" s="3" t="n">
        <v>1.208196</v>
      </c>
      <c r="AP353" s="3">
        <f>N(X353)*N(BI353)</f>
        <v/>
      </c>
      <c r="AQ353" s="3" t="n">
        <v>0</v>
      </c>
      <c r="AR353" s="3" t="n">
        <v>0</v>
      </c>
      <c r="AS353" s="3" t="n">
        <v>-0</v>
      </c>
      <c r="AT353" s="3" t="n">
        <v>-0.2171347261889832</v>
      </c>
      <c r="AU353" s="3">
        <f>SUM(AN353:AT353)</f>
        <v/>
      </c>
      <c r="AV353" s="7">
        <f>IF(OR(N(W353)&lt;=0,N(BG353)=0),0,N(W353)*IF(N(R353)/N(W353)&gt;=60,N(BG353),1))</f>
        <v/>
      </c>
      <c r="AW353" s="7">
        <f>N(W353)*N(AF353)*N(BH353)</f>
        <v/>
      </c>
      <c r="AX353" s="7">
        <f>N(AL353)*(Assumptions!$B$13*N(BJ353)-(1-Assumptions!$B$13)*Assumptions!$B$14)+N(AM353)</f>
        <v/>
      </c>
      <c r="AY353" s="7">
        <f>N(AU353)*N(R353)/90+N(AV353)+N(AW353)+N(AX353)</f>
        <v/>
      </c>
      <c r="AZ353" s="3">
        <f>IF(N(R353)&lt;=0,0,(N(AY353)-N(AX353))*90/N(R353))</f>
        <v/>
      </c>
      <c r="BA353" s="7">
        <f>IFERROR(AY353-VLOOKUP($E353,Assumptions!$A$40:$C$43,3,FALSE),"")</f>
        <v/>
      </c>
      <c r="BB353" s="3">
        <f>IFERROR(BA353/H353,"")</f>
        <v/>
      </c>
      <c r="BC353">
        <f>IF(AND($G353=TRUE,$E353="GKP"),AY353,"")</f>
        <v/>
      </c>
      <c r="BD353">
        <f>IF(AND($G353=TRUE,$E353="DEF"),AY353,"")</f>
        <v/>
      </c>
      <c r="BE353">
        <f>IF(AND($G353=TRUE,$E353="MID"),AY353,"")</f>
        <v/>
      </c>
      <c r="BF353">
        <f>IF(AND($G353=TRUE,$E353="FWD"),AY353,"")</f>
        <v/>
      </c>
      <c r="BG353" t="n">
        <v>2</v>
      </c>
      <c r="BH353" t="n">
        <v>2</v>
      </c>
      <c r="BI353" t="n">
        <v>1</v>
      </c>
      <c r="BJ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s="4" t="n">
        <v>480</v>
      </c>
      <c r="O354" s="4" t="n">
        <v>442</v>
      </c>
      <c r="P354" s="5" t="inlineStr">
        <is>
          <t>medium</t>
        </is>
      </c>
      <c r="Q354" t="inlineStr">
        <is>
          <t>flat</t>
        </is>
      </c>
      <c r="R354" s="6" t="n">
        <v>480</v>
      </c>
      <c r="S354" t="inlineStr">
        <is>
          <t>research</t>
        </is>
      </c>
      <c r="T354" s="5" t="inlineStr">
        <is>
          <t>The largest error in the allocation. Solio extrapolates his 89 league minutes from a season he spent largely on loan at Eintracht Frankfurt. He is back, fit, in the FPL game with an 'available' flag, and has scored three times in pre-season including the 90th-minute winner against Bayer Leverkusen on 12 Aug. A Sevilla loan-to-buy is live but stalled, so the number is held well below a true backup-striker share to price that exit risk.</t>
        </is>
      </c>
      <c r="U354" s="6" t="n">
        <v>78.5</v>
      </c>
      <c r="V354" s="2" t="n">
        <v>0</v>
      </c>
      <c r="W354" s="7">
        <f>IF(N(U354)&lt;=0,0,MIN(Assumptions!$B$15,N(R354)/N(U354)))</f>
        <v/>
      </c>
      <c r="X354" s="6" t="n">
        <v>0.224</v>
      </c>
      <c r="Y354" s="3" t="n">
        <v>0.4267</v>
      </c>
      <c r="Z354" t="inlineStr">
        <is>
          <t>adjusted xGOT</t>
        </is>
      </c>
      <c r="AA354" s="3" t="n">
        <v>1</v>
      </c>
      <c r="AB354" s="3" t="n">
        <v>0.96</v>
      </c>
      <c r="AC354" s="3" t="n">
        <v>0.4</v>
      </c>
      <c r="AD354" s="3" t="n">
        <v>0.0159</v>
      </c>
      <c r="AE354" s="3" t="n">
        <v>4.933</v>
      </c>
      <c r="AF354" s="3" t="n">
        <v>0.001674543204074341</v>
      </c>
      <c r="AG354" s="3" t="n">
        <v>0</v>
      </c>
      <c r="AH354" s="3" t="n">
        <v>9</v>
      </c>
      <c r="AI354" s="3" t="n">
        <v>3.1134</v>
      </c>
      <c r="AJ354" s="3" t="n">
        <v>1.5588</v>
      </c>
      <c r="AK354" s="3" t="n">
        <v>-0.165199603815519</v>
      </c>
      <c r="AL354" s="6" t="n">
        <v>0</v>
      </c>
      <c r="AM354" s="3" t="n">
        <v>0</v>
      </c>
      <c r="AN354" s="3" t="n">
        <v>1.7068</v>
      </c>
      <c r="AO354" s="3" t="n">
        <v>0.06296400000000001</v>
      </c>
      <c r="AP354" s="3">
        <f>N(X354)*N(BI354)</f>
        <v/>
      </c>
      <c r="AQ354" s="3" t="n">
        <v>0</v>
      </c>
      <c r="AR354" s="3" t="n">
        <v>0</v>
      </c>
      <c r="AS354" s="3" t="n">
        <v>-0</v>
      </c>
      <c r="AT354" s="3" t="n">
        <v>-0.165199603815519</v>
      </c>
      <c r="AU354" s="3">
        <f>SUM(AN354:AT354)</f>
        <v/>
      </c>
      <c r="AV354" s="7">
        <f>IF(OR(N(W354)&lt;=0,N(BG354)=0),0,N(W354)*IF(N(R354)/N(W354)&gt;=60,N(BG354),1))</f>
        <v/>
      </c>
      <c r="AW354" s="7">
        <f>N(W354)*N(AF354)*N(BH354)</f>
        <v/>
      </c>
      <c r="AX354" s="7">
        <f>N(AL354)*(Assumptions!$B$13*N(BJ354)-(1-Assumptions!$B$13)*Assumptions!$B$14)+N(AM354)</f>
        <v/>
      </c>
      <c r="AY354" s="7">
        <f>N(AU354)*N(R354)/90+N(AV354)+N(AW354)+N(AX354)</f>
        <v/>
      </c>
      <c r="AZ354" s="3">
        <f>IF(N(R354)&lt;=0,0,(N(AY354)-N(AX354))*90/N(R354))</f>
        <v/>
      </c>
      <c r="BA354" s="7">
        <f>IFERROR(AY354-VLOOKUP($E354,Assumptions!$A$40:$C$43,3,FALSE),"")</f>
        <v/>
      </c>
      <c r="BB354" s="3">
        <f>IFERROR(BA354/H354,"")</f>
        <v/>
      </c>
      <c r="BC354">
        <f>IF(AND($G354=TRUE,$E354="GKP"),AY354,"")</f>
        <v/>
      </c>
      <c r="BD354">
        <f>IF(AND($G354=TRUE,$E354="DEF"),AY354,"")</f>
        <v/>
      </c>
      <c r="BE354">
        <f>IF(AND($G354=TRUE,$E354="MID"),AY354,"")</f>
        <v/>
      </c>
      <c r="BF354">
        <f>IF(AND($G354=TRUE,$E354="FWD"),AY354,"")</f>
        <v/>
      </c>
      <c r="BG354" t="n">
        <v>2</v>
      </c>
      <c r="BH354" t="n">
        <v>2</v>
      </c>
      <c r="BI354" t="n">
        <v>0</v>
      </c>
      <c r="BJ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N355" s="4" t="n">
        <v>0</v>
      </c>
      <c r="O355" s="4" t="n">
        <v>-378</v>
      </c>
      <c r="P355" s="5" t="inlineStr">
        <is>
          <t>high</t>
        </is>
      </c>
      <c r="R355" s="6" t="n">
        <v>0</v>
      </c>
      <c r="S355" t="inlineStr">
        <is>
          <t>research</t>
        </is>
      </c>
      <c r="T355" s="5" t="inlineStr">
        <is>
          <t>Left the club. Season-long loan to RC Strasbourg confirmed 11 August 2026; the official FPL game flagged him unavailable on 2026-08-12 with the note 'Has joined RC Strasbourg on loan for the rest of the season'. Chelsea's three remaining keepers in the final pre-season matchday squad were Sanchez, Penders and Slonina.</t>
        </is>
      </c>
      <c r="U355" s="6" t="n">
        <v>89.8</v>
      </c>
      <c r="V355" s="2" t="n">
        <v>3</v>
      </c>
      <c r="W355" s="7">
        <f>IF(N(U355)&lt;=0,0,MIN(Assumptions!$B$15,N(R355)/N(U355)))</f>
        <v/>
      </c>
      <c r="X355" s="6" t="n">
        <v>0.322</v>
      </c>
      <c r="Y355" s="3" t="n">
        <v>0</v>
      </c>
      <c r="Z355" t="inlineStr">
        <is>
          <t>blended xG</t>
        </is>
      </c>
      <c r="AA355" s="3" t="n">
        <v>1</v>
      </c>
      <c r="AB355" s="3" t="n">
        <v>1</v>
      </c>
      <c r="AC355" s="3" t="n">
        <v>0</v>
      </c>
      <c r="AD355" s="3" t="n">
        <v>0</v>
      </c>
      <c r="AE355" s="3" t="n">
        <v>0</v>
      </c>
      <c r="AF355" s="3" t="n">
        <v>0</v>
      </c>
      <c r="AG355" s="3" t="n">
        <v>0</v>
      </c>
      <c r="AH355" s="3" t="n">
        <v>9</v>
      </c>
      <c r="AI355" s="3" t="n">
        <v>2.4232</v>
      </c>
      <c r="AJ355" s="3" t="n">
        <v>1.1851</v>
      </c>
      <c r="AK355" s="3" t="n">
        <v>-0.0522790015856111</v>
      </c>
      <c r="AL355" s="6" t="n">
        <v>0</v>
      </c>
      <c r="AM355" s="3" t="n">
        <v>0.2796227302912258</v>
      </c>
      <c r="AN355" s="3" t="n">
        <v>0</v>
      </c>
      <c r="AO355" s="3" t="n">
        <v>0</v>
      </c>
      <c r="AP355" s="3">
        <f>N(X355)*N(BI355)</f>
        <v/>
      </c>
      <c r="AQ355" s="3" t="n">
        <v>0</v>
      </c>
      <c r="AR355" s="3" t="n">
        <v>0.474357769926339</v>
      </c>
      <c r="AS355" s="3" t="n">
        <v>-0.365915508000572</v>
      </c>
      <c r="AT355" s="3" t="n">
        <v>-0.0522790015856111</v>
      </c>
      <c r="AU355" s="3">
        <f>SUM(AN355:AT355)</f>
        <v/>
      </c>
      <c r="AV355" s="7">
        <f>IF(OR(N(W355)&lt;=0,N(BG355)=0),0,N(W355)*IF(N(R355)/N(W355)&gt;=60,N(BG355),1))</f>
        <v/>
      </c>
      <c r="AW355" s="7">
        <f>N(W355)*N(AF355)*N(BH355)</f>
        <v/>
      </c>
      <c r="AX355" s="7">
        <f>N(AL355)*(Assumptions!$B$13*N(BJ355)-(1-Assumptions!$B$13)*Assumptions!$B$14)+N(AM355)</f>
        <v/>
      </c>
      <c r="AY355" s="7">
        <f>N(AU355)*N(R355)/90+N(AV355)+N(AW355)+N(AX355)</f>
        <v/>
      </c>
      <c r="AZ355" s="3">
        <f>IF(N(R355)&lt;=0,0,(N(AY355)-N(AX355))*90/N(R355))</f>
        <v/>
      </c>
      <c r="BA355" s="7">
        <f>IFERROR(AY355-VLOOKUP($E355,Assumptions!$A$40:$C$43,3,FALSE),"")</f>
        <v/>
      </c>
      <c r="BB355" s="3">
        <f>IFERROR(BA355/H355,"")</f>
        <v/>
      </c>
      <c r="BC355">
        <f>IF(AND($G355=TRUE,$E355="GKP"),AY355,"")</f>
        <v/>
      </c>
      <c r="BD355">
        <f>IF(AND($G355=TRUE,$E355="DEF"),AY355,"")</f>
        <v/>
      </c>
      <c r="BE355">
        <f>IF(AND($G355=TRUE,$E355="MID"),AY355,"")</f>
        <v/>
      </c>
      <c r="BF355">
        <f>IF(AND($G355=TRUE,$E355="FWD"),AY355,"")</f>
        <v/>
      </c>
      <c r="BG355" t="n">
        <v>2</v>
      </c>
      <c r="BH355" t="n">
        <v>0</v>
      </c>
      <c r="BI355" t="n">
        <v>4</v>
      </c>
      <c r="BJ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s="8" t="n">
        <v>2576</v>
      </c>
      <c r="O356" s="8" t="n">
        <v>0</v>
      </c>
      <c r="Q356" t="inlineStr">
        <is>
          <t>flat</t>
        </is>
      </c>
      <c r="R356" s="6" t="n">
        <v>2576</v>
      </c>
      <c r="S356" t="inlineStr">
        <is>
          <t>Solio</t>
        </is>
      </c>
      <c r="U356" s="6" t="n">
        <v>86.2</v>
      </c>
      <c r="V356" s="2" t="n">
        <v>2</v>
      </c>
      <c r="W356" s="7">
        <f>IF(N(U356)&lt;=0,0,MIN(Assumptions!$B$15,N(R356)/N(U356)))</f>
        <v/>
      </c>
      <c r="X356" s="6" t="n">
        <v>0.322</v>
      </c>
      <c r="Y356" s="3" t="n">
        <v>0</v>
      </c>
      <c r="Z356" t="inlineStr">
        <is>
          <t>adjusted xGOT</t>
        </is>
      </c>
      <c r="AA356" s="3" t="n">
        <v>1</v>
      </c>
      <c r="AB356" s="3" t="n">
        <v>0.951</v>
      </c>
      <c r="AC356" s="3" t="n">
        <v>4.6</v>
      </c>
      <c r="AD356" s="3" t="n">
        <v>0.024</v>
      </c>
      <c r="AE356" s="3" t="n">
        <v>8.236000000000001</v>
      </c>
      <c r="AF356" s="3" t="n">
        <v>0.269611532965363</v>
      </c>
      <c r="AG356" s="3" t="n">
        <v>0</v>
      </c>
      <c r="AH356" s="3" t="n">
        <v>5</v>
      </c>
      <c r="AI356" s="3" t="n">
        <v>2.4232</v>
      </c>
      <c r="AJ356" s="3" t="n">
        <v>1.1851</v>
      </c>
      <c r="AK356" s="3" t="n">
        <v>-0.2135844756559857</v>
      </c>
      <c r="AL356" s="6" t="n">
        <v>0</v>
      </c>
      <c r="AM356" s="3" t="n">
        <v>0</v>
      </c>
      <c r="AN356" s="3" t="n">
        <v>0</v>
      </c>
      <c r="AO356" s="3" t="n">
        <v>0.09504000000000001</v>
      </c>
      <c r="AP356" s="3">
        <f>N(X356)*N(BI356)</f>
        <v/>
      </c>
      <c r="AQ356" s="3" t="n">
        <v>0</v>
      </c>
      <c r="AR356" s="3" t="n">
        <v>0</v>
      </c>
      <c r="AS356" s="3" t="n">
        <v>-0.365915508000572</v>
      </c>
      <c r="AT356" s="3" t="n">
        <v>-0.2135844756559857</v>
      </c>
      <c r="AU356" s="3">
        <f>SUM(AN356:AT356)</f>
        <v/>
      </c>
      <c r="AV356" s="7">
        <f>IF(OR(N(W356)&lt;=0,N(BG356)=0),0,N(W356)*IF(N(R356)/N(W356)&gt;=60,N(BG356),1))</f>
        <v/>
      </c>
      <c r="AW356" s="7">
        <f>N(W356)*N(AF356)*N(BH356)</f>
        <v/>
      </c>
      <c r="AX356" s="7">
        <f>N(AL356)*(Assumptions!$B$13*N(BJ356)-(1-Assumptions!$B$13)*Assumptions!$B$14)+N(AM356)</f>
        <v/>
      </c>
      <c r="AY356" s="7">
        <f>N(AU356)*N(R356)/90+N(AV356)+N(AW356)+N(AX356)</f>
        <v/>
      </c>
      <c r="AZ356" s="3">
        <f>IF(N(R356)&lt;=0,0,(N(AY356)-N(AX356))*90/N(R356))</f>
        <v/>
      </c>
      <c r="BA356" s="7">
        <f>IFERROR(AY356-VLOOKUP($E356,Assumptions!$A$40:$C$43,3,FALSE),"")</f>
        <v/>
      </c>
      <c r="BB356" s="3">
        <f>IFERROR(BA356/H356,"")</f>
        <v/>
      </c>
      <c r="BC356">
        <f>IF(AND($G356=TRUE,$E356="GKP"),AY356,"")</f>
        <v/>
      </c>
      <c r="BD356">
        <f>IF(AND($G356=TRUE,$E356="DEF"),AY356,"")</f>
        <v/>
      </c>
      <c r="BE356">
        <f>IF(AND($G356=TRUE,$E356="MID"),AY356,"")</f>
        <v/>
      </c>
      <c r="BF356">
        <f>IF(AND($G356=TRUE,$E356="FWD"),AY356,"")</f>
        <v/>
      </c>
      <c r="BG356" t="n">
        <v>2</v>
      </c>
      <c r="BH356" t="n">
        <v>2</v>
      </c>
      <c r="BI356" t="n">
        <v>4</v>
      </c>
      <c r="BJ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s="4" t="n">
        <v>450</v>
      </c>
      <c r="O357" s="4" t="n">
        <v>324</v>
      </c>
      <c r="P357" s="5" t="inlineStr">
        <is>
          <t>low</t>
        </is>
      </c>
      <c r="Q357" t="inlineStr">
        <is>
          <t>flat</t>
        </is>
      </c>
      <c r="R357" s="6" t="n">
        <v>450</v>
      </c>
      <c r="S357" t="inlineStr">
        <is>
          <t>research</t>
        </is>
      </c>
      <c r="T357" s="5" t="inlineStr">
        <is>
          <t>Started the pivot alongside Cook in the final pre-season friendly on 15 Aug and assisted a goal as a substitute vs Betis on 8 Aug. Deliberately kept low because that Mainz start coincided with Scott, Adams and Christie all being unavailable, so it is weak evidence of a settled role - but 126 minutes understates a player Rose is clearly willing to use.</t>
        </is>
      </c>
      <c r="U357" s="6" t="n">
        <v>76.2</v>
      </c>
      <c r="V357" s="2" t="n">
        <v>2</v>
      </c>
      <c r="W357" s="7">
        <f>IF(N(U357)&lt;=0,0,MIN(Assumptions!$B$15,N(R357)/N(U357)))</f>
        <v/>
      </c>
      <c r="X357" s="6" t="n">
        <v>0.23</v>
      </c>
      <c r="Y357" s="3" t="n">
        <v>0.0727</v>
      </c>
      <c r="Z357" t="inlineStr">
        <is>
          <t>adjusted xGOT</t>
        </is>
      </c>
      <c r="AA357" s="3" t="n">
        <v>1</v>
      </c>
      <c r="AB357" s="3" t="n">
        <v>0.986</v>
      </c>
      <c r="AC357" s="3" t="n">
        <v>0.1</v>
      </c>
      <c r="AD357" s="3" t="n">
        <v>0.2291</v>
      </c>
      <c r="AE357" s="3" t="n">
        <v>9.012</v>
      </c>
      <c r="AF357" s="3" t="n">
        <v>0.08709009343695318</v>
      </c>
      <c r="AG357" s="3" t="n">
        <v>0</v>
      </c>
      <c r="AH357" s="3" t="n">
        <v>9</v>
      </c>
      <c r="AI357" s="3" t="n">
        <v>3.0957</v>
      </c>
      <c r="AJ357" s="3" t="n">
        <v>1.53</v>
      </c>
      <c r="AK357" s="3" t="n">
        <v>-0.2560940997024783</v>
      </c>
      <c r="AL357" s="6" t="n">
        <v>0</v>
      </c>
      <c r="AM357" s="3" t="n">
        <v>0</v>
      </c>
      <c r="AN357" s="3" t="n">
        <v>0.3635</v>
      </c>
      <c r="AO357" s="3" t="n">
        <v>0.907236</v>
      </c>
      <c r="AP357" s="3">
        <f>N(X357)*N(BI357)</f>
        <v/>
      </c>
      <c r="AQ357" s="3" t="n">
        <v>0</v>
      </c>
      <c r="AR357" s="3" t="n">
        <v>0</v>
      </c>
      <c r="AS357" s="3" t="n">
        <v>-0</v>
      </c>
      <c r="AT357" s="3" t="n">
        <v>-0.2560940997024783</v>
      </c>
      <c r="AU357" s="3">
        <f>SUM(AN357:AT357)</f>
        <v/>
      </c>
      <c r="AV357" s="7">
        <f>IF(OR(N(W357)&lt;=0,N(BG357)=0),0,N(W357)*IF(N(R357)/N(W357)&gt;=60,N(BG357),1))</f>
        <v/>
      </c>
      <c r="AW357" s="7">
        <f>N(W357)*N(AF357)*N(BH357)</f>
        <v/>
      </c>
      <c r="AX357" s="7">
        <f>N(AL357)*(Assumptions!$B$13*N(BJ357)-(1-Assumptions!$B$13)*Assumptions!$B$14)+N(AM357)</f>
        <v/>
      </c>
      <c r="AY357" s="7">
        <f>N(AU357)*N(R357)/90+N(AV357)+N(AW357)+N(AX357)</f>
        <v/>
      </c>
      <c r="AZ357" s="3">
        <f>IF(N(R357)&lt;=0,0,(N(AY357)-N(AX357))*90/N(R357))</f>
        <v/>
      </c>
      <c r="BA357" s="7">
        <f>IFERROR(AY357-VLOOKUP($E357,Assumptions!$A$40:$C$43,3,FALSE),"")</f>
        <v/>
      </c>
      <c r="BB357" s="3">
        <f>IFERROR(BA357/H357,"")</f>
        <v/>
      </c>
      <c r="BC357">
        <f>IF(AND($G357=TRUE,$E357="GKP"),AY357,"")</f>
        <v/>
      </c>
      <c r="BD357">
        <f>IF(AND($G357=TRUE,$E357="DEF"),AY357,"")</f>
        <v/>
      </c>
      <c r="BE357">
        <f>IF(AND($G357=TRUE,$E357="MID"),AY357,"")</f>
        <v/>
      </c>
      <c r="BF357">
        <f>IF(AND($G357=TRUE,$E357="FWD"),AY357,"")</f>
        <v/>
      </c>
      <c r="BG357" t="n">
        <v>2</v>
      </c>
      <c r="BH357" t="n">
        <v>2</v>
      </c>
      <c r="BI357" t="n">
        <v>1</v>
      </c>
      <c r="BJ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s="8" t="n">
        <v>11</v>
      </c>
      <c r="O358" s="8" t="n">
        <v>0</v>
      </c>
      <c r="Q358" t="inlineStr">
        <is>
          <t>flat</t>
        </is>
      </c>
      <c r="R358" s="6" t="n">
        <v>11</v>
      </c>
      <c r="S358" t="inlineStr">
        <is>
          <t>Solio</t>
        </is>
      </c>
      <c r="U358" s="6" t="n">
        <v>80.09999999999999</v>
      </c>
      <c r="V358" s="2" t="n">
        <v>0</v>
      </c>
      <c r="W358" s="7">
        <f>IF(N(U358)&lt;=0,0,MIN(Assumptions!$B$15,N(R358)/N(U358)))</f>
        <v/>
      </c>
      <c r="X358" s="6" t="n">
        <v>0.391</v>
      </c>
      <c r="Y358" s="3" t="n">
        <v>0.1293</v>
      </c>
      <c r="Z358" t="inlineStr">
        <is>
          <t>adjusted xGOT</t>
        </is>
      </c>
      <c r="AA358" s="3" t="n">
        <v>1</v>
      </c>
      <c r="AB358" s="3" t="n">
        <v>1.03</v>
      </c>
      <c r="AC358" s="3" t="n">
        <v>1.4</v>
      </c>
      <c r="AD358" s="3" t="n">
        <v>0.035</v>
      </c>
      <c r="AE358" s="3" t="n">
        <v>8.300000000000001</v>
      </c>
      <c r="AF358" s="3" t="n">
        <v>0.0728024678344561</v>
      </c>
      <c r="AG358" s="3" t="n">
        <v>0</v>
      </c>
      <c r="AH358" s="3" t="n">
        <v>7</v>
      </c>
      <c r="AI358" s="3" t="n">
        <v>2.067</v>
      </c>
      <c r="AJ358" s="3" t="n">
        <v>0.9838</v>
      </c>
      <c r="AK358" s="3" t="n">
        <v>-0.1760946258725149</v>
      </c>
      <c r="AL358" s="6" t="n">
        <v>0</v>
      </c>
      <c r="AM358" s="3" t="n">
        <v>0</v>
      </c>
      <c r="AN358" s="3" t="n">
        <v>0.6465</v>
      </c>
      <c r="AO358" s="3" t="n">
        <v>0.1386</v>
      </c>
      <c r="AP358" s="3">
        <f>N(X358)*N(BI358)</f>
        <v/>
      </c>
      <c r="AQ358" s="3" t="n">
        <v>0</v>
      </c>
      <c r="AR358" s="3" t="n">
        <v>0</v>
      </c>
      <c r="AS358" s="3" t="n">
        <v>-0</v>
      </c>
      <c r="AT358" s="3" t="n">
        <v>-0.1760946258725149</v>
      </c>
      <c r="AU358" s="3">
        <f>SUM(AN358:AT358)</f>
        <v/>
      </c>
      <c r="AV358" s="7">
        <f>IF(OR(N(W358)&lt;=0,N(BG358)=0),0,N(W358)*IF(N(R358)/N(W358)&gt;=60,N(BG358),1))</f>
        <v/>
      </c>
      <c r="AW358" s="7">
        <f>N(W358)*N(AF358)*N(BH358)</f>
        <v/>
      </c>
      <c r="AX358" s="7">
        <f>N(AL358)*(Assumptions!$B$13*N(BJ358)-(1-Assumptions!$B$13)*Assumptions!$B$14)+N(AM358)</f>
        <v/>
      </c>
      <c r="AY358" s="7">
        <f>N(AU358)*N(R358)/90+N(AV358)+N(AW358)+N(AX358)</f>
        <v/>
      </c>
      <c r="AZ358" s="3">
        <f>IF(N(R358)&lt;=0,0,(N(AY358)-N(AX358))*90/N(R358))</f>
        <v/>
      </c>
      <c r="BA358" s="7">
        <f>IFERROR(AY358-VLOOKUP($E358,Assumptions!$A$40:$C$43,3,FALSE),"")</f>
        <v/>
      </c>
      <c r="BB358" s="3">
        <f>IFERROR(BA358/H358,"")</f>
        <v/>
      </c>
      <c r="BC358">
        <f>IF(AND($G358=TRUE,$E358="GKP"),AY358,"")</f>
        <v/>
      </c>
      <c r="BD358">
        <f>IF(AND($G358=TRUE,$E358="DEF"),AY358,"")</f>
        <v/>
      </c>
      <c r="BE358">
        <f>IF(AND($G358=TRUE,$E358="MID"),AY358,"")</f>
        <v/>
      </c>
      <c r="BF358">
        <f>IF(AND($G358=TRUE,$E358="FWD"),AY358,"")</f>
        <v/>
      </c>
      <c r="BG358" t="n">
        <v>2</v>
      </c>
      <c r="BH358" t="n">
        <v>2</v>
      </c>
      <c r="BI358" t="n">
        <v>1</v>
      </c>
      <c r="BJ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s="8" t="n">
        <v>35</v>
      </c>
      <c r="O359" s="8" t="n">
        <v>0</v>
      </c>
      <c r="Q359" t="inlineStr">
        <is>
          <t>flat</t>
        </is>
      </c>
      <c r="R359" s="6" t="n">
        <v>35</v>
      </c>
      <c r="S359" t="inlineStr">
        <is>
          <t>Solio</t>
        </is>
      </c>
      <c r="U359" s="6" t="n">
        <v>89.8</v>
      </c>
      <c r="V359" s="2" t="n">
        <v>1</v>
      </c>
      <c r="W359" s="7">
        <f>IF(N(U359)&lt;=0,0,MIN(Assumptions!$B$15,N(R359)/N(U359)))</f>
        <v/>
      </c>
      <c r="X359" s="6" t="n">
        <v>0.216</v>
      </c>
      <c r="Y359" s="3" t="n">
        <v>0</v>
      </c>
      <c r="Z359" t="inlineStr">
        <is>
          <t>blended xG</t>
        </is>
      </c>
      <c r="AA359" s="3" t="n">
        <v>1</v>
      </c>
      <c r="AB359" s="3" t="n">
        <v>1</v>
      </c>
      <c r="AC359" s="3" t="n">
        <v>0</v>
      </c>
      <c r="AD359" s="3" t="n">
        <v>0</v>
      </c>
      <c r="AE359" s="3" t="n">
        <v>0</v>
      </c>
      <c r="AF359" s="3" t="n">
        <v>0</v>
      </c>
      <c r="AG359" s="3" t="n">
        <v>1</v>
      </c>
      <c r="AH359" s="3" t="n">
        <v>2</v>
      </c>
      <c r="AI359" s="3" t="n">
        <v>3.2035</v>
      </c>
      <c r="AJ359" s="3" t="n">
        <v>1.5923</v>
      </c>
      <c r="AK359" s="3" t="n">
        <v>-0.07200630079321101</v>
      </c>
      <c r="AL359" s="6" t="n">
        <v>0</v>
      </c>
      <c r="AM359" s="3" t="n">
        <v>0.0347888665271393</v>
      </c>
      <c r="AN359" s="3" t="n">
        <v>0</v>
      </c>
      <c r="AO359" s="3" t="n">
        <v>0</v>
      </c>
      <c r="AP359" s="3">
        <f>N(X359)*N(BI359)</f>
        <v/>
      </c>
      <c r="AQ359" s="3" t="n">
        <v>1</v>
      </c>
      <c r="AR359" s="3" t="n">
        <v>0.7325188478059661</v>
      </c>
      <c r="AS359" s="3" t="n">
        <v>-0.5564987001023466</v>
      </c>
      <c r="AT359" s="3" t="n">
        <v>-0.07200630079321101</v>
      </c>
      <c r="AU359" s="3">
        <f>SUM(AN359:AT359)</f>
        <v/>
      </c>
      <c r="AV359" s="7">
        <f>IF(OR(N(W359)&lt;=0,N(BG359)=0),0,N(W359)*IF(N(R359)/N(W359)&gt;=60,N(BG359),1))</f>
        <v/>
      </c>
      <c r="AW359" s="7">
        <f>N(W359)*N(AF359)*N(BH359)</f>
        <v/>
      </c>
      <c r="AX359" s="7">
        <f>N(AL359)*(Assumptions!$B$13*N(BJ359)-(1-Assumptions!$B$13)*Assumptions!$B$14)+N(AM359)</f>
        <v/>
      </c>
      <c r="AY359" s="7">
        <f>N(AU359)*N(R359)/90+N(AV359)+N(AW359)+N(AX359)</f>
        <v/>
      </c>
      <c r="AZ359" s="3">
        <f>IF(N(R359)&lt;=0,0,(N(AY359)-N(AX359))*90/N(R359))</f>
        <v/>
      </c>
      <c r="BA359" s="7">
        <f>IFERROR(AY359-VLOOKUP($E359,Assumptions!$A$40:$C$43,3,FALSE),"")</f>
        <v/>
      </c>
      <c r="BB359" s="3">
        <f>IFERROR(BA359/H359,"")</f>
        <v/>
      </c>
      <c r="BC359">
        <f>IF(AND($G359=TRUE,$E359="GKP"),AY359,"")</f>
        <v/>
      </c>
      <c r="BD359">
        <f>IF(AND($G359=TRUE,$E359="DEF"),AY359,"")</f>
        <v/>
      </c>
      <c r="BE359">
        <f>IF(AND($G359=TRUE,$E359="MID"),AY359,"")</f>
        <v/>
      </c>
      <c r="BF359">
        <f>IF(AND($G359=TRUE,$E359="FWD"),AY359,"")</f>
        <v/>
      </c>
      <c r="BG359" t="n">
        <v>2</v>
      </c>
      <c r="BH359" t="n">
        <v>0</v>
      </c>
      <c r="BI359" t="n">
        <v>4</v>
      </c>
      <c r="BJ359" t="n">
        <v>10</v>
      </c>
    </row>
    <row r="360">
      <c r="A360" s="9" t="inlineStr">
        <is>
          <t>Christian Nørgaard</t>
        </is>
      </c>
      <c r="B360" t="inlineStr">
        <is>
          <t>EVE</t>
        </is>
      </c>
      <c r="C360" s="9" t="inlineStr">
        <is>
          <t>ARS</t>
        </is>
      </c>
      <c r="D360" t="b">
        <v>1</v>
      </c>
      <c r="E360" t="inlineStr">
        <is>
          <t>MID</t>
        </is>
      </c>
      <c r="F360" t="inlineStr">
        <is>
          <t>MID</t>
        </is>
      </c>
      <c r="G360" t="b">
        <v>1</v>
      </c>
      <c r="H360" s="2" t="n">
        <v>5</v>
      </c>
      <c r="I360" t="inlineStr">
        <is>
          <t>a</t>
        </is>
      </c>
      <c r="K360" s="2" t="n">
        <v>101</v>
      </c>
      <c r="L360" t="n">
        <v>7</v>
      </c>
      <c r="M360" s="3" t="n">
        <v>2804</v>
      </c>
      <c r="N360" s="4" t="n">
        <v>1450</v>
      </c>
      <c r="O360" s="4" t="n">
        <v>-1354</v>
      </c>
      <c r="P360" s="5" t="inlineStr">
        <is>
          <t>medium</t>
        </is>
      </c>
      <c r="Q360" t="inlineStr">
        <is>
          <t>flat</t>
        </is>
      </c>
      <c r="R360" s="6" t="n">
        <v>1450</v>
      </c>
      <c r="S360" t="inlineStr">
        <is>
          <t>research</t>
        </is>
      </c>
      <c r="T360" s="5" t="inlineStr">
        <is>
          <t>The largest single error in Solio's Everton allocation. Solio projects 82% of every available minute for a 32-year-old who cost GBP 7m, made seven league starts for Arsenal last season and played 101 minutes. Three pieces of dated evidence point down: the official FPL game flags him 'Lack of match fitness - 75% chance of playing'; Read Everton's 14 August injury tracker records him as an unused substitute against Stuttgart still building sharpness; and he was not in the matchday squad at all for the final friendly against Lille on 15 August. He is a real contender - Read Everton describes him as Moyes' direct replacement for Idrissa Gueye in defensive midfield - but he is competing with Hayden Hackney for one berth alongside Garner, and Hackney started the last two friendlies. 1,450 keeps him as a heavily-used squad midfielder rather than an ever-present.</t>
        </is>
      </c>
      <c r="U360" s="6" t="n">
        <v>76.90000000000001</v>
      </c>
      <c r="V360" s="2" t="n">
        <v>1</v>
      </c>
      <c r="W360" s="7">
        <f>IF(N(U360)&lt;=0,0,MIN(Assumptions!$B$15,N(R360)/N(U360)))</f>
        <v/>
      </c>
      <c r="X360" s="6" t="n">
        <v>0.231</v>
      </c>
      <c r="Y360" s="10" t="n">
        <v>0.0659</v>
      </c>
      <c r="Z360" t="inlineStr">
        <is>
          <t>adjusted xGOT</t>
        </is>
      </c>
      <c r="AA360" s="3" t="n">
        <v>1</v>
      </c>
      <c r="AB360" s="3" t="n">
        <v>0.928</v>
      </c>
      <c r="AC360" s="3" t="n">
        <v>9.6</v>
      </c>
      <c r="AD360" s="10" t="n">
        <v>0.0178</v>
      </c>
      <c r="AE360" s="3" t="n">
        <v>9.276</v>
      </c>
      <c r="AF360" s="3" t="n">
        <v>0.1066440262375161</v>
      </c>
      <c r="AG360" s="3" t="n">
        <v>0</v>
      </c>
      <c r="AH360" s="3" t="n">
        <v>7</v>
      </c>
      <c r="AI360" s="3" t="n">
        <v>3.0311</v>
      </c>
      <c r="AJ360" s="3" t="n">
        <v>1.5252</v>
      </c>
      <c r="AK360" s="3" t="n">
        <v>-0.2544726553681582</v>
      </c>
      <c r="AL360" s="6" t="n">
        <v>0</v>
      </c>
      <c r="AM360" s="3" t="n">
        <v>0</v>
      </c>
      <c r="AN360" s="10" t="n">
        <v>0.3295</v>
      </c>
      <c r="AO360" s="10" t="n">
        <v>0.07048800000000001</v>
      </c>
      <c r="AP360" s="3">
        <f>N(X360)*N(BI360)</f>
        <v/>
      </c>
      <c r="AQ360" s="3" t="n">
        <v>0</v>
      </c>
      <c r="AR360" s="3" t="n">
        <v>0</v>
      </c>
      <c r="AS360" s="3" t="n">
        <v>-0</v>
      </c>
      <c r="AT360" s="3" t="n">
        <v>-0.2544726553681582</v>
      </c>
      <c r="AU360" s="3">
        <f>SUM(AN360:AT360)</f>
        <v/>
      </c>
      <c r="AV360" s="7">
        <f>IF(OR(N(W360)&lt;=0,N(BG360)=0),0,N(W360)*IF(N(R360)/N(W360)&gt;=60,N(BG360),1))</f>
        <v/>
      </c>
      <c r="AW360" s="7">
        <f>N(W360)*N(AF360)*N(BH360)</f>
        <v/>
      </c>
      <c r="AX360" s="7">
        <f>N(AL360)*(Assumptions!$B$13*N(BJ360)-(1-Assumptions!$B$13)*Assumptions!$B$14)+N(AM360)</f>
        <v/>
      </c>
      <c r="AY360" s="7">
        <f>N(AU360)*N(R360)/90+N(AV360)+N(AW360)+N(AX360)</f>
        <v/>
      </c>
      <c r="AZ360" s="3">
        <f>IF(N(R360)&lt;=0,0,(N(AY360)-N(AX360))*90/N(R360))</f>
        <v/>
      </c>
      <c r="BA360" s="7">
        <f>IFERROR(AY360-VLOOKUP($E360,Assumptions!$A$40:$C$43,3,FALSE),"")</f>
        <v/>
      </c>
      <c r="BB360" s="3">
        <f>IFERROR(BA360/H360,"")</f>
        <v/>
      </c>
      <c r="BC360">
        <f>IF(AND($G360=TRUE,$E360="GKP"),AY360,"")</f>
        <v/>
      </c>
      <c r="BD360">
        <f>IF(AND($G360=TRUE,$E360="DEF"),AY360,"")</f>
        <v/>
      </c>
      <c r="BE360">
        <f>IF(AND($G360=TRUE,$E360="MID"),AY360,"")</f>
        <v/>
      </c>
      <c r="BF360">
        <f>IF(AND($G360=TRUE,$E360="FWD"),AY360,"")</f>
        <v/>
      </c>
      <c r="BG360" t="n">
        <v>2</v>
      </c>
      <c r="BH360" t="n">
        <v>2</v>
      </c>
      <c r="BI360" t="n">
        <v>1</v>
      </c>
      <c r="BJ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s="4" t="n">
        <v>0</v>
      </c>
      <c r="O361" s="4" t="n">
        <v>-14</v>
      </c>
      <c r="P361" s="5" t="inlineStr">
        <is>
          <t>medium</t>
        </is>
      </c>
      <c r="Q361" t="inlineStr">
        <is>
          <t>flat</t>
        </is>
      </c>
      <c r="R361" s="6" t="n">
        <v>0</v>
      </c>
      <c r="S361" t="inlineStr">
        <is>
          <t>research</t>
        </is>
      </c>
      <c r="T361" s="5" t="inlineStr">
        <is>
          <t>Loan to Napoli (with an option to buy) reported as agreed; ranked 'Very High' likelihood in FootballTransfers' deadline-day exit list, and he was left out of Chelsea's pre-season tour squad entirely to facilitate the move. Immaterial in size but removes a body from the centre-back queue.</t>
        </is>
      </c>
      <c r="U361" s="6" t="n">
        <v>79.3</v>
      </c>
      <c r="V361" s="2" t="n">
        <v>6</v>
      </c>
      <c r="W361" s="7">
        <f>IF(N(U361)&lt;=0,0,MIN(Assumptions!$B$15,N(R361)/N(U361)))</f>
        <v/>
      </c>
      <c r="X361" s="6" t="n">
        <v>0.322</v>
      </c>
      <c r="Y361" s="3" t="n">
        <v>0</v>
      </c>
      <c r="Z361" t="inlineStr">
        <is>
          <t>adjusted xGOT</t>
        </is>
      </c>
      <c r="AA361" s="3" t="n">
        <v>1</v>
      </c>
      <c r="AB361" s="3" t="n">
        <v>0.913</v>
      </c>
      <c r="AC361" s="3" t="n">
        <v>1.5</v>
      </c>
      <c r="AD361" s="3" t="n">
        <v>0.0057</v>
      </c>
      <c r="AE361" s="3" t="n">
        <v>8.279999999999999</v>
      </c>
      <c r="AF361" s="3" t="n">
        <v>0.2006980241798085</v>
      </c>
      <c r="AG361" s="3" t="n">
        <v>0</v>
      </c>
      <c r="AH361" s="3" t="n">
        <v>11</v>
      </c>
      <c r="AI361" s="3" t="n">
        <v>2.4232</v>
      </c>
      <c r="AJ361" s="3" t="n">
        <v>1.1851</v>
      </c>
      <c r="AK361" s="3" t="n">
        <v>-0.2299683281590999</v>
      </c>
      <c r="AL361" s="6" t="n">
        <v>0</v>
      </c>
      <c r="AM361" s="3" t="n">
        <v>0</v>
      </c>
      <c r="AN361" s="3" t="n">
        <v>0</v>
      </c>
      <c r="AO361" s="3" t="n">
        <v>0.022572</v>
      </c>
      <c r="AP361" s="3">
        <f>N(X361)*N(BI361)</f>
        <v/>
      </c>
      <c r="AQ361" s="3" t="n">
        <v>0</v>
      </c>
      <c r="AR361" s="3" t="n">
        <v>0</v>
      </c>
      <c r="AS361" s="3" t="n">
        <v>-0.365915508000572</v>
      </c>
      <c r="AT361" s="3" t="n">
        <v>-0.2299683281590999</v>
      </c>
      <c r="AU361" s="3">
        <f>SUM(AN361:AT361)</f>
        <v/>
      </c>
      <c r="AV361" s="7">
        <f>IF(OR(N(W361)&lt;=0,N(BG361)=0),0,N(W361)*IF(N(R361)/N(W361)&gt;=60,N(BG361),1))</f>
        <v/>
      </c>
      <c r="AW361" s="7">
        <f>N(W361)*N(AF361)*N(BH361)</f>
        <v/>
      </c>
      <c r="AX361" s="7">
        <f>N(AL361)*(Assumptions!$B$13*N(BJ361)-(1-Assumptions!$B$13)*Assumptions!$B$14)+N(AM361)</f>
        <v/>
      </c>
      <c r="AY361" s="7">
        <f>N(AU361)*N(R361)/90+N(AV361)+N(AW361)+N(AX361)</f>
        <v/>
      </c>
      <c r="AZ361" s="3">
        <f>IF(N(R361)&lt;=0,0,(N(AY361)-N(AX361))*90/N(R361))</f>
        <v/>
      </c>
      <c r="BA361" s="7">
        <f>IFERROR(AY361-VLOOKUP($E361,Assumptions!$A$40:$C$43,3,FALSE),"")</f>
        <v/>
      </c>
      <c r="BB361" s="3">
        <f>IFERROR(BA361/H361,"")</f>
        <v/>
      </c>
      <c r="BC361">
        <f>IF(AND($G361=TRUE,$E361="GKP"),AY361,"")</f>
        <v/>
      </c>
      <c r="BD361">
        <f>IF(AND($G361=TRUE,$E361="DEF"),AY361,"")</f>
        <v/>
      </c>
      <c r="BE361">
        <f>IF(AND($G361=TRUE,$E361="MID"),AY361,"")</f>
        <v/>
      </c>
      <c r="BF361">
        <f>IF(AND($G361=TRUE,$E361="FWD"),AY361,"")</f>
        <v/>
      </c>
      <c r="BG361" t="n">
        <v>2</v>
      </c>
      <c r="BH361" t="n">
        <v>2</v>
      </c>
      <c r="BI361" t="n">
        <v>4</v>
      </c>
      <c r="BJ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s="4" t="n">
        <v>200</v>
      </c>
      <c r="O362" s="4" t="n">
        <v>200</v>
      </c>
      <c r="P362" s="5" t="inlineStr">
        <is>
          <t>low</t>
        </is>
      </c>
      <c r="Q362" t="inlineStr">
        <is>
          <t>flat</t>
        </is>
      </c>
      <c r="R362" s="6" t="n">
        <v>200</v>
      </c>
      <c r="S362" t="inlineStr">
        <is>
          <t>research</t>
        </is>
      </c>
      <c r="T362" s="5" t="inlineStr">
        <is>
          <t>Solio gives him zero, but he is registered and available (FPL status 'a') and came on at 78' against Bologna, replacing Kadioglu. With van Hecke and Coppola both sold, he is emergency defensive cover. A small non-zero allocation, not a role claim.</t>
        </is>
      </c>
      <c r="U362" s="6" t="n">
        <v>85.90000000000001</v>
      </c>
      <c r="V362" s="2" t="n">
        <v>1</v>
      </c>
      <c r="W362" s="7">
        <f>IF(N(U362)&lt;=0,0,MIN(Assumptions!$B$15,N(R362)/N(U362)))</f>
        <v/>
      </c>
      <c r="X362" s="6" t="n">
        <v>0.252</v>
      </c>
      <c r="Y362" s="3" t="n">
        <v>0</v>
      </c>
      <c r="Z362" t="inlineStr">
        <is>
          <t>adjusted xGOT</t>
        </is>
      </c>
      <c r="AA362" s="3" t="n">
        <v>1</v>
      </c>
      <c r="AB362" s="3" t="n">
        <v>0.964</v>
      </c>
      <c r="AC362" s="3" t="n">
        <v>0.3</v>
      </c>
      <c r="AD362" s="3" t="n">
        <v>0.007900000000000001</v>
      </c>
      <c r="AE362" s="3" t="n">
        <v>8.145</v>
      </c>
      <c r="AF362" s="3" t="n">
        <v>0.2557540299648547</v>
      </c>
      <c r="AG362" s="3" t="n">
        <v>0</v>
      </c>
      <c r="AH362" s="3" t="n">
        <v>5</v>
      </c>
      <c r="AI362" s="3" t="n">
        <v>2.8404</v>
      </c>
      <c r="AJ362" s="3" t="n">
        <v>1.439</v>
      </c>
      <c r="AK362" s="3" t="n">
        <v>-0.2463997037147801</v>
      </c>
      <c r="AL362" s="6" t="n">
        <v>0</v>
      </c>
      <c r="AM362" s="3" t="n">
        <v>0</v>
      </c>
      <c r="AN362" s="3" t="n">
        <v>0</v>
      </c>
      <c r="AO362" s="3" t="n">
        <v>0.03128400000000001</v>
      </c>
      <c r="AP362" s="3">
        <f>N(X362)*N(BI362)</f>
        <v/>
      </c>
      <c r="AQ362" s="3" t="n">
        <v>0</v>
      </c>
      <c r="AR362" s="3" t="n">
        <v>0</v>
      </c>
      <c r="AS362" s="3" t="n">
        <v>-0.4835617861760246</v>
      </c>
      <c r="AT362" s="3" t="n">
        <v>-0.2463997037147801</v>
      </c>
      <c r="AU362" s="3">
        <f>SUM(AN362:AT362)</f>
        <v/>
      </c>
      <c r="AV362" s="7">
        <f>IF(OR(N(W362)&lt;=0,N(BG362)=0),0,N(W362)*IF(N(R362)/N(W362)&gt;=60,N(BG362),1))</f>
        <v/>
      </c>
      <c r="AW362" s="7">
        <f>N(W362)*N(AF362)*N(BH362)</f>
        <v/>
      </c>
      <c r="AX362" s="7">
        <f>N(AL362)*(Assumptions!$B$13*N(BJ362)-(1-Assumptions!$B$13)*Assumptions!$B$14)+N(AM362)</f>
        <v/>
      </c>
      <c r="AY362" s="7">
        <f>N(AU362)*N(R362)/90+N(AV362)+N(AW362)+N(AX362)</f>
        <v/>
      </c>
      <c r="AZ362" s="3">
        <f>IF(N(R362)&lt;=0,0,(N(AY362)-N(AX362))*90/N(R362))</f>
        <v/>
      </c>
      <c r="BA362" s="7">
        <f>IFERROR(AY362-VLOOKUP($E362,Assumptions!$A$40:$C$43,3,FALSE),"")</f>
        <v/>
      </c>
      <c r="BB362" s="3">
        <f>IFERROR(BA362/H362,"")</f>
        <v/>
      </c>
      <c r="BC362">
        <f>IF(AND($G362=TRUE,$E362="GKP"),AY362,"")</f>
        <v/>
      </c>
      <c r="BD362">
        <f>IF(AND($G362=TRUE,$E362="DEF"),AY362,"")</f>
        <v/>
      </c>
      <c r="BE362">
        <f>IF(AND($G362=TRUE,$E362="MID"),AY362,"")</f>
        <v/>
      </c>
      <c r="BF362">
        <f>IF(AND($G362=TRUE,$E362="FWD"),AY362,"")</f>
        <v/>
      </c>
      <c r="BG362" t="n">
        <v>2</v>
      </c>
      <c r="BH362" t="n">
        <v>2</v>
      </c>
      <c r="BI362" t="n">
        <v>4</v>
      </c>
      <c r="BJ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s="8" t="n">
        <v>0</v>
      </c>
      <c r="O363" s="8" t="n">
        <v>0</v>
      </c>
      <c r="Q363" t="inlineStr">
        <is>
          <t>flat</t>
        </is>
      </c>
      <c r="R363" s="6" t="n">
        <v>0</v>
      </c>
      <c r="S363" t="inlineStr">
        <is>
          <t>Solio</t>
        </is>
      </c>
      <c r="U363" s="6" t="n">
        <v>89.8</v>
      </c>
      <c r="V363" s="2" t="n">
        <v>2</v>
      </c>
      <c r="W363" s="7">
        <f>IF(N(U363)&lt;=0,0,MIN(Assumptions!$B$15,N(R363)/N(U363)))</f>
        <v/>
      </c>
      <c r="X363" s="6" t="n">
        <v>0.342</v>
      </c>
      <c r="Y363" s="3" t="n">
        <v>0</v>
      </c>
      <c r="Z363" t="inlineStr">
        <is>
          <t>blended xG</t>
        </is>
      </c>
      <c r="AA363" s="3" t="n">
        <v>1</v>
      </c>
      <c r="AB363" s="3" t="n">
        <v>1</v>
      </c>
      <c r="AC363" s="3" t="n">
        <v>0</v>
      </c>
      <c r="AD363" s="3" t="n">
        <v>0</v>
      </c>
      <c r="AE363" s="3" t="n">
        <v>0</v>
      </c>
      <c r="AF363" s="3" t="n">
        <v>0</v>
      </c>
      <c r="AG363" s="3" t="n">
        <v>0</v>
      </c>
      <c r="AH363" s="3" t="n">
        <v>5</v>
      </c>
      <c r="AI363" s="3" t="n">
        <v>2.409</v>
      </c>
      <c r="AJ363" s="3" t="n">
        <v>1.1228</v>
      </c>
      <c r="AK363" s="3" t="n">
        <v>-0.0669072954895517</v>
      </c>
      <c r="AL363" s="6" t="n">
        <v>0</v>
      </c>
      <c r="AM363" s="3" t="n">
        <v>0</v>
      </c>
      <c r="AN363" s="3" t="n">
        <v>0</v>
      </c>
      <c r="AO363" s="3" t="n">
        <v>0</v>
      </c>
      <c r="AP363" s="3">
        <f>N(X363)*N(BI363)</f>
        <v/>
      </c>
      <c r="AQ363" s="3" t="n">
        <v>0</v>
      </c>
      <c r="AR363" s="3" t="n">
        <v>0.4697511244203511</v>
      </c>
      <c r="AS363" s="3" t="n">
        <v>-0.3378660007281162</v>
      </c>
      <c r="AT363" s="3" t="n">
        <v>-0.0669072954895517</v>
      </c>
      <c r="AU363" s="3">
        <f>SUM(AN363:AT363)</f>
        <v/>
      </c>
      <c r="AV363" s="7">
        <f>IF(OR(N(W363)&lt;=0,N(BG363)=0),0,N(W363)*IF(N(R363)/N(W363)&gt;=60,N(BG363),1))</f>
        <v/>
      </c>
      <c r="AW363" s="7">
        <f>N(W363)*N(AF363)*N(BH363)</f>
        <v/>
      </c>
      <c r="AX363" s="7">
        <f>N(AL363)*(Assumptions!$B$13*N(BJ363)-(1-Assumptions!$B$13)*Assumptions!$B$14)+N(AM363)</f>
        <v/>
      </c>
      <c r="AY363" s="7">
        <f>N(AU363)*N(R363)/90+N(AV363)+N(AW363)+N(AX363)</f>
        <v/>
      </c>
      <c r="AZ363" s="3">
        <f>IF(N(R363)&lt;=0,0,(N(AY363)-N(AX363))*90/N(R363))</f>
        <v/>
      </c>
      <c r="BA363" s="7">
        <f>IFERROR(AY363-VLOOKUP($E363,Assumptions!$A$40:$C$43,3,FALSE),"")</f>
        <v/>
      </c>
      <c r="BB363" s="3">
        <f>IFERROR(BA363/H363,"")</f>
        <v/>
      </c>
      <c r="BC363">
        <f>IF(AND($G363=TRUE,$E363="GKP"),AY363,"")</f>
        <v/>
      </c>
      <c r="BD363">
        <f>IF(AND($G363=TRUE,$E363="DEF"),AY363,"")</f>
        <v/>
      </c>
      <c r="BE363">
        <f>IF(AND($G363=TRUE,$E363="MID"),AY363,"")</f>
        <v/>
      </c>
      <c r="BF363">
        <f>IF(AND($G363=TRUE,$E363="FWD"),AY363,"")</f>
        <v/>
      </c>
      <c r="BG363" t="n">
        <v>2</v>
      </c>
      <c r="BH363" t="n">
        <v>0</v>
      </c>
      <c r="BI363" t="n">
        <v>4</v>
      </c>
      <c r="BJ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s="4" t="n">
        <v>600</v>
      </c>
      <c r="O364" s="4" t="n">
        <v>576</v>
      </c>
      <c r="P364" s="5" t="inlineStr">
        <is>
          <t>medium</t>
        </is>
      </c>
      <c r="Q364" t="inlineStr">
        <is>
          <t>flat</t>
        </is>
      </c>
      <c r="R364" s="6" t="n">
        <v>600</v>
      </c>
      <c r="S364" t="inlineStr">
        <is>
          <t>research</t>
        </is>
      </c>
      <c r="T364" s="5" t="inlineStr">
        <is>
          <t>Solio gives Nyoni 24 minutes, which is not consistent with pre-season. He started the double pivot against Monaco, Jay Spearing called him the 'best player in pre-season', and This Is Anfield reports he 'could be next in the pecking order in the No. 6 berth' with 'seeing him start at St James' Park' now 'no great risk'. James McConnell is leaving on loan and Endo/Bajcetic are unreliable, so he is the fourth pivot option at worst.</t>
        </is>
      </c>
      <c r="U364" s="6" t="n">
        <v>80.09999999999999</v>
      </c>
      <c r="V364" s="2" t="n">
        <v>0</v>
      </c>
      <c r="W364" s="7">
        <f>IF(N(U364)&lt;=0,0,MIN(Assumptions!$B$15,N(R364)/N(U364)))</f>
        <v/>
      </c>
      <c r="X364" s="6" t="n">
        <v>0.342</v>
      </c>
      <c r="Y364" s="3" t="n">
        <v>1.5171</v>
      </c>
      <c r="Z364" t="inlineStr">
        <is>
          <t>adjusted xGOT</t>
        </is>
      </c>
      <c r="AA364" s="3" t="n">
        <v>1</v>
      </c>
      <c r="AB364" s="3" t="n">
        <v>0.956</v>
      </c>
      <c r="AC364" s="3" t="n">
        <v>0.4</v>
      </c>
      <c r="AD364" s="3" t="n">
        <v>0.0857</v>
      </c>
      <c r="AE364" s="3" t="n">
        <v>8.941000000000001</v>
      </c>
      <c r="AF364" s="3" t="n">
        <v>0.1088796835660499</v>
      </c>
      <c r="AG364" s="3" t="n">
        <v>0</v>
      </c>
      <c r="AH364" s="3" t="n">
        <v>6</v>
      </c>
      <c r="AI364" s="3" t="n">
        <v>2.409</v>
      </c>
      <c r="AJ364" s="3" t="n">
        <v>1.1228</v>
      </c>
      <c r="AK364" s="3" t="n">
        <v>-0.213177172507708</v>
      </c>
      <c r="AL364" s="6" t="n">
        <v>0</v>
      </c>
      <c r="AM364" s="3" t="n">
        <v>0</v>
      </c>
      <c r="AN364" s="3" t="n">
        <v>7.5855</v>
      </c>
      <c r="AO364" s="3" t="n">
        <v>0.339372</v>
      </c>
      <c r="AP364" s="3">
        <f>N(X364)*N(BI364)</f>
        <v/>
      </c>
      <c r="AQ364" s="3" t="n">
        <v>0</v>
      </c>
      <c r="AR364" s="3" t="n">
        <v>0</v>
      </c>
      <c r="AS364" s="3" t="n">
        <v>-0</v>
      </c>
      <c r="AT364" s="3" t="n">
        <v>-0.213177172507708</v>
      </c>
      <c r="AU364" s="3">
        <f>SUM(AN364:AT364)</f>
        <v/>
      </c>
      <c r="AV364" s="7">
        <f>IF(OR(N(W364)&lt;=0,N(BG364)=0),0,N(W364)*IF(N(R364)/N(W364)&gt;=60,N(BG364),1))</f>
        <v/>
      </c>
      <c r="AW364" s="7">
        <f>N(W364)*N(AF364)*N(BH364)</f>
        <v/>
      </c>
      <c r="AX364" s="7">
        <f>N(AL364)*(Assumptions!$B$13*N(BJ364)-(1-Assumptions!$B$13)*Assumptions!$B$14)+N(AM364)</f>
        <v/>
      </c>
      <c r="AY364" s="7">
        <f>N(AU364)*N(R364)/90+N(AV364)+N(AW364)+N(AX364)</f>
        <v/>
      </c>
      <c r="AZ364" s="3">
        <f>IF(N(R364)&lt;=0,0,(N(AY364)-N(AX364))*90/N(R364))</f>
        <v/>
      </c>
      <c r="BA364" s="7">
        <f>IFERROR(AY364-VLOOKUP($E364,Assumptions!$A$40:$C$43,3,FALSE),"")</f>
        <v/>
      </c>
      <c r="BB364" s="3">
        <f>IFERROR(BA364/H364,"")</f>
        <v/>
      </c>
      <c r="BC364">
        <f>IF(AND($G364=TRUE,$E364="GKP"),AY364,"")</f>
        <v/>
      </c>
      <c r="BD364">
        <f>IF(AND($G364=TRUE,$E364="DEF"),AY364,"")</f>
        <v/>
      </c>
      <c r="BE364">
        <f>IF(AND($G364=TRUE,$E364="MID"),AY364,"")</f>
        <v/>
      </c>
      <c r="BF364">
        <f>IF(AND($G364=TRUE,$E364="FWD"),AY364,"")</f>
        <v/>
      </c>
      <c r="BG364" t="n">
        <v>2</v>
      </c>
      <c r="BH364" t="n">
        <v>2</v>
      </c>
      <c r="BI364" t="n">
        <v>1</v>
      </c>
      <c r="BJ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s="8" t="n">
        <v>19</v>
      </c>
      <c r="O365" s="8" t="n">
        <v>0</v>
      </c>
      <c r="Q365" t="inlineStr">
        <is>
          <t>flat</t>
        </is>
      </c>
      <c r="R365" s="6" t="n">
        <v>19</v>
      </c>
      <c r="S365" t="inlineStr">
        <is>
          <t>Solio</t>
        </is>
      </c>
      <c r="U365" s="6" t="n">
        <v>85.5</v>
      </c>
      <c r="V365" s="2" t="n">
        <v>0</v>
      </c>
      <c r="W365" s="7">
        <f>IF(N(U365)&lt;=0,0,MIN(Assumptions!$B$15,N(R365)/N(U365)))</f>
        <v/>
      </c>
      <c r="X365" s="6" t="n">
        <v>0.216</v>
      </c>
      <c r="Y365" s="3" t="n">
        <v>0.0364</v>
      </c>
      <c r="Z365" t="inlineStr">
        <is>
          <t>adjusted xGOT</t>
        </is>
      </c>
      <c r="AA365" s="3" t="n">
        <v>1</v>
      </c>
      <c r="AB365" s="3" t="n">
        <v>0.995</v>
      </c>
      <c r="AC365" s="3" t="n">
        <v>0</v>
      </c>
      <c r="AD365" s="3" t="n">
        <v>0.0665</v>
      </c>
      <c r="AE365" s="3" t="n">
        <v>7.745</v>
      </c>
      <c r="AF365" s="3" t="n">
        <v>0.2075512943046414</v>
      </c>
      <c r="AG365" s="3" t="n">
        <v>0</v>
      </c>
      <c r="AH365" s="3" t="n">
        <v>7</v>
      </c>
      <c r="AI365" s="3" t="n">
        <v>3.2035</v>
      </c>
      <c r="AJ365" s="3" t="n">
        <v>1.5923</v>
      </c>
      <c r="AK365" s="3" t="n">
        <v>-0.2512094286033083</v>
      </c>
      <c r="AL365" s="6" t="n">
        <v>0</v>
      </c>
      <c r="AM365" s="3" t="n">
        <v>0</v>
      </c>
      <c r="AN365" s="3" t="n">
        <v>0.2184</v>
      </c>
      <c r="AO365" s="3" t="n">
        <v>0.26334</v>
      </c>
      <c r="AP365" s="3">
        <f>N(X365)*N(BI365)</f>
        <v/>
      </c>
      <c r="AQ365" s="3" t="n">
        <v>0</v>
      </c>
      <c r="AR365" s="3" t="n">
        <v>0</v>
      </c>
      <c r="AS365" s="3" t="n">
        <v>-0.5564987001023466</v>
      </c>
      <c r="AT365" s="3" t="n">
        <v>-0.2512094286033083</v>
      </c>
      <c r="AU365" s="3">
        <f>SUM(AN365:AT365)</f>
        <v/>
      </c>
      <c r="AV365" s="7">
        <f>IF(OR(N(W365)&lt;=0,N(BG365)=0),0,N(W365)*IF(N(R365)/N(W365)&gt;=60,N(BG365),1))</f>
        <v/>
      </c>
      <c r="AW365" s="7">
        <f>N(W365)*N(AF365)*N(BH365)</f>
        <v/>
      </c>
      <c r="AX365" s="7">
        <f>N(AL365)*(Assumptions!$B$13*N(BJ365)-(1-Assumptions!$B$13)*Assumptions!$B$14)+N(AM365)</f>
        <v/>
      </c>
      <c r="AY365" s="7">
        <f>N(AU365)*N(R365)/90+N(AV365)+N(AW365)+N(AX365)</f>
        <v/>
      </c>
      <c r="AZ365" s="3">
        <f>IF(N(R365)&lt;=0,0,(N(AY365)-N(AX365))*90/N(R365))</f>
        <v/>
      </c>
      <c r="BA365" s="7">
        <f>IFERROR(AY365-VLOOKUP($E365,Assumptions!$A$40:$C$43,3,FALSE),"")</f>
        <v/>
      </c>
      <c r="BB365" s="3">
        <f>IFERROR(BA365/H365,"")</f>
        <v/>
      </c>
      <c r="BC365">
        <f>IF(AND($G365=TRUE,$E365="GKP"),AY365,"")</f>
        <v/>
      </c>
      <c r="BD365">
        <f>IF(AND($G365=TRUE,$E365="DEF"),AY365,"")</f>
        <v/>
      </c>
      <c r="BE365">
        <f>IF(AND($G365=TRUE,$E365="MID"),AY365,"")</f>
        <v/>
      </c>
      <c r="BF365">
        <f>IF(AND($G365=TRUE,$E365="FWD"),AY365,"")</f>
        <v/>
      </c>
      <c r="BG365" t="n">
        <v>2</v>
      </c>
      <c r="BH365" t="n">
        <v>2</v>
      </c>
      <c r="BI365" t="n">
        <v>4</v>
      </c>
      <c r="BJ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s="8" t="n">
        <v>42</v>
      </c>
      <c r="O366" s="8" t="n">
        <v>0</v>
      </c>
      <c r="Q366" t="inlineStr">
        <is>
          <t>flat</t>
        </is>
      </c>
      <c r="R366" s="6" t="n">
        <v>42</v>
      </c>
      <c r="S366" t="inlineStr">
        <is>
          <t>Solio</t>
        </is>
      </c>
      <c r="U366" s="6" t="n">
        <v>78.5</v>
      </c>
      <c r="V366" s="2" t="n">
        <v>0</v>
      </c>
      <c r="W366" s="7">
        <f>IF(N(U366)&lt;=0,0,MIN(Assumptions!$B$15,N(R366)/N(U366)))</f>
        <v/>
      </c>
      <c r="X366" s="6" t="n">
        <v>0.214</v>
      </c>
      <c r="Y366" s="3" t="n">
        <v>0</v>
      </c>
      <c r="Z366" t="inlineStr">
        <is>
          <t>blended xG</t>
        </is>
      </c>
      <c r="AA366" s="3" t="n">
        <v>1</v>
      </c>
      <c r="AB366" s="3" t="n">
        <v>1</v>
      </c>
      <c r="AC366" s="3" t="n">
        <v>0</v>
      </c>
      <c r="AD366" s="3" t="n">
        <v>0.1396</v>
      </c>
      <c r="AE366" s="3" t="n">
        <v>5.073</v>
      </c>
      <c r="AF366" s="3" t="n">
        <v>0.002100493216263044</v>
      </c>
      <c r="AG366" s="3" t="n">
        <v>0</v>
      </c>
      <c r="AH366" s="3" t="n">
        <v>7</v>
      </c>
      <c r="AI366" s="3" t="n">
        <v>3.22</v>
      </c>
      <c r="AJ366" s="3" t="n">
        <v>1.6019</v>
      </c>
      <c r="AK366" s="3" t="n">
        <v>-0.2297683987519763</v>
      </c>
      <c r="AL366" s="6" t="n">
        <v>0</v>
      </c>
      <c r="AM366" s="3" t="n">
        <v>0</v>
      </c>
      <c r="AN366" s="3" t="n">
        <v>0</v>
      </c>
      <c r="AO366" s="3" t="n">
        <v>0.5528160000000001</v>
      </c>
      <c r="AP366" s="3">
        <f>N(X366)*N(BI366)</f>
        <v/>
      </c>
      <c r="AQ366" s="3" t="n">
        <v>0</v>
      </c>
      <c r="AR366" s="3" t="n">
        <v>0</v>
      </c>
      <c r="AS366" s="3" t="n">
        <v>-0</v>
      </c>
      <c r="AT366" s="3" t="n">
        <v>-0.2297683987519763</v>
      </c>
      <c r="AU366" s="3">
        <f>SUM(AN366:AT366)</f>
        <v/>
      </c>
      <c r="AV366" s="7">
        <f>IF(OR(N(W366)&lt;=0,N(BG366)=0),0,N(W366)*IF(N(R366)/N(W366)&gt;=60,N(BG366),1))</f>
        <v/>
      </c>
      <c r="AW366" s="7">
        <f>N(W366)*N(AF366)*N(BH366)</f>
        <v/>
      </c>
      <c r="AX366" s="7">
        <f>N(AL366)*(Assumptions!$B$13*N(BJ366)-(1-Assumptions!$B$13)*Assumptions!$B$14)+N(AM366)</f>
        <v/>
      </c>
      <c r="AY366" s="7">
        <f>N(AU366)*N(R366)/90+N(AV366)+N(AW366)+N(AX366)</f>
        <v/>
      </c>
      <c r="AZ366" s="3">
        <f>IF(N(R366)&lt;=0,0,(N(AY366)-N(AX366))*90/N(R366))</f>
        <v/>
      </c>
      <c r="BA366" s="7">
        <f>IFERROR(AY366-VLOOKUP($E366,Assumptions!$A$40:$C$43,3,FALSE),"")</f>
        <v/>
      </c>
      <c r="BB366" s="3">
        <f>IFERROR(BA366/H366,"")</f>
        <v/>
      </c>
      <c r="BC366">
        <f>IF(AND($G366=TRUE,$E366="GKP"),AY366,"")</f>
        <v/>
      </c>
      <c r="BD366">
        <f>IF(AND($G366=TRUE,$E366="DEF"),AY366,"")</f>
        <v/>
      </c>
      <c r="BE366">
        <f>IF(AND($G366=TRUE,$E366="MID"),AY366,"")</f>
        <v/>
      </c>
      <c r="BF366">
        <f>IF(AND($G366=TRUE,$E366="FWD"),AY366,"")</f>
        <v/>
      </c>
      <c r="BG366" t="n">
        <v>2</v>
      </c>
      <c r="BH366" t="n">
        <v>2</v>
      </c>
      <c r="BI366" t="n">
        <v>0</v>
      </c>
      <c r="BJ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s="8" t="n">
        <v>0</v>
      </c>
      <c r="O367" s="8" t="n">
        <v>0</v>
      </c>
      <c r="Q367" t="inlineStr">
        <is>
          <t>flat</t>
        </is>
      </c>
      <c r="R367" s="6" t="n">
        <v>0</v>
      </c>
      <c r="S367" t="inlineStr">
        <is>
          <t>Solio</t>
        </is>
      </c>
      <c r="U367" s="6" t="n">
        <v>81.8</v>
      </c>
      <c r="V367" s="2" t="n">
        <v>1</v>
      </c>
      <c r="W367" s="7">
        <f>IF(N(U367)&lt;=0,0,MIN(Assumptions!$B$15,N(R367)/N(U367)))</f>
        <v/>
      </c>
      <c r="X367" s="6" t="n">
        <v>0.273</v>
      </c>
      <c r="Y367" s="3" t="n">
        <v>0</v>
      </c>
      <c r="Z367" t="inlineStr">
        <is>
          <t>adjusted xGOT</t>
        </is>
      </c>
      <c r="AA367" s="3" t="n">
        <v>1</v>
      </c>
      <c r="AB367" s="3" t="n">
        <v>0.995</v>
      </c>
      <c r="AC367" s="3" t="n">
        <v>0</v>
      </c>
      <c r="AD367" s="3" t="n">
        <v>0.0054</v>
      </c>
      <c r="AE367" s="3" t="n">
        <v>8.010999999999999</v>
      </c>
      <c r="AF367" s="3" t="n">
        <v>0.1991141835987874</v>
      </c>
      <c r="AG367" s="3" t="n">
        <v>0</v>
      </c>
      <c r="AH367" s="3" t="n">
        <v>6</v>
      </c>
      <c r="AI367" s="3" t="n">
        <v>2.7451</v>
      </c>
      <c r="AJ367" s="3" t="n">
        <v>1.3575</v>
      </c>
      <c r="AK367" s="3" t="n">
        <v>-0.1753424416146007</v>
      </c>
      <c r="AL367" s="6" t="n">
        <v>0</v>
      </c>
      <c r="AM367" s="3" t="n">
        <v>0</v>
      </c>
      <c r="AN367" s="3" t="n">
        <v>0</v>
      </c>
      <c r="AO367" s="3" t="n">
        <v>0.021384</v>
      </c>
      <c r="AP367" s="3">
        <f>N(X367)*N(BI367)</f>
        <v/>
      </c>
      <c r="AQ367" s="3" t="n">
        <v>0</v>
      </c>
      <c r="AR367" s="3" t="n">
        <v>0</v>
      </c>
      <c r="AS367" s="3" t="n">
        <v>-0.4453012382517575</v>
      </c>
      <c r="AT367" s="3" t="n">
        <v>-0.1753424416146007</v>
      </c>
      <c r="AU367" s="3">
        <f>SUM(AN367:AT367)</f>
        <v/>
      </c>
      <c r="AV367" s="7">
        <f>IF(OR(N(W367)&lt;=0,N(BG367)=0),0,N(W367)*IF(N(R367)/N(W367)&gt;=60,N(BG367),1))</f>
        <v/>
      </c>
      <c r="AW367" s="7">
        <f>N(W367)*N(AF367)*N(BH367)</f>
        <v/>
      </c>
      <c r="AX367" s="7">
        <f>N(AL367)*(Assumptions!$B$13*N(BJ367)-(1-Assumptions!$B$13)*Assumptions!$B$14)+N(AM367)</f>
        <v/>
      </c>
      <c r="AY367" s="7">
        <f>N(AU367)*N(R367)/90+N(AV367)+N(AW367)+N(AX367)</f>
        <v/>
      </c>
      <c r="AZ367" s="3">
        <f>IF(N(R367)&lt;=0,0,(N(AY367)-N(AX367))*90/N(R367))</f>
        <v/>
      </c>
      <c r="BA367" s="7">
        <f>IFERROR(AY367-VLOOKUP($E367,Assumptions!$A$40:$C$43,3,FALSE),"")</f>
        <v/>
      </c>
      <c r="BB367" s="3">
        <f>IFERROR(BA367/H367,"")</f>
        <v/>
      </c>
      <c r="BC367">
        <f>IF(AND($G367=TRUE,$E367="GKP"),AY367,"")</f>
        <v/>
      </c>
      <c r="BD367">
        <f>IF(AND($G367=TRUE,$E367="DEF"),AY367,"")</f>
        <v/>
      </c>
      <c r="BE367">
        <f>IF(AND($G367=TRUE,$E367="MID"),AY367,"")</f>
        <v/>
      </c>
      <c r="BF367">
        <f>IF(AND($G367=TRUE,$E367="FWD"),AY367,"")</f>
        <v/>
      </c>
      <c r="BG367" t="n">
        <v>2</v>
      </c>
      <c r="BH367" t="n">
        <v>2</v>
      </c>
      <c r="BI367" t="n">
        <v>4</v>
      </c>
      <c r="BJ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s="8" t="n">
        <v>0</v>
      </c>
      <c r="O368" s="8" t="n">
        <v>0</v>
      </c>
      <c r="Q368" t="inlineStr">
        <is>
          <t>flat</t>
        </is>
      </c>
      <c r="R368" s="6" t="n">
        <v>0</v>
      </c>
      <c r="S368" t="inlineStr">
        <is>
          <t>Solio</t>
        </is>
      </c>
      <c r="U368" s="6" t="n">
        <v>82.5</v>
      </c>
      <c r="V368" s="2" t="n">
        <v>2</v>
      </c>
      <c r="W368" s="7">
        <f>IF(N(U368)&lt;=0,0,MIN(Assumptions!$B$15,N(R368)/N(U368)))</f>
        <v/>
      </c>
      <c r="X368" s="6" t="n">
        <v>0.371</v>
      </c>
      <c r="Y368" s="3" t="n">
        <v>0.174</v>
      </c>
      <c r="Z368" t="inlineStr">
        <is>
          <t>adjusted xGOT</t>
        </is>
      </c>
      <c r="AA368" s="3" t="n">
        <v>1</v>
      </c>
      <c r="AB368" s="3" t="n">
        <v>1.005</v>
      </c>
      <c r="AC368" s="3" t="n">
        <v>0.3</v>
      </c>
      <c r="AD368" s="3" t="n">
        <v>0.0307</v>
      </c>
      <c r="AE368" s="3" t="n">
        <v>7.629</v>
      </c>
      <c r="AF368" s="3" t="n">
        <v>0.1688202418076172</v>
      </c>
      <c r="AG368" s="3" t="n">
        <v>0</v>
      </c>
      <c r="AH368" s="3" t="n">
        <v>3</v>
      </c>
      <c r="AI368" s="3" t="n">
        <v>1.9737</v>
      </c>
      <c r="AJ368" s="3" t="n">
        <v>1.0365</v>
      </c>
      <c r="AK368" s="3" t="n">
        <v>-0.1888091913528987</v>
      </c>
      <c r="AL368" s="6" t="n">
        <v>0</v>
      </c>
      <c r="AM368" s="3" t="n">
        <v>0</v>
      </c>
      <c r="AN368" s="3" t="n">
        <v>1.044</v>
      </c>
      <c r="AO368" s="3" t="n">
        <v>0.121572</v>
      </c>
      <c r="AP368" s="3">
        <f>N(X368)*N(BI368)</f>
        <v/>
      </c>
      <c r="AQ368" s="3" t="n">
        <v>0</v>
      </c>
      <c r="AR368" s="3" t="n">
        <v>0</v>
      </c>
      <c r="AS368" s="3" t="n">
        <v>-0.2997019479071323</v>
      </c>
      <c r="AT368" s="3" t="n">
        <v>-0.1888091913528987</v>
      </c>
      <c r="AU368" s="3">
        <f>SUM(AN368:AT368)</f>
        <v/>
      </c>
      <c r="AV368" s="7">
        <f>IF(OR(N(W368)&lt;=0,N(BG368)=0),0,N(W368)*IF(N(R368)/N(W368)&gt;=60,N(BG368),1))</f>
        <v/>
      </c>
      <c r="AW368" s="7">
        <f>N(W368)*N(AF368)*N(BH368)</f>
        <v/>
      </c>
      <c r="AX368" s="7">
        <f>N(AL368)*(Assumptions!$B$13*N(BJ368)-(1-Assumptions!$B$13)*Assumptions!$B$14)+N(AM368)</f>
        <v/>
      </c>
      <c r="AY368" s="7">
        <f>N(AU368)*N(R368)/90+N(AV368)+N(AW368)+N(AX368)</f>
        <v/>
      </c>
      <c r="AZ368" s="3">
        <f>IF(N(R368)&lt;=0,0,(N(AY368)-N(AX368))*90/N(R368))</f>
        <v/>
      </c>
      <c r="BA368" s="7">
        <f>IFERROR(AY368-VLOOKUP($E368,Assumptions!$A$40:$C$43,3,FALSE),"")</f>
        <v/>
      </c>
      <c r="BB368" s="3">
        <f>IFERROR(BA368/H368,"")</f>
        <v/>
      </c>
      <c r="BC368">
        <f>IF(AND($G368=TRUE,$E368="GKP"),AY368,"")</f>
        <v/>
      </c>
      <c r="BD368">
        <f>IF(AND($G368=TRUE,$E368="DEF"),AY368,"")</f>
        <v/>
      </c>
      <c r="BE368">
        <f>IF(AND($G368=TRUE,$E368="MID"),AY368,"")</f>
        <v/>
      </c>
      <c r="BF368">
        <f>IF(AND($G368=TRUE,$E368="FWD"),AY368,"")</f>
        <v/>
      </c>
      <c r="BG368" t="n">
        <v>2</v>
      </c>
      <c r="BH368" t="n">
        <v>2</v>
      </c>
      <c r="BI368" t="n">
        <v>4</v>
      </c>
      <c r="BJ368" t="n">
        <v>6</v>
      </c>
    </row>
    <row r="369">
      <c r="A369" s="9" t="inlineStr">
        <is>
          <t>Harvey Elliott</t>
        </is>
      </c>
      <c r="B369" t="inlineStr">
        <is>
          <t>LIV</t>
        </is>
      </c>
      <c r="C369" s="9" t="inlineStr">
        <is>
          <t>AVL</t>
        </is>
      </c>
      <c r="D369" t="b">
        <v>1</v>
      </c>
      <c r="E369" t="inlineStr">
        <is>
          <t>MID</t>
        </is>
      </c>
      <c r="F369" t="inlineStr">
        <is>
          <t>MID</t>
        </is>
      </c>
      <c r="G369" t="b">
        <v>1</v>
      </c>
      <c r="H369" s="2" t="n">
        <v>5.5</v>
      </c>
      <c r="I369" t="inlineStr">
        <is>
          <t>a</t>
        </is>
      </c>
      <c r="K369" s="2" t="n">
        <v>110</v>
      </c>
      <c r="L369" t="n">
        <v>5</v>
      </c>
      <c r="M369" s="3" t="n">
        <v>103</v>
      </c>
      <c r="N369" s="8" t="n">
        <v>103</v>
      </c>
      <c r="O369" s="8" t="n">
        <v>0</v>
      </c>
      <c r="Q369" t="inlineStr">
        <is>
          <t>flat</t>
        </is>
      </c>
      <c r="R369" s="6" t="n">
        <v>103</v>
      </c>
      <c r="S369" t="inlineStr">
        <is>
          <t>Solio</t>
        </is>
      </c>
      <c r="U369" s="6" t="n">
        <v>76.90000000000001</v>
      </c>
      <c r="V369" s="2" t="n">
        <v>1</v>
      </c>
      <c r="W369" s="7">
        <f>IF(N(U369)&lt;=0,0,MIN(Assumptions!$B$15,N(R369)/N(U369)))</f>
        <v/>
      </c>
      <c r="X369" s="6" t="n">
        <v>0.342</v>
      </c>
      <c r="Y369" s="10" t="n">
        <v>0.2324</v>
      </c>
      <c r="Z369" t="inlineStr">
        <is>
          <t>adjusted xGOT</t>
        </is>
      </c>
      <c r="AA369" s="3" t="n">
        <v>1</v>
      </c>
      <c r="AB369" s="3" t="n">
        <v>0.979</v>
      </c>
      <c r="AC369" s="3" t="n">
        <v>6.9</v>
      </c>
      <c r="AD369" s="10" t="n">
        <v>0.0711</v>
      </c>
      <c r="AE369" s="3" t="n">
        <v>8.090999999999999</v>
      </c>
      <c r="AF369" s="3" t="n">
        <v>0.04953021069003405</v>
      </c>
      <c r="AG369" s="3" t="n">
        <v>0</v>
      </c>
      <c r="AH369" s="3" t="n">
        <v>5</v>
      </c>
      <c r="AI369" s="3" t="n">
        <v>2.409</v>
      </c>
      <c r="AJ369" s="3" t="n">
        <v>1.1228</v>
      </c>
      <c r="AK369" s="3" t="n">
        <v>-0.1964678019663589</v>
      </c>
      <c r="AL369" s="6" t="n">
        <v>0</v>
      </c>
      <c r="AM369" s="3" t="n">
        <v>0</v>
      </c>
      <c r="AN369" s="10" t="n">
        <v>1.162</v>
      </c>
      <c r="AO369" s="10" t="n">
        <v>0.281556</v>
      </c>
      <c r="AP369" s="3">
        <f>N(X369)*N(BI369)</f>
        <v/>
      </c>
      <c r="AQ369" s="3" t="n">
        <v>0</v>
      </c>
      <c r="AR369" s="3" t="n">
        <v>0</v>
      </c>
      <c r="AS369" s="3" t="n">
        <v>-0</v>
      </c>
      <c r="AT369" s="3" t="n">
        <v>-0.1964678019663589</v>
      </c>
      <c r="AU369" s="3">
        <f>SUM(AN369:AT369)</f>
        <v/>
      </c>
      <c r="AV369" s="7">
        <f>IF(OR(N(W369)&lt;=0,N(BG369)=0),0,N(W369)*IF(N(R369)/N(W369)&gt;=60,N(BG369),1))</f>
        <v/>
      </c>
      <c r="AW369" s="7">
        <f>N(W369)*N(AF369)*N(BH369)</f>
        <v/>
      </c>
      <c r="AX369" s="7">
        <f>N(AL369)*(Assumptions!$B$13*N(BJ369)-(1-Assumptions!$B$13)*Assumptions!$B$14)+N(AM369)</f>
        <v/>
      </c>
      <c r="AY369" s="7">
        <f>N(AU369)*N(R369)/90+N(AV369)+N(AW369)+N(AX369)</f>
        <v/>
      </c>
      <c r="AZ369" s="3">
        <f>IF(N(R369)&lt;=0,0,(N(AY369)-N(AX369))*90/N(R369))</f>
        <v/>
      </c>
      <c r="BA369" s="7">
        <f>IFERROR(AY369-VLOOKUP($E369,Assumptions!$A$40:$C$43,3,FALSE),"")</f>
        <v/>
      </c>
      <c r="BB369" s="3">
        <f>IFERROR(BA369/H369,"")</f>
        <v/>
      </c>
      <c r="BC369">
        <f>IF(AND($G369=TRUE,$E369="GKP"),AY369,"")</f>
        <v/>
      </c>
      <c r="BD369">
        <f>IF(AND($G369=TRUE,$E369="DEF"),AY369,"")</f>
        <v/>
      </c>
      <c r="BE369">
        <f>IF(AND($G369=TRUE,$E369="MID"),AY369,"")</f>
        <v/>
      </c>
      <c r="BF369">
        <f>IF(AND($G369=TRUE,$E369="FWD"),AY369,"")</f>
        <v/>
      </c>
      <c r="BG369" t="n">
        <v>2</v>
      </c>
      <c r="BH369" t="n">
        <v>2</v>
      </c>
      <c r="BI369" t="n">
        <v>1</v>
      </c>
      <c r="BJ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N370" s="4" t="n">
        <v>0</v>
      </c>
      <c r="O370" s="4" t="n">
        <v>-57</v>
      </c>
      <c r="P370" s="5" t="inlineStr">
        <is>
          <t>high</t>
        </is>
      </c>
      <c r="R370" s="6" t="n">
        <v>0</v>
      </c>
      <c r="S370" t="inlineStr">
        <is>
          <t>research</t>
        </is>
      </c>
      <c r="T370" s="5" t="inlineStr">
        <is>
          <t>Joined Leicester City on loan for the rest of the season on 1 Aug 2026 (FPL status 'u', news added 2026-08-03). Leicester are not in the Premier League, so no Premier League minutes are possible.</t>
        </is>
      </c>
      <c r="U370" s="6" t="n">
        <v>80.09999999999999</v>
      </c>
      <c r="V370" s="2" t="n">
        <v>0</v>
      </c>
      <c r="W370" s="7">
        <f>IF(N(U370)&lt;=0,0,MIN(Assumptions!$B$15,N(R370)/N(U370)))</f>
        <v/>
      </c>
      <c r="X370" s="6" t="n">
        <v>0.252</v>
      </c>
      <c r="Y370" s="3" t="n">
        <v>0.06469999999999999</v>
      </c>
      <c r="Z370" t="inlineStr">
        <is>
          <t>adjusted xGOT</t>
        </is>
      </c>
      <c r="AA370" s="3" t="n">
        <v>1</v>
      </c>
      <c r="AB370" s="3" t="n">
        <v>1.02</v>
      </c>
      <c r="AC370" s="3" t="n">
        <v>0</v>
      </c>
      <c r="AD370" s="3" t="n">
        <v>0.0237</v>
      </c>
      <c r="AE370" s="3" t="n">
        <v>8.526999999999999</v>
      </c>
      <c r="AF370" s="3" t="n">
        <v>0.08455977540337023</v>
      </c>
      <c r="AG370" s="3" t="n">
        <v>0</v>
      </c>
      <c r="AH370" s="3" t="n">
        <v>6</v>
      </c>
      <c r="AI370" s="3" t="n">
        <v>2.8404</v>
      </c>
      <c r="AJ370" s="3" t="n">
        <v>1.439</v>
      </c>
      <c r="AK370" s="3" t="n">
        <v>-0.2685709411675041</v>
      </c>
      <c r="AL370" s="6" t="n">
        <v>0</v>
      </c>
      <c r="AM370" s="3" t="n">
        <v>0</v>
      </c>
      <c r="AN370" s="3" t="n">
        <v>0.3235</v>
      </c>
      <c r="AO370" s="3" t="n">
        <v>0.093852</v>
      </c>
      <c r="AP370" s="3">
        <f>N(X370)*N(BI370)</f>
        <v/>
      </c>
      <c r="AQ370" s="3" t="n">
        <v>0</v>
      </c>
      <c r="AR370" s="3" t="n">
        <v>0</v>
      </c>
      <c r="AS370" s="3" t="n">
        <v>-0</v>
      </c>
      <c r="AT370" s="3" t="n">
        <v>-0.2685709411675041</v>
      </c>
      <c r="AU370" s="3">
        <f>SUM(AN370:AT370)</f>
        <v/>
      </c>
      <c r="AV370" s="7">
        <f>IF(OR(N(W370)&lt;=0,N(BG370)=0),0,N(W370)*IF(N(R370)/N(W370)&gt;=60,N(BG370),1))</f>
        <v/>
      </c>
      <c r="AW370" s="7">
        <f>N(W370)*N(AF370)*N(BH370)</f>
        <v/>
      </c>
      <c r="AX370" s="7">
        <f>N(AL370)*(Assumptions!$B$13*N(BJ370)-(1-Assumptions!$B$13)*Assumptions!$B$14)+N(AM370)</f>
        <v/>
      </c>
      <c r="AY370" s="7">
        <f>N(AU370)*N(R370)/90+N(AV370)+N(AW370)+N(AX370)</f>
        <v/>
      </c>
      <c r="AZ370" s="3">
        <f>IF(N(R370)&lt;=0,0,(N(AY370)-N(AX370))*90/N(R370))</f>
        <v/>
      </c>
      <c r="BA370" s="7">
        <f>IFERROR(AY370-VLOOKUP($E370,Assumptions!$A$40:$C$43,3,FALSE),"")</f>
        <v/>
      </c>
      <c r="BB370" s="3">
        <f>IFERROR(BA370/H370,"")</f>
        <v/>
      </c>
      <c r="BC370">
        <f>IF(AND($G370=TRUE,$E370="GKP"),AY370,"")</f>
        <v/>
      </c>
      <c r="BD370">
        <f>IF(AND($G370=TRUE,$E370="DEF"),AY370,"")</f>
        <v/>
      </c>
      <c r="BE370">
        <f>IF(AND($G370=TRUE,$E370="MID"),AY370,"")</f>
        <v/>
      </c>
      <c r="BF370">
        <f>IF(AND($G370=TRUE,$E370="FWD"),AY370,"")</f>
        <v/>
      </c>
      <c r="BG370" t="n">
        <v>2</v>
      </c>
      <c r="BH370" t="n">
        <v>2</v>
      </c>
      <c r="BI370" t="n">
        <v>1</v>
      </c>
      <c r="BJ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s="8" t="n">
        <v>0</v>
      </c>
      <c r="O371" s="8" t="n">
        <v>0</v>
      </c>
      <c r="Q371" t="inlineStr">
        <is>
          <t>flat</t>
        </is>
      </c>
      <c r="R371" s="6" t="n">
        <v>0</v>
      </c>
      <c r="S371" t="inlineStr">
        <is>
          <t>Solio</t>
        </is>
      </c>
      <c r="U371" s="6" t="n">
        <v>79.2</v>
      </c>
      <c r="V371" s="2" t="n">
        <v>1</v>
      </c>
      <c r="W371" s="7">
        <f>IF(N(U371)&lt;=0,0,MIN(Assumptions!$B$15,N(R371)/N(U371)))</f>
        <v/>
      </c>
      <c r="X371" s="6" t="n">
        <v>0.252</v>
      </c>
      <c r="Y371" s="3" t="n">
        <v>0</v>
      </c>
      <c r="Z371" t="inlineStr">
        <is>
          <t>blended xG</t>
        </is>
      </c>
      <c r="AA371" s="3" t="n">
        <v>1</v>
      </c>
      <c r="AB371" s="3" t="n">
        <v>1</v>
      </c>
      <c r="AC371" s="3" t="n">
        <v>0</v>
      </c>
      <c r="AD371" s="3" t="n">
        <v>0.0147</v>
      </c>
      <c r="AE371" s="3" t="n">
        <v>8.381</v>
      </c>
      <c r="AF371" s="3" t="n">
        <v>0.07215451784412352</v>
      </c>
      <c r="AG371" s="3" t="n">
        <v>0</v>
      </c>
      <c r="AH371" s="3" t="n">
        <v>4</v>
      </c>
      <c r="AI371" s="3" t="n">
        <v>2.8404</v>
      </c>
      <c r="AJ371" s="3" t="n">
        <v>1.439</v>
      </c>
      <c r="AK371" s="3" t="n">
        <v>-0.2036290694789447</v>
      </c>
      <c r="AL371" s="6" t="n">
        <v>0</v>
      </c>
      <c r="AM371" s="3" t="n">
        <v>0</v>
      </c>
      <c r="AN371" s="3" t="n">
        <v>0</v>
      </c>
      <c r="AO371" s="3" t="n">
        <v>0.058212</v>
      </c>
      <c r="AP371" s="3">
        <f>N(X371)*N(BI371)</f>
        <v/>
      </c>
      <c r="AQ371" s="3" t="n">
        <v>0</v>
      </c>
      <c r="AR371" s="3" t="n">
        <v>0</v>
      </c>
      <c r="AS371" s="3" t="n">
        <v>-0</v>
      </c>
      <c r="AT371" s="3" t="n">
        <v>-0.2036290694789447</v>
      </c>
      <c r="AU371" s="3">
        <f>SUM(AN371:AT371)</f>
        <v/>
      </c>
      <c r="AV371" s="7">
        <f>IF(OR(N(W371)&lt;=0,N(BG371)=0),0,N(W371)*IF(N(R371)/N(W371)&gt;=60,N(BG371),1))</f>
        <v/>
      </c>
      <c r="AW371" s="7">
        <f>N(W371)*N(AF371)*N(BH371)</f>
        <v/>
      </c>
      <c r="AX371" s="7">
        <f>N(AL371)*(Assumptions!$B$13*N(BJ371)-(1-Assumptions!$B$13)*Assumptions!$B$14)+N(AM371)</f>
        <v/>
      </c>
      <c r="AY371" s="7">
        <f>N(AU371)*N(R371)/90+N(AV371)+N(AW371)+N(AX371)</f>
        <v/>
      </c>
      <c r="AZ371" s="3">
        <f>IF(N(R371)&lt;=0,0,(N(AY371)-N(AX371))*90/N(R371))</f>
        <v/>
      </c>
      <c r="BA371" s="7">
        <f>IFERROR(AY371-VLOOKUP($E371,Assumptions!$A$40:$C$43,3,FALSE),"")</f>
        <v/>
      </c>
      <c r="BB371" s="3">
        <f>IFERROR(BA371/H371,"")</f>
        <v/>
      </c>
      <c r="BC371">
        <f>IF(AND($G371=TRUE,$E371="GKP"),AY371,"")</f>
        <v/>
      </c>
      <c r="BD371">
        <f>IF(AND($G371=TRUE,$E371="DEF"),AY371,"")</f>
        <v/>
      </c>
      <c r="BE371">
        <f>IF(AND($G371=TRUE,$E371="MID"),AY371,"")</f>
        <v/>
      </c>
      <c r="BF371">
        <f>IF(AND($G371=TRUE,$E371="FWD"),AY371,"")</f>
        <v/>
      </c>
      <c r="BG371" t="n">
        <v>2</v>
      </c>
      <c r="BH371" t="n">
        <v>2</v>
      </c>
      <c r="BI371" t="n">
        <v>1</v>
      </c>
      <c r="BJ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s="8" t="n">
        <v>0</v>
      </c>
      <c r="O372" s="8" t="n">
        <v>0</v>
      </c>
      <c r="Q372" t="inlineStr">
        <is>
          <t>flat</t>
        </is>
      </c>
      <c r="R372" s="6" t="n">
        <v>0</v>
      </c>
      <c r="S372" t="inlineStr">
        <is>
          <t>Solio</t>
        </is>
      </c>
      <c r="U372" s="6" t="n">
        <v>80.09999999999999</v>
      </c>
      <c r="V372" s="2" t="n">
        <v>0</v>
      </c>
      <c r="W372" s="7">
        <f>IF(N(U372)&lt;=0,0,MIN(Assumptions!$B$15,N(R372)/N(U372)))</f>
        <v/>
      </c>
      <c r="X372" s="6" t="n">
        <v>0.216</v>
      </c>
      <c r="Y372" s="3" t="n">
        <v>0</v>
      </c>
      <c r="Z372" t="inlineStr">
        <is>
          <t>adjusted xGOT</t>
        </is>
      </c>
      <c r="AA372" s="3" t="n">
        <v>1</v>
      </c>
      <c r="AB372" s="3" t="n">
        <v>1.082</v>
      </c>
      <c r="AC372" s="3" t="n">
        <v>0.3</v>
      </c>
      <c r="AD372" s="3" t="n">
        <v>0.045</v>
      </c>
      <c r="AE372" s="3" t="n">
        <v>8.718</v>
      </c>
      <c r="AF372" s="3" t="n">
        <v>0.09531790573670784</v>
      </c>
      <c r="AG372" s="3" t="n">
        <v>0</v>
      </c>
      <c r="AH372" s="3" t="n">
        <v>4</v>
      </c>
      <c r="AI372" s="3" t="n">
        <v>3.2035</v>
      </c>
      <c r="AJ372" s="3" t="n">
        <v>1.5923</v>
      </c>
      <c r="AK372" s="3" t="n">
        <v>-0.2003744967086109</v>
      </c>
      <c r="AL372" s="6" t="n">
        <v>0</v>
      </c>
      <c r="AM372" s="3" t="n">
        <v>0</v>
      </c>
      <c r="AN372" s="3" t="n">
        <v>0</v>
      </c>
      <c r="AO372" s="3" t="n">
        <v>0.1782</v>
      </c>
      <c r="AP372" s="3">
        <f>N(X372)*N(BI372)</f>
        <v/>
      </c>
      <c r="AQ372" s="3" t="n">
        <v>0</v>
      </c>
      <c r="AR372" s="3" t="n">
        <v>0</v>
      </c>
      <c r="AS372" s="3" t="n">
        <v>-0</v>
      </c>
      <c r="AT372" s="3" t="n">
        <v>-0.2003744967086109</v>
      </c>
      <c r="AU372" s="3">
        <f>SUM(AN372:AT372)</f>
        <v/>
      </c>
      <c r="AV372" s="7">
        <f>IF(OR(N(W372)&lt;=0,N(BG372)=0),0,N(W372)*IF(N(R372)/N(W372)&gt;=60,N(BG372),1))</f>
        <v/>
      </c>
      <c r="AW372" s="7">
        <f>N(W372)*N(AF372)*N(BH372)</f>
        <v/>
      </c>
      <c r="AX372" s="7">
        <f>N(AL372)*(Assumptions!$B$13*N(BJ372)-(1-Assumptions!$B$13)*Assumptions!$B$14)+N(AM372)</f>
        <v/>
      </c>
      <c r="AY372" s="7">
        <f>N(AU372)*N(R372)/90+N(AV372)+N(AW372)+N(AX372)</f>
        <v/>
      </c>
      <c r="AZ372" s="3">
        <f>IF(N(R372)&lt;=0,0,(N(AY372)-N(AX372))*90/N(R372))</f>
        <v/>
      </c>
      <c r="BA372" s="7">
        <f>IFERROR(AY372-VLOOKUP($E372,Assumptions!$A$40:$C$43,3,FALSE),"")</f>
        <v/>
      </c>
      <c r="BB372" s="3">
        <f>IFERROR(BA372/H372,"")</f>
        <v/>
      </c>
      <c r="BC372">
        <f>IF(AND($G372=TRUE,$E372="GKP"),AY372,"")</f>
        <v/>
      </c>
      <c r="BD372">
        <f>IF(AND($G372=TRUE,$E372="DEF"),AY372,"")</f>
        <v/>
      </c>
      <c r="BE372">
        <f>IF(AND($G372=TRUE,$E372="MID"),AY372,"")</f>
        <v/>
      </c>
      <c r="BF372">
        <f>IF(AND($G372=TRUE,$E372="FWD"),AY372,"")</f>
        <v/>
      </c>
      <c r="BG372" t="n">
        <v>2</v>
      </c>
      <c r="BH372" t="n">
        <v>2</v>
      </c>
      <c r="BI372" t="n">
        <v>1</v>
      </c>
      <c r="BJ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s="8" t="n">
        <v>116</v>
      </c>
      <c r="O373" s="8" t="n">
        <v>0</v>
      </c>
      <c r="Q373" t="inlineStr">
        <is>
          <t>flat</t>
        </is>
      </c>
      <c r="R373" s="6" t="n">
        <v>116</v>
      </c>
      <c r="S373" t="inlineStr">
        <is>
          <t>Solio</t>
        </is>
      </c>
      <c r="U373" s="6" t="n">
        <v>80.09999999999999</v>
      </c>
      <c r="V373" s="2" t="n">
        <v>0</v>
      </c>
      <c r="W373" s="7">
        <f>IF(N(U373)&lt;=0,0,MIN(Assumptions!$B$15,N(R373)/N(U373)))</f>
        <v/>
      </c>
      <c r="X373" s="6" t="n">
        <v>0.273</v>
      </c>
      <c r="Y373" s="3" t="n">
        <v>0.09569999999999999</v>
      </c>
      <c r="Z373" t="inlineStr">
        <is>
          <t>adjusted xGOT</t>
        </is>
      </c>
      <c r="AA373" s="3" t="n">
        <v>1</v>
      </c>
      <c r="AB373" s="3" t="n">
        <v>0.994</v>
      </c>
      <c r="AC373" s="3" t="n">
        <v>0</v>
      </c>
      <c r="AD373" s="3" t="n">
        <v>0.0479</v>
      </c>
      <c r="AE373" s="3" t="n">
        <v>8.521000000000001</v>
      </c>
      <c r="AF373" s="3" t="n">
        <v>0.08423465877406877</v>
      </c>
      <c r="AG373" s="3" t="n">
        <v>0</v>
      </c>
      <c r="AH373" s="3" t="n">
        <v>3</v>
      </c>
      <c r="AI373" s="3" t="n">
        <v>2.7451</v>
      </c>
      <c r="AJ373" s="3" t="n">
        <v>1.3575</v>
      </c>
      <c r="AK373" s="3" t="n">
        <v>-0.2097406534868716</v>
      </c>
      <c r="AL373" s="6" t="n">
        <v>0</v>
      </c>
      <c r="AM373" s="3" t="n">
        <v>0</v>
      </c>
      <c r="AN373" s="3" t="n">
        <v>0.4785</v>
      </c>
      <c r="AO373" s="3" t="n">
        <v>0.189684</v>
      </c>
      <c r="AP373" s="3">
        <f>N(X373)*N(BI373)</f>
        <v/>
      </c>
      <c r="AQ373" s="3" t="n">
        <v>0</v>
      </c>
      <c r="AR373" s="3" t="n">
        <v>0</v>
      </c>
      <c r="AS373" s="3" t="n">
        <v>-0</v>
      </c>
      <c r="AT373" s="3" t="n">
        <v>-0.2097406534868716</v>
      </c>
      <c r="AU373" s="3">
        <f>SUM(AN373:AT373)</f>
        <v/>
      </c>
      <c r="AV373" s="7">
        <f>IF(OR(N(W373)&lt;=0,N(BG373)=0),0,N(W373)*IF(N(R373)/N(W373)&gt;=60,N(BG373),1))</f>
        <v/>
      </c>
      <c r="AW373" s="7">
        <f>N(W373)*N(AF373)*N(BH373)</f>
        <v/>
      </c>
      <c r="AX373" s="7">
        <f>N(AL373)*(Assumptions!$B$13*N(BJ373)-(1-Assumptions!$B$13)*Assumptions!$B$14)+N(AM373)</f>
        <v/>
      </c>
      <c r="AY373" s="7">
        <f>N(AU373)*N(R373)/90+N(AV373)+N(AW373)+N(AX373)</f>
        <v/>
      </c>
      <c r="AZ373" s="3">
        <f>IF(N(R373)&lt;=0,0,(N(AY373)-N(AX373))*90/N(R373))</f>
        <v/>
      </c>
      <c r="BA373" s="7">
        <f>IFERROR(AY373-VLOOKUP($E373,Assumptions!$A$40:$C$43,3,FALSE),"")</f>
        <v/>
      </c>
      <c r="BB373" s="3">
        <f>IFERROR(BA373/H373,"")</f>
        <v/>
      </c>
      <c r="BC373">
        <f>IF(AND($G373=TRUE,$E373="GKP"),AY373,"")</f>
        <v/>
      </c>
      <c r="BD373">
        <f>IF(AND($G373=TRUE,$E373="DEF"),AY373,"")</f>
        <v/>
      </c>
      <c r="BE373">
        <f>IF(AND($G373=TRUE,$E373="MID"),AY373,"")</f>
        <v/>
      </c>
      <c r="BF373">
        <f>IF(AND($G373=TRUE,$E373="FWD"),AY373,"")</f>
        <v/>
      </c>
      <c r="BG373" t="n">
        <v>2</v>
      </c>
      <c r="BH373" t="n">
        <v>2</v>
      </c>
      <c r="BI373" t="n">
        <v>1</v>
      </c>
      <c r="BJ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s="8" t="n">
        <v>112</v>
      </c>
      <c r="O374" s="8" t="n">
        <v>0</v>
      </c>
      <c r="Q374" t="inlineStr">
        <is>
          <t>flat</t>
        </is>
      </c>
      <c r="R374" s="6" t="n">
        <v>112</v>
      </c>
      <c r="S374" t="inlineStr">
        <is>
          <t>Solio</t>
        </is>
      </c>
      <c r="U374" s="6" t="n">
        <v>79.3</v>
      </c>
      <c r="V374" s="2" t="n">
        <v>2</v>
      </c>
      <c r="W374" s="7">
        <f>IF(N(U374)&lt;=0,0,MIN(Assumptions!$B$15,N(R374)/N(U374)))</f>
        <v/>
      </c>
      <c r="X374" s="6" t="n">
        <v>0.286</v>
      </c>
      <c r="Y374" s="3" t="n">
        <v>0.0127</v>
      </c>
      <c r="Z374" t="inlineStr">
        <is>
          <t>adjusted xGOT</t>
        </is>
      </c>
      <c r="AA374" s="3" t="n">
        <v>1</v>
      </c>
      <c r="AB374" s="3" t="n">
        <v>1.022</v>
      </c>
      <c r="AC374" s="3" t="n">
        <v>0</v>
      </c>
      <c r="AD374" s="3" t="n">
        <v>0.0736</v>
      </c>
      <c r="AE374" s="3" t="n">
        <v>7.045</v>
      </c>
      <c r="AF374" s="3" t="n">
        <v>0.09894261372644819</v>
      </c>
      <c r="AG374" s="3" t="n">
        <v>0</v>
      </c>
      <c r="AH374" s="3" t="n">
        <v>4</v>
      </c>
      <c r="AI374" s="3" t="n">
        <v>2.5739</v>
      </c>
      <c r="AJ374" s="3" t="n">
        <v>1.3096</v>
      </c>
      <c r="AK374" s="3" t="n">
        <v>-0.2449575661966502</v>
      </c>
      <c r="AL374" s="6" t="n">
        <v>0</v>
      </c>
      <c r="AM374" s="3" t="n">
        <v>0</v>
      </c>
      <c r="AN374" s="3" t="n">
        <v>0.07619999999999999</v>
      </c>
      <c r="AO374" s="3" t="n">
        <v>0.291456</v>
      </c>
      <c r="AP374" s="3">
        <f>N(X374)*N(BI374)</f>
        <v/>
      </c>
      <c r="AQ374" s="3" t="n">
        <v>0</v>
      </c>
      <c r="AR374" s="3" t="n">
        <v>0</v>
      </c>
      <c r="AS374" s="3" t="n">
        <v>-0.4230152821052008</v>
      </c>
      <c r="AT374" s="3" t="n">
        <v>-0.2449575661966502</v>
      </c>
      <c r="AU374" s="3">
        <f>SUM(AN374:AT374)</f>
        <v/>
      </c>
      <c r="AV374" s="7">
        <f>IF(OR(N(W374)&lt;=0,N(BG374)=0),0,N(W374)*IF(N(R374)/N(W374)&gt;=60,N(BG374),1))</f>
        <v/>
      </c>
      <c r="AW374" s="7">
        <f>N(W374)*N(AF374)*N(BH374)</f>
        <v/>
      </c>
      <c r="AX374" s="7">
        <f>N(AL374)*(Assumptions!$B$13*N(BJ374)-(1-Assumptions!$B$13)*Assumptions!$B$14)+N(AM374)</f>
        <v/>
      </c>
      <c r="AY374" s="7">
        <f>N(AU374)*N(R374)/90+N(AV374)+N(AW374)+N(AX374)</f>
        <v/>
      </c>
      <c r="AZ374" s="3">
        <f>IF(N(R374)&lt;=0,0,(N(AY374)-N(AX374))*90/N(R374))</f>
        <v/>
      </c>
      <c r="BA374" s="7">
        <f>IFERROR(AY374-VLOOKUP($E374,Assumptions!$A$40:$C$43,3,FALSE),"")</f>
        <v/>
      </c>
      <c r="BB374" s="3">
        <f>IFERROR(BA374/H374,"")</f>
        <v/>
      </c>
      <c r="BC374">
        <f>IF(AND($G374=TRUE,$E374="GKP"),AY374,"")</f>
        <v/>
      </c>
      <c r="BD374">
        <f>IF(AND($G374=TRUE,$E374="DEF"),AY374,"")</f>
        <v/>
      </c>
      <c r="BE374">
        <f>IF(AND($G374=TRUE,$E374="MID"),AY374,"")</f>
        <v/>
      </c>
      <c r="BF374">
        <f>IF(AND($G374=TRUE,$E374="FWD"),AY374,"")</f>
        <v/>
      </c>
      <c r="BG374" t="n">
        <v>2</v>
      </c>
      <c r="BH374" t="n">
        <v>2</v>
      </c>
      <c r="BI374" t="n">
        <v>4</v>
      </c>
      <c r="BJ374" t="n">
        <v>6</v>
      </c>
    </row>
    <row r="375">
      <c r="A375" s="9" t="inlineStr">
        <is>
          <t>Facundo Buonanotte</t>
        </is>
      </c>
      <c r="B375" t="inlineStr">
        <is>
          <t>BHA</t>
        </is>
      </c>
      <c r="C375" s="9"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N375" s="4" t="n">
        <v>0</v>
      </c>
      <c r="O375" s="4" t="n">
        <v>-81</v>
      </c>
      <c r="P375" s="5" t="inlineStr">
        <is>
          <t>high</t>
        </is>
      </c>
      <c r="R375" s="6" t="n">
        <v>0</v>
      </c>
      <c r="S375" t="inlineStr">
        <is>
          <t>research</t>
        </is>
      </c>
      <c r="T375" s="5" t="inlineStr">
        <is>
          <t>Joined Elche on loan for the rest of the season on 7 Aug 2026 (FPL status 'u', news added 2026-08-10). No Premier League minutes possible.</t>
        </is>
      </c>
      <c r="U375" s="6" t="n">
        <v>76.90000000000001</v>
      </c>
      <c r="V375" s="2" t="n">
        <v>1</v>
      </c>
      <c r="W375" s="7">
        <f>IF(N(U375)&lt;=0,0,MIN(Assumptions!$B$15,N(R375)/N(U375)))</f>
        <v/>
      </c>
      <c r="X375" s="6" t="n">
        <v>0.252</v>
      </c>
      <c r="Y375" s="10" t="n">
        <v>0.0678</v>
      </c>
      <c r="Z375" t="inlineStr">
        <is>
          <t>adjusted xGOT</t>
        </is>
      </c>
      <c r="AA375" s="3" t="n">
        <v>1</v>
      </c>
      <c r="AB375" s="3" t="n">
        <v>1.012</v>
      </c>
      <c r="AC375" s="3" t="n">
        <v>7.7</v>
      </c>
      <c r="AD375" s="10" t="n">
        <v>0.3226</v>
      </c>
      <c r="AE375" s="3" t="n">
        <v>8.384</v>
      </c>
      <c r="AF375" s="3" t="n">
        <v>0.06109131394463152</v>
      </c>
      <c r="AG375" s="3" t="n">
        <v>0</v>
      </c>
      <c r="AH375" s="3" t="n">
        <v>4</v>
      </c>
      <c r="AI375" s="3" t="n">
        <v>2.8404</v>
      </c>
      <c r="AJ375" s="3" t="n">
        <v>1.439</v>
      </c>
      <c r="AK375" s="3" t="n">
        <v>-0.3741404547971498</v>
      </c>
      <c r="AL375" s="6" t="n">
        <v>0</v>
      </c>
      <c r="AM375" s="3" t="n">
        <v>0</v>
      </c>
      <c r="AN375" s="10" t="n">
        <v>0.339</v>
      </c>
      <c r="AO375" s="10" t="n">
        <v>1.277496</v>
      </c>
      <c r="AP375" s="3">
        <f>N(X375)*N(BI375)</f>
        <v/>
      </c>
      <c r="AQ375" s="3" t="n">
        <v>0</v>
      </c>
      <c r="AR375" s="3" t="n">
        <v>0</v>
      </c>
      <c r="AS375" s="3" t="n">
        <v>-0</v>
      </c>
      <c r="AT375" s="3" t="n">
        <v>-0.3741404547971498</v>
      </c>
      <c r="AU375" s="3">
        <f>SUM(AN375:AT375)</f>
        <v/>
      </c>
      <c r="AV375" s="7">
        <f>IF(OR(N(W375)&lt;=0,N(BG375)=0),0,N(W375)*IF(N(R375)/N(W375)&gt;=60,N(BG375),1))</f>
        <v/>
      </c>
      <c r="AW375" s="7">
        <f>N(W375)*N(AF375)*N(BH375)</f>
        <v/>
      </c>
      <c r="AX375" s="7">
        <f>N(AL375)*(Assumptions!$B$13*N(BJ375)-(1-Assumptions!$B$13)*Assumptions!$B$14)+N(AM375)</f>
        <v/>
      </c>
      <c r="AY375" s="7">
        <f>N(AU375)*N(R375)/90+N(AV375)+N(AW375)+N(AX375)</f>
        <v/>
      </c>
      <c r="AZ375" s="3">
        <f>IF(N(R375)&lt;=0,0,(N(AY375)-N(AX375))*90/N(R375))</f>
        <v/>
      </c>
      <c r="BA375" s="7">
        <f>IFERROR(AY375-VLOOKUP($E375,Assumptions!$A$40:$C$43,3,FALSE),"")</f>
        <v/>
      </c>
      <c r="BB375" s="3">
        <f>IFERROR(BA375/H375,"")</f>
        <v/>
      </c>
      <c r="BC375">
        <f>IF(AND($G375=TRUE,$E375="GKP"),AY375,"")</f>
        <v/>
      </c>
      <c r="BD375">
        <f>IF(AND($G375=TRUE,$E375="DEF"),AY375,"")</f>
        <v/>
      </c>
      <c r="BE375">
        <f>IF(AND($G375=TRUE,$E375="MID"),AY375,"")</f>
        <v/>
      </c>
      <c r="BF375">
        <f>IF(AND($G375=TRUE,$E375="FWD"),AY375,"")</f>
        <v/>
      </c>
      <c r="BG375" t="n">
        <v>2</v>
      </c>
      <c r="BH375" t="n">
        <v>2</v>
      </c>
      <c r="BI375" t="n">
        <v>1</v>
      </c>
      <c r="BJ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s="8" t="n">
        <v>1060</v>
      </c>
      <c r="O376" s="8" t="n">
        <v>0</v>
      </c>
      <c r="Q376" t="inlineStr">
        <is>
          <t>flat</t>
        </is>
      </c>
      <c r="R376" s="6" t="n">
        <v>1060</v>
      </c>
      <c r="S376" t="inlineStr">
        <is>
          <t>Solio</t>
        </is>
      </c>
      <c r="U376" s="6" t="n">
        <v>80.09999999999999</v>
      </c>
      <c r="V376" s="2" t="n">
        <v>0</v>
      </c>
      <c r="W376" s="7">
        <f>IF(N(U376)&lt;=0,0,MIN(Assumptions!$B$15,N(R376)/N(U376)))</f>
        <v/>
      </c>
      <c r="X376" s="6" t="n">
        <v>0.286</v>
      </c>
      <c r="Y376" s="3" t="n">
        <v>0.5903</v>
      </c>
      <c r="Z376" t="inlineStr">
        <is>
          <t>adjusted xGOT</t>
        </is>
      </c>
      <c r="AA376" s="3" t="n">
        <v>1</v>
      </c>
      <c r="AB376" s="3" t="n">
        <v>1.06</v>
      </c>
      <c r="AC376" s="3" t="n">
        <v>20.8</v>
      </c>
      <c r="AD376" s="3" t="n">
        <v>0.0794</v>
      </c>
      <c r="AE376" s="3" t="n">
        <v>8.787000000000001</v>
      </c>
      <c r="AF376" s="3" t="n">
        <v>0.0993991388585016</v>
      </c>
      <c r="AG376" s="3" t="n">
        <v>0</v>
      </c>
      <c r="AH376" s="3" t="n">
        <v>3</v>
      </c>
      <c r="AI376" s="3" t="n">
        <v>2.5739</v>
      </c>
      <c r="AJ376" s="3" t="n">
        <v>1.3096</v>
      </c>
      <c r="AK376" s="3" t="n">
        <v>-0.2487656165750328</v>
      </c>
      <c r="AL376" s="6" t="n">
        <v>0</v>
      </c>
      <c r="AM376" s="3" t="n">
        <v>0</v>
      </c>
      <c r="AN376" s="3" t="n">
        <v>2.9515</v>
      </c>
      <c r="AO376" s="3" t="n">
        <v>0.314424</v>
      </c>
      <c r="AP376" s="3">
        <f>N(X376)*N(BI376)</f>
        <v/>
      </c>
      <c r="AQ376" s="3" t="n">
        <v>0</v>
      </c>
      <c r="AR376" s="3" t="n">
        <v>0</v>
      </c>
      <c r="AS376" s="3" t="n">
        <v>-0</v>
      </c>
      <c r="AT376" s="3" t="n">
        <v>-0.2487656165750328</v>
      </c>
      <c r="AU376" s="3">
        <f>SUM(AN376:AT376)</f>
        <v/>
      </c>
      <c r="AV376" s="7">
        <f>IF(OR(N(W376)&lt;=0,N(BG376)=0),0,N(W376)*IF(N(R376)/N(W376)&gt;=60,N(BG376),1))</f>
        <v/>
      </c>
      <c r="AW376" s="7">
        <f>N(W376)*N(AF376)*N(BH376)</f>
        <v/>
      </c>
      <c r="AX376" s="7">
        <f>N(AL376)*(Assumptions!$B$13*N(BJ376)-(1-Assumptions!$B$13)*Assumptions!$B$14)+N(AM376)</f>
        <v/>
      </c>
      <c r="AY376" s="7">
        <f>N(AU376)*N(R376)/90+N(AV376)+N(AW376)+N(AX376)</f>
        <v/>
      </c>
      <c r="AZ376" s="3">
        <f>IF(N(R376)&lt;=0,0,(N(AY376)-N(AX376))*90/N(R376))</f>
        <v/>
      </c>
      <c r="BA376" s="7">
        <f>IFERROR(AY376-VLOOKUP($E376,Assumptions!$A$40:$C$43,3,FALSE),"")</f>
        <v/>
      </c>
      <c r="BB376" s="3">
        <f>IFERROR(BA376/H376,"")</f>
        <v/>
      </c>
      <c r="BC376">
        <f>IF(AND($G376=TRUE,$E376="GKP"),AY376,"")</f>
        <v/>
      </c>
      <c r="BD376">
        <f>IF(AND($G376=TRUE,$E376="DEF"),AY376,"")</f>
        <v/>
      </c>
      <c r="BE376">
        <f>IF(AND($G376=TRUE,$E376="MID"),AY376,"")</f>
        <v/>
      </c>
      <c r="BF376">
        <f>IF(AND($G376=TRUE,$E376="FWD"),AY376,"")</f>
        <v/>
      </c>
      <c r="BG376" t="n">
        <v>2</v>
      </c>
      <c r="BH376" t="n">
        <v>2</v>
      </c>
      <c r="BI376" t="n">
        <v>1</v>
      </c>
      <c r="BJ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s="8" t="n">
        <v>14</v>
      </c>
      <c r="O377" s="8" t="n">
        <v>0</v>
      </c>
      <c r="Q377" t="inlineStr">
        <is>
          <t>flat</t>
        </is>
      </c>
      <c r="R377" s="6" t="n">
        <v>14</v>
      </c>
      <c r="S377" t="inlineStr">
        <is>
          <t>Solio</t>
        </is>
      </c>
      <c r="U377" s="6" t="n">
        <v>80.09999999999999</v>
      </c>
      <c r="V377" s="2" t="n">
        <v>0</v>
      </c>
      <c r="W377" s="7">
        <f>IF(N(U377)&lt;=0,0,MIN(Assumptions!$B$15,N(R377)/N(U377)))</f>
        <v/>
      </c>
      <c r="X377" s="6" t="n">
        <v>0.334</v>
      </c>
      <c r="Y377" s="3" t="n">
        <v>0.2228</v>
      </c>
      <c r="Z377" t="inlineStr">
        <is>
          <t>adjusted xGOT</t>
        </is>
      </c>
      <c r="AA377" s="3" t="n">
        <v>1</v>
      </c>
      <c r="AB377" s="3" t="n">
        <v>0.988</v>
      </c>
      <c r="AC377" s="3" t="n">
        <v>0.1</v>
      </c>
      <c r="AD377" s="3" t="n">
        <v>0.0112</v>
      </c>
      <c r="AE377" s="3" t="n">
        <v>8.481</v>
      </c>
      <c r="AF377" s="3" t="n">
        <v>0.08208717163773016</v>
      </c>
      <c r="AG377" s="3" t="n">
        <v>0</v>
      </c>
      <c r="AH377" s="3" t="n">
        <v>3</v>
      </c>
      <c r="AI377" s="3" t="n">
        <v>2.2165</v>
      </c>
      <c r="AJ377" s="3" t="n">
        <v>1.1467</v>
      </c>
      <c r="AK377" s="3" t="n">
        <v>-0.2106539923648886</v>
      </c>
      <c r="AL377" s="6" t="n">
        <v>0</v>
      </c>
      <c r="AM377" s="3" t="n">
        <v>0</v>
      </c>
      <c r="AN377" s="3" t="n">
        <v>1.114</v>
      </c>
      <c r="AO377" s="3" t="n">
        <v>0.044352</v>
      </c>
      <c r="AP377" s="3">
        <f>N(X377)*N(BI377)</f>
        <v/>
      </c>
      <c r="AQ377" s="3" t="n">
        <v>0</v>
      </c>
      <c r="AR377" s="3" t="n">
        <v>0</v>
      </c>
      <c r="AS377" s="3" t="n">
        <v>-0</v>
      </c>
      <c r="AT377" s="3" t="n">
        <v>-0.2106539923648886</v>
      </c>
      <c r="AU377" s="3">
        <f>SUM(AN377:AT377)</f>
        <v/>
      </c>
      <c r="AV377" s="7">
        <f>IF(OR(N(W377)&lt;=0,N(BG377)=0),0,N(W377)*IF(N(R377)/N(W377)&gt;=60,N(BG377),1))</f>
        <v/>
      </c>
      <c r="AW377" s="7">
        <f>N(W377)*N(AF377)*N(BH377)</f>
        <v/>
      </c>
      <c r="AX377" s="7">
        <f>N(AL377)*(Assumptions!$B$13*N(BJ377)-(1-Assumptions!$B$13)*Assumptions!$B$14)+N(AM377)</f>
        <v/>
      </c>
      <c r="AY377" s="7">
        <f>N(AU377)*N(R377)/90+N(AV377)+N(AW377)+N(AX377)</f>
        <v/>
      </c>
      <c r="AZ377" s="3">
        <f>IF(N(R377)&lt;=0,0,(N(AY377)-N(AX377))*90/N(R377))</f>
        <v/>
      </c>
      <c r="BA377" s="7">
        <f>IFERROR(AY377-VLOOKUP($E377,Assumptions!$A$40:$C$43,3,FALSE),"")</f>
        <v/>
      </c>
      <c r="BB377" s="3">
        <f>IFERROR(BA377/H377,"")</f>
        <v/>
      </c>
      <c r="BC377">
        <f>IF(AND($G377=TRUE,$E377="GKP"),AY377,"")</f>
        <v/>
      </c>
      <c r="BD377">
        <f>IF(AND($G377=TRUE,$E377="DEF"),AY377,"")</f>
        <v/>
      </c>
      <c r="BE377">
        <f>IF(AND($G377=TRUE,$E377="MID"),AY377,"")</f>
        <v/>
      </c>
      <c r="BF377">
        <f>IF(AND($G377=TRUE,$E377="FWD"),AY377,"")</f>
        <v/>
      </c>
      <c r="BG377" t="n">
        <v>2</v>
      </c>
      <c r="BH377" t="n">
        <v>2</v>
      </c>
      <c r="BI377" t="n">
        <v>1</v>
      </c>
      <c r="BJ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s="8" t="n">
        <v>0</v>
      </c>
      <c r="O378" s="8" t="n">
        <v>0</v>
      </c>
      <c r="Q378" t="inlineStr">
        <is>
          <t>flat</t>
        </is>
      </c>
      <c r="R378" s="6" t="n">
        <v>0</v>
      </c>
      <c r="S378" t="inlineStr">
        <is>
          <t>Solio</t>
        </is>
      </c>
      <c r="U378" s="6" t="n">
        <v>80.09999999999999</v>
      </c>
      <c r="V378" s="2" t="n">
        <v>0</v>
      </c>
      <c r="W378" s="7">
        <f>IF(N(U378)&lt;=0,0,MIN(Assumptions!$B$15,N(R378)/N(U378)))</f>
        <v/>
      </c>
      <c r="X378" s="6" t="n">
        <v>0.334</v>
      </c>
      <c r="Y378" s="3" t="n">
        <v>0.0252</v>
      </c>
      <c r="Z378" t="inlineStr">
        <is>
          <t>adjusted xGOT</t>
        </is>
      </c>
      <c r="AA378" s="3" t="n">
        <v>1</v>
      </c>
      <c r="AB378" s="3" t="n">
        <v>0.996</v>
      </c>
      <c r="AC378" s="3" t="n">
        <v>0</v>
      </c>
      <c r="AD378" s="3" t="n">
        <v>0.0567</v>
      </c>
      <c r="AE378" s="3" t="n">
        <v>8.664</v>
      </c>
      <c r="AF378" s="3" t="n">
        <v>0.0921959865358728</v>
      </c>
      <c r="AG378" s="3" t="n">
        <v>0</v>
      </c>
      <c r="AH378" s="3" t="n">
        <v>3</v>
      </c>
      <c r="AI378" s="3" t="n">
        <v>2.2165</v>
      </c>
      <c r="AJ378" s="3" t="n">
        <v>1.1467</v>
      </c>
      <c r="AK378" s="3" t="n">
        <v>-0.2022510891348621</v>
      </c>
      <c r="AL378" s="6" t="n">
        <v>0</v>
      </c>
      <c r="AM378" s="3" t="n">
        <v>0</v>
      </c>
      <c r="AN378" s="3" t="n">
        <v>0.126</v>
      </c>
      <c r="AO378" s="3" t="n">
        <v>0.224532</v>
      </c>
      <c r="AP378" s="3">
        <f>N(X378)*N(BI378)</f>
        <v/>
      </c>
      <c r="AQ378" s="3" t="n">
        <v>0</v>
      </c>
      <c r="AR378" s="3" t="n">
        <v>0</v>
      </c>
      <c r="AS378" s="3" t="n">
        <v>-0</v>
      </c>
      <c r="AT378" s="3" t="n">
        <v>-0.2022510891348621</v>
      </c>
      <c r="AU378" s="3">
        <f>SUM(AN378:AT378)</f>
        <v/>
      </c>
      <c r="AV378" s="7">
        <f>IF(OR(N(W378)&lt;=0,N(BG378)=0),0,N(W378)*IF(N(R378)/N(W378)&gt;=60,N(BG378),1))</f>
        <v/>
      </c>
      <c r="AW378" s="7">
        <f>N(W378)*N(AF378)*N(BH378)</f>
        <v/>
      </c>
      <c r="AX378" s="7">
        <f>N(AL378)*(Assumptions!$B$13*N(BJ378)-(1-Assumptions!$B$13)*Assumptions!$B$14)+N(AM378)</f>
        <v/>
      </c>
      <c r="AY378" s="7">
        <f>N(AU378)*N(R378)/90+N(AV378)+N(AW378)+N(AX378)</f>
        <v/>
      </c>
      <c r="AZ378" s="3">
        <f>IF(N(R378)&lt;=0,0,(N(AY378)-N(AX378))*90/N(R378))</f>
        <v/>
      </c>
      <c r="BA378" s="7">
        <f>IFERROR(AY378-VLOOKUP($E378,Assumptions!$A$40:$C$43,3,FALSE),"")</f>
        <v/>
      </c>
      <c r="BB378" s="3">
        <f>IFERROR(BA378/H378,"")</f>
        <v/>
      </c>
      <c r="BC378">
        <f>IF(AND($G378=TRUE,$E378="GKP"),AY378,"")</f>
        <v/>
      </c>
      <c r="BD378">
        <f>IF(AND($G378=TRUE,$E378="DEF"),AY378,"")</f>
        <v/>
      </c>
      <c r="BE378">
        <f>IF(AND($G378=TRUE,$E378="MID"),AY378,"")</f>
        <v/>
      </c>
      <c r="BF378">
        <f>IF(AND($G378=TRUE,$E378="FWD"),AY378,"")</f>
        <v/>
      </c>
      <c r="BG378" t="n">
        <v>2</v>
      </c>
      <c r="BH378" t="n">
        <v>2</v>
      </c>
      <c r="BI378" t="n">
        <v>1</v>
      </c>
      <c r="BJ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s="4" t="n">
        <v>150</v>
      </c>
      <c r="O379" s="4" t="n">
        <v>150</v>
      </c>
      <c r="P379" s="5" t="inlineStr">
        <is>
          <t>low</t>
        </is>
      </c>
      <c r="Q379" t="inlineStr">
        <is>
          <t>flat</t>
        </is>
      </c>
      <c r="R379" s="6" t="n">
        <v>150</v>
      </c>
      <c r="S379" t="inlineStr">
        <is>
          <t>research</t>
        </is>
      </c>
      <c r="T379" s="5" t="inlineStr">
        <is>
          <t>Solio gives the only backup left-back at the club exactly zero minutes. Archie Harris left for Wigan on 6 Aug and Alfie Merritt was loaned to Newport on 7 Aug, leaving Soler as the sole cover for Truffert; he was in the matchday squad for the Betis friendly. He is a hamstring doubt (75%), so this stays token rather than substantial - but zero is not a realistic figure for a fit-again squad left-back over 38 games plus European football.</t>
        </is>
      </c>
      <c r="U379" s="6" t="n">
        <v>85.5</v>
      </c>
      <c r="V379" s="2" t="n">
        <v>0</v>
      </c>
      <c r="W379" s="7">
        <f>IF(N(U379)&lt;=0,0,MIN(Assumptions!$B$15,N(R379)/N(U379)))</f>
        <v/>
      </c>
      <c r="X379" s="6" t="n">
        <v>0.23</v>
      </c>
      <c r="Y379" s="3" t="n">
        <v>0</v>
      </c>
      <c r="Z379" t="inlineStr">
        <is>
          <t>blended xG</t>
        </is>
      </c>
      <c r="AA379" s="3" t="n">
        <v>1</v>
      </c>
      <c r="AB379" s="3" t="n">
        <v>1</v>
      </c>
      <c r="AC379" s="3" t="n">
        <v>0</v>
      </c>
      <c r="AD379" s="3" t="n">
        <v>0</v>
      </c>
      <c r="AE379" s="3" t="n">
        <v>7.458</v>
      </c>
      <c r="AF379" s="3" t="n">
        <v>0.1782374299319515</v>
      </c>
      <c r="AG379" s="3" t="n">
        <v>0</v>
      </c>
      <c r="AH379" s="3" t="n">
        <v>3</v>
      </c>
      <c r="AI379" s="3" t="n">
        <v>3.0957</v>
      </c>
      <c r="AJ379" s="3" t="n">
        <v>1.53</v>
      </c>
      <c r="AK379" s="3" t="n">
        <v>-0.1996402915412851</v>
      </c>
      <c r="AL379" s="6" t="n">
        <v>0</v>
      </c>
      <c r="AM379" s="3" t="n">
        <v>0</v>
      </c>
      <c r="AN379" s="3" t="n">
        <v>0</v>
      </c>
      <c r="AO379" s="3" t="n">
        <v>0</v>
      </c>
      <c r="AP379" s="3">
        <f>N(X379)*N(BI379)</f>
        <v/>
      </c>
      <c r="AQ379" s="3" t="n">
        <v>0</v>
      </c>
      <c r="AR379" s="3" t="n">
        <v>0</v>
      </c>
      <c r="AS379" s="3" t="n">
        <v>-0.5267219238049191</v>
      </c>
      <c r="AT379" s="3" t="n">
        <v>-0.1996402915412851</v>
      </c>
      <c r="AU379" s="3">
        <f>SUM(AN379:AT379)</f>
        <v/>
      </c>
      <c r="AV379" s="7">
        <f>IF(OR(N(W379)&lt;=0,N(BG379)=0),0,N(W379)*IF(N(R379)/N(W379)&gt;=60,N(BG379),1))</f>
        <v/>
      </c>
      <c r="AW379" s="7">
        <f>N(W379)*N(AF379)*N(BH379)</f>
        <v/>
      </c>
      <c r="AX379" s="7">
        <f>N(AL379)*(Assumptions!$B$13*N(BJ379)-(1-Assumptions!$B$13)*Assumptions!$B$14)+N(AM379)</f>
        <v/>
      </c>
      <c r="AY379" s="7">
        <f>N(AU379)*N(R379)/90+N(AV379)+N(AW379)+N(AX379)</f>
        <v/>
      </c>
      <c r="AZ379" s="3">
        <f>IF(N(R379)&lt;=0,0,(N(AY379)-N(AX379))*90/N(R379))</f>
        <v/>
      </c>
      <c r="BA379" s="7">
        <f>IFERROR(AY379-VLOOKUP($E379,Assumptions!$A$40:$C$43,3,FALSE),"")</f>
        <v/>
      </c>
      <c r="BB379" s="3">
        <f>IFERROR(BA379/H379,"")</f>
        <v/>
      </c>
      <c r="BC379">
        <f>IF(AND($G379=TRUE,$E379="GKP"),AY379,"")</f>
        <v/>
      </c>
      <c r="BD379">
        <f>IF(AND($G379=TRUE,$E379="DEF"),AY379,"")</f>
        <v/>
      </c>
      <c r="BE379">
        <f>IF(AND($G379=TRUE,$E379="MID"),AY379,"")</f>
        <v/>
      </c>
      <c r="BF379">
        <f>IF(AND($G379=TRUE,$E379="FWD"),AY379,"")</f>
        <v/>
      </c>
      <c r="BG379" t="n">
        <v>2</v>
      </c>
      <c r="BH379" t="n">
        <v>2</v>
      </c>
      <c r="BI379" t="n">
        <v>4</v>
      </c>
      <c r="BJ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s="8" t="n">
        <v>0</v>
      </c>
      <c r="O380" s="8" t="n">
        <v>0</v>
      </c>
      <c r="Q380" t="inlineStr">
        <is>
          <t>flat</t>
        </is>
      </c>
      <c r="R380" s="6" t="n">
        <v>0</v>
      </c>
      <c r="S380" t="inlineStr">
        <is>
          <t>Solio</t>
        </is>
      </c>
      <c r="U380" s="6" t="n">
        <v>85.8</v>
      </c>
      <c r="V380" s="2" t="n">
        <v>1</v>
      </c>
      <c r="W380" s="7">
        <f>IF(N(U380)&lt;=0,0,MIN(Assumptions!$B$15,N(R380)/N(U380)))</f>
        <v/>
      </c>
      <c r="X380" s="6" t="n">
        <v>0.322</v>
      </c>
      <c r="Y380" s="3" t="n">
        <v>0.3015</v>
      </c>
      <c r="Z380" t="inlineStr">
        <is>
          <t>adjusted xGOT</t>
        </is>
      </c>
      <c r="AA380" s="3" t="n">
        <v>1</v>
      </c>
      <c r="AB380" s="3" t="n">
        <v>0.958</v>
      </c>
      <c r="AC380" s="3" t="n">
        <v>0.4</v>
      </c>
      <c r="AD380" s="3" t="n">
        <v>0</v>
      </c>
      <c r="AE380" s="3" t="n">
        <v>7.626</v>
      </c>
      <c r="AF380" s="3" t="n">
        <v>0.1979167308553776</v>
      </c>
      <c r="AG380" s="3" t="n">
        <v>0</v>
      </c>
      <c r="AH380" s="3" t="n">
        <v>4</v>
      </c>
      <c r="AI380" s="3" t="n">
        <v>2.4232</v>
      </c>
      <c r="AJ380" s="3" t="n">
        <v>1.1851</v>
      </c>
      <c r="AK380" s="3" t="n">
        <v>-0.1926185127723307</v>
      </c>
      <c r="AL380" s="6" t="n">
        <v>0</v>
      </c>
      <c r="AM380" s="3" t="n">
        <v>0</v>
      </c>
      <c r="AN380" s="3" t="n">
        <v>1.809</v>
      </c>
      <c r="AO380" s="3" t="n">
        <v>0</v>
      </c>
      <c r="AP380" s="3">
        <f>N(X380)*N(BI380)</f>
        <v/>
      </c>
      <c r="AQ380" s="3" t="n">
        <v>0</v>
      </c>
      <c r="AR380" s="3" t="n">
        <v>0</v>
      </c>
      <c r="AS380" s="3" t="n">
        <v>-0.365915508000572</v>
      </c>
      <c r="AT380" s="3" t="n">
        <v>-0.1926185127723307</v>
      </c>
      <c r="AU380" s="3">
        <f>SUM(AN380:AT380)</f>
        <v/>
      </c>
      <c r="AV380" s="7">
        <f>IF(OR(N(W380)&lt;=0,N(BG380)=0),0,N(W380)*IF(N(R380)/N(W380)&gt;=60,N(BG380),1))</f>
        <v/>
      </c>
      <c r="AW380" s="7">
        <f>N(W380)*N(AF380)*N(BH380)</f>
        <v/>
      </c>
      <c r="AX380" s="7">
        <f>N(AL380)*(Assumptions!$B$13*N(BJ380)-(1-Assumptions!$B$13)*Assumptions!$B$14)+N(AM380)</f>
        <v/>
      </c>
      <c r="AY380" s="7">
        <f>N(AU380)*N(R380)/90+N(AV380)+N(AW380)+N(AX380)</f>
        <v/>
      </c>
      <c r="AZ380" s="3">
        <f>IF(N(R380)&lt;=0,0,(N(AY380)-N(AX380))*90/N(R380))</f>
        <v/>
      </c>
      <c r="BA380" s="7">
        <f>IFERROR(AY380-VLOOKUP($E380,Assumptions!$A$40:$C$43,3,FALSE),"")</f>
        <v/>
      </c>
      <c r="BB380" s="3">
        <f>IFERROR(BA380/H380,"")</f>
        <v/>
      </c>
      <c r="BC380">
        <f>IF(AND($G380=TRUE,$E380="GKP"),AY380,"")</f>
        <v/>
      </c>
      <c r="BD380">
        <f>IF(AND($G380=TRUE,$E380="DEF"),AY380,"")</f>
        <v/>
      </c>
      <c r="BE380">
        <f>IF(AND($G380=TRUE,$E380="MID"),AY380,"")</f>
        <v/>
      </c>
      <c r="BF380">
        <f>IF(AND($G380=TRUE,$E380="FWD"),AY380,"")</f>
        <v/>
      </c>
      <c r="BG380" t="n">
        <v>2</v>
      </c>
      <c r="BH380" t="n">
        <v>2</v>
      </c>
      <c r="BI380" t="n">
        <v>4</v>
      </c>
      <c r="BJ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s="8" t="n">
        <v>0</v>
      </c>
      <c r="O381" s="8" t="n">
        <v>0</v>
      </c>
      <c r="Q381" t="inlineStr">
        <is>
          <t>flat</t>
        </is>
      </c>
      <c r="R381" s="6" t="n">
        <v>0</v>
      </c>
      <c r="S381" t="inlineStr">
        <is>
          <t>Solio</t>
        </is>
      </c>
      <c r="U381" s="6" t="n">
        <v>81.2</v>
      </c>
      <c r="V381" s="2" t="n">
        <v>2</v>
      </c>
      <c r="W381" s="7">
        <f>IF(N(U381)&lt;=0,0,MIN(Assumptions!$B$15,N(R381)/N(U381)))</f>
        <v/>
      </c>
      <c r="X381" s="6" t="n">
        <v>0.224</v>
      </c>
      <c r="Y381" s="3" t="n">
        <v>0</v>
      </c>
      <c r="Z381" t="inlineStr">
        <is>
          <t>blended xG</t>
        </is>
      </c>
      <c r="AA381" s="3" t="n">
        <v>1</v>
      </c>
      <c r="AB381" s="3" t="n">
        <v>1</v>
      </c>
      <c r="AC381" s="3" t="n">
        <v>0</v>
      </c>
      <c r="AD381" s="3" t="n">
        <v>0.0027</v>
      </c>
      <c r="AE381" s="3" t="n">
        <v>7.574</v>
      </c>
      <c r="AF381" s="3" t="n">
        <v>0.1530228257604118</v>
      </c>
      <c r="AG381" s="3" t="n">
        <v>0</v>
      </c>
      <c r="AH381" s="3" t="n">
        <v>4</v>
      </c>
      <c r="AI381" s="3" t="n">
        <v>3.1134</v>
      </c>
      <c r="AJ381" s="3" t="n">
        <v>1.5588</v>
      </c>
      <c r="AK381" s="3" t="n">
        <v>-0.1856762914939266</v>
      </c>
      <c r="AL381" s="6" t="n">
        <v>0</v>
      </c>
      <c r="AM381" s="3" t="n">
        <v>0</v>
      </c>
      <c r="AN381" s="3" t="n">
        <v>0</v>
      </c>
      <c r="AO381" s="3" t="n">
        <v>0.010692</v>
      </c>
      <c r="AP381" s="3">
        <f>N(X381)*N(BI381)</f>
        <v/>
      </c>
      <c r="AQ381" s="3" t="n">
        <v>0</v>
      </c>
      <c r="AR381" s="3" t="n">
        <v>0</v>
      </c>
      <c r="AS381" s="3" t="n">
        <v>-0.5404658182244797</v>
      </c>
      <c r="AT381" s="3" t="n">
        <v>-0.1856762914939266</v>
      </c>
      <c r="AU381" s="3">
        <f>SUM(AN381:AT381)</f>
        <v/>
      </c>
      <c r="AV381" s="7">
        <f>IF(OR(N(W381)&lt;=0,N(BG381)=0),0,N(W381)*IF(N(R381)/N(W381)&gt;=60,N(BG381),1))</f>
        <v/>
      </c>
      <c r="AW381" s="7">
        <f>N(W381)*N(AF381)*N(BH381)</f>
        <v/>
      </c>
      <c r="AX381" s="7">
        <f>N(AL381)*(Assumptions!$B$13*N(BJ381)-(1-Assumptions!$B$13)*Assumptions!$B$14)+N(AM381)</f>
        <v/>
      </c>
      <c r="AY381" s="7">
        <f>N(AU381)*N(R381)/90+N(AV381)+N(AW381)+N(AX381)</f>
        <v/>
      </c>
      <c r="AZ381" s="3">
        <f>IF(N(R381)&lt;=0,0,(N(AY381)-N(AX381))*90/N(R381))</f>
        <v/>
      </c>
      <c r="BA381" s="7">
        <f>IFERROR(AY381-VLOOKUP($E381,Assumptions!$A$40:$C$43,3,FALSE),"")</f>
        <v/>
      </c>
      <c r="BB381" s="3">
        <f>IFERROR(BA381/H381,"")</f>
        <v/>
      </c>
      <c r="BC381">
        <f>IF(AND($G381=TRUE,$E381="GKP"),AY381,"")</f>
        <v/>
      </c>
      <c r="BD381">
        <f>IF(AND($G381=TRUE,$E381="DEF"),AY381,"")</f>
        <v/>
      </c>
      <c r="BE381">
        <f>IF(AND($G381=TRUE,$E381="MID"),AY381,"")</f>
        <v/>
      </c>
      <c r="BF381">
        <f>IF(AND($G381=TRUE,$E381="FWD"),AY381,"")</f>
        <v/>
      </c>
      <c r="BG381" t="n">
        <v>2</v>
      </c>
      <c r="BH381" t="n">
        <v>2</v>
      </c>
      <c r="BI381" t="n">
        <v>4</v>
      </c>
      <c r="BJ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N382" s="8" t="n">
        <v>7</v>
      </c>
      <c r="O382" s="8" t="n">
        <v>0</v>
      </c>
      <c r="R382" s="6" t="n">
        <v>7</v>
      </c>
      <c r="S382" t="inlineStr">
        <is>
          <t>25/26 actual</t>
        </is>
      </c>
      <c r="U382" s="6" t="n">
        <v>85.5</v>
      </c>
      <c r="V382" s="2" t="n">
        <v>0</v>
      </c>
      <c r="W382" s="7">
        <f>IF(N(U382)&lt;=0,0,MIN(Assumptions!$B$15,N(R382)/N(U382)))</f>
        <v/>
      </c>
      <c r="X382" s="6" t="n">
        <v>0.248</v>
      </c>
      <c r="Y382" s="3" t="n">
        <v>0</v>
      </c>
      <c r="Z382" t="inlineStr">
        <is>
          <t>blended xG</t>
        </is>
      </c>
      <c r="AA382" s="3" t="n">
        <v>1</v>
      </c>
      <c r="AB382" s="3" t="n">
        <v>1</v>
      </c>
      <c r="AC382" s="3" t="n">
        <v>0</v>
      </c>
      <c r="AD382" s="3" t="n">
        <v>0</v>
      </c>
      <c r="AE382" s="3" t="n">
        <v>8.106</v>
      </c>
      <c r="AF382" s="3" t="n">
        <v>0.2470027296375091</v>
      </c>
      <c r="AG382" s="3" t="n">
        <v>0</v>
      </c>
      <c r="AH382" s="3" t="n">
        <v>2</v>
      </c>
      <c r="AI382" s="3" t="n">
        <v>3.0912</v>
      </c>
      <c r="AJ382" s="3" t="n">
        <v>1.4534</v>
      </c>
      <c r="AK382" s="3" t="n">
        <v>-0.2030827297347638</v>
      </c>
      <c r="AL382" s="6" t="n">
        <v>0</v>
      </c>
      <c r="AM382" s="3" t="n">
        <v>0</v>
      </c>
      <c r="AN382" s="3" t="n">
        <v>0</v>
      </c>
      <c r="AO382" s="3" t="n">
        <v>0</v>
      </c>
      <c r="AP382" s="3">
        <f>N(X382)*N(BI382)</f>
        <v/>
      </c>
      <c r="AQ382" s="3" t="n">
        <v>0</v>
      </c>
      <c r="AR382" s="3" t="n">
        <v>0</v>
      </c>
      <c r="AS382" s="3" t="n">
        <v>-0.4903625828545308</v>
      </c>
      <c r="AT382" s="3" t="n">
        <v>-0.2030827297347638</v>
      </c>
      <c r="AU382" s="3">
        <f>SUM(AN382:AT382)</f>
        <v/>
      </c>
      <c r="AV382" s="7">
        <f>IF(OR(N(W382)&lt;=0,N(BG382)=0),0,N(W382)*IF(N(R382)/N(W382)&gt;=60,N(BG382),1))</f>
        <v/>
      </c>
      <c r="AW382" s="7">
        <f>N(W382)*N(AF382)*N(BH382)</f>
        <v/>
      </c>
      <c r="AX382" s="7">
        <f>N(AL382)*(Assumptions!$B$13*N(BJ382)-(1-Assumptions!$B$13)*Assumptions!$B$14)+N(AM382)</f>
        <v/>
      </c>
      <c r="AY382" s="7">
        <f>N(AU382)*N(R382)/90+N(AV382)+N(AW382)+N(AX382)</f>
        <v/>
      </c>
      <c r="AZ382" s="3">
        <f>IF(N(R382)&lt;=0,0,(N(AY382)-N(AX382))*90/N(R382))</f>
        <v/>
      </c>
      <c r="BA382" s="7">
        <f>IFERROR(AY382-VLOOKUP($E382,Assumptions!$A$40:$C$43,3,FALSE),"")</f>
        <v/>
      </c>
      <c r="BB382" s="3">
        <f>IFERROR(BA382/H382,"")</f>
        <v/>
      </c>
      <c r="BC382">
        <f>IF(AND($G382=TRUE,$E382="GKP"),AY382,"")</f>
        <v/>
      </c>
      <c r="BD382">
        <f>IF(AND($G382=TRUE,$E382="DEF"),AY382,"")</f>
        <v/>
      </c>
      <c r="BE382">
        <f>IF(AND($G382=TRUE,$E382="MID"),AY382,"")</f>
        <v/>
      </c>
      <c r="BF382">
        <f>IF(AND($G382=TRUE,$E382="FWD"),AY382,"")</f>
        <v/>
      </c>
      <c r="BG382" t="n">
        <v>2</v>
      </c>
      <c r="BH382" t="n">
        <v>2</v>
      </c>
      <c r="BI382" t="n">
        <v>4</v>
      </c>
      <c r="BJ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s="8" t="n">
        <v>0</v>
      </c>
      <c r="O383" s="8" t="n">
        <v>0</v>
      </c>
      <c r="Q383" t="inlineStr">
        <is>
          <t>flat</t>
        </is>
      </c>
      <c r="R383" s="6" t="n">
        <v>0</v>
      </c>
      <c r="S383" t="inlineStr">
        <is>
          <t>Solio</t>
        </is>
      </c>
      <c r="U383" s="6" t="n">
        <v>80.09999999999999</v>
      </c>
      <c r="V383" s="2" t="n">
        <v>0</v>
      </c>
      <c r="W383" s="7">
        <f>IF(N(U383)&lt;=0,0,MIN(Assumptions!$B$15,N(R383)/N(U383)))</f>
        <v/>
      </c>
      <c r="X383" s="6" t="n">
        <v>0.216</v>
      </c>
      <c r="Y383" s="3" t="n">
        <v>0</v>
      </c>
      <c r="Z383" t="inlineStr">
        <is>
          <t>blended xG</t>
        </is>
      </c>
      <c r="AA383" s="3" t="n">
        <v>1</v>
      </c>
      <c r="AB383" s="3" t="n">
        <v>1</v>
      </c>
      <c r="AC383" s="3" t="n">
        <v>0</v>
      </c>
      <c r="AD383" s="3" t="n">
        <v>0</v>
      </c>
      <c r="AE383" s="3" t="n">
        <v>8.866</v>
      </c>
      <c r="AF383" s="3" t="n">
        <v>0.1041985328502864</v>
      </c>
      <c r="AG383" s="3" t="n">
        <v>0</v>
      </c>
      <c r="AH383" s="3" t="n">
        <v>2</v>
      </c>
      <c r="AI383" s="3" t="n">
        <v>3.2035</v>
      </c>
      <c r="AJ383" s="3" t="n">
        <v>1.5923</v>
      </c>
      <c r="AK383" s="3" t="n">
        <v>-0.2150787580952838</v>
      </c>
      <c r="AL383" s="6" t="n">
        <v>0</v>
      </c>
      <c r="AM383" s="3" t="n">
        <v>0</v>
      </c>
      <c r="AN383" s="3" t="n">
        <v>0</v>
      </c>
      <c r="AO383" s="3" t="n">
        <v>0</v>
      </c>
      <c r="AP383" s="3">
        <f>N(X383)*N(BI383)</f>
        <v/>
      </c>
      <c r="AQ383" s="3" t="n">
        <v>0</v>
      </c>
      <c r="AR383" s="3" t="n">
        <v>0</v>
      </c>
      <c r="AS383" s="3" t="n">
        <v>-0</v>
      </c>
      <c r="AT383" s="3" t="n">
        <v>-0.2150787580952838</v>
      </c>
      <c r="AU383" s="3">
        <f>SUM(AN383:AT383)</f>
        <v/>
      </c>
      <c r="AV383" s="7">
        <f>IF(OR(N(W383)&lt;=0,N(BG383)=0),0,N(W383)*IF(N(R383)/N(W383)&gt;=60,N(BG383),1))</f>
        <v/>
      </c>
      <c r="AW383" s="7">
        <f>N(W383)*N(AF383)*N(BH383)</f>
        <v/>
      </c>
      <c r="AX383" s="7">
        <f>N(AL383)*(Assumptions!$B$13*N(BJ383)-(1-Assumptions!$B$13)*Assumptions!$B$14)+N(AM383)</f>
        <v/>
      </c>
      <c r="AY383" s="7">
        <f>N(AU383)*N(R383)/90+N(AV383)+N(AW383)+N(AX383)</f>
        <v/>
      </c>
      <c r="AZ383" s="3">
        <f>IF(N(R383)&lt;=0,0,(N(AY383)-N(AX383))*90/N(R383))</f>
        <v/>
      </c>
      <c r="BA383" s="7">
        <f>IFERROR(AY383-VLOOKUP($E383,Assumptions!$A$40:$C$43,3,FALSE),"")</f>
        <v/>
      </c>
      <c r="BB383" s="3">
        <f>IFERROR(BA383/H383,"")</f>
        <v/>
      </c>
      <c r="BC383">
        <f>IF(AND($G383=TRUE,$E383="GKP"),AY383,"")</f>
        <v/>
      </c>
      <c r="BD383">
        <f>IF(AND($G383=TRUE,$E383="DEF"),AY383,"")</f>
        <v/>
      </c>
      <c r="BE383">
        <f>IF(AND($G383=TRUE,$E383="MID"),AY383,"")</f>
        <v/>
      </c>
      <c r="BF383">
        <f>IF(AND($G383=TRUE,$E383="FWD"),AY383,"")</f>
        <v/>
      </c>
      <c r="BG383" t="n">
        <v>2</v>
      </c>
      <c r="BH383" t="n">
        <v>2</v>
      </c>
      <c r="BI383" t="n">
        <v>1</v>
      </c>
      <c r="BJ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s="4" t="n">
        <v>15</v>
      </c>
      <c r="O384" s="4" t="n">
        <v>-20</v>
      </c>
      <c r="P384" s="5" t="inlineStr">
        <is>
          <t>low</t>
        </is>
      </c>
      <c r="Q384" t="inlineStr">
        <is>
          <t>flat</t>
        </is>
      </c>
      <c r="R384" s="6" t="n">
        <v>15</v>
      </c>
      <c r="S384" t="inlineStr">
        <is>
          <t>research</t>
        </is>
      </c>
      <c r="T384" s="5" t="inlineStr">
        <is>
          <t>Arsenal signed Illan Meslier as a free agent on 9 July specifically as back-up goalkeeper, and Kepa has been reported as wanting to leave for regular football. Arseblog's post-Dortmund note says he is now more comfortable with Meslier between the sticks than Kepa. This is a token split of an already tiny back-up allocation, not a claim about who starts cup games - the league minutes at stake are trivial either way.</t>
        </is>
      </c>
      <c r="U384" s="6" t="n">
        <v>89.8</v>
      </c>
      <c r="V384" s="2" t="n">
        <v>1</v>
      </c>
      <c r="W384" s="7">
        <f>IF(N(U384)&lt;=0,0,MIN(Assumptions!$B$15,N(R384)/N(U384)))</f>
        <v/>
      </c>
      <c r="X384" s="6" t="n">
        <v>0.391</v>
      </c>
      <c r="Y384" s="3" t="n">
        <v>0</v>
      </c>
      <c r="Z384" t="inlineStr">
        <is>
          <t>adjusted xGOT</t>
        </is>
      </c>
      <c r="AA384" s="3" t="n">
        <v>1</v>
      </c>
      <c r="AB384" s="3" t="n">
        <v>0.993</v>
      </c>
      <c r="AC384" s="3" t="n">
        <v>0.1</v>
      </c>
      <c r="AD384" s="3" t="n">
        <v>0</v>
      </c>
      <c r="AE384" s="3" t="n">
        <v>0</v>
      </c>
      <c r="AF384" s="3" t="n">
        <v>0</v>
      </c>
      <c r="AG384" s="3" t="n">
        <v>0</v>
      </c>
      <c r="AH384" s="3" t="n">
        <v>2</v>
      </c>
      <c r="AI384" s="3" t="n">
        <v>2.067</v>
      </c>
      <c r="AJ384" s="3" t="n">
        <v>0.9838</v>
      </c>
      <c r="AK384" s="3" t="n">
        <v>-0.0864937396017854</v>
      </c>
      <c r="AL384" s="6" t="n">
        <v>0</v>
      </c>
      <c r="AM384" s="3" t="n">
        <v>0.0214943771917284</v>
      </c>
      <c r="AN384" s="3" t="n">
        <v>0</v>
      </c>
      <c r="AO384" s="3" t="n">
        <v>0</v>
      </c>
      <c r="AP384" s="3">
        <f>N(X384)*N(BI384)</f>
        <v/>
      </c>
      <c r="AQ384" s="3" t="n">
        <v>0</v>
      </c>
      <c r="AR384" s="3" t="n">
        <v>0.3608597487600056</v>
      </c>
      <c r="AS384" s="3" t="n">
        <v>-0.2768479886568037</v>
      </c>
      <c r="AT384" s="3" t="n">
        <v>-0.0864937396017854</v>
      </c>
      <c r="AU384" s="3">
        <f>SUM(AN384:AT384)</f>
        <v/>
      </c>
      <c r="AV384" s="7">
        <f>IF(OR(N(W384)&lt;=0,N(BG384)=0),0,N(W384)*IF(N(R384)/N(W384)&gt;=60,N(BG384),1))</f>
        <v/>
      </c>
      <c r="AW384" s="7">
        <f>N(W384)*N(AF384)*N(BH384)</f>
        <v/>
      </c>
      <c r="AX384" s="7">
        <f>N(AL384)*(Assumptions!$B$13*N(BJ384)-(1-Assumptions!$B$13)*Assumptions!$B$14)+N(AM384)</f>
        <v/>
      </c>
      <c r="AY384" s="7">
        <f>N(AU384)*N(R384)/90+N(AV384)+N(AW384)+N(AX384)</f>
        <v/>
      </c>
      <c r="AZ384" s="3">
        <f>IF(N(R384)&lt;=0,0,(N(AY384)-N(AX384))*90/N(R384))</f>
        <v/>
      </c>
      <c r="BA384" s="7">
        <f>IFERROR(AY384-VLOOKUP($E384,Assumptions!$A$40:$C$43,3,FALSE),"")</f>
        <v/>
      </c>
      <c r="BB384" s="3">
        <f>IFERROR(BA384/H384,"")</f>
        <v/>
      </c>
      <c r="BC384">
        <f>IF(AND($G384=TRUE,$E384="GKP"),AY384,"")</f>
        <v/>
      </c>
      <c r="BD384">
        <f>IF(AND($G384=TRUE,$E384="DEF"),AY384,"")</f>
        <v/>
      </c>
      <c r="BE384">
        <f>IF(AND($G384=TRUE,$E384="MID"),AY384,"")</f>
        <v/>
      </c>
      <c r="BF384">
        <f>IF(AND($G384=TRUE,$E384="FWD"),AY384,"")</f>
        <v/>
      </c>
      <c r="BG384" t="n">
        <v>2</v>
      </c>
      <c r="BH384" t="n">
        <v>0</v>
      </c>
      <c r="BI384" t="n">
        <v>4</v>
      </c>
      <c r="BJ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s="8" t="n">
        <v>0</v>
      </c>
      <c r="O385" s="8" t="n">
        <v>0</v>
      </c>
      <c r="Q385" t="inlineStr">
        <is>
          <t>flat</t>
        </is>
      </c>
      <c r="R385" s="6" t="n">
        <v>0</v>
      </c>
      <c r="S385" t="inlineStr">
        <is>
          <t>Solio</t>
        </is>
      </c>
      <c r="U385" s="6" t="n">
        <v>80.09999999999999</v>
      </c>
      <c r="V385" s="2" t="n">
        <v>0</v>
      </c>
      <c r="W385" s="7">
        <f>IF(N(U385)&lt;=0,0,MIN(Assumptions!$B$15,N(R385)/N(U385)))</f>
        <v/>
      </c>
      <c r="X385" s="6" t="n">
        <v>0.371</v>
      </c>
      <c r="Y385" s="3" t="n">
        <v>0</v>
      </c>
      <c r="Z385" t="inlineStr">
        <is>
          <t>blended xG</t>
        </is>
      </c>
      <c r="AA385" s="3" t="n">
        <v>1</v>
      </c>
      <c r="AB385" s="3" t="n">
        <v>1</v>
      </c>
      <c r="AC385" s="3" t="n">
        <v>0</v>
      </c>
      <c r="AD385" s="3" t="n">
        <v>0.7591</v>
      </c>
      <c r="AE385" s="3" t="n">
        <v>8.41</v>
      </c>
      <c r="AF385" s="3" t="n">
        <v>0.07836075947435073</v>
      </c>
      <c r="AG385" s="3" t="n">
        <v>0</v>
      </c>
      <c r="AH385" s="3" t="n">
        <v>2</v>
      </c>
      <c r="AI385" s="3" t="n">
        <v>1.9737</v>
      </c>
      <c r="AJ385" s="3" t="n">
        <v>1.0365</v>
      </c>
      <c r="AK385" s="3" t="n">
        <v>-0.2126405378231206</v>
      </c>
      <c r="AL385" s="6" t="n">
        <v>0</v>
      </c>
      <c r="AM385" s="3" t="n">
        <v>0</v>
      </c>
      <c r="AN385" s="3" t="n">
        <v>0</v>
      </c>
      <c r="AO385" s="3" t="n">
        <v>3.006036</v>
      </c>
      <c r="AP385" s="3">
        <f>N(X385)*N(BI385)</f>
        <v/>
      </c>
      <c r="AQ385" s="3" t="n">
        <v>0</v>
      </c>
      <c r="AR385" s="3" t="n">
        <v>0</v>
      </c>
      <c r="AS385" s="3" t="n">
        <v>-0</v>
      </c>
      <c r="AT385" s="3" t="n">
        <v>-0.2126405378231206</v>
      </c>
      <c r="AU385" s="3">
        <f>SUM(AN385:AT385)</f>
        <v/>
      </c>
      <c r="AV385" s="7">
        <f>IF(OR(N(W385)&lt;=0,N(BG385)=0),0,N(W385)*IF(N(R385)/N(W385)&gt;=60,N(BG385),1))</f>
        <v/>
      </c>
      <c r="AW385" s="7">
        <f>N(W385)*N(AF385)*N(BH385)</f>
        <v/>
      </c>
      <c r="AX385" s="7">
        <f>N(AL385)*(Assumptions!$B$13*N(BJ385)-(1-Assumptions!$B$13)*Assumptions!$B$14)+N(AM385)</f>
        <v/>
      </c>
      <c r="AY385" s="7">
        <f>N(AU385)*N(R385)/90+N(AV385)+N(AW385)+N(AX385)</f>
        <v/>
      </c>
      <c r="AZ385" s="3">
        <f>IF(N(R385)&lt;=0,0,(N(AY385)-N(AX385))*90/N(R385))</f>
        <v/>
      </c>
      <c r="BA385" s="7">
        <f>IFERROR(AY385-VLOOKUP($E385,Assumptions!$A$40:$C$43,3,FALSE),"")</f>
        <v/>
      </c>
      <c r="BB385" s="3">
        <f>IFERROR(BA385/H385,"")</f>
        <v/>
      </c>
      <c r="BC385">
        <f>IF(AND($G385=TRUE,$E385="GKP"),AY385,"")</f>
        <v/>
      </c>
      <c r="BD385">
        <f>IF(AND($G385=TRUE,$E385="DEF"),AY385,"")</f>
        <v/>
      </c>
      <c r="BE385">
        <f>IF(AND($G385=TRUE,$E385="MID"),AY385,"")</f>
        <v/>
      </c>
      <c r="BF385">
        <f>IF(AND($G385=TRUE,$E385="FWD"),AY385,"")</f>
        <v/>
      </c>
      <c r="BG385" t="n">
        <v>2</v>
      </c>
      <c r="BH385" t="n">
        <v>2</v>
      </c>
      <c r="BI385" t="n">
        <v>1</v>
      </c>
      <c r="BJ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s="8" t="n">
        <v>0</v>
      </c>
      <c r="O386" s="8" t="n">
        <v>0</v>
      </c>
      <c r="Q386" t="inlineStr">
        <is>
          <t>flat</t>
        </is>
      </c>
      <c r="R386" s="6" t="n">
        <v>0</v>
      </c>
      <c r="S386" t="inlineStr">
        <is>
          <t>Solio</t>
        </is>
      </c>
      <c r="U386" s="6" t="n">
        <v>80.09999999999999</v>
      </c>
      <c r="V386" s="2" t="n">
        <v>0</v>
      </c>
      <c r="W386" s="7">
        <f>IF(N(U386)&lt;=0,0,MIN(Assumptions!$B$15,N(R386)/N(U386)))</f>
        <v/>
      </c>
      <c r="X386" s="6" t="n">
        <v>0.228</v>
      </c>
      <c r="Y386" s="3" t="n">
        <v>3.87</v>
      </c>
      <c r="Z386" t="inlineStr">
        <is>
          <t>adjusted xGOT</t>
        </is>
      </c>
      <c r="AA386" s="3" t="n">
        <v>1</v>
      </c>
      <c r="AB386" s="3" t="n">
        <v>1.077</v>
      </c>
      <c r="AC386" s="3" t="n">
        <v>1.7</v>
      </c>
      <c r="AD386" s="3" t="n">
        <v>0</v>
      </c>
      <c r="AE386" s="3" t="n">
        <v>8.678000000000001</v>
      </c>
      <c r="AF386" s="3" t="n">
        <v>0.09299929141077656</v>
      </c>
      <c r="AG386" s="3" t="n">
        <v>0</v>
      </c>
      <c r="AH386" s="3" t="n">
        <v>2</v>
      </c>
      <c r="AI386" s="3" t="n">
        <v>3.2371</v>
      </c>
      <c r="AJ386" s="3" t="n">
        <v>1.5396</v>
      </c>
      <c r="AK386" s="3" t="n">
        <v>-0.2145589846271921</v>
      </c>
      <c r="AL386" s="6" t="n">
        <v>0</v>
      </c>
      <c r="AM386" s="3" t="n">
        <v>0</v>
      </c>
      <c r="AN386" s="3" t="n">
        <v>19.35</v>
      </c>
      <c r="AO386" s="3" t="n">
        <v>0</v>
      </c>
      <c r="AP386" s="3">
        <f>N(X386)*N(BI386)</f>
        <v/>
      </c>
      <c r="AQ386" s="3" t="n">
        <v>0</v>
      </c>
      <c r="AR386" s="3" t="n">
        <v>0</v>
      </c>
      <c r="AS386" s="3" t="n">
        <v>-0</v>
      </c>
      <c r="AT386" s="3" t="n">
        <v>-0.2145589846271921</v>
      </c>
      <c r="AU386" s="3">
        <f>SUM(AN386:AT386)</f>
        <v/>
      </c>
      <c r="AV386" s="7">
        <f>IF(OR(N(W386)&lt;=0,N(BG386)=0),0,N(W386)*IF(N(R386)/N(W386)&gt;=60,N(BG386),1))</f>
        <v/>
      </c>
      <c r="AW386" s="7">
        <f>N(W386)*N(AF386)*N(BH386)</f>
        <v/>
      </c>
      <c r="AX386" s="7">
        <f>N(AL386)*(Assumptions!$B$13*N(BJ386)-(1-Assumptions!$B$13)*Assumptions!$B$14)+N(AM386)</f>
        <v/>
      </c>
      <c r="AY386" s="7">
        <f>N(AU386)*N(R386)/90+N(AV386)+N(AW386)+N(AX386)</f>
        <v/>
      </c>
      <c r="AZ386" s="3">
        <f>IF(N(R386)&lt;=0,0,(N(AY386)-N(AX386))*90/N(R386))</f>
        <v/>
      </c>
      <c r="BA386" s="7">
        <f>IFERROR(AY386-VLOOKUP($E386,Assumptions!$A$40:$C$43,3,FALSE),"")</f>
        <v/>
      </c>
      <c r="BB386" s="3">
        <f>IFERROR(BA386/H386,"")</f>
        <v/>
      </c>
      <c r="BC386">
        <f>IF(AND($G386=TRUE,$E386="GKP"),AY386,"")</f>
        <v/>
      </c>
      <c r="BD386">
        <f>IF(AND($G386=TRUE,$E386="DEF"),AY386,"")</f>
        <v/>
      </c>
      <c r="BE386">
        <f>IF(AND($G386=TRUE,$E386="MID"),AY386,"")</f>
        <v/>
      </c>
      <c r="BF386">
        <f>IF(AND($G386=TRUE,$E386="FWD"),AY386,"")</f>
        <v/>
      </c>
      <c r="BG386" t="n">
        <v>2</v>
      </c>
      <c r="BH386" t="n">
        <v>2</v>
      </c>
      <c r="BI386" t="n">
        <v>1</v>
      </c>
      <c r="BJ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s="8" t="n">
        <v>52</v>
      </c>
      <c r="O387" s="8" t="n">
        <v>0</v>
      </c>
      <c r="Q387" t="inlineStr">
        <is>
          <t>flat</t>
        </is>
      </c>
      <c r="R387" s="6" t="n">
        <v>52</v>
      </c>
      <c r="S387" t="inlineStr">
        <is>
          <t>Solio</t>
        </is>
      </c>
      <c r="U387" s="6" t="n">
        <v>80.09999999999999</v>
      </c>
      <c r="V387" s="2" t="n">
        <v>0</v>
      </c>
      <c r="W387" s="7">
        <f>IF(N(U387)&lt;=0,0,MIN(Assumptions!$B$15,N(R387)/N(U387)))</f>
        <v/>
      </c>
      <c r="X387" s="6" t="n">
        <v>0.334</v>
      </c>
      <c r="Y387" s="3" t="n">
        <v>0</v>
      </c>
      <c r="Z387" t="inlineStr">
        <is>
          <t>blended xG</t>
        </is>
      </c>
      <c r="AA387" s="3" t="n">
        <v>1</v>
      </c>
      <c r="AB387" s="3" t="n">
        <v>1</v>
      </c>
      <c r="AC387" s="3" t="n">
        <v>0</v>
      </c>
      <c r="AD387" s="3" t="n">
        <v>0.0265</v>
      </c>
      <c r="AE387" s="3" t="n">
        <v>8.622999999999999</v>
      </c>
      <c r="AF387" s="3" t="n">
        <v>0.08986794610963023</v>
      </c>
      <c r="AG387" s="3" t="n">
        <v>0</v>
      </c>
      <c r="AH387" s="3" t="n">
        <v>2</v>
      </c>
      <c r="AI387" s="3" t="n">
        <v>2.2165</v>
      </c>
      <c r="AJ387" s="3" t="n">
        <v>1.1467</v>
      </c>
      <c r="AK387" s="3" t="n">
        <v>-0.2137167537108107</v>
      </c>
      <c r="AL387" s="6" t="n">
        <v>0</v>
      </c>
      <c r="AM387" s="3" t="n">
        <v>0</v>
      </c>
      <c r="AN387" s="3" t="n">
        <v>0</v>
      </c>
      <c r="AO387" s="3" t="n">
        <v>0.10494</v>
      </c>
      <c r="AP387" s="3">
        <f>N(X387)*N(BI387)</f>
        <v/>
      </c>
      <c r="AQ387" s="3" t="n">
        <v>0</v>
      </c>
      <c r="AR387" s="3" t="n">
        <v>0</v>
      </c>
      <c r="AS387" s="3" t="n">
        <v>-0</v>
      </c>
      <c r="AT387" s="3" t="n">
        <v>-0.2137167537108107</v>
      </c>
      <c r="AU387" s="3">
        <f>SUM(AN387:AT387)</f>
        <v/>
      </c>
      <c r="AV387" s="7">
        <f>IF(OR(N(W387)&lt;=0,N(BG387)=0),0,N(W387)*IF(N(R387)/N(W387)&gt;=60,N(BG387),1))</f>
        <v/>
      </c>
      <c r="AW387" s="7">
        <f>N(W387)*N(AF387)*N(BH387)</f>
        <v/>
      </c>
      <c r="AX387" s="7">
        <f>N(AL387)*(Assumptions!$B$13*N(BJ387)-(1-Assumptions!$B$13)*Assumptions!$B$14)+N(AM387)</f>
        <v/>
      </c>
      <c r="AY387" s="7">
        <f>N(AU387)*N(R387)/90+N(AV387)+N(AW387)+N(AX387)</f>
        <v/>
      </c>
      <c r="AZ387" s="3">
        <f>IF(N(R387)&lt;=0,0,(N(AY387)-N(AX387))*90/N(R387))</f>
        <v/>
      </c>
      <c r="BA387" s="7">
        <f>IFERROR(AY387-VLOOKUP($E387,Assumptions!$A$40:$C$43,3,FALSE),"")</f>
        <v/>
      </c>
      <c r="BB387" s="3">
        <f>IFERROR(BA387/H387,"")</f>
        <v/>
      </c>
      <c r="BC387">
        <f>IF(AND($G387=TRUE,$E387="GKP"),AY387,"")</f>
        <v/>
      </c>
      <c r="BD387">
        <f>IF(AND($G387=TRUE,$E387="DEF"),AY387,"")</f>
        <v/>
      </c>
      <c r="BE387">
        <f>IF(AND($G387=TRUE,$E387="MID"),AY387,"")</f>
        <v/>
      </c>
      <c r="BF387">
        <f>IF(AND($G387=TRUE,$E387="FWD"),AY387,"")</f>
        <v/>
      </c>
      <c r="BG387" t="n">
        <v>2</v>
      </c>
      <c r="BH387" t="n">
        <v>2</v>
      </c>
      <c r="BI387" t="n">
        <v>1</v>
      </c>
      <c r="BJ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s="8" t="n">
        <v>147</v>
      </c>
      <c r="O388" s="8" t="n">
        <v>0</v>
      </c>
      <c r="Q388" t="inlineStr">
        <is>
          <t>flat</t>
        </is>
      </c>
      <c r="R388" s="6" t="n">
        <v>147</v>
      </c>
      <c r="S388" t="inlineStr">
        <is>
          <t>Solio</t>
        </is>
      </c>
      <c r="U388" s="6" t="n">
        <v>82.5</v>
      </c>
      <c r="V388" s="2" t="n">
        <v>1</v>
      </c>
      <c r="W388" s="7">
        <f>IF(N(U388)&lt;=0,0,MIN(Assumptions!$B$15,N(R388)/N(U388)))</f>
        <v/>
      </c>
      <c r="X388" s="6" t="n">
        <v>0.204</v>
      </c>
      <c r="Y388" s="3" t="n">
        <v>0</v>
      </c>
      <c r="Z388" t="inlineStr">
        <is>
          <t>blended xG</t>
        </is>
      </c>
      <c r="AA388" s="3" t="n">
        <v>1</v>
      </c>
      <c r="AB388" s="3" t="n">
        <v>1</v>
      </c>
      <c r="AC388" s="3" t="n">
        <v>0</v>
      </c>
      <c r="AD388" s="3" t="n">
        <v>0.0034</v>
      </c>
      <c r="AE388" s="3" t="n">
        <v>7.753</v>
      </c>
      <c r="AF388" s="3" t="n">
        <v>0.1805093561997273</v>
      </c>
      <c r="AG388" s="3" t="n">
        <v>0</v>
      </c>
      <c r="AH388" s="3" t="n">
        <v>3</v>
      </c>
      <c r="AI388" s="3" t="n">
        <v>3.3348</v>
      </c>
      <c r="AJ388" s="3" t="n">
        <v>1.6498</v>
      </c>
      <c r="AK388" s="3" t="n">
        <v>-0.1890223002434963</v>
      </c>
      <c r="AL388" s="6" t="n">
        <v>0</v>
      </c>
      <c r="AM388" s="3" t="n">
        <v>0</v>
      </c>
      <c r="AN388" s="3" t="n">
        <v>0</v>
      </c>
      <c r="AO388" s="3" t="n">
        <v>0.013464</v>
      </c>
      <c r="AP388" s="3">
        <f>N(X388)*N(BI388)</f>
        <v/>
      </c>
      <c r="AQ388" s="3" t="n">
        <v>0</v>
      </c>
      <c r="AR388" s="3" t="n">
        <v>0</v>
      </c>
      <c r="AS388" s="3" t="n">
        <v>-0.5841244809045405</v>
      </c>
      <c r="AT388" s="3" t="n">
        <v>-0.1890223002434963</v>
      </c>
      <c r="AU388" s="3">
        <f>SUM(AN388:AT388)</f>
        <v/>
      </c>
      <c r="AV388" s="7">
        <f>IF(OR(N(W388)&lt;=0,N(BG388)=0),0,N(W388)*IF(N(R388)/N(W388)&gt;=60,N(BG388),1))</f>
        <v/>
      </c>
      <c r="AW388" s="7">
        <f>N(W388)*N(AF388)*N(BH388)</f>
        <v/>
      </c>
      <c r="AX388" s="7">
        <f>N(AL388)*(Assumptions!$B$13*N(BJ388)-(1-Assumptions!$B$13)*Assumptions!$B$14)+N(AM388)</f>
        <v/>
      </c>
      <c r="AY388" s="7">
        <f>N(AU388)*N(R388)/90+N(AV388)+N(AW388)+N(AX388)</f>
        <v/>
      </c>
      <c r="AZ388" s="3">
        <f>IF(N(R388)&lt;=0,0,(N(AY388)-N(AX388))*90/N(R388))</f>
        <v/>
      </c>
      <c r="BA388" s="7">
        <f>IFERROR(AY388-VLOOKUP($E388,Assumptions!$A$40:$C$43,3,FALSE),"")</f>
        <v/>
      </c>
      <c r="BB388" s="3">
        <f>IFERROR(BA388/H388,"")</f>
        <v/>
      </c>
      <c r="BC388">
        <f>IF(AND($G388=TRUE,$E388="GKP"),AY388,"")</f>
        <v/>
      </c>
      <c r="BD388">
        <f>IF(AND($G388=TRUE,$E388="DEF"),AY388,"")</f>
        <v/>
      </c>
      <c r="BE388">
        <f>IF(AND($G388=TRUE,$E388="MID"),AY388,"")</f>
        <v/>
      </c>
      <c r="BF388">
        <f>IF(AND($G388=TRUE,$E388="FWD"),AY388,"")</f>
        <v/>
      </c>
      <c r="BG388" t="n">
        <v>2</v>
      </c>
      <c r="BH388" t="n">
        <v>2</v>
      </c>
      <c r="BI388" t="n">
        <v>4</v>
      </c>
      <c r="BJ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s="4" t="n">
        <v>180</v>
      </c>
      <c r="O389" s="4" t="n">
        <v>161</v>
      </c>
      <c r="P389" s="5" t="inlineStr">
        <is>
          <t>low</t>
        </is>
      </c>
      <c r="Q389" t="inlineStr">
        <is>
          <t>flat</t>
        </is>
      </c>
      <c r="R389" s="6" t="n">
        <v>180</v>
      </c>
      <c r="S389" t="inlineStr">
        <is>
          <t>research</t>
        </is>
      </c>
      <c r="T389" s="5" t="inlineStr">
        <is>
          <t>Started the UEFA Super Cup final at 19 and went close to an equaliser, then started against Monchengladbach. Emery discussed him at length post-match as a number ten being deliberately developed. Kept small: a showpiece start with the senior attackers absent is not a Premier League role, and he drops out once Garnacho and Manzambi are fit.</t>
        </is>
      </c>
      <c r="U389" s="6" t="n">
        <v>80.09999999999999</v>
      </c>
      <c r="V389" s="2" t="n">
        <v>0</v>
      </c>
      <c r="W389" s="7">
        <f>IF(N(U389)&lt;=0,0,MIN(Assumptions!$B$15,N(R389)/N(U389)))</f>
        <v/>
      </c>
      <c r="X389" s="6" t="n">
        <v>0.273</v>
      </c>
      <c r="Y389" s="3" t="n">
        <v>0.144</v>
      </c>
      <c r="Z389" t="inlineStr">
        <is>
          <t>adjusted xGOT</t>
        </is>
      </c>
      <c r="AA389" s="3" t="n">
        <v>1</v>
      </c>
      <c r="AB389" s="3" t="n">
        <v>0.995</v>
      </c>
      <c r="AC389" s="3" t="n">
        <v>0</v>
      </c>
      <c r="AD389" s="3" t="n">
        <v>0.018</v>
      </c>
      <c r="AE389" s="3" t="n">
        <v>8.41</v>
      </c>
      <c r="AF389" s="3" t="n">
        <v>0.07836075947435073</v>
      </c>
      <c r="AG389" s="3" t="n">
        <v>0</v>
      </c>
      <c r="AH389" s="3" t="n">
        <v>2</v>
      </c>
      <c r="AI389" s="3" t="n">
        <v>2.7451</v>
      </c>
      <c r="AJ389" s="3" t="n">
        <v>1.3575</v>
      </c>
      <c r="AK389" s="3" t="n">
        <v>-0.2126405378231206</v>
      </c>
      <c r="AL389" s="6" t="n">
        <v>0</v>
      </c>
      <c r="AM389" s="3" t="n">
        <v>0</v>
      </c>
      <c r="AN389" s="3" t="n">
        <v>0.72</v>
      </c>
      <c r="AO389" s="3" t="n">
        <v>0.07128</v>
      </c>
      <c r="AP389" s="3">
        <f>N(X389)*N(BI389)</f>
        <v/>
      </c>
      <c r="AQ389" s="3" t="n">
        <v>0</v>
      </c>
      <c r="AR389" s="3" t="n">
        <v>0</v>
      </c>
      <c r="AS389" s="3" t="n">
        <v>-0</v>
      </c>
      <c r="AT389" s="3" t="n">
        <v>-0.2126405378231206</v>
      </c>
      <c r="AU389" s="3">
        <f>SUM(AN389:AT389)</f>
        <v/>
      </c>
      <c r="AV389" s="7">
        <f>IF(OR(N(W389)&lt;=0,N(BG389)=0),0,N(W389)*IF(N(R389)/N(W389)&gt;=60,N(BG389),1))</f>
        <v/>
      </c>
      <c r="AW389" s="7">
        <f>N(W389)*N(AF389)*N(BH389)</f>
        <v/>
      </c>
      <c r="AX389" s="7">
        <f>N(AL389)*(Assumptions!$B$13*N(BJ389)-(1-Assumptions!$B$13)*Assumptions!$B$14)+N(AM389)</f>
        <v/>
      </c>
      <c r="AY389" s="7">
        <f>N(AU389)*N(R389)/90+N(AV389)+N(AW389)+N(AX389)</f>
        <v/>
      </c>
      <c r="AZ389" s="3">
        <f>IF(N(R389)&lt;=0,0,(N(AY389)-N(AX389))*90/N(R389))</f>
        <v/>
      </c>
      <c r="BA389" s="7">
        <f>IFERROR(AY389-VLOOKUP($E389,Assumptions!$A$40:$C$43,3,FALSE),"")</f>
        <v/>
      </c>
      <c r="BB389" s="3">
        <f>IFERROR(BA389/H389,"")</f>
        <v/>
      </c>
      <c r="BC389">
        <f>IF(AND($G389=TRUE,$E389="GKP"),AY389,"")</f>
        <v/>
      </c>
      <c r="BD389">
        <f>IF(AND($G389=TRUE,$E389="DEF"),AY389,"")</f>
        <v/>
      </c>
      <c r="BE389">
        <f>IF(AND($G389=TRUE,$E389="MID"),AY389,"")</f>
        <v/>
      </c>
      <c r="BF389">
        <f>IF(AND($G389=TRUE,$E389="FWD"),AY389,"")</f>
        <v/>
      </c>
      <c r="BG389" t="n">
        <v>2</v>
      </c>
      <c r="BH389" t="n">
        <v>2</v>
      </c>
      <c r="BI389" t="n">
        <v>1</v>
      </c>
      <c r="BJ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s="8" t="n">
        <v>0</v>
      </c>
      <c r="O390" s="8" t="n">
        <v>0</v>
      </c>
      <c r="Q390" t="inlineStr">
        <is>
          <t>flat</t>
        </is>
      </c>
      <c r="R390" s="6" t="n">
        <v>0</v>
      </c>
      <c r="S390" t="inlineStr">
        <is>
          <t>Solio</t>
        </is>
      </c>
      <c r="U390" s="6" t="n">
        <v>78.5</v>
      </c>
      <c r="V390" s="2" t="n">
        <v>0</v>
      </c>
      <c r="W390" s="7">
        <f>IF(N(U390)&lt;=0,0,MIN(Assumptions!$B$15,N(R390)/N(U390)))</f>
        <v/>
      </c>
      <c r="X390" s="6" t="n">
        <v>0.286</v>
      </c>
      <c r="Y390" s="3" t="n">
        <v>0</v>
      </c>
      <c r="Z390" t="inlineStr">
        <is>
          <t>adjusted xGOT</t>
        </is>
      </c>
      <c r="AA390" s="3" t="n">
        <v>1</v>
      </c>
      <c r="AB390" s="3" t="n">
        <v>0.995</v>
      </c>
      <c r="AC390" s="3" t="n">
        <v>0</v>
      </c>
      <c r="AD390" s="3" t="n">
        <v>0.0643</v>
      </c>
      <c r="AE390" s="3" t="n">
        <v>4.871</v>
      </c>
      <c r="AF390" s="3" t="n">
        <v>0.001510074530455929</v>
      </c>
      <c r="AG390" s="3" t="n">
        <v>0</v>
      </c>
      <c r="AH390" s="3" t="n">
        <v>2</v>
      </c>
      <c r="AI390" s="3" t="n">
        <v>2.5739</v>
      </c>
      <c r="AJ390" s="3" t="n">
        <v>1.3096</v>
      </c>
      <c r="AK390" s="3" t="n">
        <v>-0.1710164618431031</v>
      </c>
      <c r="AL390" s="6" t="n">
        <v>0</v>
      </c>
      <c r="AM390" s="3" t="n">
        <v>0</v>
      </c>
      <c r="AN390" s="3" t="n">
        <v>0</v>
      </c>
      <c r="AO390" s="3" t="n">
        <v>0.254628</v>
      </c>
      <c r="AP390" s="3">
        <f>N(X390)*N(BI390)</f>
        <v/>
      </c>
      <c r="AQ390" s="3" t="n">
        <v>0</v>
      </c>
      <c r="AR390" s="3" t="n">
        <v>0</v>
      </c>
      <c r="AS390" s="3" t="n">
        <v>-0</v>
      </c>
      <c r="AT390" s="3" t="n">
        <v>-0.1710164618431031</v>
      </c>
      <c r="AU390" s="3">
        <f>SUM(AN390:AT390)</f>
        <v/>
      </c>
      <c r="AV390" s="7">
        <f>IF(OR(N(W390)&lt;=0,N(BG390)=0),0,N(W390)*IF(N(R390)/N(W390)&gt;=60,N(BG390),1))</f>
        <v/>
      </c>
      <c r="AW390" s="7">
        <f>N(W390)*N(AF390)*N(BH390)</f>
        <v/>
      </c>
      <c r="AX390" s="7">
        <f>N(AL390)*(Assumptions!$B$13*N(BJ390)-(1-Assumptions!$B$13)*Assumptions!$B$14)+N(AM390)</f>
        <v/>
      </c>
      <c r="AY390" s="7">
        <f>N(AU390)*N(R390)/90+N(AV390)+N(AW390)+N(AX390)</f>
        <v/>
      </c>
      <c r="AZ390" s="3">
        <f>IF(N(R390)&lt;=0,0,(N(AY390)-N(AX390))*90/N(R390))</f>
        <v/>
      </c>
      <c r="BA390" s="7">
        <f>IFERROR(AY390-VLOOKUP($E390,Assumptions!$A$40:$C$43,3,FALSE),"")</f>
        <v/>
      </c>
      <c r="BB390" s="3">
        <f>IFERROR(BA390/H390,"")</f>
        <v/>
      </c>
      <c r="BC390">
        <f>IF(AND($G390=TRUE,$E390="GKP"),AY390,"")</f>
        <v/>
      </c>
      <c r="BD390">
        <f>IF(AND($G390=TRUE,$E390="DEF"),AY390,"")</f>
        <v/>
      </c>
      <c r="BE390">
        <f>IF(AND($G390=TRUE,$E390="MID"),AY390,"")</f>
        <v/>
      </c>
      <c r="BF390">
        <f>IF(AND($G390=TRUE,$E390="FWD"),AY390,"")</f>
        <v/>
      </c>
      <c r="BG390" t="n">
        <v>2</v>
      </c>
      <c r="BH390" t="n">
        <v>2</v>
      </c>
      <c r="BI390" t="n">
        <v>0</v>
      </c>
      <c r="BJ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N391" s="4" t="n">
        <v>0</v>
      </c>
      <c r="O391" s="4" t="n">
        <v>-90</v>
      </c>
      <c r="P391" s="5" t="inlineStr">
        <is>
          <t>high</t>
        </is>
      </c>
      <c r="R391" s="6" t="n">
        <v>0</v>
      </c>
      <c r="S391" t="inlineStr">
        <is>
          <t>research</t>
        </is>
      </c>
      <c r="T391" s="5" t="inlineStr">
        <is>
          <t>Joined Bristol City on loan for the rest of the season on 11 August. FPL status 'u', chance_of_playing 0, news dated 2026-08-12. Cannot record Premier League minutes.</t>
        </is>
      </c>
      <c r="U391" s="6" t="n">
        <v>81</v>
      </c>
      <c r="V391" s="2" t="n">
        <v>1</v>
      </c>
      <c r="W391" s="7">
        <f>IF(N(U391)&lt;=0,0,MIN(Assumptions!$B$15,N(R391)/N(U391)))</f>
        <v/>
      </c>
      <c r="X391" s="6" t="n">
        <v>0.216</v>
      </c>
      <c r="Y391" s="3" t="n">
        <v>0.02</v>
      </c>
      <c r="Z391" t="inlineStr">
        <is>
          <t>adjusted xGOT</t>
        </is>
      </c>
      <c r="AA391" s="3" t="n">
        <v>1</v>
      </c>
      <c r="AB391" s="3" t="n">
        <v>0.998</v>
      </c>
      <c r="AC391" s="3" t="n">
        <v>0</v>
      </c>
      <c r="AD391" s="3" t="n">
        <v>0.229</v>
      </c>
      <c r="AE391" s="3" t="n">
        <v>8.401999999999999</v>
      </c>
      <c r="AF391" s="3" t="n">
        <v>0.2307079737435496</v>
      </c>
      <c r="AG391" s="3" t="n">
        <v>0</v>
      </c>
      <c r="AH391" s="3" t="n">
        <v>2</v>
      </c>
      <c r="AI391" s="3" t="n">
        <v>3.2035</v>
      </c>
      <c r="AJ391" s="3" t="n">
        <v>1.5923</v>
      </c>
      <c r="AK391" s="3" t="n">
        <v>-0.1937389014251048</v>
      </c>
      <c r="AL391" s="6" t="n">
        <v>0</v>
      </c>
      <c r="AM391" s="3" t="n">
        <v>0</v>
      </c>
      <c r="AN391" s="3" t="n">
        <v>0.12</v>
      </c>
      <c r="AO391" s="3" t="n">
        <v>0.9068400000000001</v>
      </c>
      <c r="AP391" s="3">
        <f>N(X391)*N(BI391)</f>
        <v/>
      </c>
      <c r="AQ391" s="3" t="n">
        <v>0</v>
      </c>
      <c r="AR391" s="3" t="n">
        <v>0</v>
      </c>
      <c r="AS391" s="3" t="n">
        <v>-0.5564987001023466</v>
      </c>
      <c r="AT391" s="3" t="n">
        <v>-0.1937389014251048</v>
      </c>
      <c r="AU391" s="3">
        <f>SUM(AN391:AT391)</f>
        <v/>
      </c>
      <c r="AV391" s="7">
        <f>IF(OR(N(W391)&lt;=0,N(BG391)=0),0,N(W391)*IF(N(R391)/N(W391)&gt;=60,N(BG391),1))</f>
        <v/>
      </c>
      <c r="AW391" s="7">
        <f>N(W391)*N(AF391)*N(BH391)</f>
        <v/>
      </c>
      <c r="AX391" s="7">
        <f>N(AL391)*(Assumptions!$B$13*N(BJ391)-(1-Assumptions!$B$13)*Assumptions!$B$14)+N(AM391)</f>
        <v/>
      </c>
      <c r="AY391" s="7">
        <f>N(AU391)*N(R391)/90+N(AV391)+N(AW391)+N(AX391)</f>
        <v/>
      </c>
      <c r="AZ391" s="3">
        <f>IF(N(R391)&lt;=0,0,(N(AY391)-N(AX391))*90/N(R391))</f>
        <v/>
      </c>
      <c r="BA391" s="7">
        <f>IFERROR(AY391-VLOOKUP($E391,Assumptions!$A$40:$C$43,3,FALSE),"")</f>
        <v/>
      </c>
      <c r="BB391" s="3">
        <f>IFERROR(BA391/H391,"")</f>
        <v/>
      </c>
      <c r="BC391">
        <f>IF(AND($G391=TRUE,$E391="GKP"),AY391,"")</f>
        <v/>
      </c>
      <c r="BD391">
        <f>IF(AND($G391=TRUE,$E391="DEF"),AY391,"")</f>
        <v/>
      </c>
      <c r="BE391">
        <f>IF(AND($G391=TRUE,$E391="MID"),AY391,"")</f>
        <v/>
      </c>
      <c r="BF391">
        <f>IF(AND($G391=TRUE,$E391="FWD"),AY391,"")</f>
        <v/>
      </c>
      <c r="BG391" t="n">
        <v>2</v>
      </c>
      <c r="BH391" t="n">
        <v>2</v>
      </c>
      <c r="BI391" t="n">
        <v>4</v>
      </c>
      <c r="BJ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s="8" t="n">
        <v>0</v>
      </c>
      <c r="O392" s="8" t="n">
        <v>0</v>
      </c>
      <c r="Q392" t="inlineStr">
        <is>
          <t>flat</t>
        </is>
      </c>
      <c r="R392" s="6" t="n">
        <v>0</v>
      </c>
      <c r="S392" t="inlineStr">
        <is>
          <t>Solio</t>
        </is>
      </c>
      <c r="U392" s="6" t="n">
        <v>85.5</v>
      </c>
      <c r="V392" s="2" t="n">
        <v>0</v>
      </c>
      <c r="W392" s="7">
        <f>IF(N(U392)&lt;=0,0,MIN(Assumptions!$B$15,N(R392)/N(U392)))</f>
        <v/>
      </c>
      <c r="X392" s="6" t="n">
        <v>0.286</v>
      </c>
      <c r="Y392" s="3" t="n">
        <v>0</v>
      </c>
      <c r="Z392" t="inlineStr">
        <is>
          <t>blended xG</t>
        </is>
      </c>
      <c r="AA392" s="3" t="n">
        <v>1</v>
      </c>
      <c r="AB392" s="3" t="n">
        <v>1</v>
      </c>
      <c r="AC392" s="3" t="n">
        <v>0</v>
      </c>
      <c r="AD392" s="3" t="n">
        <v>0</v>
      </c>
      <c r="AE392" s="3" t="n">
        <v>7.674</v>
      </c>
      <c r="AF392" s="3" t="n">
        <v>0.2001181230412002</v>
      </c>
      <c r="AG392" s="3" t="n">
        <v>0</v>
      </c>
      <c r="AH392" s="3" t="n">
        <v>1</v>
      </c>
      <c r="AI392" s="3" t="n">
        <v>2.5739</v>
      </c>
      <c r="AJ392" s="3" t="n">
        <v>1.3096</v>
      </c>
      <c r="AK392" s="3" t="n">
        <v>-0.2043954225041625</v>
      </c>
      <c r="AL392" s="6" t="n">
        <v>0</v>
      </c>
      <c r="AM392" s="3" t="n">
        <v>0</v>
      </c>
      <c r="AN392" s="3" t="n">
        <v>0</v>
      </c>
      <c r="AO392" s="3" t="n">
        <v>0</v>
      </c>
      <c r="AP392" s="3">
        <f>N(X392)*N(BI392)</f>
        <v/>
      </c>
      <c r="AQ392" s="3" t="n">
        <v>0</v>
      </c>
      <c r="AR392" s="3" t="n">
        <v>0</v>
      </c>
      <c r="AS392" s="3" t="n">
        <v>-0.4230152821052008</v>
      </c>
      <c r="AT392" s="3" t="n">
        <v>-0.2043954225041625</v>
      </c>
      <c r="AU392" s="3">
        <f>SUM(AN392:AT392)</f>
        <v/>
      </c>
      <c r="AV392" s="7">
        <f>IF(OR(N(W392)&lt;=0,N(BG392)=0),0,N(W392)*IF(N(R392)/N(W392)&gt;=60,N(BG392),1))</f>
        <v/>
      </c>
      <c r="AW392" s="7">
        <f>N(W392)*N(AF392)*N(BH392)</f>
        <v/>
      </c>
      <c r="AX392" s="7">
        <f>N(AL392)*(Assumptions!$B$13*N(BJ392)-(1-Assumptions!$B$13)*Assumptions!$B$14)+N(AM392)</f>
        <v/>
      </c>
      <c r="AY392" s="7">
        <f>N(AU392)*N(R392)/90+N(AV392)+N(AW392)+N(AX392)</f>
        <v/>
      </c>
      <c r="AZ392" s="3">
        <f>IF(N(R392)&lt;=0,0,(N(AY392)-N(AX392))*90/N(R392))</f>
        <v/>
      </c>
      <c r="BA392" s="7">
        <f>IFERROR(AY392-VLOOKUP($E392,Assumptions!$A$40:$C$43,3,FALSE),"")</f>
        <v/>
      </c>
      <c r="BB392" s="3">
        <f>IFERROR(BA392/H392,"")</f>
        <v/>
      </c>
      <c r="BC392">
        <f>IF(AND($G392=TRUE,$E392="GKP"),AY392,"")</f>
        <v/>
      </c>
      <c r="BD392">
        <f>IF(AND($G392=TRUE,$E392="DEF"),AY392,"")</f>
        <v/>
      </c>
      <c r="BE392">
        <f>IF(AND($G392=TRUE,$E392="MID"),AY392,"")</f>
        <v/>
      </c>
      <c r="BF392">
        <f>IF(AND($G392=TRUE,$E392="FWD"),AY392,"")</f>
        <v/>
      </c>
      <c r="BG392" t="n">
        <v>2</v>
      </c>
      <c r="BH392" t="n">
        <v>2</v>
      </c>
      <c r="BI392" t="n">
        <v>4</v>
      </c>
      <c r="BJ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s="8" t="n">
        <v>0</v>
      </c>
      <c r="O393" s="8" t="n">
        <v>0</v>
      </c>
      <c r="Q393" t="inlineStr">
        <is>
          <t>flat</t>
        </is>
      </c>
      <c r="R393" s="6" t="n">
        <v>0</v>
      </c>
      <c r="S393" t="inlineStr">
        <is>
          <t>Solio</t>
        </is>
      </c>
      <c r="U393" s="6" t="n">
        <v>80.09999999999999</v>
      </c>
      <c r="V393" s="2" t="n">
        <v>0</v>
      </c>
      <c r="W393" s="7">
        <f>IF(N(U393)&lt;=0,0,MIN(Assumptions!$B$15,N(R393)/N(U393)))</f>
        <v/>
      </c>
      <c r="X393" s="6" t="n">
        <v>0.252</v>
      </c>
      <c r="Y393" s="3" t="n">
        <v>0</v>
      </c>
      <c r="Z393" t="inlineStr">
        <is>
          <t>blended xG</t>
        </is>
      </c>
      <c r="AA393" s="3" t="n">
        <v>1</v>
      </c>
      <c r="AB393" s="3" t="n">
        <v>1</v>
      </c>
      <c r="AC393" s="3" t="n">
        <v>0</v>
      </c>
      <c r="AD393" s="3" t="n">
        <v>0</v>
      </c>
      <c r="AE393" s="3" t="n">
        <v>8.565</v>
      </c>
      <c r="AF393" s="3" t="n">
        <v>0.08663699373124534</v>
      </c>
      <c r="AG393" s="3" t="n">
        <v>0</v>
      </c>
      <c r="AH393" s="3" t="n">
        <v>1</v>
      </c>
      <c r="AI393" s="3" t="n">
        <v>2.8404</v>
      </c>
      <c r="AJ393" s="3" t="n">
        <v>1.439</v>
      </c>
      <c r="AK393" s="3" t="n">
        <v>-0.2159050344539974</v>
      </c>
      <c r="AL393" s="6" t="n">
        <v>0</v>
      </c>
      <c r="AM393" s="3" t="n">
        <v>0</v>
      </c>
      <c r="AN393" s="3" t="n">
        <v>0</v>
      </c>
      <c r="AO393" s="3" t="n">
        <v>0</v>
      </c>
      <c r="AP393" s="3">
        <f>N(X393)*N(BI393)</f>
        <v/>
      </c>
      <c r="AQ393" s="3" t="n">
        <v>0</v>
      </c>
      <c r="AR393" s="3" t="n">
        <v>0</v>
      </c>
      <c r="AS393" s="3" t="n">
        <v>-0</v>
      </c>
      <c r="AT393" s="3" t="n">
        <v>-0.2159050344539974</v>
      </c>
      <c r="AU393" s="3">
        <f>SUM(AN393:AT393)</f>
        <v/>
      </c>
      <c r="AV393" s="7">
        <f>IF(OR(N(W393)&lt;=0,N(BG393)=0),0,N(W393)*IF(N(R393)/N(W393)&gt;=60,N(BG393),1))</f>
        <v/>
      </c>
      <c r="AW393" s="7">
        <f>N(W393)*N(AF393)*N(BH393)</f>
        <v/>
      </c>
      <c r="AX393" s="7">
        <f>N(AL393)*(Assumptions!$B$13*N(BJ393)-(1-Assumptions!$B$13)*Assumptions!$B$14)+N(AM393)</f>
        <v/>
      </c>
      <c r="AY393" s="7">
        <f>N(AU393)*N(R393)/90+N(AV393)+N(AW393)+N(AX393)</f>
        <v/>
      </c>
      <c r="AZ393" s="3">
        <f>IF(N(R393)&lt;=0,0,(N(AY393)-N(AX393))*90/N(R393))</f>
        <v/>
      </c>
      <c r="BA393" s="7">
        <f>IFERROR(AY393-VLOOKUP($E393,Assumptions!$A$40:$C$43,3,FALSE),"")</f>
        <v/>
      </c>
      <c r="BB393" s="3">
        <f>IFERROR(BA393/H393,"")</f>
        <v/>
      </c>
      <c r="BC393">
        <f>IF(AND($G393=TRUE,$E393="GKP"),AY393,"")</f>
        <v/>
      </c>
      <c r="BD393">
        <f>IF(AND($G393=TRUE,$E393="DEF"),AY393,"")</f>
        <v/>
      </c>
      <c r="BE393">
        <f>IF(AND($G393=TRUE,$E393="MID"),AY393,"")</f>
        <v/>
      </c>
      <c r="BF393">
        <f>IF(AND($G393=TRUE,$E393="FWD"),AY393,"")</f>
        <v/>
      </c>
      <c r="BG393" t="n">
        <v>2</v>
      </c>
      <c r="BH393" t="n">
        <v>2</v>
      </c>
      <c r="BI393" t="n">
        <v>1</v>
      </c>
      <c r="BJ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s="8" t="n">
        <v>0</v>
      </c>
      <c r="O394" s="8" t="n">
        <v>0</v>
      </c>
      <c r="Q394" t="inlineStr">
        <is>
          <t>flat</t>
        </is>
      </c>
      <c r="R394" s="6" t="n">
        <v>0</v>
      </c>
      <c r="S394" t="inlineStr">
        <is>
          <t>Solio</t>
        </is>
      </c>
      <c r="U394" s="6" t="n">
        <v>80.09999999999999</v>
      </c>
      <c r="V394" s="2" t="n">
        <v>0</v>
      </c>
      <c r="W394" s="7">
        <f>IF(N(U394)&lt;=0,0,MIN(Assumptions!$B$15,N(R394)/N(U394)))</f>
        <v/>
      </c>
      <c r="X394" s="6" t="n">
        <v>0.273</v>
      </c>
      <c r="Y394" s="3" t="n">
        <v>0</v>
      </c>
      <c r="Z394" t="inlineStr">
        <is>
          <t>blended xG</t>
        </is>
      </c>
      <c r="AA394" s="3" t="n">
        <v>1</v>
      </c>
      <c r="AB394" s="3" t="n">
        <v>1</v>
      </c>
      <c r="AC394" s="3" t="n">
        <v>0</v>
      </c>
      <c r="AD394" s="3" t="n">
        <v>0</v>
      </c>
      <c r="AE394" s="3" t="n">
        <v>8.513</v>
      </c>
      <c r="AF394" s="3" t="n">
        <v>0.0838023850392311</v>
      </c>
      <c r="AG394" s="3" t="n">
        <v>0</v>
      </c>
      <c r="AH394" s="3" t="n">
        <v>1</v>
      </c>
      <c r="AI394" s="3" t="n">
        <v>2.7451</v>
      </c>
      <c r="AJ394" s="3" t="n">
        <v>1.3575</v>
      </c>
      <c r="AK394" s="3" t="n">
        <v>-0.2138521122509435</v>
      </c>
      <c r="AL394" s="6" t="n">
        <v>0</v>
      </c>
      <c r="AM394" s="3" t="n">
        <v>0</v>
      </c>
      <c r="AN394" s="3" t="n">
        <v>0</v>
      </c>
      <c r="AO394" s="3" t="n">
        <v>0</v>
      </c>
      <c r="AP394" s="3">
        <f>N(X394)*N(BI394)</f>
        <v/>
      </c>
      <c r="AQ394" s="3" t="n">
        <v>0</v>
      </c>
      <c r="AR394" s="3" t="n">
        <v>0</v>
      </c>
      <c r="AS394" s="3" t="n">
        <v>-0</v>
      </c>
      <c r="AT394" s="3" t="n">
        <v>-0.2138521122509435</v>
      </c>
      <c r="AU394" s="3">
        <f>SUM(AN394:AT394)</f>
        <v/>
      </c>
      <c r="AV394" s="7">
        <f>IF(OR(N(W394)&lt;=0,N(BG394)=0),0,N(W394)*IF(N(R394)/N(W394)&gt;=60,N(BG394),1))</f>
        <v/>
      </c>
      <c r="AW394" s="7">
        <f>N(W394)*N(AF394)*N(BH394)</f>
        <v/>
      </c>
      <c r="AX394" s="7">
        <f>N(AL394)*(Assumptions!$B$13*N(BJ394)-(1-Assumptions!$B$13)*Assumptions!$B$14)+N(AM394)</f>
        <v/>
      </c>
      <c r="AY394" s="7">
        <f>N(AU394)*N(R394)/90+N(AV394)+N(AW394)+N(AX394)</f>
        <v/>
      </c>
      <c r="AZ394" s="3">
        <f>IF(N(R394)&lt;=0,0,(N(AY394)-N(AX394))*90/N(R394))</f>
        <v/>
      </c>
      <c r="BA394" s="7">
        <f>IFERROR(AY394-VLOOKUP($E394,Assumptions!$A$40:$C$43,3,FALSE),"")</f>
        <v/>
      </c>
      <c r="BB394" s="3">
        <f>IFERROR(BA394/H394,"")</f>
        <v/>
      </c>
      <c r="BC394">
        <f>IF(AND($G394=TRUE,$E394="GKP"),AY394,"")</f>
        <v/>
      </c>
      <c r="BD394">
        <f>IF(AND($G394=TRUE,$E394="DEF"),AY394,"")</f>
        <v/>
      </c>
      <c r="BE394">
        <f>IF(AND($G394=TRUE,$E394="MID"),AY394,"")</f>
        <v/>
      </c>
      <c r="BF394">
        <f>IF(AND($G394=TRUE,$E394="FWD"),AY394,"")</f>
        <v/>
      </c>
      <c r="BG394" t="n">
        <v>2</v>
      </c>
      <c r="BH394" t="n">
        <v>2</v>
      </c>
      <c r="BI394" t="n">
        <v>1</v>
      </c>
      <c r="BJ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s="8" t="n">
        <v>0</v>
      </c>
      <c r="O395" s="8" t="n">
        <v>0</v>
      </c>
      <c r="Q395" t="inlineStr">
        <is>
          <t>flat</t>
        </is>
      </c>
      <c r="R395" s="6" t="n">
        <v>0</v>
      </c>
      <c r="S395" t="inlineStr">
        <is>
          <t>Solio</t>
        </is>
      </c>
      <c r="U395" s="6" t="n">
        <v>78.5</v>
      </c>
      <c r="V395" s="2" t="n">
        <v>0</v>
      </c>
      <c r="W395" s="7">
        <f>IF(N(U395)&lt;=0,0,MIN(Assumptions!$B$15,N(R395)/N(U395)))</f>
        <v/>
      </c>
      <c r="X395" s="6" t="n">
        <v>0.248</v>
      </c>
      <c r="Y395" s="3" t="n">
        <v>0.2077</v>
      </c>
      <c r="Z395" t="inlineStr">
        <is>
          <t>adjusted xGOT</t>
        </is>
      </c>
      <c r="AA395" s="3" t="n">
        <v>1</v>
      </c>
      <c r="AB395" s="3" t="n">
        <v>0.996</v>
      </c>
      <c r="AC395" s="3" t="n">
        <v>0</v>
      </c>
      <c r="AD395" s="3" t="n">
        <v>0</v>
      </c>
      <c r="AE395" s="3" t="n">
        <v>4.708</v>
      </c>
      <c r="AF395" s="3" t="n">
        <v>0.001140054561917014</v>
      </c>
      <c r="AG395" s="3" t="n">
        <v>0</v>
      </c>
      <c r="AH395" s="3" t="n">
        <v>1</v>
      </c>
      <c r="AI395" s="3" t="n">
        <v>3.0912</v>
      </c>
      <c r="AJ395" s="3" t="n">
        <v>1.4534</v>
      </c>
      <c r="AK395" s="3" t="n">
        <v>-0.1732323483129252</v>
      </c>
      <c r="AL395" s="6" t="n">
        <v>0</v>
      </c>
      <c r="AM395" s="3" t="n">
        <v>0</v>
      </c>
      <c r="AN395" s="3" t="n">
        <v>0.8308</v>
      </c>
      <c r="AO395" s="3" t="n">
        <v>0</v>
      </c>
      <c r="AP395" s="3">
        <f>N(X395)*N(BI395)</f>
        <v/>
      </c>
      <c r="AQ395" s="3" t="n">
        <v>0</v>
      </c>
      <c r="AR395" s="3" t="n">
        <v>0</v>
      </c>
      <c r="AS395" s="3" t="n">
        <v>-0</v>
      </c>
      <c r="AT395" s="3" t="n">
        <v>-0.1732323483129252</v>
      </c>
      <c r="AU395" s="3">
        <f>SUM(AN395:AT395)</f>
        <v/>
      </c>
      <c r="AV395" s="7">
        <f>IF(OR(N(W395)&lt;=0,N(BG395)=0),0,N(W395)*IF(N(R395)/N(W395)&gt;=60,N(BG395),1))</f>
        <v/>
      </c>
      <c r="AW395" s="7">
        <f>N(W395)*N(AF395)*N(BH395)</f>
        <v/>
      </c>
      <c r="AX395" s="7">
        <f>N(AL395)*(Assumptions!$B$13*N(BJ395)-(1-Assumptions!$B$13)*Assumptions!$B$14)+N(AM395)</f>
        <v/>
      </c>
      <c r="AY395" s="7">
        <f>N(AU395)*N(R395)/90+N(AV395)+N(AW395)+N(AX395)</f>
        <v/>
      </c>
      <c r="AZ395" s="3">
        <f>IF(N(R395)&lt;=0,0,(N(AY395)-N(AX395))*90/N(R395))</f>
        <v/>
      </c>
      <c r="BA395" s="7">
        <f>IFERROR(AY395-VLOOKUP($E395,Assumptions!$A$40:$C$43,3,FALSE),"")</f>
        <v/>
      </c>
      <c r="BB395" s="3">
        <f>IFERROR(BA395/H395,"")</f>
        <v/>
      </c>
      <c r="BC395">
        <f>IF(AND($G395=TRUE,$E395="GKP"),AY395,"")</f>
        <v/>
      </c>
      <c r="BD395">
        <f>IF(AND($G395=TRUE,$E395="DEF"),AY395,"")</f>
        <v/>
      </c>
      <c r="BE395">
        <f>IF(AND($G395=TRUE,$E395="MID"),AY395,"")</f>
        <v/>
      </c>
      <c r="BF395">
        <f>IF(AND($G395=TRUE,$E395="FWD"),AY395,"")</f>
        <v/>
      </c>
      <c r="BG395" t="n">
        <v>2</v>
      </c>
      <c r="BH395" t="n">
        <v>2</v>
      </c>
      <c r="BI395" t="n">
        <v>0</v>
      </c>
      <c r="BJ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s="8" t="n">
        <v>0</v>
      </c>
      <c r="O396" s="8" t="n">
        <v>0</v>
      </c>
      <c r="Q396" t="inlineStr">
        <is>
          <t>flat</t>
        </is>
      </c>
      <c r="R396" s="6" t="n">
        <v>0</v>
      </c>
      <c r="S396" t="inlineStr">
        <is>
          <t>Solio</t>
        </is>
      </c>
      <c r="U396" s="6" t="n">
        <v>78.5</v>
      </c>
      <c r="V396" s="2" t="n">
        <v>0</v>
      </c>
      <c r="W396" s="7">
        <f>IF(N(U396)&lt;=0,0,MIN(Assumptions!$B$15,N(R396)/N(U396)))</f>
        <v/>
      </c>
      <c r="X396" s="6" t="n">
        <v>0.228</v>
      </c>
      <c r="Y396" s="3" t="n">
        <v>0</v>
      </c>
      <c r="Z396" t="inlineStr">
        <is>
          <t>blended xG</t>
        </is>
      </c>
      <c r="AA396" s="3" t="n">
        <v>1</v>
      </c>
      <c r="AB396" s="3" t="n">
        <v>1</v>
      </c>
      <c r="AC396" s="3" t="n">
        <v>0</v>
      </c>
      <c r="AD396" s="3" t="n">
        <v>0</v>
      </c>
      <c r="AE396" s="3" t="n">
        <v>4.786</v>
      </c>
      <c r="AF396" s="3" t="n">
        <v>0.001306427447581471</v>
      </c>
      <c r="AG396" s="3" t="n">
        <v>0</v>
      </c>
      <c r="AH396" s="3" t="n">
        <v>1</v>
      </c>
      <c r="AI396" s="3" t="n">
        <v>3.2371</v>
      </c>
      <c r="AJ396" s="3" t="n">
        <v>1.5396</v>
      </c>
      <c r="AK396" s="3" t="n">
        <v>-0.1745781315412974</v>
      </c>
      <c r="AL396" s="6" t="n">
        <v>0</v>
      </c>
      <c r="AM396" s="3" t="n">
        <v>0</v>
      </c>
      <c r="AN396" s="3" t="n">
        <v>0</v>
      </c>
      <c r="AO396" s="3" t="n">
        <v>0</v>
      </c>
      <c r="AP396" s="3">
        <f>N(X396)*N(BI396)</f>
        <v/>
      </c>
      <c r="AQ396" s="3" t="n">
        <v>0</v>
      </c>
      <c r="AR396" s="3" t="n">
        <v>0</v>
      </c>
      <c r="AS396" s="3" t="n">
        <v>-0</v>
      </c>
      <c r="AT396" s="3" t="n">
        <v>-0.1745781315412974</v>
      </c>
      <c r="AU396" s="3">
        <f>SUM(AN396:AT396)</f>
        <v/>
      </c>
      <c r="AV396" s="7">
        <f>IF(OR(N(W396)&lt;=0,N(BG396)=0),0,N(W396)*IF(N(R396)/N(W396)&gt;=60,N(BG396),1))</f>
        <v/>
      </c>
      <c r="AW396" s="7">
        <f>N(W396)*N(AF396)*N(BH396)</f>
        <v/>
      </c>
      <c r="AX396" s="7">
        <f>N(AL396)*(Assumptions!$B$13*N(BJ396)-(1-Assumptions!$B$13)*Assumptions!$B$14)+N(AM396)</f>
        <v/>
      </c>
      <c r="AY396" s="7">
        <f>N(AU396)*N(R396)/90+N(AV396)+N(AW396)+N(AX396)</f>
        <v/>
      </c>
      <c r="AZ396" s="3">
        <f>IF(N(R396)&lt;=0,0,(N(AY396)-N(AX396))*90/N(R396))</f>
        <v/>
      </c>
      <c r="BA396" s="7">
        <f>IFERROR(AY396-VLOOKUP($E396,Assumptions!$A$40:$C$43,3,FALSE),"")</f>
        <v/>
      </c>
      <c r="BB396" s="3">
        <f>IFERROR(BA396/H396,"")</f>
        <v/>
      </c>
      <c r="BC396">
        <f>IF(AND($G396=TRUE,$E396="GKP"),AY396,"")</f>
        <v/>
      </c>
      <c r="BD396">
        <f>IF(AND($G396=TRUE,$E396="DEF"),AY396,"")</f>
        <v/>
      </c>
      <c r="BE396">
        <f>IF(AND($G396=TRUE,$E396="MID"),AY396,"")</f>
        <v/>
      </c>
      <c r="BF396">
        <f>IF(AND($G396=TRUE,$E396="FWD"),AY396,"")</f>
        <v/>
      </c>
      <c r="BG396" t="n">
        <v>2</v>
      </c>
      <c r="BH396" t="n">
        <v>2</v>
      </c>
      <c r="BI396" t="n">
        <v>0</v>
      </c>
      <c r="BJ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s="8" t="n">
        <v>0</v>
      </c>
      <c r="O397" s="8" t="n">
        <v>0</v>
      </c>
      <c r="Q397" t="inlineStr">
        <is>
          <t>flat</t>
        </is>
      </c>
      <c r="R397" s="6" t="n">
        <v>0</v>
      </c>
      <c r="S397" t="inlineStr">
        <is>
          <t>Solio</t>
        </is>
      </c>
      <c r="U397" s="6" t="n">
        <v>78.5</v>
      </c>
      <c r="V397" s="2" t="n">
        <v>0</v>
      </c>
      <c r="W397" s="7">
        <f>IF(N(U397)&lt;=0,0,MIN(Assumptions!$B$15,N(R397)/N(U397)))</f>
        <v/>
      </c>
      <c r="X397" s="6" t="n">
        <v>0.322</v>
      </c>
      <c r="Y397" s="3" t="n">
        <v>0</v>
      </c>
      <c r="Z397" t="inlineStr">
        <is>
          <t>adjusted xGOT</t>
        </is>
      </c>
      <c r="AA397" s="3" t="n">
        <v>1</v>
      </c>
      <c r="AB397" s="3" t="n">
        <v>1.017</v>
      </c>
      <c r="AC397" s="3" t="n">
        <v>0.1</v>
      </c>
      <c r="AD397" s="3" t="n">
        <v>0</v>
      </c>
      <c r="AE397" s="3" t="n">
        <v>4.911</v>
      </c>
      <c r="AF397" s="3" t="n">
        <v>0.001614577528669114</v>
      </c>
      <c r="AG397" s="3" t="n">
        <v>0</v>
      </c>
      <c r="AH397" s="3" t="n">
        <v>1</v>
      </c>
      <c r="AI397" s="3" t="n">
        <v>2.4232</v>
      </c>
      <c r="AJ397" s="3" t="n">
        <v>1.1851</v>
      </c>
      <c r="AK397" s="3" t="n">
        <v>-0.174510310265256</v>
      </c>
      <c r="AL397" s="6" t="n">
        <v>0</v>
      </c>
      <c r="AM397" s="3" t="n">
        <v>0</v>
      </c>
      <c r="AN397" s="3" t="n">
        <v>0</v>
      </c>
      <c r="AO397" s="3" t="n">
        <v>0</v>
      </c>
      <c r="AP397" s="3">
        <f>N(X397)*N(BI397)</f>
        <v/>
      </c>
      <c r="AQ397" s="3" t="n">
        <v>0</v>
      </c>
      <c r="AR397" s="3" t="n">
        <v>0</v>
      </c>
      <c r="AS397" s="3" t="n">
        <v>-0</v>
      </c>
      <c r="AT397" s="3" t="n">
        <v>-0.174510310265256</v>
      </c>
      <c r="AU397" s="3">
        <f>SUM(AN397:AT397)</f>
        <v/>
      </c>
      <c r="AV397" s="7">
        <f>IF(OR(N(W397)&lt;=0,N(BG397)=0),0,N(W397)*IF(N(R397)/N(W397)&gt;=60,N(BG397),1))</f>
        <v/>
      </c>
      <c r="AW397" s="7">
        <f>N(W397)*N(AF397)*N(BH397)</f>
        <v/>
      </c>
      <c r="AX397" s="7">
        <f>N(AL397)*(Assumptions!$B$13*N(BJ397)-(1-Assumptions!$B$13)*Assumptions!$B$14)+N(AM397)</f>
        <v/>
      </c>
      <c r="AY397" s="7">
        <f>N(AU397)*N(R397)/90+N(AV397)+N(AW397)+N(AX397)</f>
        <v/>
      </c>
      <c r="AZ397" s="3">
        <f>IF(N(R397)&lt;=0,0,(N(AY397)-N(AX397))*90/N(R397))</f>
        <v/>
      </c>
      <c r="BA397" s="7">
        <f>IFERROR(AY397-VLOOKUP($E397,Assumptions!$A$40:$C$43,3,FALSE),"")</f>
        <v/>
      </c>
      <c r="BB397" s="3">
        <f>IFERROR(BA397/H397,"")</f>
        <v/>
      </c>
      <c r="BC397">
        <f>IF(AND($G397=TRUE,$E397="GKP"),AY397,"")</f>
        <v/>
      </c>
      <c r="BD397">
        <f>IF(AND($G397=TRUE,$E397="DEF"),AY397,"")</f>
        <v/>
      </c>
      <c r="BE397">
        <f>IF(AND($G397=TRUE,$E397="MID"),AY397,"")</f>
        <v/>
      </c>
      <c r="BF397">
        <f>IF(AND($G397=TRUE,$E397="FWD"),AY397,"")</f>
        <v/>
      </c>
      <c r="BG397" t="n">
        <v>2</v>
      </c>
      <c r="BH397" t="n">
        <v>2</v>
      </c>
      <c r="BI397" t="n">
        <v>0</v>
      </c>
      <c r="BJ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s="8" t="n">
        <v>0</v>
      </c>
      <c r="O398" s="8" t="n">
        <v>0</v>
      </c>
      <c r="Q398" t="inlineStr">
        <is>
          <t>flat</t>
        </is>
      </c>
      <c r="R398" s="6" t="n">
        <v>0</v>
      </c>
      <c r="S398" t="inlineStr">
        <is>
          <t>Solio</t>
        </is>
      </c>
      <c r="U398" s="6" t="n">
        <v>80.09999999999999</v>
      </c>
      <c r="V398" s="2" t="n">
        <v>0</v>
      </c>
      <c r="W398" s="7">
        <f>IF(N(U398)&lt;=0,0,MIN(Assumptions!$B$15,N(R398)/N(U398)))</f>
        <v/>
      </c>
      <c r="X398" s="6" t="n">
        <v>0.334</v>
      </c>
      <c r="Y398" s="3" t="n">
        <v>0</v>
      </c>
      <c r="Z398" t="inlineStr">
        <is>
          <t>blended xG</t>
        </is>
      </c>
      <c r="AA398" s="3" t="n">
        <v>1</v>
      </c>
      <c r="AB398" s="3" t="n">
        <v>1</v>
      </c>
      <c r="AC398" s="3" t="n">
        <v>0</v>
      </c>
      <c r="AD398" s="3" t="n">
        <v>0.1394</v>
      </c>
      <c r="AE398" s="3" t="n">
        <v>8.401999999999999</v>
      </c>
      <c r="AF398" s="3" t="n">
        <v>0.07794771869218686</v>
      </c>
      <c r="AG398" s="3" t="n">
        <v>0</v>
      </c>
      <c r="AH398" s="3" t="n">
        <v>1</v>
      </c>
      <c r="AI398" s="3" t="n">
        <v>2.2165</v>
      </c>
      <c r="AJ398" s="3" t="n">
        <v>1.1467</v>
      </c>
      <c r="AK398" s="3" t="n">
        <v>-0.2139876568509252</v>
      </c>
      <c r="AL398" s="6" t="n">
        <v>0</v>
      </c>
      <c r="AM398" s="3" t="n">
        <v>0</v>
      </c>
      <c r="AN398" s="3" t="n">
        <v>0</v>
      </c>
      <c r="AO398" s="3" t="n">
        <v>0.5520240000000001</v>
      </c>
      <c r="AP398" s="3">
        <f>N(X398)*N(BI398)</f>
        <v/>
      </c>
      <c r="AQ398" s="3" t="n">
        <v>0</v>
      </c>
      <c r="AR398" s="3" t="n">
        <v>0</v>
      </c>
      <c r="AS398" s="3" t="n">
        <v>-0</v>
      </c>
      <c r="AT398" s="3" t="n">
        <v>-0.2139876568509252</v>
      </c>
      <c r="AU398" s="3">
        <f>SUM(AN398:AT398)</f>
        <v/>
      </c>
      <c r="AV398" s="7">
        <f>IF(OR(N(W398)&lt;=0,N(BG398)=0),0,N(W398)*IF(N(R398)/N(W398)&gt;=60,N(BG398),1))</f>
        <v/>
      </c>
      <c r="AW398" s="7">
        <f>N(W398)*N(AF398)*N(BH398)</f>
        <v/>
      </c>
      <c r="AX398" s="7">
        <f>N(AL398)*(Assumptions!$B$13*N(BJ398)-(1-Assumptions!$B$13)*Assumptions!$B$14)+N(AM398)</f>
        <v/>
      </c>
      <c r="AY398" s="7">
        <f>N(AU398)*N(R398)/90+N(AV398)+N(AW398)+N(AX398)</f>
        <v/>
      </c>
      <c r="AZ398" s="3">
        <f>IF(N(R398)&lt;=0,0,(N(AY398)-N(AX398))*90/N(R398))</f>
        <v/>
      </c>
      <c r="BA398" s="7">
        <f>IFERROR(AY398-VLOOKUP($E398,Assumptions!$A$40:$C$43,3,FALSE),"")</f>
        <v/>
      </c>
      <c r="BB398" s="3">
        <f>IFERROR(BA398/H398,"")</f>
        <v/>
      </c>
      <c r="BC398">
        <f>IF(AND($G398=TRUE,$E398="GKP"),AY398,"")</f>
        <v/>
      </c>
      <c r="BD398">
        <f>IF(AND($G398=TRUE,$E398="DEF"),AY398,"")</f>
        <v/>
      </c>
      <c r="BE398">
        <f>IF(AND($G398=TRUE,$E398="MID"),AY398,"")</f>
        <v/>
      </c>
      <c r="BF398">
        <f>IF(AND($G398=TRUE,$E398="FWD"),AY398,"")</f>
        <v/>
      </c>
      <c r="BG398" t="n">
        <v>2</v>
      </c>
      <c r="BH398" t="n">
        <v>2</v>
      </c>
      <c r="BI398" t="n">
        <v>1</v>
      </c>
      <c r="BJ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s="8" t="n">
        <v>125</v>
      </c>
      <c r="O399" s="8" t="n">
        <v>0</v>
      </c>
      <c r="Q399" t="inlineStr">
        <is>
          <t>flat</t>
        </is>
      </c>
      <c r="R399" s="6" t="n">
        <v>125</v>
      </c>
      <c r="S399" t="inlineStr">
        <is>
          <t>Solio</t>
        </is>
      </c>
      <c r="U399" s="6" t="n">
        <v>76.3</v>
      </c>
      <c r="V399" s="2" t="n">
        <v>1</v>
      </c>
      <c r="W399" s="7">
        <f>IF(N(U399)&lt;=0,0,MIN(Assumptions!$B$15,N(R399)/N(U399)))</f>
        <v/>
      </c>
      <c r="X399" s="6" t="n">
        <v>0.204</v>
      </c>
      <c r="Y399" s="3" t="n">
        <v>0</v>
      </c>
      <c r="Z399" t="inlineStr">
        <is>
          <t>blended xG</t>
        </is>
      </c>
      <c r="AA399" s="3" t="n">
        <v>1</v>
      </c>
      <c r="AB399" s="3" t="n">
        <v>1</v>
      </c>
      <c r="AC399" s="3" t="n">
        <v>0</v>
      </c>
      <c r="AD399" s="3" t="n">
        <v>0.0474</v>
      </c>
      <c r="AE399" s="3" t="n">
        <v>8.503</v>
      </c>
      <c r="AF399" s="3" t="n">
        <v>0.06334316639578086</v>
      </c>
      <c r="AG399" s="3" t="n">
        <v>0</v>
      </c>
      <c r="AH399" s="3" t="n">
        <v>1</v>
      </c>
      <c r="AI399" s="3" t="n">
        <v>3.3348</v>
      </c>
      <c r="AJ399" s="3" t="n">
        <v>1.6498</v>
      </c>
      <c r="AK399" s="3" t="n">
        <v>-0.2109165353595941</v>
      </c>
      <c r="AL399" s="6" t="n">
        <v>0</v>
      </c>
      <c r="AM399" s="3" t="n">
        <v>0</v>
      </c>
      <c r="AN399" s="3" t="n">
        <v>0</v>
      </c>
      <c r="AO399" s="3" t="n">
        <v>0.187704</v>
      </c>
      <c r="AP399" s="3">
        <f>N(X399)*N(BI399)</f>
        <v/>
      </c>
      <c r="AQ399" s="3" t="n">
        <v>0</v>
      </c>
      <c r="AR399" s="3" t="n">
        <v>0</v>
      </c>
      <c r="AS399" s="3" t="n">
        <v>-0</v>
      </c>
      <c r="AT399" s="3" t="n">
        <v>-0.2109165353595941</v>
      </c>
      <c r="AU399" s="3">
        <f>SUM(AN399:AT399)</f>
        <v/>
      </c>
      <c r="AV399" s="7">
        <f>IF(OR(N(W399)&lt;=0,N(BG399)=0),0,N(W399)*IF(N(R399)/N(W399)&gt;=60,N(BG399),1))</f>
        <v/>
      </c>
      <c r="AW399" s="7">
        <f>N(W399)*N(AF399)*N(BH399)</f>
        <v/>
      </c>
      <c r="AX399" s="7">
        <f>N(AL399)*(Assumptions!$B$13*N(BJ399)-(1-Assumptions!$B$13)*Assumptions!$B$14)+N(AM399)</f>
        <v/>
      </c>
      <c r="AY399" s="7">
        <f>N(AU399)*N(R399)/90+N(AV399)+N(AW399)+N(AX399)</f>
        <v/>
      </c>
      <c r="AZ399" s="3">
        <f>IF(N(R399)&lt;=0,0,(N(AY399)-N(AX399))*90/N(R399))</f>
        <v/>
      </c>
      <c r="BA399" s="7">
        <f>IFERROR(AY399-VLOOKUP($E399,Assumptions!$A$40:$C$43,3,FALSE),"")</f>
        <v/>
      </c>
      <c r="BB399" s="3">
        <f>IFERROR(BA399/H399,"")</f>
        <v/>
      </c>
      <c r="BC399">
        <f>IF(AND($G399=TRUE,$E399="GKP"),AY399,"")</f>
        <v/>
      </c>
      <c r="BD399">
        <f>IF(AND($G399=TRUE,$E399="DEF"),AY399,"")</f>
        <v/>
      </c>
      <c r="BE399">
        <f>IF(AND($G399=TRUE,$E399="MID"),AY399,"")</f>
        <v/>
      </c>
      <c r="BF399">
        <f>IF(AND($G399=TRUE,$E399="FWD"),AY399,"")</f>
        <v/>
      </c>
      <c r="BG399" t="n">
        <v>2</v>
      </c>
      <c r="BH399" t="n">
        <v>2</v>
      </c>
      <c r="BI399" t="n">
        <v>1</v>
      </c>
      <c r="BJ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s="8" t="n">
        <v>0</v>
      </c>
      <c r="O400" s="8" t="n">
        <v>0</v>
      </c>
      <c r="Q400" t="inlineStr">
        <is>
          <t>flat</t>
        </is>
      </c>
      <c r="R400" s="6" t="n">
        <v>0</v>
      </c>
      <c r="S400" t="inlineStr">
        <is>
          <t>Solio</t>
        </is>
      </c>
      <c r="U400" s="6" t="n">
        <v>85.5</v>
      </c>
      <c r="V400" s="2" t="n">
        <v>0</v>
      </c>
      <c r="W400" s="7">
        <f>IF(N(U400)&lt;=0,0,MIN(Assumptions!$B$15,N(R400)/N(U400)))</f>
        <v/>
      </c>
      <c r="X400" s="6" t="n">
        <v>0.286</v>
      </c>
      <c r="Y400" s="3" t="n">
        <v>0</v>
      </c>
      <c r="Z400" t="inlineStr">
        <is>
          <t>blended xG</t>
        </is>
      </c>
      <c r="AA400" s="3" t="n">
        <v>1</v>
      </c>
      <c r="AB400" s="3" t="n">
        <v>1</v>
      </c>
      <c r="AC400" s="3" t="n">
        <v>0</v>
      </c>
      <c r="AD400" s="3" t="n">
        <v>0</v>
      </c>
      <c r="AE400" s="3" t="n">
        <v>7.674</v>
      </c>
      <c r="AF400" s="3" t="n">
        <v>0.2001181230412002</v>
      </c>
      <c r="AG400" s="3" t="n">
        <v>0</v>
      </c>
      <c r="AH400" s="3" t="n">
        <v>1</v>
      </c>
      <c r="AI400" s="3" t="n">
        <v>2.5739</v>
      </c>
      <c r="AJ400" s="3" t="n">
        <v>1.3096</v>
      </c>
      <c r="AK400" s="3" t="n">
        <v>-0.2043954225041625</v>
      </c>
      <c r="AL400" s="6" t="n">
        <v>0</v>
      </c>
      <c r="AM400" s="3" t="n">
        <v>0</v>
      </c>
      <c r="AN400" s="3" t="n">
        <v>0</v>
      </c>
      <c r="AO400" s="3" t="n">
        <v>0</v>
      </c>
      <c r="AP400" s="3">
        <f>N(X400)*N(BI400)</f>
        <v/>
      </c>
      <c r="AQ400" s="3" t="n">
        <v>0</v>
      </c>
      <c r="AR400" s="3" t="n">
        <v>0</v>
      </c>
      <c r="AS400" s="3" t="n">
        <v>-0.4230152821052008</v>
      </c>
      <c r="AT400" s="3" t="n">
        <v>-0.2043954225041625</v>
      </c>
      <c r="AU400" s="3">
        <f>SUM(AN400:AT400)</f>
        <v/>
      </c>
      <c r="AV400" s="7">
        <f>IF(OR(N(W400)&lt;=0,N(BG400)=0),0,N(W400)*IF(N(R400)/N(W400)&gt;=60,N(BG400),1))</f>
        <v/>
      </c>
      <c r="AW400" s="7">
        <f>N(W400)*N(AF400)*N(BH400)</f>
        <v/>
      </c>
      <c r="AX400" s="7">
        <f>N(AL400)*(Assumptions!$B$13*N(BJ400)-(1-Assumptions!$B$13)*Assumptions!$B$14)+N(AM400)</f>
        <v/>
      </c>
      <c r="AY400" s="7">
        <f>N(AU400)*N(R400)/90+N(AV400)+N(AW400)+N(AX400)</f>
        <v/>
      </c>
      <c r="AZ400" s="3">
        <f>IF(N(R400)&lt;=0,0,(N(AY400)-N(AX400))*90/N(R400))</f>
        <v/>
      </c>
      <c r="BA400" s="7">
        <f>IFERROR(AY400-VLOOKUP($E400,Assumptions!$A$40:$C$43,3,FALSE),"")</f>
        <v/>
      </c>
      <c r="BB400" s="3">
        <f>IFERROR(BA400/H400,"")</f>
        <v/>
      </c>
      <c r="BC400">
        <f>IF(AND($G400=TRUE,$E400="GKP"),AY400,"")</f>
        <v/>
      </c>
      <c r="BD400">
        <f>IF(AND($G400=TRUE,$E400="DEF"),AY400,"")</f>
        <v/>
      </c>
      <c r="BE400">
        <f>IF(AND($G400=TRUE,$E400="MID"),AY400,"")</f>
        <v/>
      </c>
      <c r="BF400">
        <f>IF(AND($G400=TRUE,$E400="FWD"),AY400,"")</f>
        <v/>
      </c>
      <c r="BG400" t="n">
        <v>2</v>
      </c>
      <c r="BH400" t="n">
        <v>2</v>
      </c>
      <c r="BI400" t="n">
        <v>4</v>
      </c>
      <c r="BJ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N401" s="4" t="n">
        <v>0</v>
      </c>
      <c r="O401" s="4" t="n">
        <v>-125</v>
      </c>
      <c r="P401" s="5" t="inlineStr">
        <is>
          <t>high</t>
        </is>
      </c>
      <c r="R401" s="6" t="n">
        <v>0</v>
      </c>
      <c r="S401" t="inlineStr">
        <is>
          <t>research</t>
        </is>
      </c>
      <c r="T401" s="5" t="inlineStr">
        <is>
          <t>Dead minutes. Masuaku joined Konyaspor permanently on 10 Aug 2026; FPL set his status to 'u' with news 'Has joined Konyaspor permanently' on 12 Aug. He cannot play a Premier League minute. Small in size but it is a certainty rather than a judgement. Note that Solio has already zeroed the other two departures, Anthony Patterson (Wrexham, GBP8m, 11 Aug) and Leo Fuhr Hjelde (KV Mechelen loan, 11 Aug), so Masuaku is the only stale departure left in the file.</t>
        </is>
      </c>
      <c r="U401" s="6" t="n">
        <v>80.8</v>
      </c>
      <c r="V401" s="2" t="n">
        <v>2</v>
      </c>
      <c r="W401" s="7">
        <f>IF(N(U401)&lt;=0,0,MIN(Assumptions!$B$15,N(R401)/N(U401)))</f>
        <v/>
      </c>
      <c r="X401" s="6" t="n">
        <v>0.204</v>
      </c>
      <c r="Y401" s="3" t="n">
        <v>0.0497</v>
      </c>
      <c r="Z401" t="inlineStr">
        <is>
          <t>adjusted xGOT</t>
        </is>
      </c>
      <c r="AA401" s="3" t="n">
        <v>1</v>
      </c>
      <c r="AB401" s="3" t="n">
        <v>0.991</v>
      </c>
      <c r="AC401" s="3" t="n">
        <v>0.1</v>
      </c>
      <c r="AD401" s="3" t="n">
        <v>0.0497</v>
      </c>
      <c r="AE401" s="3" t="n">
        <v>7.613</v>
      </c>
      <c r="AF401" s="3" t="n">
        <v>0.1531531571399777</v>
      </c>
      <c r="AG401" s="3" t="n">
        <v>0</v>
      </c>
      <c r="AH401" s="3" t="n">
        <v>3</v>
      </c>
      <c r="AI401" s="3" t="n">
        <v>3.3348</v>
      </c>
      <c r="AJ401" s="3" t="n">
        <v>1.6498</v>
      </c>
      <c r="AK401" s="3" t="n">
        <v>-0.2473881698989371</v>
      </c>
      <c r="AL401" s="6" t="n">
        <v>0</v>
      </c>
      <c r="AM401" s="3" t="n">
        <v>0</v>
      </c>
      <c r="AN401" s="3" t="n">
        <v>0.2982</v>
      </c>
      <c r="AO401" s="3" t="n">
        <v>0.196812</v>
      </c>
      <c r="AP401" s="3">
        <f>N(X401)*N(BI401)</f>
        <v/>
      </c>
      <c r="AQ401" s="3" t="n">
        <v>0</v>
      </c>
      <c r="AR401" s="3" t="n">
        <v>0</v>
      </c>
      <c r="AS401" s="3" t="n">
        <v>-0.5841244809045405</v>
      </c>
      <c r="AT401" s="3" t="n">
        <v>-0.2473881698989371</v>
      </c>
      <c r="AU401" s="3">
        <f>SUM(AN401:AT401)</f>
        <v/>
      </c>
      <c r="AV401" s="7">
        <f>IF(OR(N(W401)&lt;=0,N(BG401)=0),0,N(W401)*IF(N(R401)/N(W401)&gt;=60,N(BG401),1))</f>
        <v/>
      </c>
      <c r="AW401" s="7">
        <f>N(W401)*N(AF401)*N(BH401)</f>
        <v/>
      </c>
      <c r="AX401" s="7">
        <f>N(AL401)*(Assumptions!$B$13*N(BJ401)-(1-Assumptions!$B$13)*Assumptions!$B$14)+N(AM401)</f>
        <v/>
      </c>
      <c r="AY401" s="7">
        <f>N(AU401)*N(R401)/90+N(AV401)+N(AW401)+N(AX401)</f>
        <v/>
      </c>
      <c r="AZ401" s="3">
        <f>IF(N(R401)&lt;=0,0,(N(AY401)-N(AX401))*90/N(R401))</f>
        <v/>
      </c>
      <c r="BA401" s="7">
        <f>IFERROR(AY401-VLOOKUP($E401,Assumptions!$A$40:$C$43,3,FALSE),"")</f>
        <v/>
      </c>
      <c r="BB401" s="3">
        <f>IFERROR(BA401/H401,"")</f>
        <v/>
      </c>
      <c r="BC401">
        <f>IF(AND($G401=TRUE,$E401="GKP"),AY401,"")</f>
        <v/>
      </c>
      <c r="BD401">
        <f>IF(AND($G401=TRUE,$E401="DEF"),AY401,"")</f>
        <v/>
      </c>
      <c r="BE401">
        <f>IF(AND($G401=TRUE,$E401="MID"),AY401,"")</f>
        <v/>
      </c>
      <c r="BF401">
        <f>IF(AND($G401=TRUE,$E401="FWD"),AY401,"")</f>
        <v/>
      </c>
      <c r="BG401" t="n">
        <v>2</v>
      </c>
      <c r="BH401" t="n">
        <v>2</v>
      </c>
      <c r="BI401" t="n">
        <v>4</v>
      </c>
      <c r="BJ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s="8" t="n">
        <v>0</v>
      </c>
      <c r="O402" s="8" t="n">
        <v>0</v>
      </c>
      <c r="Q402" t="inlineStr">
        <is>
          <t>flat</t>
        </is>
      </c>
      <c r="R402" s="6" t="n">
        <v>0</v>
      </c>
      <c r="S402" t="inlineStr">
        <is>
          <t>Solio</t>
        </is>
      </c>
      <c r="U402" s="6" t="n">
        <v>80.09999999999999</v>
      </c>
      <c r="V402" s="2" t="n">
        <v>0</v>
      </c>
      <c r="W402" s="7">
        <f>IF(N(U402)&lt;=0,0,MIN(Assumptions!$B$15,N(R402)/N(U402)))</f>
        <v/>
      </c>
      <c r="X402" s="6" t="n">
        <v>0.286</v>
      </c>
      <c r="Y402" s="3" t="n">
        <v>0</v>
      </c>
      <c r="Z402" t="inlineStr">
        <is>
          <t>blended xG</t>
        </is>
      </c>
      <c r="AA402" s="3" t="n">
        <v>1</v>
      </c>
      <c r="AB402" s="3" t="n">
        <v>1</v>
      </c>
      <c r="AC402" s="3" t="n">
        <v>0</v>
      </c>
      <c r="AD402" s="3" t="n">
        <v>0.0321</v>
      </c>
      <c r="AE402" s="3" t="n">
        <v>8.659000000000001</v>
      </c>
      <c r="AF402" s="3" t="n">
        <v>0.09191012383083308</v>
      </c>
      <c r="AG402" s="3" t="n">
        <v>0</v>
      </c>
      <c r="AH402" s="3" t="n">
        <v>1</v>
      </c>
      <c r="AI402" s="3" t="n">
        <v>2.5739</v>
      </c>
      <c r="AJ402" s="3" t="n">
        <v>1.3096</v>
      </c>
      <c r="AK402" s="3" t="n">
        <v>-0.2141233878946482</v>
      </c>
      <c r="AL402" s="6" t="n">
        <v>0</v>
      </c>
      <c r="AM402" s="3" t="n">
        <v>0</v>
      </c>
      <c r="AN402" s="3" t="n">
        <v>0</v>
      </c>
      <c r="AO402" s="3" t="n">
        <v>0.127116</v>
      </c>
      <c r="AP402" s="3">
        <f>N(X402)*N(BI402)</f>
        <v/>
      </c>
      <c r="AQ402" s="3" t="n">
        <v>0</v>
      </c>
      <c r="AR402" s="3" t="n">
        <v>0</v>
      </c>
      <c r="AS402" s="3" t="n">
        <v>-0</v>
      </c>
      <c r="AT402" s="3" t="n">
        <v>-0.2141233878946482</v>
      </c>
      <c r="AU402" s="3">
        <f>SUM(AN402:AT402)</f>
        <v/>
      </c>
      <c r="AV402" s="7">
        <f>IF(OR(N(W402)&lt;=0,N(BG402)=0),0,N(W402)*IF(N(R402)/N(W402)&gt;=60,N(BG402),1))</f>
        <v/>
      </c>
      <c r="AW402" s="7">
        <f>N(W402)*N(AF402)*N(BH402)</f>
        <v/>
      </c>
      <c r="AX402" s="7">
        <f>N(AL402)*(Assumptions!$B$13*N(BJ402)-(1-Assumptions!$B$13)*Assumptions!$B$14)+N(AM402)</f>
        <v/>
      </c>
      <c r="AY402" s="7">
        <f>N(AU402)*N(R402)/90+N(AV402)+N(AW402)+N(AX402)</f>
        <v/>
      </c>
      <c r="AZ402" s="3">
        <f>IF(N(R402)&lt;=0,0,(N(AY402)-N(AX402))*90/N(R402))</f>
        <v/>
      </c>
      <c r="BA402" s="7">
        <f>IFERROR(AY402-VLOOKUP($E402,Assumptions!$A$40:$C$43,3,FALSE),"")</f>
        <v/>
      </c>
      <c r="BB402" s="3">
        <f>IFERROR(BA402/H402,"")</f>
        <v/>
      </c>
      <c r="BC402">
        <f>IF(AND($G402=TRUE,$E402="GKP"),AY402,"")</f>
        <v/>
      </c>
      <c r="BD402">
        <f>IF(AND($G402=TRUE,$E402="DEF"),AY402,"")</f>
        <v/>
      </c>
      <c r="BE402">
        <f>IF(AND($G402=TRUE,$E402="MID"),AY402,"")</f>
        <v/>
      </c>
      <c r="BF402">
        <f>IF(AND($G402=TRUE,$E402="FWD"),AY402,"")</f>
        <v/>
      </c>
      <c r="BG402" t="n">
        <v>2</v>
      </c>
      <c r="BH402" t="n">
        <v>2</v>
      </c>
      <c r="BI402" t="n">
        <v>1</v>
      </c>
      <c r="BJ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s="8" t="n">
        <v>12</v>
      </c>
      <c r="O403" s="8" t="n">
        <v>0</v>
      </c>
      <c r="Q403" t="inlineStr">
        <is>
          <t>flat</t>
        </is>
      </c>
      <c r="R403" s="6" t="n">
        <v>12</v>
      </c>
      <c r="S403" t="inlineStr">
        <is>
          <t>Solio</t>
        </is>
      </c>
      <c r="U403" s="6" t="n">
        <v>80.09999999999999</v>
      </c>
      <c r="V403" s="2" t="n">
        <v>0</v>
      </c>
      <c r="W403" s="7">
        <f>IF(N(U403)&lt;=0,0,MIN(Assumptions!$B$15,N(R403)/N(U403)))</f>
        <v/>
      </c>
      <c r="X403" s="6" t="n">
        <v>0.322</v>
      </c>
      <c r="Y403" s="3" t="n">
        <v>0</v>
      </c>
      <c r="Z403" t="inlineStr">
        <is>
          <t>blended xG</t>
        </is>
      </c>
      <c r="AA403" s="3" t="n">
        <v>1</v>
      </c>
      <c r="AB403" s="3" t="n">
        <v>1</v>
      </c>
      <c r="AC403" s="3" t="n">
        <v>0</v>
      </c>
      <c r="AD403" s="3" t="n">
        <v>0.0173</v>
      </c>
      <c r="AE403" s="3" t="n">
        <v>9.243</v>
      </c>
      <c r="AF403" s="3" t="n">
        <v>0.1289463586019335</v>
      </c>
      <c r="AG403" s="3" t="n">
        <v>0</v>
      </c>
      <c r="AH403" s="3" t="n">
        <v>3</v>
      </c>
      <c r="AI403" s="3" t="n">
        <v>2.4232</v>
      </c>
      <c r="AJ403" s="3" t="n">
        <v>1.1851</v>
      </c>
      <c r="AK403" s="3" t="n">
        <v>-0.3352899199387102</v>
      </c>
      <c r="AL403" s="6" t="n">
        <v>0</v>
      </c>
      <c r="AM403" s="3" t="n">
        <v>0</v>
      </c>
      <c r="AN403" s="3" t="n">
        <v>0</v>
      </c>
      <c r="AO403" s="3" t="n">
        <v>0.068508</v>
      </c>
      <c r="AP403" s="3">
        <f>N(X403)*N(BI403)</f>
        <v/>
      </c>
      <c r="AQ403" s="3" t="n">
        <v>0</v>
      </c>
      <c r="AR403" s="3" t="n">
        <v>0</v>
      </c>
      <c r="AS403" s="3" t="n">
        <v>-0</v>
      </c>
      <c r="AT403" s="3" t="n">
        <v>-0.3352899199387102</v>
      </c>
      <c r="AU403" s="3">
        <f>SUM(AN403:AT403)</f>
        <v/>
      </c>
      <c r="AV403" s="7">
        <f>IF(OR(N(W403)&lt;=0,N(BG403)=0),0,N(W403)*IF(N(R403)/N(W403)&gt;=60,N(BG403),1))</f>
        <v/>
      </c>
      <c r="AW403" s="7">
        <f>N(W403)*N(AF403)*N(BH403)</f>
        <v/>
      </c>
      <c r="AX403" s="7">
        <f>N(AL403)*(Assumptions!$B$13*N(BJ403)-(1-Assumptions!$B$13)*Assumptions!$B$14)+N(AM403)</f>
        <v/>
      </c>
      <c r="AY403" s="7">
        <f>N(AU403)*N(R403)/90+N(AV403)+N(AW403)+N(AX403)</f>
        <v/>
      </c>
      <c r="AZ403" s="3">
        <f>IF(N(R403)&lt;=0,0,(N(AY403)-N(AX403))*90/N(R403))</f>
        <v/>
      </c>
      <c r="BA403" s="7">
        <f>IFERROR(AY403-VLOOKUP($E403,Assumptions!$A$40:$C$43,3,FALSE),"")</f>
        <v/>
      </c>
      <c r="BB403" s="3">
        <f>IFERROR(BA403/H403,"")</f>
        <v/>
      </c>
      <c r="BC403">
        <f>IF(AND($G403=TRUE,$E403="GKP"),AY403,"")</f>
        <v/>
      </c>
      <c r="BD403">
        <f>IF(AND($G403=TRUE,$E403="DEF"),AY403,"")</f>
        <v/>
      </c>
      <c r="BE403">
        <f>IF(AND($G403=TRUE,$E403="MID"),AY403,"")</f>
        <v/>
      </c>
      <c r="BF403">
        <f>IF(AND($G403=TRUE,$E403="FWD"),AY403,"")</f>
        <v/>
      </c>
      <c r="BG403" t="n">
        <v>2</v>
      </c>
      <c r="BH403" t="n">
        <v>2</v>
      </c>
      <c r="BI403" t="n">
        <v>1</v>
      </c>
      <c r="BJ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s="8" t="n">
        <v>35</v>
      </c>
      <c r="O404" s="8" t="n">
        <v>0</v>
      </c>
      <c r="Q404" t="inlineStr">
        <is>
          <t>flat</t>
        </is>
      </c>
      <c r="R404" s="6" t="n">
        <v>35</v>
      </c>
      <c r="S404" t="inlineStr">
        <is>
          <t>Solio</t>
        </is>
      </c>
      <c r="U404" s="6" t="n">
        <v>89.8</v>
      </c>
      <c r="V404" s="2" t="n">
        <v>1</v>
      </c>
      <c r="W404" s="7">
        <f>IF(N(U404)&lt;=0,0,MIN(Assumptions!$B$15,N(R404)/N(U404)))</f>
        <v/>
      </c>
      <c r="X404" s="6" t="n">
        <v>0.228</v>
      </c>
      <c r="Y404" s="3" t="n">
        <v>0</v>
      </c>
      <c r="Z404" t="inlineStr">
        <is>
          <t>blended xG</t>
        </is>
      </c>
      <c r="AA404" s="3" t="n">
        <v>1</v>
      </c>
      <c r="AB404" s="3" t="n">
        <v>1</v>
      </c>
      <c r="AC404" s="3" t="n">
        <v>0</v>
      </c>
      <c r="AD404" s="3" t="n">
        <v>0</v>
      </c>
      <c r="AE404" s="3" t="n">
        <v>0</v>
      </c>
      <c r="AF404" s="3" t="n">
        <v>0</v>
      </c>
      <c r="AG404" s="3" t="n">
        <v>0</v>
      </c>
      <c r="AH404" s="3" t="n">
        <v>2</v>
      </c>
      <c r="AI404" s="3" t="n">
        <v>3.2371</v>
      </c>
      <c r="AJ404" s="3" t="n">
        <v>1.5396</v>
      </c>
      <c r="AK404" s="3" t="n">
        <v>-0.0683156702064885</v>
      </c>
      <c r="AL404" s="6" t="n">
        <v>0</v>
      </c>
      <c r="AM404" s="3" t="n">
        <v>0.0336372485649878</v>
      </c>
      <c r="AN404" s="3" t="n">
        <v>0</v>
      </c>
      <c r="AO404" s="3" t="n">
        <v>0</v>
      </c>
      <c r="AP404" s="3">
        <f>N(X404)*N(BI404)</f>
        <v/>
      </c>
      <c r="AQ404" s="3" t="n">
        <v>0</v>
      </c>
      <c r="AR404" s="3" t="n">
        <v>0.7437492341118994</v>
      </c>
      <c r="AS404" s="3" t="n">
        <v>-0.5312990096912251</v>
      </c>
      <c r="AT404" s="3" t="n">
        <v>-0.0683156702064885</v>
      </c>
      <c r="AU404" s="3">
        <f>SUM(AN404:AT404)</f>
        <v/>
      </c>
      <c r="AV404" s="7">
        <f>IF(OR(N(W404)&lt;=0,N(BG404)=0),0,N(W404)*IF(N(R404)/N(W404)&gt;=60,N(BG404),1))</f>
        <v/>
      </c>
      <c r="AW404" s="7">
        <f>N(W404)*N(AF404)*N(BH404)</f>
        <v/>
      </c>
      <c r="AX404" s="7">
        <f>N(AL404)*(Assumptions!$B$13*N(BJ404)-(1-Assumptions!$B$13)*Assumptions!$B$14)+N(AM404)</f>
        <v/>
      </c>
      <c r="AY404" s="7">
        <f>N(AU404)*N(R404)/90+N(AV404)+N(AW404)+N(AX404)</f>
        <v/>
      </c>
      <c r="AZ404" s="3">
        <f>IF(N(R404)&lt;=0,0,(N(AY404)-N(AX404))*90/N(R404))</f>
        <v/>
      </c>
      <c r="BA404" s="7">
        <f>IFERROR(AY404-VLOOKUP($E404,Assumptions!$A$40:$C$43,3,FALSE),"")</f>
        <v/>
      </c>
      <c r="BB404" s="3">
        <f>IFERROR(BA404/H404,"")</f>
        <v/>
      </c>
      <c r="BC404">
        <f>IF(AND($G404=TRUE,$E404="GKP"),AY404,"")</f>
        <v/>
      </c>
      <c r="BD404">
        <f>IF(AND($G404=TRUE,$E404="DEF"),AY404,"")</f>
        <v/>
      </c>
      <c r="BE404">
        <f>IF(AND($G404=TRUE,$E404="MID"),AY404,"")</f>
        <v/>
      </c>
      <c r="BF404">
        <f>IF(AND($G404=TRUE,$E404="FWD"),AY404,"")</f>
        <v/>
      </c>
      <c r="BG404" t="n">
        <v>2</v>
      </c>
      <c r="BH404" t="n">
        <v>0</v>
      </c>
      <c r="BI404" t="n">
        <v>4</v>
      </c>
      <c r="BJ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s="8" t="n">
        <v>0</v>
      </c>
      <c r="O405" s="8" t="n">
        <v>0</v>
      </c>
      <c r="Q405" t="inlineStr">
        <is>
          <t>flat</t>
        </is>
      </c>
      <c r="R405" s="6" t="n">
        <v>0</v>
      </c>
      <c r="S405" t="inlineStr">
        <is>
          <t>Solio</t>
        </is>
      </c>
      <c r="U405" s="6" t="n">
        <v>76.90000000000001</v>
      </c>
      <c r="V405" s="2" t="n">
        <v>1</v>
      </c>
      <c r="W405" s="7">
        <f>IF(N(U405)&lt;=0,0,MIN(Assumptions!$B$15,N(R405)/N(U405)))</f>
        <v/>
      </c>
      <c r="X405" s="6" t="n">
        <v>0.228</v>
      </c>
      <c r="Y405" s="3" t="n">
        <v>0</v>
      </c>
      <c r="Z405" t="inlineStr">
        <is>
          <t>blended xG</t>
        </is>
      </c>
      <c r="AA405" s="3" t="n">
        <v>1</v>
      </c>
      <c r="AB405" s="3" t="n">
        <v>1</v>
      </c>
      <c r="AC405" s="3" t="n">
        <v>0</v>
      </c>
      <c r="AD405" s="3" t="n">
        <v>0.01</v>
      </c>
      <c r="AE405" s="3" t="n">
        <v>8.542999999999999</v>
      </c>
      <c r="AF405" s="3" t="n">
        <v>0.06805562115055974</v>
      </c>
      <c r="AG405" s="3" t="n">
        <v>0</v>
      </c>
      <c r="AH405" s="3" t="n">
        <v>1</v>
      </c>
      <c r="AI405" s="3" t="n">
        <v>3.2371</v>
      </c>
      <c r="AJ405" s="3" t="n">
        <v>1.5396</v>
      </c>
      <c r="AK405" s="3" t="n">
        <v>-0.21000072881914</v>
      </c>
      <c r="AL405" s="6" t="n">
        <v>0</v>
      </c>
      <c r="AM405" s="3" t="n">
        <v>0</v>
      </c>
      <c r="AN405" s="3" t="n">
        <v>0</v>
      </c>
      <c r="AO405" s="3" t="n">
        <v>0.0396</v>
      </c>
      <c r="AP405" s="3">
        <f>N(X405)*N(BI405)</f>
        <v/>
      </c>
      <c r="AQ405" s="3" t="n">
        <v>0</v>
      </c>
      <c r="AR405" s="3" t="n">
        <v>0</v>
      </c>
      <c r="AS405" s="3" t="n">
        <v>-0</v>
      </c>
      <c r="AT405" s="3" t="n">
        <v>-0.21000072881914</v>
      </c>
      <c r="AU405" s="3">
        <f>SUM(AN405:AT405)</f>
        <v/>
      </c>
      <c r="AV405" s="7">
        <f>IF(OR(N(W405)&lt;=0,N(BG405)=0),0,N(W405)*IF(N(R405)/N(W405)&gt;=60,N(BG405),1))</f>
        <v/>
      </c>
      <c r="AW405" s="7">
        <f>N(W405)*N(AF405)*N(BH405)</f>
        <v/>
      </c>
      <c r="AX405" s="7">
        <f>N(AL405)*(Assumptions!$B$13*N(BJ405)-(1-Assumptions!$B$13)*Assumptions!$B$14)+N(AM405)</f>
        <v/>
      </c>
      <c r="AY405" s="7">
        <f>N(AU405)*N(R405)/90+N(AV405)+N(AW405)+N(AX405)</f>
        <v/>
      </c>
      <c r="AZ405" s="3">
        <f>IF(N(R405)&lt;=0,0,(N(AY405)-N(AX405))*90/N(R405))</f>
        <v/>
      </c>
      <c r="BA405" s="7">
        <f>IFERROR(AY405-VLOOKUP($E405,Assumptions!$A$40:$C$43,3,FALSE),"")</f>
        <v/>
      </c>
      <c r="BB405" s="3">
        <f>IFERROR(BA405/H405,"")</f>
        <v/>
      </c>
      <c r="BC405">
        <f>IF(AND($G405=TRUE,$E405="GKP"),AY405,"")</f>
        <v/>
      </c>
      <c r="BD405">
        <f>IF(AND($G405=TRUE,$E405="DEF"),AY405,"")</f>
        <v/>
      </c>
      <c r="BE405">
        <f>IF(AND($G405=TRUE,$E405="MID"),AY405,"")</f>
        <v/>
      </c>
      <c r="BF405">
        <f>IF(AND($G405=TRUE,$E405="FWD"),AY405,"")</f>
        <v/>
      </c>
      <c r="BG405" t="n">
        <v>2</v>
      </c>
      <c r="BH405" t="n">
        <v>2</v>
      </c>
      <c r="BI405" t="n">
        <v>1</v>
      </c>
      <c r="BJ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s="8" t="n">
        <v>0</v>
      </c>
      <c r="O406" s="8" t="n">
        <v>0</v>
      </c>
      <c r="Q406" t="inlineStr">
        <is>
          <t>flat</t>
        </is>
      </c>
      <c r="R406" s="6" t="n">
        <v>0</v>
      </c>
      <c r="S406" t="inlineStr">
        <is>
          <t>Solio</t>
        </is>
      </c>
      <c r="U406" s="6" t="n">
        <v>85.5</v>
      </c>
      <c r="V406" s="2" t="n">
        <v>0</v>
      </c>
      <c r="W406" s="7">
        <f>IF(N(U406)&lt;=0,0,MIN(Assumptions!$B$15,N(R406)/N(U406)))</f>
        <v/>
      </c>
      <c r="X406" s="6" t="n">
        <v>0.334</v>
      </c>
      <c r="Y406" s="3" t="n">
        <v>0</v>
      </c>
      <c r="Z406" t="inlineStr">
        <is>
          <t>blended xG</t>
        </is>
      </c>
      <c r="AA406" s="3" t="n">
        <v>1</v>
      </c>
      <c r="AB406" s="3" t="n">
        <v>1</v>
      </c>
      <c r="AC406" s="3" t="n">
        <v>0</v>
      </c>
      <c r="AD406" s="3" t="n">
        <v>0</v>
      </c>
      <c r="AE406" s="3" t="n">
        <v>7.913</v>
      </c>
      <c r="AF406" s="3" t="n">
        <v>0.2255813624920678</v>
      </c>
      <c r="AG406" s="3" t="n">
        <v>0</v>
      </c>
      <c r="AH406" s="3" t="n">
        <v>1</v>
      </c>
      <c r="AI406" s="3" t="n">
        <v>2.2165</v>
      </c>
      <c r="AJ406" s="3" t="n">
        <v>1.1467</v>
      </c>
      <c r="AK406" s="3" t="n">
        <v>-0.1924405994730319</v>
      </c>
      <c r="AL406" s="6" t="n">
        <v>0</v>
      </c>
      <c r="AM406" s="3" t="n">
        <v>0</v>
      </c>
      <c r="AN406" s="3" t="n">
        <v>0</v>
      </c>
      <c r="AO406" s="3" t="n">
        <v>0</v>
      </c>
      <c r="AP406" s="3">
        <f>N(X406)*N(BI406)</f>
        <v/>
      </c>
      <c r="AQ406" s="3" t="n">
        <v>0</v>
      </c>
      <c r="AR406" s="3" t="n">
        <v>0</v>
      </c>
      <c r="AS406" s="3" t="n">
        <v>-0.348580685135232</v>
      </c>
      <c r="AT406" s="3" t="n">
        <v>-0.1924405994730319</v>
      </c>
      <c r="AU406" s="3">
        <f>SUM(AN406:AT406)</f>
        <v/>
      </c>
      <c r="AV406" s="7">
        <f>IF(OR(N(W406)&lt;=0,N(BG406)=0),0,N(W406)*IF(N(R406)/N(W406)&gt;=60,N(BG406),1))</f>
        <v/>
      </c>
      <c r="AW406" s="7">
        <f>N(W406)*N(AF406)*N(BH406)</f>
        <v/>
      </c>
      <c r="AX406" s="7">
        <f>N(AL406)*(Assumptions!$B$13*N(BJ406)-(1-Assumptions!$B$13)*Assumptions!$B$14)+N(AM406)</f>
        <v/>
      </c>
      <c r="AY406" s="7">
        <f>N(AU406)*N(R406)/90+N(AV406)+N(AW406)+N(AX406)</f>
        <v/>
      </c>
      <c r="AZ406" s="3">
        <f>IF(N(R406)&lt;=0,0,(N(AY406)-N(AX406))*90/N(R406))</f>
        <v/>
      </c>
      <c r="BA406" s="7">
        <f>IFERROR(AY406-VLOOKUP($E406,Assumptions!$A$40:$C$43,3,FALSE),"")</f>
        <v/>
      </c>
      <c r="BB406" s="3">
        <f>IFERROR(BA406/H406,"")</f>
        <v/>
      </c>
      <c r="BC406">
        <f>IF(AND($G406=TRUE,$E406="GKP"),AY406,"")</f>
        <v/>
      </c>
      <c r="BD406">
        <f>IF(AND($G406=TRUE,$E406="DEF"),AY406,"")</f>
        <v/>
      </c>
      <c r="BE406">
        <f>IF(AND($G406=TRUE,$E406="MID"),AY406,"")</f>
        <v/>
      </c>
      <c r="BF406">
        <f>IF(AND($G406=TRUE,$E406="FWD"),AY406,"")</f>
        <v/>
      </c>
      <c r="BG406" t="n">
        <v>2</v>
      </c>
      <c r="BH406" t="n">
        <v>2</v>
      </c>
      <c r="BI406" t="n">
        <v>4</v>
      </c>
      <c r="BJ406" t="n">
        <v>6</v>
      </c>
    </row>
    <row r="407">
      <c r="A407" s="9" t="inlineStr">
        <is>
          <t>Illan Meslier</t>
        </is>
      </c>
      <c r="B407" t="inlineStr">
        <is>
          <t>ARS</t>
        </is>
      </c>
      <c r="C407" s="9" t="inlineStr">
        <is>
          <t>LEE</t>
        </is>
      </c>
      <c r="D407" t="b">
        <v>1</v>
      </c>
      <c r="E407" t="inlineStr">
        <is>
          <t>GKP</t>
        </is>
      </c>
      <c r="F407" t="inlineStr">
        <is>
          <t>GKP</t>
        </is>
      </c>
      <c r="G407" t="b">
        <v>1</v>
      </c>
      <c r="H407" s="2" t="n">
        <v>5</v>
      </c>
      <c r="I407" t="inlineStr">
        <is>
          <t>a</t>
        </is>
      </c>
      <c r="K407" s="2" t="n">
        <v>0</v>
      </c>
      <c r="L407" t="n">
        <v>0</v>
      </c>
      <c r="M407" s="3" t="n">
        <v>0</v>
      </c>
      <c r="N407" s="4" t="n">
        <v>20</v>
      </c>
      <c r="O407" s="4" t="n">
        <v>20</v>
      </c>
      <c r="P407" s="5" t="inlineStr">
        <is>
          <t>low</t>
        </is>
      </c>
      <c r="Q407" t="inlineStr">
        <is>
          <t>flat</t>
        </is>
      </c>
      <c r="R407" s="6" t="n">
        <v>20</v>
      </c>
      <c r="S407" t="inlineStr">
        <is>
          <t>research</t>
        </is>
      </c>
      <c r="T407" s="5" t="inlineStr">
        <is>
          <t>Solio has Meslier at zero and still attached to Leeds. He joined Arsenal as a free agent on 9 July as the back-up goalkeeper, so he should carry a non-zero share of the small back-up allocation behind Raya. Counterpart to the Kepa entry; net effect on the club total is zero.</t>
        </is>
      </c>
      <c r="U407" s="6" t="n">
        <v>85</v>
      </c>
      <c r="V407" s="2" t="n"/>
      <c r="W407" s="7">
        <f>IF(N(U407)&lt;=0,0,MIN(Assumptions!$B$15,N(R407)/N(U407)))</f>
        <v/>
      </c>
      <c r="X407" s="6" t="n">
        <v>0.391</v>
      </c>
      <c r="Y407" s="10" t="n"/>
      <c r="Z407" t="inlineStr"/>
      <c r="AA407" s="3" t="n">
        <v>1</v>
      </c>
      <c r="AB407" s="3" t="n"/>
      <c r="AC407" s="3" t="n"/>
      <c r="AD407" s="10" t="n"/>
      <c r="AE407" s="3" t="n">
        <v>0</v>
      </c>
      <c r="AF407" s="3" t="n">
        <v>0</v>
      </c>
      <c r="AG407" s="3" t="n"/>
      <c r="AH407" s="3" t="n">
        <v>0</v>
      </c>
      <c r="AI407" s="3" t="n">
        <v>2.067</v>
      </c>
      <c r="AJ407" s="3" t="n">
        <v>0.9838</v>
      </c>
      <c r="AK407" s="3" t="n">
        <v>-0.0763216474948735</v>
      </c>
      <c r="AL407" s="6" t="n">
        <v>0</v>
      </c>
      <c r="AM407" s="3" t="n">
        <v>0</v>
      </c>
      <c r="AN407" s="10" t="n">
        <v>0</v>
      </c>
      <c r="AO407" s="10" t="n">
        <v>0</v>
      </c>
      <c r="AP407" s="3">
        <f>N(X407)*N(BI407)</f>
        <v/>
      </c>
      <c r="AQ407" s="3" t="n">
        <v>0</v>
      </c>
      <c r="AR407" s="3" t="n">
        <v>0.3608597487600056</v>
      </c>
      <c r="AS407" s="3" t="n">
        <v>-0.2768479886568037</v>
      </c>
      <c r="AT407" s="3" t="n">
        <v>-0.0763216474948735</v>
      </c>
      <c r="AU407" s="3">
        <f>SUM(AN407:AT407)</f>
        <v/>
      </c>
      <c r="AV407" s="7">
        <f>IF(OR(N(W407)&lt;=0,N(BG407)=0),0,N(W407)*IF(N(R407)/N(W407)&gt;=60,N(BG407),1))</f>
        <v/>
      </c>
      <c r="AW407" s="7">
        <f>N(W407)*N(AF407)*N(BH407)</f>
        <v/>
      </c>
      <c r="AX407" s="7">
        <f>N(AL407)*(Assumptions!$B$13*N(BJ407)-(1-Assumptions!$B$13)*Assumptions!$B$14)+N(AM407)</f>
        <v/>
      </c>
      <c r="AY407" s="7">
        <f>N(AU407)*N(R407)/90+N(AV407)+N(AW407)+N(AX407)</f>
        <v/>
      </c>
      <c r="AZ407" s="3">
        <f>IF(N(R407)&lt;=0,0,(N(AY407)-N(AX407))*90/N(R407))</f>
        <v/>
      </c>
      <c r="BA407" s="7">
        <f>IFERROR(AY407-VLOOKUP($E407,Assumptions!$A$40:$C$43,3,FALSE),"")</f>
        <v/>
      </c>
      <c r="BB407" s="3">
        <f>IFERROR(BA407/H407,"")</f>
        <v/>
      </c>
      <c r="BC407">
        <f>IF(AND($G407=TRUE,$E407="GKP"),AY407,"")</f>
        <v/>
      </c>
      <c r="BD407">
        <f>IF(AND($G407=TRUE,$E407="DEF"),AY407,"")</f>
        <v/>
      </c>
      <c r="BE407">
        <f>IF(AND($G407=TRUE,$E407="MID"),AY407,"")</f>
        <v/>
      </c>
      <c r="BF407">
        <f>IF(AND($G407=TRUE,$E407="FWD"),AY407,"")</f>
        <v/>
      </c>
      <c r="BG407" t="n">
        <v>2</v>
      </c>
      <c r="BH407" t="n">
        <v>0</v>
      </c>
      <c r="BI407" t="n">
        <v>4</v>
      </c>
      <c r="BJ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s="8" t="n">
        <v>0</v>
      </c>
      <c r="O408" s="8" t="n">
        <v>0</v>
      </c>
      <c r="Q408" t="inlineStr">
        <is>
          <t>flat</t>
        </is>
      </c>
      <c r="R408" s="6" t="n">
        <v>0</v>
      </c>
      <c r="S408" t="inlineStr">
        <is>
          <t>Solio</t>
        </is>
      </c>
      <c r="U408" s="6" t="n">
        <v>85</v>
      </c>
      <c r="V408" s="2" t="n"/>
      <c r="W408" s="7">
        <f>IF(N(U408)&lt;=0,0,MIN(Assumptions!$B$15,N(R408)/N(U408)))</f>
        <v/>
      </c>
      <c r="X408" s="6" t="n">
        <v>0.23</v>
      </c>
      <c r="Y408" s="3" t="n"/>
      <c r="Z408" t="inlineStr"/>
      <c r="AA408" s="3" t="n">
        <v>1</v>
      </c>
      <c r="AB408" s="3" t="n"/>
      <c r="AC408" s="3" t="n"/>
      <c r="AD408" s="3" t="n"/>
      <c r="AE408" s="3" t="n"/>
      <c r="AF408" s="3" t="n">
        <v>0</v>
      </c>
      <c r="AG408" s="3" t="n"/>
      <c r="AH408" s="3" t="n">
        <v>0</v>
      </c>
      <c r="AI408" s="3" t="n">
        <v>3.0957</v>
      </c>
      <c r="AJ408" s="3" t="n">
        <v>1.53</v>
      </c>
      <c r="AK408" s="3" t="n">
        <v>-0.2355754748814301</v>
      </c>
      <c r="AL408" s="6" t="n">
        <v>0</v>
      </c>
      <c r="AM408" s="3" t="n">
        <v>0</v>
      </c>
      <c r="AN408" s="3" t="n">
        <v>0</v>
      </c>
      <c r="AO408" s="3" t="n">
        <v>0</v>
      </c>
      <c r="AP408" s="3">
        <f>N(X408)*N(BI408)</f>
        <v/>
      </c>
      <c r="AQ408" s="3" t="n">
        <v>0</v>
      </c>
      <c r="AR408" s="3" t="n">
        <v>0</v>
      </c>
      <c r="AS408" s="3" t="n">
        <v>-0.5267219238049191</v>
      </c>
      <c r="AT408" s="3" t="n">
        <v>-0.2355754748814301</v>
      </c>
      <c r="AU408" s="3">
        <f>SUM(AN408:AT408)</f>
        <v/>
      </c>
      <c r="AV408" s="7">
        <f>IF(OR(N(W408)&lt;=0,N(BG408)=0),0,N(W408)*IF(N(R408)/N(W408)&gt;=60,N(BG408),1))</f>
        <v/>
      </c>
      <c r="AW408" s="7">
        <f>N(W408)*N(AF408)*N(BH408)</f>
        <v/>
      </c>
      <c r="AX408" s="7">
        <f>N(AL408)*(Assumptions!$B$13*N(BJ408)-(1-Assumptions!$B$13)*Assumptions!$B$14)+N(AM408)</f>
        <v/>
      </c>
      <c r="AY408" s="7">
        <f>N(AU408)*N(R408)/90+N(AV408)+N(AW408)+N(AX408)</f>
        <v/>
      </c>
      <c r="AZ408" s="3">
        <f>IF(N(R408)&lt;=0,0,(N(AY408)-N(AX408))*90/N(R408))</f>
        <v/>
      </c>
      <c r="BA408" s="7">
        <f>IFERROR(AY408-VLOOKUP($E408,Assumptions!$A$40:$C$43,3,FALSE),"")</f>
        <v/>
      </c>
      <c r="BB408" s="3">
        <f>IFERROR(BA408/H408,"")</f>
        <v/>
      </c>
      <c r="BC408">
        <f>IF(AND($G408=TRUE,$E408="GKP"),AY408,"")</f>
        <v/>
      </c>
      <c r="BD408">
        <f>IF(AND($G408=TRUE,$E408="DEF"),AY408,"")</f>
        <v/>
      </c>
      <c r="BE408">
        <f>IF(AND($G408=TRUE,$E408="MID"),AY408,"")</f>
        <v/>
      </c>
      <c r="BF408">
        <f>IF(AND($G408=TRUE,$E408="FWD"),AY408,"")</f>
        <v/>
      </c>
      <c r="BG408" t="n">
        <v>2</v>
      </c>
      <c r="BH408" t="n">
        <v>2</v>
      </c>
      <c r="BI408" t="n">
        <v>4</v>
      </c>
      <c r="BJ408" t="n">
        <v>6</v>
      </c>
    </row>
    <row r="409">
      <c r="A409" s="9" t="inlineStr">
        <is>
          <t>Kjell Scherpen</t>
        </is>
      </c>
      <c r="B409" t="inlineStr">
        <is>
          <t>IPS</t>
        </is>
      </c>
      <c r="C409" s="9" t="inlineStr">
        <is>
          <t>BHA</t>
        </is>
      </c>
      <c r="D409" t="b">
        <v>1</v>
      </c>
      <c r="E409" t="inlineStr">
        <is>
          <t>GKP</t>
        </is>
      </c>
      <c r="F409" t="inlineStr">
        <is>
          <t>GKP</t>
        </is>
      </c>
      <c r="G409" t="b">
        <v>1</v>
      </c>
      <c r="H409" s="2" t="n">
        <v>4.5</v>
      </c>
      <c r="I409" t="inlineStr">
        <is>
          <t>a</t>
        </is>
      </c>
      <c r="K409" s="2" t="n">
        <v>0</v>
      </c>
      <c r="L409" t="n">
        <v>0</v>
      </c>
      <c r="M409" s="3" t="n">
        <v>3317</v>
      </c>
      <c r="N409" s="8" t="n">
        <v>3317</v>
      </c>
      <c r="O409" s="8" t="n">
        <v>0</v>
      </c>
      <c r="Q409" t="inlineStr">
        <is>
          <t>flat</t>
        </is>
      </c>
      <c r="R409" s="6" t="n">
        <v>3317</v>
      </c>
      <c r="S409" t="inlineStr">
        <is>
          <t>Solio</t>
        </is>
      </c>
      <c r="U409" s="6" t="n">
        <v>85</v>
      </c>
      <c r="V409" s="2" t="n"/>
      <c r="W409" s="7">
        <f>IF(N(U409)&lt;=0,0,MIN(Assumptions!$B$15,N(R409)/N(U409)))</f>
        <v/>
      </c>
      <c r="X409" s="6" t="n">
        <v>0.17</v>
      </c>
      <c r="Y409" s="10" t="n"/>
      <c r="Z409" t="inlineStr"/>
      <c r="AA409" s="3" t="n">
        <v>1</v>
      </c>
      <c r="AB409" s="3" t="n"/>
      <c r="AC409" s="3" t="n"/>
      <c r="AD409" s="10" t="n"/>
      <c r="AE409" s="3" t="n">
        <v>0</v>
      </c>
      <c r="AF409" s="3" t="n">
        <v>0</v>
      </c>
      <c r="AG409" s="3" t="n"/>
      <c r="AH409" s="3" t="n">
        <v>0</v>
      </c>
      <c r="AI409" s="3" t="n">
        <v>3.5741</v>
      </c>
      <c r="AJ409" s="3" t="n">
        <v>1.8319</v>
      </c>
      <c r="AK409" s="3" t="n">
        <v>-0.0763216474948735</v>
      </c>
      <c r="AL409" s="6" t="n">
        <v>0</v>
      </c>
      <c r="AM409" s="3" t="n">
        <v>3.792999458017947</v>
      </c>
      <c r="AN409" s="10" t="n">
        <v>0</v>
      </c>
      <c r="AO409" s="10" t="n">
        <v>0</v>
      </c>
      <c r="AP409" s="3">
        <f>N(X409)*N(BI409)</f>
        <v/>
      </c>
      <c r="AQ409" s="3" t="n">
        <v>0</v>
      </c>
      <c r="AR409" s="3" t="n">
        <v>0.8565116974562608</v>
      </c>
      <c r="AS409" s="3" t="n">
        <v>-0.6723587286814016</v>
      </c>
      <c r="AT409" s="3" t="n">
        <v>-0.0763216474948735</v>
      </c>
      <c r="AU409" s="3">
        <f>SUM(AN409:AT409)</f>
        <v/>
      </c>
      <c r="AV409" s="7">
        <f>IF(OR(N(W409)&lt;=0,N(BG409)=0),0,N(W409)*IF(N(R409)/N(W409)&gt;=60,N(BG409),1))</f>
        <v/>
      </c>
      <c r="AW409" s="7">
        <f>N(W409)*N(AF409)*N(BH409)</f>
        <v/>
      </c>
      <c r="AX409" s="7">
        <f>N(AL409)*(Assumptions!$B$13*N(BJ409)-(1-Assumptions!$B$13)*Assumptions!$B$14)+N(AM409)</f>
        <v/>
      </c>
      <c r="AY409" s="7">
        <f>N(AU409)*N(R409)/90+N(AV409)+N(AW409)+N(AX409)</f>
        <v/>
      </c>
      <c r="AZ409" s="3">
        <f>IF(N(R409)&lt;=0,0,(N(AY409)-N(AX409))*90/N(R409))</f>
        <v/>
      </c>
      <c r="BA409" s="7">
        <f>IFERROR(AY409-VLOOKUP($E409,Assumptions!$A$40:$C$43,3,FALSE),"")</f>
        <v/>
      </c>
      <c r="BB409" s="3">
        <f>IFERROR(BA409/H409,"")</f>
        <v/>
      </c>
      <c r="BC409">
        <f>IF(AND($G409=TRUE,$E409="GKP"),AY409,"")</f>
        <v/>
      </c>
      <c r="BD409">
        <f>IF(AND($G409=TRUE,$E409="DEF"),AY409,"")</f>
        <v/>
      </c>
      <c r="BE409">
        <f>IF(AND($G409=TRUE,$E409="MID"),AY409,"")</f>
        <v/>
      </c>
      <c r="BF409">
        <f>IF(AND($G409=TRUE,$E409="FWD"),AY409,"")</f>
        <v/>
      </c>
      <c r="BG409" t="n">
        <v>2</v>
      </c>
      <c r="BH409" t="n">
        <v>0</v>
      </c>
      <c r="BI409" t="n">
        <v>4</v>
      </c>
      <c r="BJ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s="8" t="n">
        <v>0</v>
      </c>
      <c r="O410" s="8" t="n">
        <v>0</v>
      </c>
      <c r="Q410" t="inlineStr">
        <is>
          <t>flat</t>
        </is>
      </c>
      <c r="R410" s="6" t="n">
        <v>0</v>
      </c>
      <c r="S410" t="inlineStr">
        <is>
          <t>Solio</t>
        </is>
      </c>
      <c r="U410" s="6" t="n">
        <v>85</v>
      </c>
      <c r="V410" s="2" t="n"/>
      <c r="W410" s="7">
        <f>IF(N(U410)&lt;=0,0,MIN(Assumptions!$B$15,N(R410)/N(U410)))</f>
        <v/>
      </c>
      <c r="X410" s="6" t="n">
        <v>0.334</v>
      </c>
      <c r="Y410" s="3" t="n"/>
      <c r="Z410" t="inlineStr"/>
      <c r="AA410" s="3" t="n">
        <v>1</v>
      </c>
      <c r="AB410" s="3" t="n"/>
      <c r="AC410" s="3" t="n"/>
      <c r="AD410" s="3" t="n"/>
      <c r="AE410" s="3" t="n">
        <v>0</v>
      </c>
      <c r="AF410" s="3" t="n">
        <v>0</v>
      </c>
      <c r="AG410" s="3" t="n"/>
      <c r="AH410" s="3" t="n">
        <v>0</v>
      </c>
      <c r="AI410" s="3" t="n">
        <v>2.2165</v>
      </c>
      <c r="AJ410" s="3" t="n">
        <v>1.1467</v>
      </c>
      <c r="AK410" s="3" t="n">
        <v>-0.0763216474948735</v>
      </c>
      <c r="AL410" s="6" t="n">
        <v>0</v>
      </c>
      <c r="AM410" s="3" t="n">
        <v>0</v>
      </c>
      <c r="AN410" s="3" t="n">
        <v>0</v>
      </c>
      <c r="AO410" s="3" t="n">
        <v>0</v>
      </c>
      <c r="AP410" s="3">
        <f>N(X410)*N(BI410)</f>
        <v/>
      </c>
      <c r="AQ410" s="3" t="n">
        <v>0</v>
      </c>
      <c r="AR410" s="3" t="n">
        <v>0.407909225741714</v>
      </c>
      <c r="AS410" s="3" t="n">
        <v>-0.348580685135232</v>
      </c>
      <c r="AT410" s="3" t="n">
        <v>-0.0763216474948735</v>
      </c>
      <c r="AU410" s="3">
        <f>SUM(AN410:AT410)</f>
        <v/>
      </c>
      <c r="AV410" s="7">
        <f>IF(OR(N(W410)&lt;=0,N(BG410)=0),0,N(W410)*IF(N(R410)/N(W410)&gt;=60,N(BG410),1))</f>
        <v/>
      </c>
      <c r="AW410" s="7">
        <f>N(W410)*N(AF410)*N(BH410)</f>
        <v/>
      </c>
      <c r="AX410" s="7">
        <f>N(AL410)*(Assumptions!$B$13*N(BJ410)-(1-Assumptions!$B$13)*Assumptions!$B$14)+N(AM410)</f>
        <v/>
      </c>
      <c r="AY410" s="7">
        <f>N(AU410)*N(R410)/90+N(AV410)+N(AW410)+N(AX410)</f>
        <v/>
      </c>
      <c r="AZ410" s="3">
        <f>IF(N(R410)&lt;=0,0,(N(AY410)-N(AX410))*90/N(R410))</f>
        <v/>
      </c>
      <c r="BA410" s="7">
        <f>IFERROR(AY410-VLOOKUP($E410,Assumptions!$A$40:$C$43,3,FALSE),"")</f>
        <v/>
      </c>
      <c r="BB410" s="3">
        <f>IFERROR(BA410/H410,"")</f>
        <v/>
      </c>
      <c r="BC410">
        <f>IF(AND($G410=TRUE,$E410="GKP"),AY410,"")</f>
        <v/>
      </c>
      <c r="BD410">
        <f>IF(AND($G410=TRUE,$E410="DEF"),AY410,"")</f>
        <v/>
      </c>
      <c r="BE410">
        <f>IF(AND($G410=TRUE,$E410="MID"),AY410,"")</f>
        <v/>
      </c>
      <c r="BF410">
        <f>IF(AND($G410=TRUE,$E410="FWD"),AY410,"")</f>
        <v/>
      </c>
      <c r="BG410" t="n">
        <v>2</v>
      </c>
      <c r="BH410" t="n">
        <v>0</v>
      </c>
      <c r="BI410" t="n">
        <v>4</v>
      </c>
      <c r="BJ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N411" s="8" t="n">
        <v>0</v>
      </c>
      <c r="O411" s="8" t="n">
        <v>0</v>
      </c>
      <c r="R411" s="6" t="n">
        <v>0</v>
      </c>
      <c r="S411" t="inlineStr">
        <is>
          <t>25/26 actual</t>
        </is>
      </c>
      <c r="U411" s="6" t="n">
        <v>85</v>
      </c>
      <c r="V411" s="2" t="n"/>
      <c r="W411" s="7">
        <f>IF(N(U411)&lt;=0,0,MIN(Assumptions!$B$15,N(R411)/N(U411)))</f>
        <v/>
      </c>
      <c r="X411" s="6" t="n">
        <v>0.204</v>
      </c>
      <c r="Y411" s="3" t="n"/>
      <c r="Z411" t="inlineStr"/>
      <c r="AA411" s="3" t="n">
        <v>1</v>
      </c>
      <c r="AB411" s="3" t="n"/>
      <c r="AC411" s="3" t="n"/>
      <c r="AD411" s="3" t="n"/>
      <c r="AE411" s="3" t="n">
        <v>0</v>
      </c>
      <c r="AF411" s="3" t="n">
        <v>0</v>
      </c>
      <c r="AG411" s="3" t="n"/>
      <c r="AH411" s="3" t="n">
        <v>0</v>
      </c>
      <c r="AI411" s="3" t="n">
        <v>3.3348</v>
      </c>
      <c r="AJ411" s="3" t="n">
        <v>1.6498</v>
      </c>
      <c r="AK411" s="3" t="n">
        <v>-0.0763216474948735</v>
      </c>
      <c r="AL411" s="6" t="n">
        <v>0</v>
      </c>
      <c r="AM411" s="3" t="n">
        <v>0</v>
      </c>
      <c r="AN411" s="3" t="n">
        <v>0</v>
      </c>
      <c r="AO411" s="3" t="n">
        <v>0</v>
      </c>
      <c r="AP411" s="3">
        <f>N(X411)*N(BI411)</f>
        <v/>
      </c>
      <c r="AQ411" s="3" t="n">
        <v>0</v>
      </c>
      <c r="AR411" s="3" t="n">
        <v>0.7764218657798218</v>
      </c>
      <c r="AS411" s="3" t="n">
        <v>-0.5841244809045405</v>
      </c>
      <c r="AT411" s="3" t="n">
        <v>-0.0763216474948735</v>
      </c>
      <c r="AU411" s="3">
        <f>SUM(AN411:AT411)</f>
        <v/>
      </c>
      <c r="AV411" s="7">
        <f>IF(OR(N(W411)&lt;=0,N(BG411)=0),0,N(W411)*IF(N(R411)/N(W411)&gt;=60,N(BG411),1))</f>
        <v/>
      </c>
      <c r="AW411" s="7">
        <f>N(W411)*N(AF411)*N(BH411)</f>
        <v/>
      </c>
      <c r="AX411" s="7">
        <f>N(AL411)*(Assumptions!$B$13*N(BJ411)-(1-Assumptions!$B$13)*Assumptions!$B$14)+N(AM411)</f>
        <v/>
      </c>
      <c r="AY411" s="7">
        <f>N(AU411)*N(R411)/90+N(AV411)+N(AW411)+N(AX411)</f>
        <v/>
      </c>
      <c r="AZ411" s="3">
        <f>IF(N(R411)&lt;=0,0,(N(AY411)-N(AX411))*90/N(R411))</f>
        <v/>
      </c>
      <c r="BA411" s="7">
        <f>IFERROR(AY411-VLOOKUP($E411,Assumptions!$A$40:$C$43,3,FALSE),"")</f>
        <v/>
      </c>
      <c r="BB411" s="3">
        <f>IFERROR(BA411/H411,"")</f>
        <v/>
      </c>
      <c r="BC411">
        <f>IF(AND($G411=TRUE,$E411="GKP"),AY411,"")</f>
        <v/>
      </c>
      <c r="BD411">
        <f>IF(AND($G411=TRUE,$E411="DEF"),AY411,"")</f>
        <v/>
      </c>
      <c r="BE411">
        <f>IF(AND($G411=TRUE,$E411="MID"),AY411,"")</f>
        <v/>
      </c>
      <c r="BF411">
        <f>IF(AND($G411=TRUE,$E411="FWD"),AY411,"")</f>
        <v/>
      </c>
      <c r="BG411" t="n">
        <v>2</v>
      </c>
      <c r="BH411" t="n">
        <v>0</v>
      </c>
      <c r="BI411" t="n">
        <v>4</v>
      </c>
      <c r="BJ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s="8" t="n">
        <v>35</v>
      </c>
      <c r="O412" s="8" t="n">
        <v>0</v>
      </c>
      <c r="Q412" t="inlineStr">
        <is>
          <t>flat</t>
        </is>
      </c>
      <c r="R412" s="6" t="n">
        <v>35</v>
      </c>
      <c r="S412" t="inlineStr">
        <is>
          <t>Solio</t>
        </is>
      </c>
      <c r="U412" s="6" t="n">
        <v>85</v>
      </c>
      <c r="V412" s="2" t="n"/>
      <c r="W412" s="7">
        <f>IF(N(U412)&lt;=0,0,MIN(Assumptions!$B$15,N(R412)/N(U412)))</f>
        <v/>
      </c>
      <c r="X412" s="6" t="n">
        <v>0.231</v>
      </c>
      <c r="Y412" s="3" t="n"/>
      <c r="Z412" t="inlineStr"/>
      <c r="AA412" s="3" t="n">
        <v>1</v>
      </c>
      <c r="AB412" s="3" t="n"/>
      <c r="AC412" s="3" t="n"/>
      <c r="AD412" s="3" t="n"/>
      <c r="AE412" s="3" t="n">
        <v>0</v>
      </c>
      <c r="AF412" s="3" t="n">
        <v>0</v>
      </c>
      <c r="AG412" s="3" t="n"/>
      <c r="AH412" s="3" t="n">
        <v>0</v>
      </c>
      <c r="AI412" s="3" t="n">
        <v>3.0311</v>
      </c>
      <c r="AJ412" s="3" t="n">
        <v>1.5252</v>
      </c>
      <c r="AK412" s="3" t="n">
        <v>-0.0599400886565237</v>
      </c>
      <c r="AL412" s="6" t="n">
        <v>0</v>
      </c>
      <c r="AM412" s="3" t="n">
        <v>0.0333233277425541</v>
      </c>
      <c r="AN412" s="3" t="n">
        <v>0</v>
      </c>
      <c r="AO412" s="3" t="n">
        <v>0</v>
      </c>
      <c r="AP412" s="3">
        <f>N(X412)*N(BI412)</f>
        <v/>
      </c>
      <c r="AQ412" s="3" t="n">
        <v>0</v>
      </c>
      <c r="AR412" s="3" t="n">
        <v>0.67496810501903</v>
      </c>
      <c r="AS412" s="3" t="n">
        <v>-0.524434996152324</v>
      </c>
      <c r="AT412" s="3" t="n">
        <v>-0.0599400886565237</v>
      </c>
      <c r="AU412" s="3">
        <f>SUM(AN412:AT412)</f>
        <v/>
      </c>
      <c r="AV412" s="7">
        <f>IF(OR(N(W412)&lt;=0,N(BG412)=0),0,N(W412)*IF(N(R412)/N(W412)&gt;=60,N(BG412),1))</f>
        <v/>
      </c>
      <c r="AW412" s="7">
        <f>N(W412)*N(AF412)*N(BH412)</f>
        <v/>
      </c>
      <c r="AX412" s="7">
        <f>N(AL412)*(Assumptions!$B$13*N(BJ412)-(1-Assumptions!$B$13)*Assumptions!$B$14)+N(AM412)</f>
        <v/>
      </c>
      <c r="AY412" s="7">
        <f>N(AU412)*N(R412)/90+N(AV412)+N(AW412)+N(AX412)</f>
        <v/>
      </c>
      <c r="AZ412" s="3">
        <f>IF(N(R412)&lt;=0,0,(N(AY412)-N(AX412))*90/N(R412))</f>
        <v/>
      </c>
      <c r="BA412" s="7">
        <f>IFERROR(AY412-VLOOKUP($E412,Assumptions!$A$40:$C$43,3,FALSE),"")</f>
        <v/>
      </c>
      <c r="BB412" s="3">
        <f>IFERROR(BA412/H412,"")</f>
        <v/>
      </c>
      <c r="BC412">
        <f>IF(AND($G412=TRUE,$E412="GKP"),AY412,"")</f>
        <v/>
      </c>
      <c r="BD412">
        <f>IF(AND($G412=TRUE,$E412="DEF"),AY412,"")</f>
        <v/>
      </c>
      <c r="BE412">
        <f>IF(AND($G412=TRUE,$E412="MID"),AY412,"")</f>
        <v/>
      </c>
      <c r="BF412">
        <f>IF(AND($G412=TRUE,$E412="FWD"),AY412,"")</f>
        <v/>
      </c>
      <c r="BG412" t="n">
        <v>2</v>
      </c>
      <c r="BH412" t="n">
        <v>0</v>
      </c>
      <c r="BI412" t="n">
        <v>4</v>
      </c>
      <c r="BJ412" t="n">
        <v>10</v>
      </c>
    </row>
    <row r="413">
      <c r="A413" s="9" t="inlineStr">
        <is>
          <t>Luka Vušković</t>
        </is>
      </c>
      <c r="B413" t="inlineStr">
        <is>
          <t>BHA</t>
        </is>
      </c>
      <c r="C413" s="9" t="inlineStr">
        <is>
          <t>TOT</t>
        </is>
      </c>
      <c r="D413" t="b">
        <v>1</v>
      </c>
      <c r="E413" t="inlineStr">
        <is>
          <t>DEF</t>
        </is>
      </c>
      <c r="F413" t="inlineStr">
        <is>
          <t>DEF</t>
        </is>
      </c>
      <c r="G413" t="b">
        <v>1</v>
      </c>
      <c r="H413" s="2" t="n">
        <v>5</v>
      </c>
      <c r="I413" t="inlineStr">
        <is>
          <t>a</t>
        </is>
      </c>
      <c r="K413" s="2" t="n">
        <v>0</v>
      </c>
      <c r="L413" t="n">
        <v>0</v>
      </c>
      <c r="M413" s="3" t="n">
        <v>1708</v>
      </c>
      <c r="N413" s="4" t="n">
        <v>2450</v>
      </c>
      <c r="O413" s="4" t="n">
        <v>742</v>
      </c>
      <c r="P413" s="5" t="inlineStr">
        <is>
          <t>high</t>
        </is>
      </c>
      <c r="Q413" t="inlineStr">
        <is>
          <t>flat</t>
        </is>
      </c>
      <c r="R413" s="6" t="n">
        <v>2450</v>
      </c>
      <c r="S413" t="inlineStr">
        <is>
          <t>research</t>
        </is>
      </c>
      <c r="T413" s="5" t="inlineStr">
        <is>
          <t>Brighton's record signing (GBP 46m guaranteed, rising to GBP 50m) from Tottenham on 14 Jul 2026, reported as primed for an immediate first-team role having made 28 Bundesliga appearances on loan at Hamburg. He started both August friendlies at centre-back. Solio's 1708 (about 20 starts) reads like a squad-player allocation for a club-record buy. Not pushed to a full 3000+ because he is 19, has four competitions to be managed across, and has four senior centre-backs behind him.</t>
        </is>
      </c>
      <c r="U413" s="6" t="n">
        <v>85</v>
      </c>
      <c r="V413" s="2" t="n"/>
      <c r="W413" s="7">
        <f>IF(N(U413)&lt;=0,0,MIN(Assumptions!$B$15,N(R413)/N(U413)))</f>
        <v/>
      </c>
      <c r="X413" s="6" t="n">
        <v>0.252</v>
      </c>
      <c r="Y413" s="10" t="n"/>
      <c r="Z413" t="inlineStr"/>
      <c r="AA413" s="3" t="n">
        <v>1</v>
      </c>
      <c r="AB413" s="3" t="n"/>
      <c r="AC413" s="3" t="n"/>
      <c r="AD413" s="10" t="n"/>
      <c r="AE413" s="3" t="n"/>
      <c r="AF413" s="3" t="n">
        <v>0</v>
      </c>
      <c r="AG413" s="3" t="n"/>
      <c r="AH413" s="3" t="n">
        <v>0</v>
      </c>
      <c r="AI413" s="3" t="n">
        <v>2.8404</v>
      </c>
      <c r="AJ413" s="3" t="n">
        <v>1.439</v>
      </c>
      <c r="AK413" s="3" t="n">
        <v>-0.2045226422080557</v>
      </c>
      <c r="AL413" s="6" t="n">
        <v>0</v>
      </c>
      <c r="AM413" s="3" t="n">
        <v>0</v>
      </c>
      <c r="AN413" s="10" t="n">
        <v>0</v>
      </c>
      <c r="AO413" s="10" t="n">
        <v>0</v>
      </c>
      <c r="AP413" s="3">
        <f>N(X413)*N(BI413)</f>
        <v/>
      </c>
      <c r="AQ413" s="3" t="n">
        <v>0</v>
      </c>
      <c r="AR413" s="3" t="n">
        <v>0</v>
      </c>
      <c r="AS413" s="3" t="n">
        <v>-0.4835617861760246</v>
      </c>
      <c r="AT413" s="3" t="n">
        <v>-0.2045226422080557</v>
      </c>
      <c r="AU413" s="3">
        <f>SUM(AN413:AT413)</f>
        <v/>
      </c>
      <c r="AV413" s="7">
        <f>IF(OR(N(W413)&lt;=0,N(BG413)=0),0,N(W413)*IF(N(R413)/N(W413)&gt;=60,N(BG413),1))</f>
        <v/>
      </c>
      <c r="AW413" s="7">
        <f>N(W413)*N(AF413)*N(BH413)</f>
        <v/>
      </c>
      <c r="AX413" s="7">
        <f>N(AL413)*(Assumptions!$B$13*N(BJ413)-(1-Assumptions!$B$13)*Assumptions!$B$14)+N(AM413)</f>
        <v/>
      </c>
      <c r="AY413" s="7">
        <f>N(AU413)*N(R413)/90+N(AV413)+N(AW413)+N(AX413)</f>
        <v/>
      </c>
      <c r="AZ413" s="3">
        <f>IF(N(R413)&lt;=0,0,(N(AY413)-N(AX413))*90/N(R413))</f>
        <v/>
      </c>
      <c r="BA413" s="7">
        <f>IFERROR(AY413-VLOOKUP($E413,Assumptions!$A$40:$C$43,3,FALSE),"")</f>
        <v/>
      </c>
      <c r="BB413" s="3">
        <f>IFERROR(BA413/H413,"")</f>
        <v/>
      </c>
      <c r="BC413">
        <f>IF(AND($G413=TRUE,$E413="GKP"),AY413,"")</f>
        <v/>
      </c>
      <c r="BD413">
        <f>IF(AND($G413=TRUE,$E413="DEF"),AY413,"")</f>
        <v/>
      </c>
      <c r="BE413">
        <f>IF(AND($G413=TRUE,$E413="MID"),AY413,"")</f>
        <v/>
      </c>
      <c r="BF413">
        <f>IF(AND($G413=TRUE,$E413="FWD"),AY413,"")</f>
        <v/>
      </c>
      <c r="BG413" t="n">
        <v>2</v>
      </c>
      <c r="BH413" t="n">
        <v>2</v>
      </c>
      <c r="BI413" t="n">
        <v>4</v>
      </c>
      <c r="BJ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s="8" t="n">
        <v>0</v>
      </c>
      <c r="O414" s="8" t="n">
        <v>0</v>
      </c>
      <c r="Q414" t="inlineStr">
        <is>
          <t>flat</t>
        </is>
      </c>
      <c r="R414" s="6" t="n">
        <v>0</v>
      </c>
      <c r="S414" t="inlineStr">
        <is>
          <t>Solio</t>
        </is>
      </c>
      <c r="U414" s="6" t="n">
        <v>85</v>
      </c>
      <c r="V414" s="2" t="n"/>
      <c r="W414" s="7">
        <f>IF(N(U414)&lt;=0,0,MIN(Assumptions!$B$15,N(R414)/N(U414)))</f>
        <v/>
      </c>
      <c r="X414" s="6" t="n">
        <v>0.286</v>
      </c>
      <c r="Y414" s="3" t="n"/>
      <c r="Z414" t="inlineStr"/>
      <c r="AA414" s="3" t="n">
        <v>1</v>
      </c>
      <c r="AB414" s="3" t="n"/>
      <c r="AC414" s="3" t="n"/>
      <c r="AD414" s="3" t="n"/>
      <c r="AE414" s="3" t="n">
        <v>0</v>
      </c>
      <c r="AF414" s="3" t="n">
        <v>0</v>
      </c>
      <c r="AG414" s="3" t="n"/>
      <c r="AH414" s="3" t="n">
        <v>0</v>
      </c>
      <c r="AI414" s="3" t="n">
        <v>2.5739</v>
      </c>
      <c r="AJ414" s="3" t="n">
        <v>1.3096</v>
      </c>
      <c r="AK414" s="3" t="n">
        <v>-0.0736700489191532</v>
      </c>
      <c r="AL414" s="6" t="n">
        <v>0</v>
      </c>
      <c r="AM414" s="3" t="n">
        <v>0</v>
      </c>
      <c r="AN414" s="3" t="n">
        <v>0</v>
      </c>
      <c r="AO414" s="3" t="n">
        <v>0</v>
      </c>
      <c r="AP414" s="3">
        <f>N(X414)*N(BI414)</f>
        <v/>
      </c>
      <c r="AQ414" s="3" t="n">
        <v>0</v>
      </c>
      <c r="AR414" s="3" t="n">
        <v>0.5235455255089686</v>
      </c>
      <c r="AS414" s="3" t="n">
        <v>-0.4230152821052008</v>
      </c>
      <c r="AT414" s="3" t="n">
        <v>-0.0736700489191532</v>
      </c>
      <c r="AU414" s="3">
        <f>SUM(AN414:AT414)</f>
        <v/>
      </c>
      <c r="AV414" s="7">
        <f>IF(OR(N(W414)&lt;=0,N(BG414)=0),0,N(W414)*IF(N(R414)/N(W414)&gt;=60,N(BG414),1))</f>
        <v/>
      </c>
      <c r="AW414" s="7">
        <f>N(W414)*N(AF414)*N(BH414)</f>
        <v/>
      </c>
      <c r="AX414" s="7">
        <f>N(AL414)*(Assumptions!$B$13*N(BJ414)-(1-Assumptions!$B$13)*Assumptions!$B$14)+N(AM414)</f>
        <v/>
      </c>
      <c r="AY414" s="7">
        <f>N(AU414)*N(R414)/90+N(AV414)+N(AW414)+N(AX414)</f>
        <v/>
      </c>
      <c r="AZ414" s="3">
        <f>IF(N(R414)&lt;=0,0,(N(AY414)-N(AX414))*90/N(R414))</f>
        <v/>
      </c>
      <c r="BA414" s="7">
        <f>IFERROR(AY414-VLOOKUP($E414,Assumptions!$A$40:$C$43,3,FALSE),"")</f>
        <v/>
      </c>
      <c r="BB414" s="3">
        <f>IFERROR(BA414/H414,"")</f>
        <v/>
      </c>
      <c r="BC414">
        <f>IF(AND($G414=TRUE,$E414="GKP"),AY414,"")</f>
        <v/>
      </c>
      <c r="BD414">
        <f>IF(AND($G414=TRUE,$E414="DEF"),AY414,"")</f>
        <v/>
      </c>
      <c r="BE414">
        <f>IF(AND($G414=TRUE,$E414="MID"),AY414,"")</f>
        <v/>
      </c>
      <c r="BF414">
        <f>IF(AND($G414=TRUE,$E414="FWD"),AY414,"")</f>
        <v/>
      </c>
      <c r="BG414" t="n">
        <v>2</v>
      </c>
      <c r="BH414" t="n">
        <v>0</v>
      </c>
      <c r="BI414" t="n">
        <v>4</v>
      </c>
      <c r="BJ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s="8" t="n">
        <v>256</v>
      </c>
      <c r="O415" s="8" t="n">
        <v>0</v>
      </c>
      <c r="Q415" t="inlineStr">
        <is>
          <t>flat</t>
        </is>
      </c>
      <c r="R415" s="6" t="n">
        <v>256</v>
      </c>
      <c r="S415" t="inlineStr">
        <is>
          <t>Solio</t>
        </is>
      </c>
      <c r="U415" s="6" t="n">
        <v>85</v>
      </c>
      <c r="V415" s="2" t="n"/>
      <c r="W415" s="7">
        <f>IF(N(U415)&lt;=0,0,MIN(Assumptions!$B$15,N(R415)/N(U415)))</f>
        <v/>
      </c>
      <c r="X415" s="6" t="n">
        <v>0.342</v>
      </c>
      <c r="Y415" s="3" t="n"/>
      <c r="Z415" t="inlineStr"/>
      <c r="AA415" s="3" t="n">
        <v>1</v>
      </c>
      <c r="AB415" s="3" t="n"/>
      <c r="AC415" s="3" t="n"/>
      <c r="AD415" s="3" t="n"/>
      <c r="AE415" s="3" t="n"/>
      <c r="AF415" s="3" t="n">
        <v>0</v>
      </c>
      <c r="AG415" s="3" t="n"/>
      <c r="AH415" s="3" t="n">
        <v>0</v>
      </c>
      <c r="AI415" s="3" t="n">
        <v>2.409</v>
      </c>
      <c r="AJ415" s="3" t="n">
        <v>1.1228</v>
      </c>
      <c r="AK415" s="3" t="n">
        <v>-0.1897167504321107</v>
      </c>
      <c r="AL415" s="6" t="n">
        <v>0</v>
      </c>
      <c r="AM415" s="3" t="n">
        <v>0</v>
      </c>
      <c r="AN415" s="3" t="n">
        <v>0</v>
      </c>
      <c r="AO415" s="3" t="n">
        <v>0</v>
      </c>
      <c r="AP415" s="3">
        <f>N(X415)*N(BI415)</f>
        <v/>
      </c>
      <c r="AQ415" s="3" t="n">
        <v>0</v>
      </c>
      <c r="AR415" s="3" t="n">
        <v>0</v>
      </c>
      <c r="AS415" s="3" t="n">
        <v>-0.3378660007281162</v>
      </c>
      <c r="AT415" s="3" t="n">
        <v>-0.1897167504321107</v>
      </c>
      <c r="AU415" s="3">
        <f>SUM(AN415:AT415)</f>
        <v/>
      </c>
      <c r="AV415" s="7">
        <f>IF(OR(N(W415)&lt;=0,N(BG415)=0),0,N(W415)*IF(N(R415)/N(W415)&gt;=60,N(BG415),1))</f>
        <v/>
      </c>
      <c r="AW415" s="7">
        <f>N(W415)*N(AF415)*N(BH415)</f>
        <v/>
      </c>
      <c r="AX415" s="7">
        <f>N(AL415)*(Assumptions!$B$13*N(BJ415)-(1-Assumptions!$B$13)*Assumptions!$B$14)+N(AM415)</f>
        <v/>
      </c>
      <c r="AY415" s="7">
        <f>N(AU415)*N(R415)/90+N(AV415)+N(AW415)+N(AX415)</f>
        <v/>
      </c>
      <c r="AZ415" s="3">
        <f>IF(N(R415)&lt;=0,0,(N(AY415)-N(AX415))*90/N(R415))</f>
        <v/>
      </c>
      <c r="BA415" s="7">
        <f>IFERROR(AY415-VLOOKUP($E415,Assumptions!$A$40:$C$43,3,FALSE),"")</f>
        <v/>
      </c>
      <c r="BB415" s="3">
        <f>IFERROR(BA415/H415,"")</f>
        <v/>
      </c>
      <c r="BC415">
        <f>IF(AND($G415=TRUE,$E415="GKP"),AY415,"")</f>
        <v/>
      </c>
      <c r="BD415">
        <f>IF(AND($G415=TRUE,$E415="DEF"),AY415,"")</f>
        <v/>
      </c>
      <c r="BE415">
        <f>IF(AND($G415=TRUE,$E415="MID"),AY415,"")</f>
        <v/>
      </c>
      <c r="BF415">
        <f>IF(AND($G415=TRUE,$E415="FWD"),AY415,"")</f>
        <v/>
      </c>
      <c r="BG415" t="n">
        <v>2</v>
      </c>
      <c r="BH415" t="n">
        <v>2</v>
      </c>
      <c r="BI415" t="n">
        <v>4</v>
      </c>
      <c r="BJ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s="8" t="n">
        <v>0</v>
      </c>
      <c r="O416" s="8" t="n">
        <v>0</v>
      </c>
      <c r="Q416" t="inlineStr">
        <is>
          <t>flat</t>
        </is>
      </c>
      <c r="R416" s="6" t="n">
        <v>0</v>
      </c>
      <c r="S416" t="inlineStr">
        <is>
          <t>Solio</t>
        </is>
      </c>
      <c r="U416" s="6" t="n">
        <v>85</v>
      </c>
      <c r="V416" s="2" t="n"/>
      <c r="W416" s="7">
        <f>IF(N(U416)&lt;=0,0,MIN(Assumptions!$B$15,N(R416)/N(U416)))</f>
        <v/>
      </c>
      <c r="X416" s="6" t="n">
        <v>0.224</v>
      </c>
      <c r="Y416" s="3" t="n"/>
      <c r="Z416" t="inlineStr"/>
      <c r="AA416" s="3" t="n">
        <v>1</v>
      </c>
      <c r="AB416" s="3" t="n"/>
      <c r="AC416" s="3" t="n"/>
      <c r="AD416" s="3" t="n"/>
      <c r="AE416" s="3" t="n"/>
      <c r="AF416" s="3" t="n">
        <v>0</v>
      </c>
      <c r="AG416" s="3" t="n"/>
      <c r="AH416" s="3" t="n">
        <v>0</v>
      </c>
      <c r="AI416" s="3" t="n">
        <v>3.1134</v>
      </c>
      <c r="AJ416" s="3" t="n">
        <v>1.5588</v>
      </c>
      <c r="AK416" s="3" t="n">
        <v>-0.2045226422080557</v>
      </c>
      <c r="AL416" s="6" t="n">
        <v>0</v>
      </c>
      <c r="AM416" s="3" t="n">
        <v>0</v>
      </c>
      <c r="AN416" s="3" t="n">
        <v>0</v>
      </c>
      <c r="AO416" s="3" t="n">
        <v>0</v>
      </c>
      <c r="AP416" s="3">
        <f>N(X416)*N(BI416)</f>
        <v/>
      </c>
      <c r="AQ416" s="3" t="n">
        <v>0</v>
      </c>
      <c r="AR416" s="3" t="n">
        <v>0</v>
      </c>
      <c r="AS416" s="3" t="n">
        <v>-0.5404658182244797</v>
      </c>
      <c r="AT416" s="3" t="n">
        <v>-0.2045226422080557</v>
      </c>
      <c r="AU416" s="3">
        <f>SUM(AN416:AT416)</f>
        <v/>
      </c>
      <c r="AV416" s="7">
        <f>IF(OR(N(W416)&lt;=0,N(BG416)=0),0,N(W416)*IF(N(R416)/N(W416)&gt;=60,N(BG416),1))</f>
        <v/>
      </c>
      <c r="AW416" s="7">
        <f>N(W416)*N(AF416)*N(BH416)</f>
        <v/>
      </c>
      <c r="AX416" s="7">
        <f>N(AL416)*(Assumptions!$B$13*N(BJ416)-(1-Assumptions!$B$13)*Assumptions!$B$14)+N(AM416)</f>
        <v/>
      </c>
      <c r="AY416" s="7">
        <f>N(AU416)*N(R416)/90+N(AV416)+N(AW416)+N(AX416)</f>
        <v/>
      </c>
      <c r="AZ416" s="3">
        <f>IF(N(R416)&lt;=0,0,(N(AY416)-N(AX416))*90/N(R416))</f>
        <v/>
      </c>
      <c r="BA416" s="7">
        <f>IFERROR(AY416-VLOOKUP($E416,Assumptions!$A$40:$C$43,3,FALSE),"")</f>
        <v/>
      </c>
      <c r="BB416" s="3">
        <f>IFERROR(BA416/H416,"")</f>
        <v/>
      </c>
      <c r="BC416">
        <f>IF(AND($G416=TRUE,$E416="GKP"),AY416,"")</f>
        <v/>
      </c>
      <c r="BD416">
        <f>IF(AND($G416=TRUE,$E416="DEF"),AY416,"")</f>
        <v/>
      </c>
      <c r="BE416">
        <f>IF(AND($G416=TRUE,$E416="MID"),AY416,"")</f>
        <v/>
      </c>
      <c r="BF416">
        <f>IF(AND($G416=TRUE,$E416="FWD"),AY416,"")</f>
        <v/>
      </c>
      <c r="BG416" t="n">
        <v>2</v>
      </c>
      <c r="BH416" t="n">
        <v>2</v>
      </c>
      <c r="BI416" t="n">
        <v>4</v>
      </c>
      <c r="BJ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s="4" t="n">
        <v>550</v>
      </c>
      <c r="O417" s="4" t="n">
        <v>374</v>
      </c>
      <c r="P417" s="5" t="inlineStr">
        <is>
          <t>medium</t>
        </is>
      </c>
      <c r="Q417" t="inlineStr">
        <is>
          <t>flat</t>
        </is>
      </c>
      <c r="R417" s="6" t="n">
        <v>550</v>
      </c>
      <c r="S417" t="inlineStr">
        <is>
          <t>research</t>
        </is>
      </c>
      <c r="T417" s="5" t="inlineStr">
        <is>
          <t>Solio's 176 minutes treats him as gone. He is not: Barcelona declined the EUR30m purchase option, no other club has made a concrete offer, his GBP325,000-a-week wage blocks a move, and ESPN reports he is set to be part of Carrick's squad. He came off the bench against Milan on 15 August for his first United appearance in 20 months. He is on 550 rather than higher because Cunha, Mbeumo, Amad, Dorgu and Sesko are all ahead of or level with him, and ESPN notes United now consider a forward signing unlikely precisely because Rashford covers that need as depth.</t>
        </is>
      </c>
      <c r="U417" s="6" t="n">
        <v>85</v>
      </c>
      <c r="V417" s="2" t="n"/>
      <c r="W417" s="7">
        <f>IF(N(U417)&lt;=0,0,MIN(Assumptions!$B$15,N(R417)/N(U417)))</f>
        <v/>
      </c>
      <c r="X417" s="6" t="n">
        <v>0.334</v>
      </c>
      <c r="Y417" s="3" t="n"/>
      <c r="Z417" t="inlineStr"/>
      <c r="AA417" s="3" t="n">
        <v>1</v>
      </c>
      <c r="AB417" s="3" t="n"/>
      <c r="AC417" s="3" t="n"/>
      <c r="AD417" s="3" t="n"/>
      <c r="AE417" s="3" t="n"/>
      <c r="AF417" s="3" t="n">
        <v>0</v>
      </c>
      <c r="AG417" s="3" t="n"/>
      <c r="AH417" s="3" t="n">
        <v>0</v>
      </c>
      <c r="AI417" s="3" t="n">
        <v>2.2165</v>
      </c>
      <c r="AJ417" s="3" t="n">
        <v>1.1467</v>
      </c>
      <c r="AK417" s="3" t="n">
        <v>-0.162892867107631</v>
      </c>
      <c r="AL417" s="6" t="n">
        <v>0</v>
      </c>
      <c r="AM417" s="3" t="n">
        <v>0</v>
      </c>
      <c r="AN417" s="3" t="n">
        <v>0</v>
      </c>
      <c r="AO417" s="3" t="n">
        <v>0</v>
      </c>
      <c r="AP417" s="3">
        <f>N(X417)*N(BI417)</f>
        <v/>
      </c>
      <c r="AQ417" s="3" t="n">
        <v>0</v>
      </c>
      <c r="AR417" s="3" t="n">
        <v>0</v>
      </c>
      <c r="AS417" s="3" t="n">
        <v>-0</v>
      </c>
      <c r="AT417" s="3" t="n">
        <v>-0.162892867107631</v>
      </c>
      <c r="AU417" s="3">
        <f>SUM(AN417:AT417)</f>
        <v/>
      </c>
      <c r="AV417" s="7">
        <f>IF(OR(N(W417)&lt;=0,N(BG417)=0),0,N(W417)*IF(N(R417)/N(W417)&gt;=60,N(BG417),1))</f>
        <v/>
      </c>
      <c r="AW417" s="7">
        <f>N(W417)*N(AF417)*N(BH417)</f>
        <v/>
      </c>
      <c r="AX417" s="7">
        <f>N(AL417)*(Assumptions!$B$13*N(BJ417)-(1-Assumptions!$B$13)*Assumptions!$B$14)+N(AM417)</f>
        <v/>
      </c>
      <c r="AY417" s="7">
        <f>N(AU417)*N(R417)/90+N(AV417)+N(AW417)+N(AX417)</f>
        <v/>
      </c>
      <c r="AZ417" s="3">
        <f>IF(N(R417)&lt;=0,0,(N(AY417)-N(AX417))*90/N(R417))</f>
        <v/>
      </c>
      <c r="BA417" s="7">
        <f>IFERROR(AY417-VLOOKUP($E417,Assumptions!$A$40:$C$43,3,FALSE),"")</f>
        <v/>
      </c>
      <c r="BB417" s="3">
        <f>IFERROR(BA417/H417,"")</f>
        <v/>
      </c>
      <c r="BC417">
        <f>IF(AND($G417=TRUE,$E417="GKP"),AY417,"")</f>
        <v/>
      </c>
      <c r="BD417">
        <f>IF(AND($G417=TRUE,$E417="DEF"),AY417,"")</f>
        <v/>
      </c>
      <c r="BE417">
        <f>IF(AND($G417=TRUE,$E417="MID"),AY417,"")</f>
        <v/>
      </c>
      <c r="BF417">
        <f>IF(AND($G417=TRUE,$E417="FWD"),AY417,"")</f>
        <v/>
      </c>
      <c r="BG417" t="n">
        <v>2</v>
      </c>
      <c r="BH417" t="n">
        <v>2</v>
      </c>
      <c r="BI417" t="n">
        <v>1</v>
      </c>
      <c r="BJ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s="4" t="n">
        <v>250</v>
      </c>
      <c r="O418" s="4" t="n">
        <v>250</v>
      </c>
      <c r="P418" s="5" t="inlineStr">
        <is>
          <t>low</t>
        </is>
      </c>
      <c r="Q418" t="inlineStr">
        <is>
          <t>flat</t>
        </is>
      </c>
      <c r="R418" s="6" t="n">
        <v>250</v>
      </c>
      <c r="S418" t="inlineStr">
        <is>
          <t>research</t>
        </is>
      </c>
      <c r="T418" s="5" t="inlineStr">
        <is>
          <t>Zero is too absolute. He is back from a full season at Girona (30-plus La Liga appearances, first Brazil call-up), holds squad number 22 on a contract to 2029, is named among the centre-back options in the City-specific previews, and Maresca had signalled an intention to re-integrate him. Set low rather than absent because a second loan is still openly on the table and Maresca has stayed coy.</t>
        </is>
      </c>
      <c r="U418" s="6" t="n">
        <v>85</v>
      </c>
      <c r="V418" s="2" t="n"/>
      <c r="W418" s="7">
        <f>IF(N(U418)&lt;=0,0,MIN(Assumptions!$B$15,N(R418)/N(U418)))</f>
        <v/>
      </c>
      <c r="X418" s="6" t="n">
        <v>0.371</v>
      </c>
      <c r="Y418" s="3" t="n"/>
      <c r="Z418" t="inlineStr"/>
      <c r="AA418" s="3" t="n">
        <v>1</v>
      </c>
      <c r="AB418" s="3" t="n"/>
      <c r="AC418" s="3" t="n"/>
      <c r="AD418" s="3" t="n"/>
      <c r="AE418" s="3" t="n"/>
      <c r="AF418" s="3" t="n">
        <v>0</v>
      </c>
      <c r="AG418" s="3" t="n"/>
      <c r="AH418" s="3" t="n">
        <v>0</v>
      </c>
      <c r="AI418" s="3" t="n">
        <v>1.9737</v>
      </c>
      <c r="AJ418" s="3" t="n">
        <v>1.0365</v>
      </c>
      <c r="AK418" s="3" t="n">
        <v>-0.2044462891912668</v>
      </c>
      <c r="AL418" s="6" t="n">
        <v>0</v>
      </c>
      <c r="AM418" s="3" t="n">
        <v>0</v>
      </c>
      <c r="AN418" s="3" t="n">
        <v>0</v>
      </c>
      <c r="AO418" s="3" t="n">
        <v>0</v>
      </c>
      <c r="AP418" s="3">
        <f>N(X418)*N(BI418)</f>
        <v/>
      </c>
      <c r="AQ418" s="3" t="n">
        <v>0</v>
      </c>
      <c r="AR418" s="3" t="n">
        <v>0</v>
      </c>
      <c r="AS418" s="3" t="n">
        <v>-0.2997019479071323</v>
      </c>
      <c r="AT418" s="3" t="n">
        <v>-0.2044462891912668</v>
      </c>
      <c r="AU418" s="3">
        <f>SUM(AN418:AT418)</f>
        <v/>
      </c>
      <c r="AV418" s="7">
        <f>IF(OR(N(W418)&lt;=0,N(BG418)=0),0,N(W418)*IF(N(R418)/N(W418)&gt;=60,N(BG418),1))</f>
        <v/>
      </c>
      <c r="AW418" s="7">
        <f>N(W418)*N(AF418)*N(BH418)</f>
        <v/>
      </c>
      <c r="AX418" s="7">
        <f>N(AL418)*(Assumptions!$B$13*N(BJ418)-(1-Assumptions!$B$13)*Assumptions!$B$14)+N(AM418)</f>
        <v/>
      </c>
      <c r="AY418" s="7">
        <f>N(AU418)*N(R418)/90+N(AV418)+N(AW418)+N(AX418)</f>
        <v/>
      </c>
      <c r="AZ418" s="3">
        <f>IF(N(R418)&lt;=0,0,(N(AY418)-N(AX418))*90/N(R418))</f>
        <v/>
      </c>
      <c r="BA418" s="7">
        <f>IFERROR(AY418-VLOOKUP($E418,Assumptions!$A$40:$C$43,3,FALSE),"")</f>
        <v/>
      </c>
      <c r="BB418" s="3">
        <f>IFERROR(BA418/H418,"")</f>
        <v/>
      </c>
      <c r="BC418">
        <f>IF(AND($G418=TRUE,$E418="GKP"),AY418,"")</f>
        <v/>
      </c>
      <c r="BD418">
        <f>IF(AND($G418=TRUE,$E418="DEF"),AY418,"")</f>
        <v/>
      </c>
      <c r="BE418">
        <f>IF(AND($G418=TRUE,$E418="MID"),AY418,"")</f>
        <v/>
      </c>
      <c r="BF418">
        <f>IF(AND($G418=TRUE,$E418="FWD"),AY418,"")</f>
        <v/>
      </c>
      <c r="BG418" t="n">
        <v>2</v>
      </c>
      <c r="BH418" t="n">
        <v>2</v>
      </c>
      <c r="BI418" t="n">
        <v>4</v>
      </c>
      <c r="BJ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s="8" t="n">
        <v>274</v>
      </c>
      <c r="O419" s="8" t="n">
        <v>0</v>
      </c>
      <c r="Q419" t="inlineStr">
        <is>
          <t>flat</t>
        </is>
      </c>
      <c r="R419" s="6" t="n">
        <v>274</v>
      </c>
      <c r="S419" t="inlineStr">
        <is>
          <t>Solio</t>
        </is>
      </c>
      <c r="U419" s="6" t="n">
        <v>85</v>
      </c>
      <c r="V419" s="2" t="n"/>
      <c r="W419" s="7">
        <f>IF(N(U419)&lt;=0,0,MIN(Assumptions!$B$15,N(R419)/N(U419)))</f>
        <v/>
      </c>
      <c r="X419" s="6" t="n">
        <v>0.322</v>
      </c>
      <c r="Y419" s="3" t="n"/>
      <c r="Z419" t="inlineStr"/>
      <c r="AA419" s="3" t="n">
        <v>1</v>
      </c>
      <c r="AB419" s="3" t="n"/>
      <c r="AC419" s="3" t="n"/>
      <c r="AD419" s="3" t="n"/>
      <c r="AE419" s="3" t="n">
        <v>0</v>
      </c>
      <c r="AF419" s="3" t="n">
        <v>0</v>
      </c>
      <c r="AG419" s="3" t="n"/>
      <c r="AH419" s="3" t="n">
        <v>0</v>
      </c>
      <c r="AI419" s="3" t="n">
        <v>2.4232</v>
      </c>
      <c r="AJ419" s="3" t="n">
        <v>1.1851</v>
      </c>
      <c r="AK419" s="3" t="n">
        <v>-0.0763216474948735</v>
      </c>
      <c r="AL419" s="6" t="n">
        <v>0</v>
      </c>
      <c r="AM419" s="3" t="n">
        <v>0.2026894923275023</v>
      </c>
      <c r="AN419" s="3" t="n">
        <v>0</v>
      </c>
      <c r="AO419" s="3" t="n">
        <v>0</v>
      </c>
      <c r="AP419" s="3">
        <f>N(X419)*N(BI419)</f>
        <v/>
      </c>
      <c r="AQ419" s="3" t="n">
        <v>0</v>
      </c>
      <c r="AR419" s="3" t="n">
        <v>0.474357769926339</v>
      </c>
      <c r="AS419" s="3" t="n">
        <v>-0.365915508000572</v>
      </c>
      <c r="AT419" s="3" t="n">
        <v>-0.0763216474948735</v>
      </c>
      <c r="AU419" s="3">
        <f>SUM(AN419:AT419)</f>
        <v/>
      </c>
      <c r="AV419" s="7">
        <f>IF(OR(N(W419)&lt;=0,N(BG419)=0),0,N(W419)*IF(N(R419)/N(W419)&gt;=60,N(BG419),1))</f>
        <v/>
      </c>
      <c r="AW419" s="7">
        <f>N(W419)*N(AF419)*N(BH419)</f>
        <v/>
      </c>
      <c r="AX419" s="7">
        <f>N(AL419)*(Assumptions!$B$13*N(BJ419)-(1-Assumptions!$B$13)*Assumptions!$B$14)+N(AM419)</f>
        <v/>
      </c>
      <c r="AY419" s="7">
        <f>N(AU419)*N(R419)/90+N(AV419)+N(AW419)+N(AX419)</f>
        <v/>
      </c>
      <c r="AZ419" s="3">
        <f>IF(N(R419)&lt;=0,0,(N(AY419)-N(AX419))*90/N(R419))</f>
        <v/>
      </c>
      <c r="BA419" s="7">
        <f>IFERROR(AY419-VLOOKUP($E419,Assumptions!$A$40:$C$43,3,FALSE),"")</f>
        <v/>
      </c>
      <c r="BB419" s="3">
        <f>IFERROR(BA419/H419,"")</f>
        <v/>
      </c>
      <c r="BC419">
        <f>IF(AND($G419=TRUE,$E419="GKP"),AY419,"")</f>
        <v/>
      </c>
      <c r="BD419">
        <f>IF(AND($G419=TRUE,$E419="DEF"),AY419,"")</f>
        <v/>
      </c>
      <c r="BE419">
        <f>IF(AND($G419=TRUE,$E419="MID"),AY419,"")</f>
        <v/>
      </c>
      <c r="BF419">
        <f>IF(AND($G419=TRUE,$E419="FWD"),AY419,"")</f>
        <v/>
      </c>
      <c r="BG419" t="n">
        <v>2</v>
      </c>
      <c r="BH419" t="n">
        <v>0</v>
      </c>
      <c r="BI419" t="n">
        <v>4</v>
      </c>
      <c r="BJ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s="8" t="n">
        <v>0</v>
      </c>
      <c r="O420" s="8" t="n">
        <v>0</v>
      </c>
      <c r="Q420" t="inlineStr">
        <is>
          <t>flat</t>
        </is>
      </c>
      <c r="R420" s="6" t="n">
        <v>0</v>
      </c>
      <c r="S420" t="inlineStr">
        <is>
          <t>Solio</t>
        </is>
      </c>
      <c r="U420" s="6" t="n">
        <v>85</v>
      </c>
      <c r="V420" s="2" t="n"/>
      <c r="W420" s="7">
        <f>IF(N(U420)&lt;=0,0,MIN(Assumptions!$B$15,N(R420)/N(U420)))</f>
        <v/>
      </c>
      <c r="X420" s="6" t="n">
        <v>0.216</v>
      </c>
      <c r="Y420" s="3" t="n"/>
      <c r="Z420" t="inlineStr"/>
      <c r="AA420" s="3" t="n">
        <v>1</v>
      </c>
      <c r="AB420" s="3" t="n"/>
      <c r="AC420" s="3" t="n"/>
      <c r="AD420" s="3" t="n"/>
      <c r="AE420" s="3" t="n">
        <v>0</v>
      </c>
      <c r="AF420" s="3" t="n">
        <v>0</v>
      </c>
      <c r="AG420" s="3" t="n"/>
      <c r="AH420" s="3" t="n">
        <v>0</v>
      </c>
      <c r="AI420" s="3" t="n">
        <v>3.2035</v>
      </c>
      <c r="AJ420" s="3" t="n">
        <v>1.5923</v>
      </c>
      <c r="AK420" s="3" t="n">
        <v>-0.0762605643192463</v>
      </c>
      <c r="AL420" s="6" t="n">
        <v>0</v>
      </c>
      <c r="AM420" s="3" t="n">
        <v>0</v>
      </c>
      <c r="AN420" s="3" t="n">
        <v>0</v>
      </c>
      <c r="AO420" s="3" t="n">
        <v>0</v>
      </c>
      <c r="AP420" s="3">
        <f>N(X420)*N(BI420)</f>
        <v/>
      </c>
      <c r="AQ420" s="3" t="n">
        <v>0</v>
      </c>
      <c r="AR420" s="3" t="n">
        <v>0.7325188478059661</v>
      </c>
      <c r="AS420" s="3" t="n">
        <v>-0.5564987001023466</v>
      </c>
      <c r="AT420" s="3" t="n">
        <v>-0.0762605643192463</v>
      </c>
      <c r="AU420" s="3">
        <f>SUM(AN420:AT420)</f>
        <v/>
      </c>
      <c r="AV420" s="7">
        <f>IF(OR(N(W420)&lt;=0,N(BG420)=0),0,N(W420)*IF(N(R420)/N(W420)&gt;=60,N(BG420),1))</f>
        <v/>
      </c>
      <c r="AW420" s="7">
        <f>N(W420)*N(AF420)*N(BH420)</f>
        <v/>
      </c>
      <c r="AX420" s="7">
        <f>N(AL420)*(Assumptions!$B$13*N(BJ420)-(1-Assumptions!$B$13)*Assumptions!$B$14)+N(AM420)</f>
        <v/>
      </c>
      <c r="AY420" s="7">
        <f>N(AU420)*N(R420)/90+N(AV420)+N(AW420)+N(AX420)</f>
        <v/>
      </c>
      <c r="AZ420" s="3">
        <f>IF(N(R420)&lt;=0,0,(N(AY420)-N(AX420))*90/N(R420))</f>
        <v/>
      </c>
      <c r="BA420" s="7">
        <f>IFERROR(AY420-VLOOKUP($E420,Assumptions!$A$40:$C$43,3,FALSE),"")</f>
        <v/>
      </c>
      <c r="BB420" s="3">
        <f>IFERROR(BA420/H420,"")</f>
        <v/>
      </c>
      <c r="BC420">
        <f>IF(AND($G420=TRUE,$E420="GKP"),AY420,"")</f>
        <v/>
      </c>
      <c r="BD420">
        <f>IF(AND($G420=TRUE,$E420="DEF"),AY420,"")</f>
        <v/>
      </c>
      <c r="BE420">
        <f>IF(AND($G420=TRUE,$E420="MID"),AY420,"")</f>
        <v/>
      </c>
      <c r="BF420">
        <f>IF(AND($G420=TRUE,$E420="FWD"),AY420,"")</f>
        <v/>
      </c>
      <c r="BG420" t="n">
        <v>2</v>
      </c>
      <c r="BH420" t="n">
        <v>0</v>
      </c>
      <c r="BI420" t="n">
        <v>4</v>
      </c>
      <c r="BJ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s="8" t="n">
        <v>0</v>
      </c>
      <c r="O421" s="8" t="n">
        <v>0</v>
      </c>
      <c r="Q421" t="inlineStr">
        <is>
          <t>flat</t>
        </is>
      </c>
      <c r="R421" s="6" t="n">
        <v>0</v>
      </c>
      <c r="S421" t="inlineStr">
        <is>
          <t>Solio</t>
        </is>
      </c>
      <c r="U421" s="6" t="n">
        <v>85</v>
      </c>
      <c r="V421" s="2" t="n"/>
      <c r="W421" s="7">
        <f>IF(N(U421)&lt;=0,0,MIN(Assumptions!$B$15,N(R421)/N(U421)))</f>
        <v/>
      </c>
      <c r="X421" s="6" t="n">
        <v>0.322</v>
      </c>
      <c r="Y421" s="3" t="n"/>
      <c r="Z421" t="inlineStr"/>
      <c r="AA421" s="3" t="n">
        <v>1</v>
      </c>
      <c r="AB421" s="3" t="n"/>
      <c r="AC421" s="3" t="n"/>
      <c r="AD421" s="3" t="n"/>
      <c r="AE421" s="3" t="n"/>
      <c r="AF421" s="3" t="n">
        <v>0</v>
      </c>
      <c r="AG421" s="3" t="n"/>
      <c r="AH421" s="3" t="n">
        <v>0</v>
      </c>
      <c r="AI421" s="3" t="n">
        <v>2.4232</v>
      </c>
      <c r="AJ421" s="3" t="n">
        <v>1.1851</v>
      </c>
      <c r="AK421" s="3" t="n">
        <v>-0.2045226422080557</v>
      </c>
      <c r="AL421" s="6" t="n">
        <v>0</v>
      </c>
      <c r="AM421" s="3" t="n">
        <v>0</v>
      </c>
      <c r="AN421" s="3" t="n">
        <v>0</v>
      </c>
      <c r="AO421" s="3" t="n">
        <v>0</v>
      </c>
      <c r="AP421" s="3">
        <f>N(X421)*N(BI421)</f>
        <v/>
      </c>
      <c r="AQ421" s="3" t="n">
        <v>0</v>
      </c>
      <c r="AR421" s="3" t="n">
        <v>0</v>
      </c>
      <c r="AS421" s="3" t="n">
        <v>-0.365915508000572</v>
      </c>
      <c r="AT421" s="3" t="n">
        <v>-0.2045226422080557</v>
      </c>
      <c r="AU421" s="3">
        <f>SUM(AN421:AT421)</f>
        <v/>
      </c>
      <c r="AV421" s="7">
        <f>IF(OR(N(W421)&lt;=0,N(BG421)=0),0,N(W421)*IF(N(R421)/N(W421)&gt;=60,N(BG421),1))</f>
        <v/>
      </c>
      <c r="AW421" s="7">
        <f>N(W421)*N(AF421)*N(BH421)</f>
        <v/>
      </c>
      <c r="AX421" s="7">
        <f>N(AL421)*(Assumptions!$B$13*N(BJ421)-(1-Assumptions!$B$13)*Assumptions!$B$14)+N(AM421)</f>
        <v/>
      </c>
      <c r="AY421" s="7">
        <f>N(AU421)*N(R421)/90+N(AV421)+N(AW421)+N(AX421)</f>
        <v/>
      </c>
      <c r="AZ421" s="3">
        <f>IF(N(R421)&lt;=0,0,(N(AY421)-N(AX421))*90/N(R421))</f>
        <v/>
      </c>
      <c r="BA421" s="7">
        <f>IFERROR(AY421-VLOOKUP($E421,Assumptions!$A$40:$C$43,3,FALSE),"")</f>
        <v/>
      </c>
      <c r="BB421" s="3">
        <f>IFERROR(BA421/H421,"")</f>
        <v/>
      </c>
      <c r="BC421">
        <f>IF(AND($G421=TRUE,$E421="GKP"),AY421,"")</f>
        <v/>
      </c>
      <c r="BD421">
        <f>IF(AND($G421=TRUE,$E421="DEF"),AY421,"")</f>
        <v/>
      </c>
      <c r="BE421">
        <f>IF(AND($G421=TRUE,$E421="MID"),AY421,"")</f>
        <v/>
      </c>
      <c r="BF421">
        <f>IF(AND($G421=TRUE,$E421="FWD"),AY421,"")</f>
        <v/>
      </c>
      <c r="BG421" t="n">
        <v>2</v>
      </c>
      <c r="BH421" t="n">
        <v>2</v>
      </c>
      <c r="BI421" t="n">
        <v>4</v>
      </c>
      <c r="BJ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s="8" t="n">
        <v>35</v>
      </c>
      <c r="O422" s="8" t="n">
        <v>0</v>
      </c>
      <c r="Q422" t="inlineStr">
        <is>
          <t>flat</t>
        </is>
      </c>
      <c r="R422" s="6" t="n">
        <v>35</v>
      </c>
      <c r="S422" t="inlineStr">
        <is>
          <t>Solio</t>
        </is>
      </c>
      <c r="U422" s="6" t="n">
        <v>85</v>
      </c>
      <c r="V422" s="2" t="n"/>
      <c r="W422" s="7">
        <f>IF(N(U422)&lt;=0,0,MIN(Assumptions!$B$15,N(R422)/N(U422)))</f>
        <v/>
      </c>
      <c r="X422" s="6" t="n">
        <v>0.23</v>
      </c>
      <c r="Y422" s="3" t="n"/>
      <c r="Z422" t="inlineStr"/>
      <c r="AA422" s="3" t="n">
        <v>1</v>
      </c>
      <c r="AB422" s="3" t="n"/>
      <c r="AC422" s="3" t="n"/>
      <c r="AD422" s="3" t="n"/>
      <c r="AE422" s="3" t="n">
        <v>0</v>
      </c>
      <c r="AF422" s="3" t="n">
        <v>0</v>
      </c>
      <c r="AG422" s="3" t="n"/>
      <c r="AH422" s="3" t="n">
        <v>0</v>
      </c>
      <c r="AI422" s="3" t="n">
        <v>3.0957</v>
      </c>
      <c r="AJ422" s="3" t="n">
        <v>1.53</v>
      </c>
      <c r="AK422" s="3" t="n">
        <v>-0.0763216474948735</v>
      </c>
      <c r="AL422" s="6" t="n">
        <v>0</v>
      </c>
      <c r="AM422" s="3" t="n">
        <v>0.0334279680166987</v>
      </c>
      <c r="AN422" s="3" t="n">
        <v>0</v>
      </c>
      <c r="AO422" s="3" t="n">
        <v>0</v>
      </c>
      <c r="AP422" s="3">
        <f>N(X422)*N(BI422)</f>
        <v/>
      </c>
      <c r="AQ422" s="3" t="n">
        <v>0</v>
      </c>
      <c r="AR422" s="3" t="n">
        <v>0.6965164635997099</v>
      </c>
      <c r="AS422" s="3" t="n">
        <v>-0.5267219238049191</v>
      </c>
      <c r="AT422" s="3" t="n">
        <v>-0.0763216474948735</v>
      </c>
      <c r="AU422" s="3">
        <f>SUM(AN422:AT422)</f>
        <v/>
      </c>
      <c r="AV422" s="7">
        <f>IF(OR(N(W422)&lt;=0,N(BG422)=0),0,N(W422)*IF(N(R422)/N(W422)&gt;=60,N(BG422),1))</f>
        <v/>
      </c>
      <c r="AW422" s="7">
        <f>N(W422)*N(AF422)*N(BH422)</f>
        <v/>
      </c>
      <c r="AX422" s="7">
        <f>N(AL422)*(Assumptions!$B$13*N(BJ422)-(1-Assumptions!$B$13)*Assumptions!$B$14)+N(AM422)</f>
        <v/>
      </c>
      <c r="AY422" s="7">
        <f>N(AU422)*N(R422)/90+N(AV422)+N(AW422)+N(AX422)</f>
        <v/>
      </c>
      <c r="AZ422" s="3">
        <f>IF(N(R422)&lt;=0,0,(N(AY422)-N(AX422))*90/N(R422))</f>
        <v/>
      </c>
      <c r="BA422" s="7">
        <f>IFERROR(AY422-VLOOKUP($E422,Assumptions!$A$40:$C$43,3,FALSE),"")</f>
        <v/>
      </c>
      <c r="BB422" s="3">
        <f>IFERROR(BA422/H422,"")</f>
        <v/>
      </c>
      <c r="BC422">
        <f>IF(AND($G422=TRUE,$E422="GKP"),AY422,"")</f>
        <v/>
      </c>
      <c r="BD422">
        <f>IF(AND($G422=TRUE,$E422="DEF"),AY422,"")</f>
        <v/>
      </c>
      <c r="BE422">
        <f>IF(AND($G422=TRUE,$E422="MID"),AY422,"")</f>
        <v/>
      </c>
      <c r="BF422">
        <f>IF(AND($G422=TRUE,$E422="FWD"),AY422,"")</f>
        <v/>
      </c>
      <c r="BG422" t="n">
        <v>2</v>
      </c>
      <c r="BH422" t="n">
        <v>0</v>
      </c>
      <c r="BI422" t="n">
        <v>4</v>
      </c>
      <c r="BJ422" t="n">
        <v>10</v>
      </c>
    </row>
    <row r="423">
      <c r="A423" s="9" t="inlineStr">
        <is>
          <t>Matt Targett</t>
        </is>
      </c>
      <c r="B423" t="inlineStr">
        <is>
          <t>HUL</t>
        </is>
      </c>
      <c r="C423" s="9" t="inlineStr">
        <is>
          <t>NEW</t>
        </is>
      </c>
      <c r="D423" t="b">
        <v>1</v>
      </c>
      <c r="E423" t="inlineStr">
        <is>
          <t>DEF</t>
        </is>
      </c>
      <c r="F423" t="inlineStr">
        <is>
          <t>DEF</t>
        </is>
      </c>
      <c r="G423" t="b">
        <v>1</v>
      </c>
      <c r="H423" s="2" t="n">
        <v>4</v>
      </c>
      <c r="I423" t="inlineStr">
        <is>
          <t>a</t>
        </is>
      </c>
      <c r="K423" s="2" t="n">
        <v>0</v>
      </c>
      <c r="L423" t="n">
        <v>0</v>
      </c>
      <c r="M423" s="3" t="n">
        <v>421</v>
      </c>
      <c r="N423" s="8" t="n">
        <v>421</v>
      </c>
      <c r="O423" s="8" t="n">
        <v>0</v>
      </c>
      <c r="Q423" t="inlineStr">
        <is>
          <t>flat</t>
        </is>
      </c>
      <c r="R423" s="6" t="n">
        <v>421</v>
      </c>
      <c r="S423" t="inlineStr">
        <is>
          <t>Solio</t>
        </is>
      </c>
      <c r="U423" s="6" t="n">
        <v>85</v>
      </c>
      <c r="V423" s="2" t="n"/>
      <c r="W423" s="7">
        <f>IF(N(U423)&lt;=0,0,MIN(Assumptions!$B$15,N(R423)/N(U423)))</f>
        <v/>
      </c>
      <c r="X423" s="6" t="n">
        <v>0.143</v>
      </c>
      <c r="Y423" s="10" t="n"/>
      <c r="Z423" t="inlineStr"/>
      <c r="AA423" s="3" t="n">
        <v>1</v>
      </c>
      <c r="AB423" s="3" t="n"/>
      <c r="AC423" s="3" t="n"/>
      <c r="AD423" s="10" t="n"/>
      <c r="AE423" s="3" t="n"/>
      <c r="AF423" s="3" t="n">
        <v>0</v>
      </c>
      <c r="AG423" s="3" t="n"/>
      <c r="AH423" s="3" t="n">
        <v>0</v>
      </c>
      <c r="AI423" s="3" t="n">
        <v>3.9421</v>
      </c>
      <c r="AJ423" s="3" t="n">
        <v>1.99</v>
      </c>
      <c r="AK423" s="3" t="n">
        <v>-0.2235095252713987</v>
      </c>
      <c r="AL423" s="6" t="n">
        <v>0</v>
      </c>
      <c r="AM423" s="3" t="n">
        <v>0</v>
      </c>
      <c r="AN423" s="10" t="n">
        <v>0</v>
      </c>
      <c r="AO423" s="10" t="n">
        <v>0</v>
      </c>
      <c r="AP423" s="3">
        <f>N(X423)*N(BI423)</f>
        <v/>
      </c>
      <c r="AQ423" s="3" t="n">
        <v>0</v>
      </c>
      <c r="AR423" s="3" t="n">
        <v>0</v>
      </c>
      <c r="AS423" s="3" t="n">
        <v>-0.7496714098286652</v>
      </c>
      <c r="AT423" s="3" t="n">
        <v>-0.2235095252713987</v>
      </c>
      <c r="AU423" s="3">
        <f>SUM(AN423:AT423)</f>
        <v/>
      </c>
      <c r="AV423" s="7">
        <f>IF(OR(N(W423)&lt;=0,N(BG423)=0),0,N(W423)*IF(N(R423)/N(W423)&gt;=60,N(BG423),1))</f>
        <v/>
      </c>
      <c r="AW423" s="7">
        <f>N(W423)*N(AF423)*N(BH423)</f>
        <v/>
      </c>
      <c r="AX423" s="7">
        <f>N(AL423)*(Assumptions!$B$13*N(BJ423)-(1-Assumptions!$B$13)*Assumptions!$B$14)+N(AM423)</f>
        <v/>
      </c>
      <c r="AY423" s="7">
        <f>N(AU423)*N(R423)/90+N(AV423)+N(AW423)+N(AX423)</f>
        <v/>
      </c>
      <c r="AZ423" s="3">
        <f>IF(N(R423)&lt;=0,0,(N(AY423)-N(AX423))*90/N(R423))</f>
        <v/>
      </c>
      <c r="BA423" s="7">
        <f>IFERROR(AY423-VLOOKUP($E423,Assumptions!$A$40:$C$43,3,FALSE),"")</f>
        <v/>
      </c>
      <c r="BB423" s="3">
        <f>IFERROR(BA423/H423,"")</f>
        <v/>
      </c>
      <c r="BC423">
        <f>IF(AND($G423=TRUE,$E423="GKP"),AY423,"")</f>
        <v/>
      </c>
      <c r="BD423">
        <f>IF(AND($G423=TRUE,$E423="DEF"),AY423,"")</f>
        <v/>
      </c>
      <c r="BE423">
        <f>IF(AND($G423=TRUE,$E423="MID"),AY423,"")</f>
        <v/>
      </c>
      <c r="BF423">
        <f>IF(AND($G423=TRUE,$E423="FWD"),AY423,"")</f>
        <v/>
      </c>
      <c r="BG423" t="n">
        <v>2</v>
      </c>
      <c r="BH423" t="n">
        <v>2</v>
      </c>
      <c r="BI423" t="n">
        <v>4</v>
      </c>
      <c r="BJ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s="8" t="n">
        <v>0</v>
      </c>
      <c r="O424" s="8" t="n">
        <v>0</v>
      </c>
      <c r="Q424" t="inlineStr">
        <is>
          <t>flat</t>
        </is>
      </c>
      <c r="R424" s="6" t="n">
        <v>0</v>
      </c>
      <c r="S424" t="inlineStr">
        <is>
          <t>Solio</t>
        </is>
      </c>
      <c r="U424" s="6" t="n">
        <v>85</v>
      </c>
      <c r="V424" s="2" t="n"/>
      <c r="W424" s="7">
        <f>IF(N(U424)&lt;=0,0,MIN(Assumptions!$B$15,N(R424)/N(U424)))</f>
        <v/>
      </c>
      <c r="X424" s="6" t="n">
        <v>0.371</v>
      </c>
      <c r="Y424" s="3" t="n"/>
      <c r="Z424" t="inlineStr"/>
      <c r="AA424" s="3" t="n">
        <v>1</v>
      </c>
      <c r="AB424" s="3" t="n"/>
      <c r="AC424" s="3" t="n"/>
      <c r="AD424" s="3" t="n"/>
      <c r="AE424" s="3" t="n"/>
      <c r="AF424" s="3" t="n">
        <v>0</v>
      </c>
      <c r="AG424" s="3" t="n"/>
      <c r="AH424" s="3" t="n">
        <v>0</v>
      </c>
      <c r="AI424" s="3" t="n">
        <v>1.9737</v>
      </c>
      <c r="AJ424" s="3" t="n">
        <v>1.0365</v>
      </c>
      <c r="AK424" s="3" t="n">
        <v>-0.2474148426271219</v>
      </c>
      <c r="AL424" s="6" t="n">
        <v>0</v>
      </c>
      <c r="AM424" s="3" t="n">
        <v>0</v>
      </c>
      <c r="AN424" s="3" t="n">
        <v>0</v>
      </c>
      <c r="AO424" s="3" t="n">
        <v>0</v>
      </c>
      <c r="AP424" s="3">
        <f>N(X424)*N(BI424)</f>
        <v/>
      </c>
      <c r="AQ424" s="3" t="n">
        <v>0</v>
      </c>
      <c r="AR424" s="3" t="n">
        <v>0</v>
      </c>
      <c r="AS424" s="3" t="n">
        <v>-0</v>
      </c>
      <c r="AT424" s="3" t="n">
        <v>-0.2474148426271219</v>
      </c>
      <c r="AU424" s="3">
        <f>SUM(AN424:AT424)</f>
        <v/>
      </c>
      <c r="AV424" s="7">
        <f>IF(OR(N(W424)&lt;=0,N(BG424)=0),0,N(W424)*IF(N(R424)/N(W424)&gt;=60,N(BG424),1))</f>
        <v/>
      </c>
      <c r="AW424" s="7">
        <f>N(W424)*N(AF424)*N(BH424)</f>
        <v/>
      </c>
      <c r="AX424" s="7">
        <f>N(AL424)*(Assumptions!$B$13*N(BJ424)-(1-Assumptions!$B$13)*Assumptions!$B$14)+N(AM424)</f>
        <v/>
      </c>
      <c r="AY424" s="7">
        <f>N(AU424)*N(R424)/90+N(AV424)+N(AW424)+N(AX424)</f>
        <v/>
      </c>
      <c r="AZ424" s="3">
        <f>IF(N(R424)&lt;=0,0,(N(AY424)-N(AX424))*90/N(R424))</f>
        <v/>
      </c>
      <c r="BA424" s="7">
        <f>IFERROR(AY424-VLOOKUP($E424,Assumptions!$A$40:$C$43,3,FALSE),"")</f>
        <v/>
      </c>
      <c r="BB424" s="3">
        <f>IFERROR(BA424/H424,"")</f>
        <v/>
      </c>
      <c r="BC424">
        <f>IF(AND($G424=TRUE,$E424="GKP"),AY424,"")</f>
        <v/>
      </c>
      <c r="BD424">
        <f>IF(AND($G424=TRUE,$E424="DEF"),AY424,"")</f>
        <v/>
      </c>
      <c r="BE424">
        <f>IF(AND($G424=TRUE,$E424="MID"),AY424,"")</f>
        <v/>
      </c>
      <c r="BF424">
        <f>IF(AND($G424=TRUE,$E424="FWD"),AY424,"")</f>
        <v/>
      </c>
      <c r="BG424" t="n">
        <v>2</v>
      </c>
      <c r="BH424" t="n">
        <v>2</v>
      </c>
      <c r="BI424" t="n">
        <v>1</v>
      </c>
      <c r="BJ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s="8" t="n">
        <v>0</v>
      </c>
      <c r="O425" s="8" t="n">
        <v>0</v>
      </c>
      <c r="Q425" t="inlineStr">
        <is>
          <t>flat</t>
        </is>
      </c>
      <c r="R425" s="6" t="n">
        <v>0</v>
      </c>
      <c r="S425" t="inlineStr">
        <is>
          <t>Solio</t>
        </is>
      </c>
      <c r="U425" s="6" t="n">
        <v>85</v>
      </c>
      <c r="V425" s="2" t="n"/>
      <c r="W425" s="7">
        <f>IF(N(U425)&lt;=0,0,MIN(Assumptions!$B$15,N(R425)/N(U425)))</f>
        <v/>
      </c>
      <c r="X425" s="6" t="n">
        <v>0.231</v>
      </c>
      <c r="Y425" s="3" t="n"/>
      <c r="Z425" t="inlineStr"/>
      <c r="AA425" s="3" t="n">
        <v>1</v>
      </c>
      <c r="AB425" s="3" t="n"/>
      <c r="AC425" s="3" t="n"/>
      <c r="AD425" s="3" t="n"/>
      <c r="AE425" s="3" t="n">
        <v>0</v>
      </c>
      <c r="AF425" s="3" t="n">
        <v>0</v>
      </c>
      <c r="AG425" s="3" t="n"/>
      <c r="AH425" s="3" t="n">
        <v>0</v>
      </c>
      <c r="AI425" s="3" t="n">
        <v>3.0311</v>
      </c>
      <c r="AJ425" s="3" t="n">
        <v>1.5252</v>
      </c>
      <c r="AK425" s="3" t="n">
        <v>-0.0762910931866984</v>
      </c>
      <c r="AL425" s="6" t="n">
        <v>0</v>
      </c>
      <c r="AM425" s="3" t="n">
        <v>0</v>
      </c>
      <c r="AN425" s="3" t="n">
        <v>0</v>
      </c>
      <c r="AO425" s="3" t="n">
        <v>0</v>
      </c>
      <c r="AP425" s="3">
        <f>N(X425)*N(BI425)</f>
        <v/>
      </c>
      <c r="AQ425" s="3" t="n">
        <v>0</v>
      </c>
      <c r="AR425" s="3" t="n">
        <v>0.67496810501903</v>
      </c>
      <c r="AS425" s="3" t="n">
        <v>-0.524434996152324</v>
      </c>
      <c r="AT425" s="3" t="n">
        <v>-0.0762910931866984</v>
      </c>
      <c r="AU425" s="3">
        <f>SUM(AN425:AT425)</f>
        <v/>
      </c>
      <c r="AV425" s="7">
        <f>IF(OR(N(W425)&lt;=0,N(BG425)=0),0,N(W425)*IF(N(R425)/N(W425)&gt;=60,N(BG425),1))</f>
        <v/>
      </c>
      <c r="AW425" s="7">
        <f>N(W425)*N(AF425)*N(BH425)</f>
        <v/>
      </c>
      <c r="AX425" s="7">
        <f>N(AL425)*(Assumptions!$B$13*N(BJ425)-(1-Assumptions!$B$13)*Assumptions!$B$14)+N(AM425)</f>
        <v/>
      </c>
      <c r="AY425" s="7">
        <f>N(AU425)*N(R425)/90+N(AV425)+N(AW425)+N(AX425)</f>
        <v/>
      </c>
      <c r="AZ425" s="3">
        <f>IF(N(R425)&lt;=0,0,(N(AY425)-N(AX425))*90/N(R425))</f>
        <v/>
      </c>
      <c r="BA425" s="7">
        <f>IFERROR(AY425-VLOOKUP($E425,Assumptions!$A$40:$C$43,3,FALSE),"")</f>
        <v/>
      </c>
      <c r="BB425" s="3">
        <f>IFERROR(BA425/H425,"")</f>
        <v/>
      </c>
      <c r="BC425">
        <f>IF(AND($G425=TRUE,$E425="GKP"),AY425,"")</f>
        <v/>
      </c>
      <c r="BD425">
        <f>IF(AND($G425=TRUE,$E425="DEF"),AY425,"")</f>
        <v/>
      </c>
      <c r="BE425">
        <f>IF(AND($G425=TRUE,$E425="MID"),AY425,"")</f>
        <v/>
      </c>
      <c r="BF425">
        <f>IF(AND($G425=TRUE,$E425="FWD"),AY425,"")</f>
        <v/>
      </c>
      <c r="BG425" t="n">
        <v>2</v>
      </c>
      <c r="BH425" t="n">
        <v>0</v>
      </c>
      <c r="BI425" t="n">
        <v>4</v>
      </c>
      <c r="BJ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s="8" t="n">
        <v>0</v>
      </c>
      <c r="O426" s="8" t="n">
        <v>0</v>
      </c>
      <c r="Q426" t="inlineStr">
        <is>
          <t>flat</t>
        </is>
      </c>
      <c r="R426" s="6" t="n">
        <v>0</v>
      </c>
      <c r="S426" t="inlineStr">
        <is>
          <t>Solio</t>
        </is>
      </c>
      <c r="U426" s="6" t="n">
        <v>85</v>
      </c>
      <c r="V426" s="2" t="n"/>
      <c r="W426" s="7">
        <f>IF(N(U426)&lt;=0,0,MIN(Assumptions!$B$15,N(R426)/N(U426)))</f>
        <v/>
      </c>
      <c r="X426" s="6" t="n">
        <v>0.371</v>
      </c>
      <c r="Y426" s="3" t="n"/>
      <c r="Z426" t="inlineStr"/>
      <c r="AA426" s="3" t="n">
        <v>1</v>
      </c>
      <c r="AB426" s="3" t="n"/>
      <c r="AC426" s="3" t="n"/>
      <c r="AD426" s="3" t="n"/>
      <c r="AE426" s="3" t="n">
        <v>0</v>
      </c>
      <c r="AF426" s="3" t="n">
        <v>0</v>
      </c>
      <c r="AG426" s="3" t="n"/>
      <c r="AH426" s="3" t="n">
        <v>0</v>
      </c>
      <c r="AI426" s="3" t="n">
        <v>1.9737</v>
      </c>
      <c r="AJ426" s="3" t="n">
        <v>1.0365</v>
      </c>
      <c r="AK426" s="3" t="n">
        <v>-0.0763216474948735</v>
      </c>
      <c r="AL426" s="6" t="n">
        <v>0</v>
      </c>
      <c r="AM426" s="3" t="n">
        <v>0</v>
      </c>
      <c r="AN426" s="3" t="n">
        <v>0</v>
      </c>
      <c r="AO426" s="3" t="n">
        <v>0</v>
      </c>
      <c r="AP426" s="3">
        <f>N(X426)*N(BI426)</f>
        <v/>
      </c>
      <c r="AQ426" s="3" t="n">
        <v>0</v>
      </c>
      <c r="AR426" s="3" t="n">
        <v>0.3320553475083804</v>
      </c>
      <c r="AS426" s="3" t="n">
        <v>-0.2997019479071323</v>
      </c>
      <c r="AT426" s="3" t="n">
        <v>-0.0763216474948735</v>
      </c>
      <c r="AU426" s="3">
        <f>SUM(AN426:AT426)</f>
        <v/>
      </c>
      <c r="AV426" s="7">
        <f>IF(OR(N(W426)&lt;=0,N(BG426)=0),0,N(W426)*IF(N(R426)/N(W426)&gt;=60,N(BG426),1))</f>
        <v/>
      </c>
      <c r="AW426" s="7">
        <f>N(W426)*N(AF426)*N(BH426)</f>
        <v/>
      </c>
      <c r="AX426" s="7">
        <f>N(AL426)*(Assumptions!$B$13*N(BJ426)-(1-Assumptions!$B$13)*Assumptions!$B$14)+N(AM426)</f>
        <v/>
      </c>
      <c r="AY426" s="7">
        <f>N(AU426)*N(R426)/90+N(AV426)+N(AW426)+N(AX426)</f>
        <v/>
      </c>
      <c r="AZ426" s="3">
        <f>IF(N(R426)&lt;=0,0,(N(AY426)-N(AX426))*90/N(R426))</f>
        <v/>
      </c>
      <c r="BA426" s="7">
        <f>IFERROR(AY426-VLOOKUP($E426,Assumptions!$A$40:$C$43,3,FALSE),"")</f>
        <v/>
      </c>
      <c r="BB426" s="3">
        <f>IFERROR(BA426/H426,"")</f>
        <v/>
      </c>
      <c r="BC426">
        <f>IF(AND($G426=TRUE,$E426="GKP"),AY426,"")</f>
        <v/>
      </c>
      <c r="BD426">
        <f>IF(AND($G426=TRUE,$E426="DEF"),AY426,"")</f>
        <v/>
      </c>
      <c r="BE426">
        <f>IF(AND($G426=TRUE,$E426="MID"),AY426,"")</f>
        <v/>
      </c>
      <c r="BF426">
        <f>IF(AND($G426=TRUE,$E426="FWD"),AY426,"")</f>
        <v/>
      </c>
      <c r="BG426" t="n">
        <v>2</v>
      </c>
      <c r="BH426" t="n">
        <v>0</v>
      </c>
      <c r="BI426" t="n">
        <v>4</v>
      </c>
      <c r="BJ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s="4" t="n">
        <v>550</v>
      </c>
      <c r="O427" s="4" t="n">
        <v>522</v>
      </c>
      <c r="P427" s="5" t="inlineStr">
        <is>
          <t>medium</t>
        </is>
      </c>
      <c r="Q427" t="inlineStr">
        <is>
          <t>flat</t>
        </is>
      </c>
      <c r="R427" s="6" t="n">
        <v>550</v>
      </c>
      <c r="S427" t="inlineStr">
        <is>
          <t>research</t>
        </is>
      </c>
      <c r="T427" s="5" t="inlineStr">
        <is>
          <t>Solio gives 28 minutes. This Is Anfield's training report states Leoni 'is expected to return to full training later this month, with September intended to be his return to playing' after his ACL tear, and Liverpool's own fitness update named him the closest of the three long-term absentees to returning. He is behind Van Dijk, Araujo and Jacquet, so this is a squad-CB allocation rather than a starter's.</t>
        </is>
      </c>
      <c r="U427" s="6" t="n">
        <v>85</v>
      </c>
      <c r="V427" s="2" t="n"/>
      <c r="W427" s="7">
        <f>IF(N(U427)&lt;=0,0,MIN(Assumptions!$B$15,N(R427)/N(U427)))</f>
        <v/>
      </c>
      <c r="X427" s="6" t="n">
        <v>0.342</v>
      </c>
      <c r="Y427" s="3" t="n"/>
      <c r="Z427" t="inlineStr"/>
      <c r="AA427" s="3" t="n">
        <v>1</v>
      </c>
      <c r="AB427" s="3" t="n"/>
      <c r="AC427" s="3" t="n"/>
      <c r="AD427" s="3" t="n"/>
      <c r="AE427" s="3" t="n"/>
      <c r="AF427" s="3" t="n">
        <v>0</v>
      </c>
      <c r="AG427" s="3" t="n"/>
      <c r="AH427" s="3" t="n">
        <v>0</v>
      </c>
      <c r="AI427" s="3" t="n">
        <v>2.409</v>
      </c>
      <c r="AJ427" s="3" t="n">
        <v>1.1228</v>
      </c>
      <c r="AK427" s="3" t="n">
        <v>-0.2045226422080557</v>
      </c>
      <c r="AL427" s="6" t="n">
        <v>0</v>
      </c>
      <c r="AM427" s="3" t="n">
        <v>0</v>
      </c>
      <c r="AN427" s="3" t="n">
        <v>0</v>
      </c>
      <c r="AO427" s="3" t="n">
        <v>0</v>
      </c>
      <c r="AP427" s="3">
        <f>N(X427)*N(BI427)</f>
        <v/>
      </c>
      <c r="AQ427" s="3" t="n">
        <v>0</v>
      </c>
      <c r="AR427" s="3" t="n">
        <v>0</v>
      </c>
      <c r="AS427" s="3" t="n">
        <v>-0.3378660007281162</v>
      </c>
      <c r="AT427" s="3" t="n">
        <v>-0.2045226422080557</v>
      </c>
      <c r="AU427" s="3">
        <f>SUM(AN427:AT427)</f>
        <v/>
      </c>
      <c r="AV427" s="7">
        <f>IF(OR(N(W427)&lt;=0,N(BG427)=0),0,N(W427)*IF(N(R427)/N(W427)&gt;=60,N(BG427),1))</f>
        <v/>
      </c>
      <c r="AW427" s="7">
        <f>N(W427)*N(AF427)*N(BH427)</f>
        <v/>
      </c>
      <c r="AX427" s="7">
        <f>N(AL427)*(Assumptions!$B$13*N(BJ427)-(1-Assumptions!$B$13)*Assumptions!$B$14)+N(AM427)</f>
        <v/>
      </c>
      <c r="AY427" s="7">
        <f>N(AU427)*N(R427)/90+N(AV427)+N(AW427)+N(AX427)</f>
        <v/>
      </c>
      <c r="AZ427" s="3">
        <f>IF(N(R427)&lt;=0,0,(N(AY427)-N(AX427))*90/N(R427))</f>
        <v/>
      </c>
      <c r="BA427" s="7">
        <f>IFERROR(AY427-VLOOKUP($E427,Assumptions!$A$40:$C$43,3,FALSE),"")</f>
        <v/>
      </c>
      <c r="BB427" s="3">
        <f>IFERROR(BA427/H427,"")</f>
        <v/>
      </c>
      <c r="BC427">
        <f>IF(AND($G427=TRUE,$E427="GKP"),AY427,"")</f>
        <v/>
      </c>
      <c r="BD427">
        <f>IF(AND($G427=TRUE,$E427="DEF"),AY427,"")</f>
        <v/>
      </c>
      <c r="BE427">
        <f>IF(AND($G427=TRUE,$E427="MID"),AY427,"")</f>
        <v/>
      </c>
      <c r="BF427">
        <f>IF(AND($G427=TRUE,$E427="FWD"),AY427,"")</f>
        <v/>
      </c>
      <c r="BG427" t="n">
        <v>2</v>
      </c>
      <c r="BH427" t="n">
        <v>2</v>
      </c>
      <c r="BI427" t="n">
        <v>4</v>
      </c>
      <c r="BJ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s="8" t="n">
        <v>11</v>
      </c>
      <c r="O428" s="8" t="n">
        <v>0</v>
      </c>
      <c r="Q428" t="inlineStr">
        <is>
          <t>flat</t>
        </is>
      </c>
      <c r="R428" s="6" t="n">
        <v>11</v>
      </c>
      <c r="S428" t="inlineStr">
        <is>
          <t>Solio</t>
        </is>
      </c>
      <c r="U428" s="6" t="n">
        <v>85</v>
      </c>
      <c r="V428" s="2" t="n"/>
      <c r="W428" s="7">
        <f>IF(N(U428)&lt;=0,0,MIN(Assumptions!$B$15,N(R428)/N(U428)))</f>
        <v/>
      </c>
      <c r="X428" s="6" t="n">
        <v>0.214</v>
      </c>
      <c r="Y428" s="3" t="n"/>
      <c r="Z428" t="inlineStr"/>
      <c r="AA428" s="3" t="n">
        <v>1</v>
      </c>
      <c r="AB428" s="3" t="n"/>
      <c r="AC428" s="3" t="n"/>
      <c r="AD428" s="3" t="n"/>
      <c r="AE428" s="3" t="n">
        <v>0</v>
      </c>
      <c r="AF428" s="3" t="n">
        <v>0</v>
      </c>
      <c r="AG428" s="3" t="n"/>
      <c r="AH428" s="3" t="n">
        <v>0</v>
      </c>
      <c r="AI428" s="3" t="n">
        <v>3.22</v>
      </c>
      <c r="AJ428" s="3" t="n">
        <v>1.6019</v>
      </c>
      <c r="AK428" s="3" t="n">
        <v>-0.0763216474948735</v>
      </c>
      <c r="AL428" s="6" t="n">
        <v>0</v>
      </c>
      <c r="AM428" s="3" t="n">
        <v>0.0109994176522775</v>
      </c>
      <c r="AN428" s="3" t="n">
        <v>0</v>
      </c>
      <c r="AO428" s="3" t="n">
        <v>0</v>
      </c>
      <c r="AP428" s="3">
        <f>N(X428)*N(BI428)</f>
        <v/>
      </c>
      <c r="AQ428" s="3" t="n">
        <v>0</v>
      </c>
      <c r="AR428" s="3" t="n">
        <v>0.7380333201454712</v>
      </c>
      <c r="AS428" s="3" t="n">
        <v>-0.5611019003833156</v>
      </c>
      <c r="AT428" s="3" t="n">
        <v>-0.0763216474948735</v>
      </c>
      <c r="AU428" s="3">
        <f>SUM(AN428:AT428)</f>
        <v/>
      </c>
      <c r="AV428" s="7">
        <f>IF(OR(N(W428)&lt;=0,N(BG428)=0),0,N(W428)*IF(N(R428)/N(W428)&gt;=60,N(BG428),1))</f>
        <v/>
      </c>
      <c r="AW428" s="7">
        <f>N(W428)*N(AF428)*N(BH428)</f>
        <v/>
      </c>
      <c r="AX428" s="7">
        <f>N(AL428)*(Assumptions!$B$13*N(BJ428)-(1-Assumptions!$B$13)*Assumptions!$B$14)+N(AM428)</f>
        <v/>
      </c>
      <c r="AY428" s="7">
        <f>N(AU428)*N(R428)/90+N(AV428)+N(AW428)+N(AX428)</f>
        <v/>
      </c>
      <c r="AZ428" s="3">
        <f>IF(N(R428)&lt;=0,0,(N(AY428)-N(AX428))*90/N(R428))</f>
        <v/>
      </c>
      <c r="BA428" s="7">
        <f>IFERROR(AY428-VLOOKUP($E428,Assumptions!$A$40:$C$43,3,FALSE),"")</f>
        <v/>
      </c>
      <c r="BB428" s="3">
        <f>IFERROR(BA428/H428,"")</f>
        <v/>
      </c>
      <c r="BC428">
        <f>IF(AND($G428=TRUE,$E428="GKP"),AY428,"")</f>
        <v/>
      </c>
      <c r="BD428">
        <f>IF(AND($G428=TRUE,$E428="DEF"),AY428,"")</f>
        <v/>
      </c>
      <c r="BE428">
        <f>IF(AND($G428=TRUE,$E428="MID"),AY428,"")</f>
        <v/>
      </c>
      <c r="BF428">
        <f>IF(AND($G428=TRUE,$E428="FWD"),AY428,"")</f>
        <v/>
      </c>
      <c r="BG428" t="n">
        <v>2</v>
      </c>
      <c r="BH428" t="n">
        <v>0</v>
      </c>
      <c r="BI428" t="n">
        <v>4</v>
      </c>
      <c r="BJ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s="8" t="n">
        <v>0</v>
      </c>
      <c r="O429" s="8" t="n">
        <v>0</v>
      </c>
      <c r="Q429" t="inlineStr">
        <is>
          <t>flat</t>
        </is>
      </c>
      <c r="R429" s="6" t="n">
        <v>0</v>
      </c>
      <c r="S429" t="inlineStr">
        <is>
          <t>Solio</t>
        </is>
      </c>
      <c r="U429" s="6" t="n">
        <v>85</v>
      </c>
      <c r="V429" s="2" t="n"/>
      <c r="W429" s="7">
        <f>IF(N(U429)&lt;=0,0,MIN(Assumptions!$B$15,N(R429)/N(U429)))</f>
        <v/>
      </c>
      <c r="X429" s="6" t="n">
        <v>0.248</v>
      </c>
      <c r="Y429" s="3" t="n"/>
      <c r="Z429" t="inlineStr"/>
      <c r="AA429" s="3" t="n">
        <v>1</v>
      </c>
      <c r="AB429" s="3" t="n"/>
      <c r="AC429" s="3" t="n"/>
      <c r="AD429" s="3" t="n"/>
      <c r="AE429" s="3" t="n">
        <v>0</v>
      </c>
      <c r="AF429" s="3" t="n">
        <v>0</v>
      </c>
      <c r="AG429" s="3" t="n"/>
      <c r="AH429" s="3" t="n">
        <v>0</v>
      </c>
      <c r="AI429" s="3" t="n">
        <v>3.0912</v>
      </c>
      <c r="AJ429" s="3" t="n">
        <v>1.4534</v>
      </c>
      <c r="AK429" s="3" t="n">
        <v>-0.0763216474948735</v>
      </c>
      <c r="AL429" s="6" t="n">
        <v>0</v>
      </c>
      <c r="AM429" s="3" t="n">
        <v>0</v>
      </c>
      <c r="AN429" s="3" t="n">
        <v>0</v>
      </c>
      <c r="AO429" s="3" t="n">
        <v>0</v>
      </c>
      <c r="AP429" s="3">
        <f>N(X429)*N(BI429)</f>
        <v/>
      </c>
      <c r="AQ429" s="3" t="n">
        <v>0</v>
      </c>
      <c r="AR429" s="3" t="n">
        <v>0.6950146973483665</v>
      </c>
      <c r="AS429" s="3" t="n">
        <v>-0.4903625828545308</v>
      </c>
      <c r="AT429" s="3" t="n">
        <v>-0.0763216474948735</v>
      </c>
      <c r="AU429" s="3">
        <f>SUM(AN429:AT429)</f>
        <v/>
      </c>
      <c r="AV429" s="7">
        <f>IF(OR(N(W429)&lt;=0,N(BG429)=0),0,N(W429)*IF(N(R429)/N(W429)&gt;=60,N(BG429),1))</f>
        <v/>
      </c>
      <c r="AW429" s="7">
        <f>N(W429)*N(AF429)*N(BH429)</f>
        <v/>
      </c>
      <c r="AX429" s="7">
        <f>N(AL429)*(Assumptions!$B$13*N(BJ429)-(1-Assumptions!$B$13)*Assumptions!$B$14)+N(AM429)</f>
        <v/>
      </c>
      <c r="AY429" s="7">
        <f>N(AU429)*N(R429)/90+N(AV429)+N(AW429)+N(AX429)</f>
        <v/>
      </c>
      <c r="AZ429" s="3">
        <f>IF(N(R429)&lt;=0,0,(N(AY429)-N(AX429))*90/N(R429))</f>
        <v/>
      </c>
      <c r="BA429" s="7">
        <f>IFERROR(AY429-VLOOKUP($E429,Assumptions!$A$40:$C$43,3,FALSE),"")</f>
        <v/>
      </c>
      <c r="BB429" s="3">
        <f>IFERROR(BA429/H429,"")</f>
        <v/>
      </c>
      <c r="BC429">
        <f>IF(AND($G429=TRUE,$E429="GKP"),AY429,"")</f>
        <v/>
      </c>
      <c r="BD429">
        <f>IF(AND($G429=TRUE,$E429="DEF"),AY429,"")</f>
        <v/>
      </c>
      <c r="BE429">
        <f>IF(AND($G429=TRUE,$E429="MID"),AY429,"")</f>
        <v/>
      </c>
      <c r="BF429">
        <f>IF(AND($G429=TRUE,$E429="FWD"),AY429,"")</f>
        <v/>
      </c>
      <c r="BG429" t="n">
        <v>2</v>
      </c>
      <c r="BH429" t="n">
        <v>0</v>
      </c>
      <c r="BI429" t="n">
        <v>4</v>
      </c>
      <c r="BJ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s="8" t="n">
        <v>35</v>
      </c>
      <c r="O430" s="8" t="n">
        <v>0</v>
      </c>
      <c r="Q430" t="inlineStr">
        <is>
          <t>flat</t>
        </is>
      </c>
      <c r="R430" s="6" t="n">
        <v>35</v>
      </c>
      <c r="S430" t="inlineStr">
        <is>
          <t>Solio</t>
        </is>
      </c>
      <c r="U430" s="6" t="n">
        <v>85</v>
      </c>
      <c r="V430" s="2" t="n"/>
      <c r="W430" s="7">
        <f>IF(N(U430)&lt;=0,0,MIN(Assumptions!$B$15,N(R430)/N(U430)))</f>
        <v/>
      </c>
      <c r="X430" s="6" t="n">
        <v>0.252</v>
      </c>
      <c r="Y430" s="3" t="n"/>
      <c r="Z430" t="inlineStr"/>
      <c r="AA430" s="3" t="n">
        <v>1</v>
      </c>
      <c r="AB430" s="3" t="n"/>
      <c r="AC430" s="3" t="n"/>
      <c r="AD430" s="3" t="n"/>
      <c r="AE430" s="3" t="n">
        <v>0</v>
      </c>
      <c r="AF430" s="3" t="n">
        <v>0</v>
      </c>
      <c r="AG430" s="3" t="n"/>
      <c r="AH430" s="3" t="n">
        <v>0</v>
      </c>
      <c r="AI430" s="3" t="n">
        <v>2.8404</v>
      </c>
      <c r="AJ430" s="3" t="n">
        <v>1.439</v>
      </c>
      <c r="AK430" s="3" t="n">
        <v>-0.0518680161854528</v>
      </c>
      <c r="AL430" s="6" t="n">
        <v>0</v>
      </c>
      <c r="AM430" s="3" t="n">
        <v>0.0314386529148295</v>
      </c>
      <c r="AN430" s="3" t="n">
        <v>0</v>
      </c>
      <c r="AO430" s="3" t="n">
        <v>0</v>
      </c>
      <c r="AP430" s="3">
        <f>N(X430)*N(BI430)</f>
        <v/>
      </c>
      <c r="AQ430" s="3" t="n">
        <v>0</v>
      </c>
      <c r="AR430" s="3" t="n">
        <v>0.6115252178851747</v>
      </c>
      <c r="AS430" s="3" t="n">
        <v>-0.4835617861760246</v>
      </c>
      <c r="AT430" s="3" t="n">
        <v>-0.0518680161854528</v>
      </c>
      <c r="AU430" s="3">
        <f>SUM(AN430:AT430)</f>
        <v/>
      </c>
      <c r="AV430" s="7">
        <f>IF(OR(N(W430)&lt;=0,N(BG430)=0),0,N(W430)*IF(N(R430)/N(W430)&gt;=60,N(BG430),1))</f>
        <v/>
      </c>
      <c r="AW430" s="7">
        <f>N(W430)*N(AF430)*N(BH430)</f>
        <v/>
      </c>
      <c r="AX430" s="7">
        <f>N(AL430)*(Assumptions!$B$13*N(BJ430)-(1-Assumptions!$B$13)*Assumptions!$B$14)+N(AM430)</f>
        <v/>
      </c>
      <c r="AY430" s="7">
        <f>N(AU430)*N(R430)/90+N(AV430)+N(AW430)+N(AX430)</f>
        <v/>
      </c>
      <c r="AZ430" s="3">
        <f>IF(N(R430)&lt;=0,0,(N(AY430)-N(AX430))*90/N(R430))</f>
        <v/>
      </c>
      <c r="BA430" s="7">
        <f>IFERROR(AY430-VLOOKUP($E430,Assumptions!$A$40:$C$43,3,FALSE),"")</f>
        <v/>
      </c>
      <c r="BB430" s="3">
        <f>IFERROR(BA430/H430,"")</f>
        <v/>
      </c>
      <c r="BC430">
        <f>IF(AND($G430=TRUE,$E430="GKP"),AY430,"")</f>
        <v/>
      </c>
      <c r="BD430">
        <f>IF(AND($G430=TRUE,$E430="DEF"),AY430,"")</f>
        <v/>
      </c>
      <c r="BE430">
        <f>IF(AND($G430=TRUE,$E430="MID"),AY430,"")</f>
        <v/>
      </c>
      <c r="BF430">
        <f>IF(AND($G430=TRUE,$E430="FWD"),AY430,"")</f>
        <v/>
      </c>
      <c r="BG430" t="n">
        <v>2</v>
      </c>
      <c r="BH430" t="n">
        <v>0</v>
      </c>
      <c r="BI430" t="n">
        <v>4</v>
      </c>
      <c r="BJ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s="8" t="n">
        <v>0</v>
      </c>
      <c r="O431" s="8" t="n">
        <v>0</v>
      </c>
      <c r="Q431" t="inlineStr">
        <is>
          <t>flat</t>
        </is>
      </c>
      <c r="R431" s="6" t="n">
        <v>0</v>
      </c>
      <c r="S431" t="inlineStr">
        <is>
          <t>Solio</t>
        </is>
      </c>
      <c r="U431" s="6" t="n">
        <v>85</v>
      </c>
      <c r="V431" s="2" t="n"/>
      <c r="W431" s="7">
        <f>IF(N(U431)&lt;=0,0,MIN(Assumptions!$B$15,N(R431)/N(U431)))</f>
        <v/>
      </c>
      <c r="X431" s="6" t="n">
        <v>0.23</v>
      </c>
      <c r="Y431" s="3" t="n"/>
      <c r="Z431" t="inlineStr"/>
      <c r="AA431" s="3" t="n">
        <v>1</v>
      </c>
      <c r="AB431" s="3" t="n"/>
      <c r="AC431" s="3" t="n"/>
      <c r="AD431" s="3" t="n"/>
      <c r="AE431" s="3" t="n">
        <v>0</v>
      </c>
      <c r="AF431" s="3" t="n">
        <v>0</v>
      </c>
      <c r="AG431" s="3" t="n"/>
      <c r="AH431" s="3" t="n">
        <v>0</v>
      </c>
      <c r="AI431" s="3" t="n">
        <v>3.0957</v>
      </c>
      <c r="AJ431" s="3" t="n">
        <v>1.53</v>
      </c>
      <c r="AK431" s="3" t="n">
        <v>-0.0610683923216705</v>
      </c>
      <c r="AL431" s="6" t="n">
        <v>0</v>
      </c>
      <c r="AM431" s="3" t="n">
        <v>0</v>
      </c>
      <c r="AN431" s="3" t="n">
        <v>0</v>
      </c>
      <c r="AO431" s="3" t="n">
        <v>0</v>
      </c>
      <c r="AP431" s="3">
        <f>N(X431)*N(BI431)</f>
        <v/>
      </c>
      <c r="AQ431" s="3" t="n">
        <v>0</v>
      </c>
      <c r="AR431" s="3" t="n">
        <v>0.6965164635997099</v>
      </c>
      <c r="AS431" s="3" t="n">
        <v>-0.5267219238049191</v>
      </c>
      <c r="AT431" s="3" t="n">
        <v>-0.0610683923216705</v>
      </c>
      <c r="AU431" s="3">
        <f>SUM(AN431:AT431)</f>
        <v/>
      </c>
      <c r="AV431" s="7">
        <f>IF(OR(N(W431)&lt;=0,N(BG431)=0),0,N(W431)*IF(N(R431)/N(W431)&gt;=60,N(BG431),1))</f>
        <v/>
      </c>
      <c r="AW431" s="7">
        <f>N(W431)*N(AF431)*N(BH431)</f>
        <v/>
      </c>
      <c r="AX431" s="7">
        <f>N(AL431)*(Assumptions!$B$13*N(BJ431)-(1-Assumptions!$B$13)*Assumptions!$B$14)+N(AM431)</f>
        <v/>
      </c>
      <c r="AY431" s="7">
        <f>N(AU431)*N(R431)/90+N(AV431)+N(AW431)+N(AX431)</f>
        <v/>
      </c>
      <c r="AZ431" s="3">
        <f>IF(N(R431)&lt;=0,0,(N(AY431)-N(AX431))*90/N(R431))</f>
        <v/>
      </c>
      <c r="BA431" s="7">
        <f>IFERROR(AY431-VLOOKUP($E431,Assumptions!$A$40:$C$43,3,FALSE),"")</f>
        <v/>
      </c>
      <c r="BB431" s="3">
        <f>IFERROR(BA431/H431,"")</f>
        <v/>
      </c>
      <c r="BC431">
        <f>IF(AND($G431=TRUE,$E431="GKP"),AY431,"")</f>
        <v/>
      </c>
      <c r="BD431">
        <f>IF(AND($G431=TRUE,$E431="DEF"),AY431,"")</f>
        <v/>
      </c>
      <c r="BE431">
        <f>IF(AND($G431=TRUE,$E431="MID"),AY431,"")</f>
        <v/>
      </c>
      <c r="BF431">
        <f>IF(AND($G431=TRUE,$E431="FWD"),AY431,"")</f>
        <v/>
      </c>
      <c r="BG431" t="n">
        <v>2</v>
      </c>
      <c r="BH431" t="n">
        <v>0</v>
      </c>
      <c r="BI431" t="n">
        <v>4</v>
      </c>
      <c r="BJ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s="8" t="n">
        <v>0</v>
      </c>
      <c r="O432" s="8" t="n">
        <v>0</v>
      </c>
      <c r="Q432" t="inlineStr">
        <is>
          <t>flat</t>
        </is>
      </c>
      <c r="R432" s="6" t="n">
        <v>0</v>
      </c>
      <c r="S432" t="inlineStr">
        <is>
          <t>Solio</t>
        </is>
      </c>
      <c r="U432" s="6" t="n">
        <v>85</v>
      </c>
      <c r="V432" s="2" t="n"/>
      <c r="W432" s="7">
        <f>IF(N(U432)&lt;=0,0,MIN(Assumptions!$B$15,N(R432)/N(U432)))</f>
        <v/>
      </c>
      <c r="X432" s="6" t="n">
        <v>0.216</v>
      </c>
      <c r="Y432" s="3" t="n"/>
      <c r="Z432" t="inlineStr"/>
      <c r="AA432" s="3" t="n">
        <v>1</v>
      </c>
      <c r="AB432" s="3" t="n"/>
      <c r="AC432" s="3" t="n"/>
      <c r="AD432" s="3" t="n"/>
      <c r="AE432" s="3" t="n"/>
      <c r="AF432" s="3" t="n">
        <v>0</v>
      </c>
      <c r="AG432" s="3" t="n"/>
      <c r="AH432" s="3" t="n">
        <v>0</v>
      </c>
      <c r="AI432" s="3" t="n">
        <v>3.2035</v>
      </c>
      <c r="AJ432" s="3" t="n">
        <v>1.5923</v>
      </c>
      <c r="AK432" s="3" t="n">
        <v>-0.2158576550328143</v>
      </c>
      <c r="AL432" s="6" t="n">
        <v>0</v>
      </c>
      <c r="AM432" s="3" t="n">
        <v>0</v>
      </c>
      <c r="AN432" s="3" t="n">
        <v>0</v>
      </c>
      <c r="AO432" s="3" t="n">
        <v>0</v>
      </c>
      <c r="AP432" s="3">
        <f>N(X432)*N(BI432)</f>
        <v/>
      </c>
      <c r="AQ432" s="3" t="n">
        <v>0</v>
      </c>
      <c r="AR432" s="3" t="n">
        <v>0</v>
      </c>
      <c r="AS432" s="3" t="n">
        <v>-0</v>
      </c>
      <c r="AT432" s="3" t="n">
        <v>-0.2158576550328143</v>
      </c>
      <c r="AU432" s="3">
        <f>SUM(AN432:AT432)</f>
        <v/>
      </c>
      <c r="AV432" s="7">
        <f>IF(OR(N(W432)&lt;=0,N(BG432)=0),0,N(W432)*IF(N(R432)/N(W432)&gt;=60,N(BG432),1))</f>
        <v/>
      </c>
      <c r="AW432" s="7">
        <f>N(W432)*N(AF432)*N(BH432)</f>
        <v/>
      </c>
      <c r="AX432" s="7">
        <f>N(AL432)*(Assumptions!$B$13*N(BJ432)-(1-Assumptions!$B$13)*Assumptions!$B$14)+N(AM432)</f>
        <v/>
      </c>
      <c r="AY432" s="7">
        <f>N(AU432)*N(R432)/90+N(AV432)+N(AW432)+N(AX432)</f>
        <v/>
      </c>
      <c r="AZ432" s="3">
        <f>IF(N(R432)&lt;=0,0,(N(AY432)-N(AX432))*90/N(R432))</f>
        <v/>
      </c>
      <c r="BA432" s="7">
        <f>IFERROR(AY432-VLOOKUP($E432,Assumptions!$A$40:$C$43,3,FALSE),"")</f>
        <v/>
      </c>
      <c r="BB432" s="3">
        <f>IFERROR(BA432/H432,"")</f>
        <v/>
      </c>
      <c r="BC432">
        <f>IF(AND($G432=TRUE,$E432="GKP"),AY432,"")</f>
        <v/>
      </c>
      <c r="BD432">
        <f>IF(AND($G432=TRUE,$E432="DEF"),AY432,"")</f>
        <v/>
      </c>
      <c r="BE432">
        <f>IF(AND($G432=TRUE,$E432="MID"),AY432,"")</f>
        <v/>
      </c>
      <c r="BF432">
        <f>IF(AND($G432=TRUE,$E432="FWD"),AY432,"")</f>
        <v/>
      </c>
      <c r="BG432" t="n">
        <v>2</v>
      </c>
      <c r="BH432" t="n">
        <v>2</v>
      </c>
      <c r="BI432" t="n">
        <v>1</v>
      </c>
      <c r="BJ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s="8" t="n">
        <v>0</v>
      </c>
      <c r="O433" s="8" t="n">
        <v>0</v>
      </c>
      <c r="Q433" t="inlineStr">
        <is>
          <t>flat</t>
        </is>
      </c>
      <c r="R433" s="6" t="n">
        <v>0</v>
      </c>
      <c r="S433" t="inlineStr">
        <is>
          <t>Solio</t>
        </is>
      </c>
      <c r="U433" s="6" t="n">
        <v>85</v>
      </c>
      <c r="V433" s="2" t="n"/>
      <c r="W433" s="7">
        <f>IF(N(U433)&lt;=0,0,MIN(Assumptions!$B$15,N(R433)/N(U433)))</f>
        <v/>
      </c>
      <c r="X433" s="6" t="n">
        <v>0.218</v>
      </c>
      <c r="Y433" s="3" t="n"/>
      <c r="Z433" t="inlineStr"/>
      <c r="AA433" s="3" t="n">
        <v>1</v>
      </c>
      <c r="AB433" s="3" t="n"/>
      <c r="AC433" s="3" t="n"/>
      <c r="AD433" s="3" t="n"/>
      <c r="AE433" s="3" t="n"/>
      <c r="AF433" s="3" t="n">
        <v>0</v>
      </c>
      <c r="AG433" s="3" t="n"/>
      <c r="AH433" s="3" t="n">
        <v>0</v>
      </c>
      <c r="AI433" s="3" t="n">
        <v>3.0611</v>
      </c>
      <c r="AJ433" s="3" t="n">
        <v>1.5875</v>
      </c>
      <c r="AK433" s="3" t="n">
        <v>-0.2160434166173144</v>
      </c>
      <c r="AL433" s="6" t="n">
        <v>0</v>
      </c>
      <c r="AM433" s="3" t="n">
        <v>0</v>
      </c>
      <c r="AN433" s="3" t="n">
        <v>0</v>
      </c>
      <c r="AO433" s="3" t="n">
        <v>0</v>
      </c>
      <c r="AP433" s="3">
        <f>N(X433)*N(BI433)</f>
        <v/>
      </c>
      <c r="AQ433" s="3" t="n">
        <v>0</v>
      </c>
      <c r="AR433" s="3" t="n">
        <v>0</v>
      </c>
      <c r="AS433" s="3" t="n">
        <v>-0</v>
      </c>
      <c r="AT433" s="3" t="n">
        <v>-0.2160434166173144</v>
      </c>
      <c r="AU433" s="3">
        <f>SUM(AN433:AT433)</f>
        <v/>
      </c>
      <c r="AV433" s="7">
        <f>IF(OR(N(W433)&lt;=0,N(BG433)=0),0,N(W433)*IF(N(R433)/N(W433)&gt;=60,N(BG433),1))</f>
        <v/>
      </c>
      <c r="AW433" s="7">
        <f>N(W433)*N(AF433)*N(BH433)</f>
        <v/>
      </c>
      <c r="AX433" s="7">
        <f>N(AL433)*(Assumptions!$B$13*N(BJ433)-(1-Assumptions!$B$13)*Assumptions!$B$14)+N(AM433)</f>
        <v/>
      </c>
      <c r="AY433" s="7">
        <f>N(AU433)*N(R433)/90+N(AV433)+N(AW433)+N(AX433)</f>
        <v/>
      </c>
      <c r="AZ433" s="3">
        <f>IF(N(R433)&lt;=0,0,(N(AY433)-N(AX433))*90/N(R433))</f>
        <v/>
      </c>
      <c r="BA433" s="7">
        <f>IFERROR(AY433-VLOOKUP($E433,Assumptions!$A$40:$C$43,3,FALSE),"")</f>
        <v/>
      </c>
      <c r="BB433" s="3">
        <f>IFERROR(BA433/H433,"")</f>
        <v/>
      </c>
      <c r="BC433">
        <f>IF(AND($G433=TRUE,$E433="GKP"),AY433,"")</f>
        <v/>
      </c>
      <c r="BD433">
        <f>IF(AND($G433=TRUE,$E433="DEF"),AY433,"")</f>
        <v/>
      </c>
      <c r="BE433">
        <f>IF(AND($G433=TRUE,$E433="MID"),AY433,"")</f>
        <v/>
      </c>
      <c r="BF433">
        <f>IF(AND($G433=TRUE,$E433="FWD"),AY433,"")</f>
        <v/>
      </c>
      <c r="BG433" t="n">
        <v>2</v>
      </c>
      <c r="BH433" t="n">
        <v>2</v>
      </c>
      <c r="BI433" t="n">
        <v>1</v>
      </c>
      <c r="BJ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s="8" t="n">
        <v>280</v>
      </c>
      <c r="O434" s="8" t="n">
        <v>0</v>
      </c>
      <c r="Q434" t="inlineStr">
        <is>
          <t>flat</t>
        </is>
      </c>
      <c r="R434" s="6" t="n">
        <v>280</v>
      </c>
      <c r="S434" t="inlineStr">
        <is>
          <t>Solio</t>
        </is>
      </c>
      <c r="U434" s="6" t="n">
        <v>85</v>
      </c>
      <c r="V434" s="2" t="n"/>
      <c r="W434" s="7">
        <f>IF(N(U434)&lt;=0,0,MIN(Assumptions!$B$15,N(R434)/N(U434)))</f>
        <v/>
      </c>
      <c r="X434" s="6" t="n">
        <v>0.286</v>
      </c>
      <c r="Y434" s="3" t="n"/>
      <c r="Z434" t="inlineStr"/>
      <c r="AA434" s="3" t="n">
        <v>1</v>
      </c>
      <c r="AB434" s="3" t="n"/>
      <c r="AC434" s="3" t="n"/>
      <c r="AD434" s="3" t="n"/>
      <c r="AE434" s="3" t="n"/>
      <c r="AF434" s="3" t="n">
        <v>0</v>
      </c>
      <c r="AG434" s="3" t="n"/>
      <c r="AH434" s="3" t="n">
        <v>0</v>
      </c>
      <c r="AI434" s="3" t="n">
        <v>2.5739</v>
      </c>
      <c r="AJ434" s="3" t="n">
        <v>1.3096</v>
      </c>
      <c r="AK434" s="3" t="n">
        <v>-0.1930154106061087</v>
      </c>
      <c r="AL434" s="6" t="n">
        <v>0</v>
      </c>
      <c r="AM434" s="3" t="n">
        <v>0</v>
      </c>
      <c r="AN434" s="3" t="n">
        <v>0</v>
      </c>
      <c r="AO434" s="3" t="n">
        <v>0</v>
      </c>
      <c r="AP434" s="3">
        <f>N(X434)*N(BI434)</f>
        <v/>
      </c>
      <c r="AQ434" s="3" t="n">
        <v>0</v>
      </c>
      <c r="AR434" s="3" t="n">
        <v>0</v>
      </c>
      <c r="AS434" s="3" t="n">
        <v>-0</v>
      </c>
      <c r="AT434" s="3" t="n">
        <v>-0.1930154106061087</v>
      </c>
      <c r="AU434" s="3">
        <f>SUM(AN434:AT434)</f>
        <v/>
      </c>
      <c r="AV434" s="7">
        <f>IF(OR(N(W434)&lt;=0,N(BG434)=0),0,N(W434)*IF(N(R434)/N(W434)&gt;=60,N(BG434),1))</f>
        <v/>
      </c>
      <c r="AW434" s="7">
        <f>N(W434)*N(AF434)*N(BH434)</f>
        <v/>
      </c>
      <c r="AX434" s="7">
        <f>N(AL434)*(Assumptions!$B$13*N(BJ434)-(1-Assumptions!$B$13)*Assumptions!$B$14)+N(AM434)</f>
        <v/>
      </c>
      <c r="AY434" s="7">
        <f>N(AU434)*N(R434)/90+N(AV434)+N(AW434)+N(AX434)</f>
        <v/>
      </c>
      <c r="AZ434" s="3">
        <f>IF(N(R434)&lt;=0,0,(N(AY434)-N(AX434))*90/N(R434))</f>
        <v/>
      </c>
      <c r="BA434" s="7">
        <f>IFERROR(AY434-VLOOKUP($E434,Assumptions!$A$40:$C$43,3,FALSE),"")</f>
        <v/>
      </c>
      <c r="BB434" s="3">
        <f>IFERROR(BA434/H434,"")</f>
        <v/>
      </c>
      <c r="BC434">
        <f>IF(AND($G434=TRUE,$E434="GKP"),AY434,"")</f>
        <v/>
      </c>
      <c r="BD434">
        <f>IF(AND($G434=TRUE,$E434="DEF"),AY434,"")</f>
        <v/>
      </c>
      <c r="BE434">
        <f>IF(AND($G434=TRUE,$E434="MID"),AY434,"")</f>
        <v/>
      </c>
      <c r="BF434">
        <f>IF(AND($G434=TRUE,$E434="FWD"),AY434,"")</f>
        <v/>
      </c>
      <c r="BG434" t="n">
        <v>2</v>
      </c>
      <c r="BH434" t="n">
        <v>2</v>
      </c>
      <c r="BI434" t="n">
        <v>1</v>
      </c>
      <c r="BJ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s="8" t="n">
        <v>0</v>
      </c>
      <c r="O435" s="8" t="n">
        <v>0</v>
      </c>
      <c r="Q435" t="inlineStr">
        <is>
          <t>flat</t>
        </is>
      </c>
      <c r="R435" s="6" t="n">
        <v>0</v>
      </c>
      <c r="S435" t="inlineStr">
        <is>
          <t>Solio</t>
        </is>
      </c>
      <c r="U435" s="6" t="n">
        <v>85</v>
      </c>
      <c r="V435" s="2" t="n"/>
      <c r="W435" s="7">
        <f>IF(N(U435)&lt;=0,0,MIN(Assumptions!$B$15,N(R435)/N(U435)))</f>
        <v/>
      </c>
      <c r="X435" s="6" t="n">
        <v>0.342</v>
      </c>
      <c r="Y435" s="3" t="n"/>
      <c r="Z435" t="inlineStr"/>
      <c r="AA435" s="3" t="n">
        <v>1</v>
      </c>
      <c r="AB435" s="3" t="n"/>
      <c r="AC435" s="3" t="n"/>
      <c r="AD435" s="3" t="n"/>
      <c r="AE435" s="3" t="n"/>
      <c r="AF435" s="3" t="n">
        <v>0</v>
      </c>
      <c r="AG435" s="3" t="n"/>
      <c r="AH435" s="3" t="n">
        <v>0</v>
      </c>
      <c r="AI435" s="3" t="n">
        <v>2.409</v>
      </c>
      <c r="AJ435" s="3" t="n">
        <v>1.1228</v>
      </c>
      <c r="AK435" s="3" t="n">
        <v>-0.2158773810658242</v>
      </c>
      <c r="AL435" s="6" t="n">
        <v>0</v>
      </c>
      <c r="AM435" s="3" t="n">
        <v>0</v>
      </c>
      <c r="AN435" s="3" t="n">
        <v>0</v>
      </c>
      <c r="AO435" s="3" t="n">
        <v>0</v>
      </c>
      <c r="AP435" s="3">
        <f>N(X435)*N(BI435)</f>
        <v/>
      </c>
      <c r="AQ435" s="3" t="n">
        <v>0</v>
      </c>
      <c r="AR435" s="3" t="n">
        <v>0</v>
      </c>
      <c r="AS435" s="3" t="n">
        <v>-0</v>
      </c>
      <c r="AT435" s="3" t="n">
        <v>-0.2158773810658242</v>
      </c>
      <c r="AU435" s="3">
        <f>SUM(AN435:AT435)</f>
        <v/>
      </c>
      <c r="AV435" s="7">
        <f>IF(OR(N(W435)&lt;=0,N(BG435)=0),0,N(W435)*IF(N(R435)/N(W435)&gt;=60,N(BG435),1))</f>
        <v/>
      </c>
      <c r="AW435" s="7">
        <f>N(W435)*N(AF435)*N(BH435)</f>
        <v/>
      </c>
      <c r="AX435" s="7">
        <f>N(AL435)*(Assumptions!$B$13*N(BJ435)-(1-Assumptions!$B$13)*Assumptions!$B$14)+N(AM435)</f>
        <v/>
      </c>
      <c r="AY435" s="7">
        <f>N(AU435)*N(R435)/90+N(AV435)+N(AW435)+N(AX435)</f>
        <v/>
      </c>
      <c r="AZ435" s="3">
        <f>IF(N(R435)&lt;=0,0,(N(AY435)-N(AX435))*90/N(R435))</f>
        <v/>
      </c>
      <c r="BA435" s="7">
        <f>IFERROR(AY435-VLOOKUP($E435,Assumptions!$A$40:$C$43,3,FALSE),"")</f>
        <v/>
      </c>
      <c r="BB435" s="3">
        <f>IFERROR(BA435/H435,"")</f>
        <v/>
      </c>
      <c r="BC435">
        <f>IF(AND($G435=TRUE,$E435="GKP"),AY435,"")</f>
        <v/>
      </c>
      <c r="BD435">
        <f>IF(AND($G435=TRUE,$E435="DEF"),AY435,"")</f>
        <v/>
      </c>
      <c r="BE435">
        <f>IF(AND($G435=TRUE,$E435="MID"),AY435,"")</f>
        <v/>
      </c>
      <c r="BF435">
        <f>IF(AND($G435=TRUE,$E435="FWD"),AY435,"")</f>
        <v/>
      </c>
      <c r="BG435" t="n">
        <v>2</v>
      </c>
      <c r="BH435" t="n">
        <v>2</v>
      </c>
      <c r="BI435" t="n">
        <v>1</v>
      </c>
      <c r="BJ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s="8" t="n">
        <v>0</v>
      </c>
      <c r="O436" s="8" t="n">
        <v>0</v>
      </c>
      <c r="Q436" t="inlineStr">
        <is>
          <t>flat</t>
        </is>
      </c>
      <c r="R436" s="6" t="n">
        <v>0</v>
      </c>
      <c r="S436" t="inlineStr">
        <is>
          <t>Solio</t>
        </is>
      </c>
      <c r="U436" s="6" t="n">
        <v>85</v>
      </c>
      <c r="V436" s="2" t="n"/>
      <c r="W436" s="7">
        <f>IF(N(U436)&lt;=0,0,MIN(Assumptions!$B$15,N(R436)/N(U436)))</f>
        <v/>
      </c>
      <c r="X436" s="6" t="n">
        <v>0.216</v>
      </c>
      <c r="Y436" s="3" t="n"/>
      <c r="Z436" t="inlineStr"/>
      <c r="AA436" s="3" t="n">
        <v>1</v>
      </c>
      <c r="AB436" s="3" t="n"/>
      <c r="AC436" s="3" t="n"/>
      <c r="AD436" s="3" t="n"/>
      <c r="AE436" s="3" t="n"/>
      <c r="AF436" s="3" t="n">
        <v>0</v>
      </c>
      <c r="AG436" s="3" t="n"/>
      <c r="AH436" s="3" t="n">
        <v>0</v>
      </c>
      <c r="AI436" s="3" t="n">
        <v>3.2035</v>
      </c>
      <c r="AJ436" s="3" t="n">
        <v>1.5923</v>
      </c>
      <c r="AK436" s="3" t="n">
        <v>-0.2236750346089582</v>
      </c>
      <c r="AL436" s="6" t="n">
        <v>0</v>
      </c>
      <c r="AM436" s="3" t="n">
        <v>0</v>
      </c>
      <c r="AN436" s="3" t="n">
        <v>0</v>
      </c>
      <c r="AO436" s="3" t="n">
        <v>0</v>
      </c>
      <c r="AP436" s="3">
        <f>N(X436)*N(BI436)</f>
        <v/>
      </c>
      <c r="AQ436" s="3" t="n">
        <v>0</v>
      </c>
      <c r="AR436" s="3" t="n">
        <v>0</v>
      </c>
      <c r="AS436" s="3" t="n">
        <v>-0</v>
      </c>
      <c r="AT436" s="3" t="n">
        <v>-0.2236750346089582</v>
      </c>
      <c r="AU436" s="3">
        <f>SUM(AN436:AT436)</f>
        <v/>
      </c>
      <c r="AV436" s="7">
        <f>IF(OR(N(W436)&lt;=0,N(BG436)=0),0,N(W436)*IF(N(R436)/N(W436)&gt;=60,N(BG436),1))</f>
        <v/>
      </c>
      <c r="AW436" s="7">
        <f>N(W436)*N(AF436)*N(BH436)</f>
        <v/>
      </c>
      <c r="AX436" s="7">
        <f>N(AL436)*(Assumptions!$B$13*N(BJ436)-(1-Assumptions!$B$13)*Assumptions!$B$14)+N(AM436)</f>
        <v/>
      </c>
      <c r="AY436" s="7">
        <f>N(AU436)*N(R436)/90+N(AV436)+N(AW436)+N(AX436)</f>
        <v/>
      </c>
      <c r="AZ436" s="3">
        <f>IF(N(R436)&lt;=0,0,(N(AY436)-N(AX436))*90/N(R436))</f>
        <v/>
      </c>
      <c r="BA436" s="7">
        <f>IFERROR(AY436-VLOOKUP($E436,Assumptions!$A$40:$C$43,3,FALSE),"")</f>
        <v/>
      </c>
      <c r="BB436" s="3">
        <f>IFERROR(BA436/H436,"")</f>
        <v/>
      </c>
      <c r="BC436">
        <f>IF(AND($G436=TRUE,$E436="GKP"),AY436,"")</f>
        <v/>
      </c>
      <c r="BD436">
        <f>IF(AND($G436=TRUE,$E436="DEF"),AY436,"")</f>
        <v/>
      </c>
      <c r="BE436">
        <f>IF(AND($G436=TRUE,$E436="MID"),AY436,"")</f>
        <v/>
      </c>
      <c r="BF436">
        <f>IF(AND($G436=TRUE,$E436="FWD"),AY436,"")</f>
        <v/>
      </c>
      <c r="BG436" t="n">
        <v>2</v>
      </c>
      <c r="BH436" t="n">
        <v>2</v>
      </c>
      <c r="BI436" t="n">
        <v>1</v>
      </c>
      <c r="BJ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s="8" t="n">
        <v>0</v>
      </c>
      <c r="O437" s="8" t="n">
        <v>0</v>
      </c>
      <c r="Q437" t="inlineStr">
        <is>
          <t>flat</t>
        </is>
      </c>
      <c r="R437" s="6" t="n">
        <v>0</v>
      </c>
      <c r="S437" t="inlineStr">
        <is>
          <t>Solio</t>
        </is>
      </c>
      <c r="U437" s="6" t="n">
        <v>85</v>
      </c>
      <c r="V437" s="2" t="n"/>
      <c r="W437" s="7">
        <f>IF(N(U437)&lt;=0,0,MIN(Assumptions!$B$15,N(R437)/N(U437)))</f>
        <v/>
      </c>
      <c r="X437" s="6" t="n">
        <v>0.342</v>
      </c>
      <c r="Y437" s="3" t="n"/>
      <c r="Z437" t="inlineStr"/>
      <c r="AA437" s="3" t="n">
        <v>1</v>
      </c>
      <c r="AB437" s="3" t="n"/>
      <c r="AC437" s="3" t="n"/>
      <c r="AD437" s="3" t="n"/>
      <c r="AE437" s="3" t="n"/>
      <c r="AF437" s="3" t="n">
        <v>0</v>
      </c>
      <c r="AG437" s="3" t="n"/>
      <c r="AH437" s="3" t="n">
        <v>0</v>
      </c>
      <c r="AI437" s="3" t="n">
        <v>2.409</v>
      </c>
      <c r="AJ437" s="3" t="n">
        <v>1.1228</v>
      </c>
      <c r="AK437" s="3" t="n">
        <v>-0.2146681842218678</v>
      </c>
      <c r="AL437" s="6" t="n">
        <v>0</v>
      </c>
      <c r="AM437" s="3" t="n">
        <v>0</v>
      </c>
      <c r="AN437" s="3" t="n">
        <v>0</v>
      </c>
      <c r="AO437" s="3" t="n">
        <v>0</v>
      </c>
      <c r="AP437" s="3">
        <f>N(X437)*N(BI437)</f>
        <v/>
      </c>
      <c r="AQ437" s="3" t="n">
        <v>0</v>
      </c>
      <c r="AR437" s="3" t="n">
        <v>0</v>
      </c>
      <c r="AS437" s="3" t="n">
        <v>-0</v>
      </c>
      <c r="AT437" s="3" t="n">
        <v>-0.2146681842218678</v>
      </c>
      <c r="AU437" s="3">
        <f>SUM(AN437:AT437)</f>
        <v/>
      </c>
      <c r="AV437" s="7">
        <f>IF(OR(N(W437)&lt;=0,N(BG437)=0),0,N(W437)*IF(N(R437)/N(W437)&gt;=60,N(BG437),1))</f>
        <v/>
      </c>
      <c r="AW437" s="7">
        <f>N(W437)*N(AF437)*N(BH437)</f>
        <v/>
      </c>
      <c r="AX437" s="7">
        <f>N(AL437)*(Assumptions!$B$13*N(BJ437)-(1-Assumptions!$B$13)*Assumptions!$B$14)+N(AM437)</f>
        <v/>
      </c>
      <c r="AY437" s="7">
        <f>N(AU437)*N(R437)/90+N(AV437)+N(AW437)+N(AX437)</f>
        <v/>
      </c>
      <c r="AZ437" s="3">
        <f>IF(N(R437)&lt;=0,0,(N(AY437)-N(AX437))*90/N(R437))</f>
        <v/>
      </c>
      <c r="BA437" s="7">
        <f>IFERROR(AY437-VLOOKUP($E437,Assumptions!$A$40:$C$43,3,FALSE),"")</f>
        <v/>
      </c>
      <c r="BB437" s="3">
        <f>IFERROR(BA437/H437,"")</f>
        <v/>
      </c>
      <c r="BC437">
        <f>IF(AND($G437=TRUE,$E437="GKP"),AY437,"")</f>
        <v/>
      </c>
      <c r="BD437">
        <f>IF(AND($G437=TRUE,$E437="DEF"),AY437,"")</f>
        <v/>
      </c>
      <c r="BE437">
        <f>IF(AND($G437=TRUE,$E437="MID"),AY437,"")</f>
        <v/>
      </c>
      <c r="BF437">
        <f>IF(AND($G437=TRUE,$E437="FWD"),AY437,"")</f>
        <v/>
      </c>
      <c r="BG437" t="n">
        <v>2</v>
      </c>
      <c r="BH437" t="n">
        <v>2</v>
      </c>
      <c r="BI437" t="n">
        <v>1</v>
      </c>
      <c r="BJ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s="8" t="n">
        <v>0</v>
      </c>
      <c r="O438" s="8" t="n">
        <v>0</v>
      </c>
      <c r="Q438" t="inlineStr">
        <is>
          <t>flat</t>
        </is>
      </c>
      <c r="R438" s="6" t="n">
        <v>0</v>
      </c>
      <c r="S438" t="inlineStr">
        <is>
          <t>Solio</t>
        </is>
      </c>
      <c r="U438" s="6" t="n">
        <v>85</v>
      </c>
      <c r="V438" s="2" t="n"/>
      <c r="W438" s="7">
        <f>IF(N(U438)&lt;=0,0,MIN(Assumptions!$B$15,N(R438)/N(U438)))</f>
        <v/>
      </c>
      <c r="X438" s="6" t="n">
        <v>0.342</v>
      </c>
      <c r="Y438" s="3" t="n"/>
      <c r="Z438" t="inlineStr"/>
      <c r="AA438" s="3" t="n">
        <v>1</v>
      </c>
      <c r="AB438" s="3" t="n"/>
      <c r="AC438" s="3" t="n"/>
      <c r="AD438" s="3" t="n"/>
      <c r="AE438" s="3" t="n"/>
      <c r="AF438" s="3" t="n">
        <v>0</v>
      </c>
      <c r="AG438" s="3" t="n"/>
      <c r="AH438" s="3" t="n">
        <v>0</v>
      </c>
      <c r="AI438" s="3" t="n">
        <v>2.409</v>
      </c>
      <c r="AJ438" s="3" t="n">
        <v>1.1228</v>
      </c>
      <c r="AK438" s="3" t="n">
        <v>-0.2045226422080557</v>
      </c>
      <c r="AL438" s="6" t="n">
        <v>0</v>
      </c>
      <c r="AM438" s="3" t="n">
        <v>0</v>
      </c>
      <c r="AN438" s="3" t="n">
        <v>0</v>
      </c>
      <c r="AO438" s="3" t="n">
        <v>0</v>
      </c>
      <c r="AP438" s="3">
        <f>N(X438)*N(BI438)</f>
        <v/>
      </c>
      <c r="AQ438" s="3" t="n">
        <v>0</v>
      </c>
      <c r="AR438" s="3" t="n">
        <v>0</v>
      </c>
      <c r="AS438" s="3" t="n">
        <v>-0.3378660007281162</v>
      </c>
      <c r="AT438" s="3" t="n">
        <v>-0.2045226422080557</v>
      </c>
      <c r="AU438" s="3">
        <f>SUM(AN438:AT438)</f>
        <v/>
      </c>
      <c r="AV438" s="7">
        <f>IF(OR(N(W438)&lt;=0,N(BG438)=0),0,N(W438)*IF(N(R438)/N(W438)&gt;=60,N(BG438),1))</f>
        <v/>
      </c>
      <c r="AW438" s="7">
        <f>N(W438)*N(AF438)*N(BH438)</f>
        <v/>
      </c>
      <c r="AX438" s="7">
        <f>N(AL438)*(Assumptions!$B$13*N(BJ438)-(1-Assumptions!$B$13)*Assumptions!$B$14)+N(AM438)</f>
        <v/>
      </c>
      <c r="AY438" s="7">
        <f>N(AU438)*N(R438)/90+N(AV438)+N(AW438)+N(AX438)</f>
        <v/>
      </c>
      <c r="AZ438" s="3">
        <f>IF(N(R438)&lt;=0,0,(N(AY438)-N(AX438))*90/N(R438))</f>
        <v/>
      </c>
      <c r="BA438" s="7">
        <f>IFERROR(AY438-VLOOKUP($E438,Assumptions!$A$40:$C$43,3,FALSE),"")</f>
        <v/>
      </c>
      <c r="BB438" s="3">
        <f>IFERROR(BA438/H438,"")</f>
        <v/>
      </c>
      <c r="BC438">
        <f>IF(AND($G438=TRUE,$E438="GKP"),AY438,"")</f>
        <v/>
      </c>
      <c r="BD438">
        <f>IF(AND($G438=TRUE,$E438="DEF"),AY438,"")</f>
        <v/>
      </c>
      <c r="BE438">
        <f>IF(AND($G438=TRUE,$E438="MID"),AY438,"")</f>
        <v/>
      </c>
      <c r="BF438">
        <f>IF(AND($G438=TRUE,$E438="FWD"),AY438,"")</f>
        <v/>
      </c>
      <c r="BG438" t="n">
        <v>2</v>
      </c>
      <c r="BH438" t="n">
        <v>2</v>
      </c>
      <c r="BI438" t="n">
        <v>4</v>
      </c>
      <c r="BJ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s="4" t="n">
        <v>0</v>
      </c>
      <c r="O439" s="4" t="n">
        <v>-10</v>
      </c>
      <c r="P439" s="5" t="inlineStr">
        <is>
          <t>medium</t>
        </is>
      </c>
      <c r="Q439" t="inlineStr">
        <is>
          <t>flat</t>
        </is>
      </c>
      <c r="R439" s="6" t="n">
        <v>0</v>
      </c>
      <c r="S439" t="inlineStr">
        <is>
          <t>research</t>
        </is>
      </c>
      <c r="T439" s="5" t="inlineStr">
        <is>
          <t>Named on Last Word on Football's 'unwanted list' after being left out of the final pre-season matchday squad entirely; the club has stated it expects further sales before the 1 September deadline and Chelsea must cut a 47-man squad down to a 25-man Premier League registration list.</t>
        </is>
      </c>
      <c r="U439" s="6" t="n">
        <v>85</v>
      </c>
      <c r="V439" s="2" t="n"/>
      <c r="W439" s="7">
        <f>IF(N(U439)&lt;=0,0,MIN(Assumptions!$B$15,N(R439)/N(U439)))</f>
        <v/>
      </c>
      <c r="X439" s="6" t="n">
        <v>0.322</v>
      </c>
      <c r="Y439" s="3" t="n"/>
      <c r="Z439" t="inlineStr"/>
      <c r="AA439" s="3" t="n">
        <v>1</v>
      </c>
      <c r="AB439" s="3" t="n"/>
      <c r="AC439" s="3" t="n"/>
      <c r="AD439" s="3" t="n"/>
      <c r="AE439" s="3" t="n"/>
      <c r="AF439" s="3" t="n">
        <v>0</v>
      </c>
      <c r="AG439" s="3" t="n"/>
      <c r="AH439" s="3" t="n">
        <v>0</v>
      </c>
      <c r="AI439" s="3" t="n">
        <v>2.4232</v>
      </c>
      <c r="AJ439" s="3" t="n">
        <v>1.1851</v>
      </c>
      <c r="AK439" s="3" t="n">
        <v>-0.2615526627267724</v>
      </c>
      <c r="AL439" s="6" t="n">
        <v>0</v>
      </c>
      <c r="AM439" s="3" t="n">
        <v>0</v>
      </c>
      <c r="AN439" s="3" t="n">
        <v>0</v>
      </c>
      <c r="AO439" s="3" t="n">
        <v>0</v>
      </c>
      <c r="AP439" s="3">
        <f>N(X439)*N(BI439)</f>
        <v/>
      </c>
      <c r="AQ439" s="3" t="n">
        <v>0</v>
      </c>
      <c r="AR439" s="3" t="n">
        <v>0</v>
      </c>
      <c r="AS439" s="3" t="n">
        <v>-0</v>
      </c>
      <c r="AT439" s="3" t="n">
        <v>-0.2615526627267724</v>
      </c>
      <c r="AU439" s="3">
        <f>SUM(AN439:AT439)</f>
        <v/>
      </c>
      <c r="AV439" s="7">
        <f>IF(OR(N(W439)&lt;=0,N(BG439)=0),0,N(W439)*IF(N(R439)/N(W439)&gt;=60,N(BG439),1))</f>
        <v/>
      </c>
      <c r="AW439" s="7">
        <f>N(W439)*N(AF439)*N(BH439)</f>
        <v/>
      </c>
      <c r="AX439" s="7">
        <f>N(AL439)*(Assumptions!$B$13*N(BJ439)-(1-Assumptions!$B$13)*Assumptions!$B$14)+N(AM439)</f>
        <v/>
      </c>
      <c r="AY439" s="7">
        <f>N(AU439)*N(R439)/90+N(AV439)+N(AW439)+N(AX439)</f>
        <v/>
      </c>
      <c r="AZ439" s="3">
        <f>IF(N(R439)&lt;=0,0,(N(AY439)-N(AX439))*90/N(R439))</f>
        <v/>
      </c>
      <c r="BA439" s="7">
        <f>IFERROR(AY439-VLOOKUP($E439,Assumptions!$A$40:$C$43,3,FALSE),"")</f>
        <v/>
      </c>
      <c r="BB439" s="3">
        <f>IFERROR(BA439/H439,"")</f>
        <v/>
      </c>
      <c r="BC439">
        <f>IF(AND($G439=TRUE,$E439="GKP"),AY439,"")</f>
        <v/>
      </c>
      <c r="BD439">
        <f>IF(AND($G439=TRUE,$E439="DEF"),AY439,"")</f>
        <v/>
      </c>
      <c r="BE439">
        <f>IF(AND($G439=TRUE,$E439="MID"),AY439,"")</f>
        <v/>
      </c>
      <c r="BF439">
        <f>IF(AND($G439=TRUE,$E439="FWD"),AY439,"")</f>
        <v/>
      </c>
      <c r="BG439" t="n">
        <v>2</v>
      </c>
      <c r="BH439" t="n">
        <v>2</v>
      </c>
      <c r="BI439" t="n">
        <v>0</v>
      </c>
      <c r="BJ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s="8" t="n">
        <v>0</v>
      </c>
      <c r="O440" s="8" t="n">
        <v>0</v>
      </c>
      <c r="Q440" t="inlineStr">
        <is>
          <t>flat</t>
        </is>
      </c>
      <c r="R440" s="6" t="n">
        <v>0</v>
      </c>
      <c r="S440" t="inlineStr">
        <is>
          <t>Solio</t>
        </is>
      </c>
      <c r="U440" s="6" t="n">
        <v>85</v>
      </c>
      <c r="V440" s="2" t="n"/>
      <c r="W440" s="7">
        <f>IF(N(U440)&lt;=0,0,MIN(Assumptions!$B$15,N(R440)/N(U440)))</f>
        <v/>
      </c>
      <c r="X440" s="6" t="n">
        <v>0.218</v>
      </c>
      <c r="Y440" s="3" t="n"/>
      <c r="Z440" t="inlineStr"/>
      <c r="AA440" s="3" t="n">
        <v>1</v>
      </c>
      <c r="AB440" s="3" t="n"/>
      <c r="AC440" s="3" t="n"/>
      <c r="AD440" s="3" t="n"/>
      <c r="AE440" s="3" t="n"/>
      <c r="AF440" s="3" t="n">
        <v>0</v>
      </c>
      <c r="AG440" s="3" t="n"/>
      <c r="AH440" s="3" t="n">
        <v>0</v>
      </c>
      <c r="AI440" s="3" t="n">
        <v>3.0611</v>
      </c>
      <c r="AJ440" s="3" t="n">
        <v>1.5875</v>
      </c>
      <c r="AK440" s="3" t="n">
        <v>-0.174691292596322</v>
      </c>
      <c r="AL440" s="6" t="n">
        <v>0</v>
      </c>
      <c r="AM440" s="3" t="n">
        <v>0</v>
      </c>
      <c r="AN440" s="3" t="n">
        <v>0</v>
      </c>
      <c r="AO440" s="3" t="n">
        <v>0</v>
      </c>
      <c r="AP440" s="3">
        <f>N(X440)*N(BI440)</f>
        <v/>
      </c>
      <c r="AQ440" s="3" t="n">
        <v>0</v>
      </c>
      <c r="AR440" s="3" t="n">
        <v>0</v>
      </c>
      <c r="AS440" s="3" t="n">
        <v>-0</v>
      </c>
      <c r="AT440" s="3" t="n">
        <v>-0.174691292596322</v>
      </c>
      <c r="AU440" s="3">
        <f>SUM(AN440:AT440)</f>
        <v/>
      </c>
      <c r="AV440" s="7">
        <f>IF(OR(N(W440)&lt;=0,N(BG440)=0),0,N(W440)*IF(N(R440)/N(W440)&gt;=60,N(BG440),1))</f>
        <v/>
      </c>
      <c r="AW440" s="7">
        <f>N(W440)*N(AF440)*N(BH440)</f>
        <v/>
      </c>
      <c r="AX440" s="7">
        <f>N(AL440)*(Assumptions!$B$13*N(BJ440)-(1-Assumptions!$B$13)*Assumptions!$B$14)+N(AM440)</f>
        <v/>
      </c>
      <c r="AY440" s="7">
        <f>N(AU440)*N(R440)/90+N(AV440)+N(AW440)+N(AX440)</f>
        <v/>
      </c>
      <c r="AZ440" s="3">
        <f>IF(N(R440)&lt;=0,0,(N(AY440)-N(AX440))*90/N(R440))</f>
        <v/>
      </c>
      <c r="BA440" s="7">
        <f>IFERROR(AY440-VLOOKUP($E440,Assumptions!$A$40:$C$43,3,FALSE),"")</f>
        <v/>
      </c>
      <c r="BB440" s="3">
        <f>IFERROR(BA440/H440,"")</f>
        <v/>
      </c>
      <c r="BC440">
        <f>IF(AND($G440=TRUE,$E440="GKP"),AY440,"")</f>
        <v/>
      </c>
      <c r="BD440">
        <f>IF(AND($G440=TRUE,$E440="DEF"),AY440,"")</f>
        <v/>
      </c>
      <c r="BE440">
        <f>IF(AND($G440=TRUE,$E440="MID"),AY440,"")</f>
        <v/>
      </c>
      <c r="BF440">
        <f>IF(AND($G440=TRUE,$E440="FWD"),AY440,"")</f>
        <v/>
      </c>
      <c r="BG440" t="n">
        <v>2</v>
      </c>
      <c r="BH440" t="n">
        <v>2</v>
      </c>
      <c r="BI440" t="n">
        <v>0</v>
      </c>
      <c r="BJ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s="8" t="n">
        <v>0</v>
      </c>
      <c r="O441" s="8" t="n">
        <v>0</v>
      </c>
      <c r="Q441" t="inlineStr">
        <is>
          <t>flat</t>
        </is>
      </c>
      <c r="R441" s="6" t="n">
        <v>0</v>
      </c>
      <c r="S441" t="inlineStr">
        <is>
          <t>Solio</t>
        </is>
      </c>
      <c r="U441" s="6" t="n">
        <v>85</v>
      </c>
      <c r="V441" s="2" t="n"/>
      <c r="W441" s="7">
        <f>IF(N(U441)&lt;=0,0,MIN(Assumptions!$B$15,N(R441)/N(U441)))</f>
        <v/>
      </c>
      <c r="X441" s="6" t="n">
        <v>0.228</v>
      </c>
      <c r="Y441" s="3" t="n"/>
      <c r="Z441" t="inlineStr"/>
      <c r="AA441" s="3" t="n">
        <v>1</v>
      </c>
      <c r="AB441" s="3" t="n"/>
      <c r="AC441" s="3" t="n"/>
      <c r="AD441" s="3" t="n"/>
      <c r="AE441" s="3" t="n"/>
      <c r="AF441" s="3" t="n">
        <v>0</v>
      </c>
      <c r="AG441" s="3" t="n"/>
      <c r="AH441" s="3" t="n">
        <v>0</v>
      </c>
      <c r="AI441" s="3" t="n">
        <v>3.2371</v>
      </c>
      <c r="AJ441" s="3" t="n">
        <v>1.5396</v>
      </c>
      <c r="AK441" s="3" t="n">
        <v>-0.2024085315768018</v>
      </c>
      <c r="AL441" s="6" t="n">
        <v>0</v>
      </c>
      <c r="AM441" s="3" t="n">
        <v>0</v>
      </c>
      <c r="AN441" s="3" t="n">
        <v>0</v>
      </c>
      <c r="AO441" s="3" t="n">
        <v>0</v>
      </c>
      <c r="AP441" s="3">
        <f>N(X441)*N(BI441)</f>
        <v/>
      </c>
      <c r="AQ441" s="3" t="n">
        <v>0</v>
      </c>
      <c r="AR441" s="3" t="n">
        <v>0</v>
      </c>
      <c r="AS441" s="3" t="n">
        <v>-0.5312990096912251</v>
      </c>
      <c r="AT441" s="3" t="n">
        <v>-0.2024085315768018</v>
      </c>
      <c r="AU441" s="3">
        <f>SUM(AN441:AT441)</f>
        <v/>
      </c>
      <c r="AV441" s="7">
        <f>IF(OR(N(W441)&lt;=0,N(BG441)=0),0,N(W441)*IF(N(R441)/N(W441)&gt;=60,N(BG441),1))</f>
        <v/>
      </c>
      <c r="AW441" s="7">
        <f>N(W441)*N(AF441)*N(BH441)</f>
        <v/>
      </c>
      <c r="AX441" s="7">
        <f>N(AL441)*(Assumptions!$B$13*N(BJ441)-(1-Assumptions!$B$13)*Assumptions!$B$14)+N(AM441)</f>
        <v/>
      </c>
      <c r="AY441" s="7">
        <f>N(AU441)*N(R441)/90+N(AV441)+N(AW441)+N(AX441)</f>
        <v/>
      </c>
      <c r="AZ441" s="3">
        <f>IF(N(R441)&lt;=0,0,(N(AY441)-N(AX441))*90/N(R441))</f>
        <v/>
      </c>
      <c r="BA441" s="7">
        <f>IFERROR(AY441-VLOOKUP($E441,Assumptions!$A$40:$C$43,3,FALSE),"")</f>
        <v/>
      </c>
      <c r="BB441" s="3">
        <f>IFERROR(BA441/H441,"")</f>
        <v/>
      </c>
      <c r="BC441">
        <f>IF(AND($G441=TRUE,$E441="GKP"),AY441,"")</f>
        <v/>
      </c>
      <c r="BD441">
        <f>IF(AND($G441=TRUE,$E441="DEF"),AY441,"")</f>
        <v/>
      </c>
      <c r="BE441">
        <f>IF(AND($G441=TRUE,$E441="MID"),AY441,"")</f>
        <v/>
      </c>
      <c r="BF441">
        <f>IF(AND($G441=TRUE,$E441="FWD"),AY441,"")</f>
        <v/>
      </c>
      <c r="BG441" t="n">
        <v>2</v>
      </c>
      <c r="BH441" t="n">
        <v>2</v>
      </c>
      <c r="BI441" t="n">
        <v>4</v>
      </c>
      <c r="BJ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s="8" t="n">
        <v>0</v>
      </c>
      <c r="O442" s="8" t="n">
        <v>0</v>
      </c>
      <c r="Q442" t="inlineStr">
        <is>
          <t>flat</t>
        </is>
      </c>
      <c r="R442" s="6" t="n">
        <v>0</v>
      </c>
      <c r="S442" t="inlineStr">
        <is>
          <t>Solio</t>
        </is>
      </c>
      <c r="U442" s="6" t="n">
        <v>85</v>
      </c>
      <c r="V442" s="2" t="n"/>
      <c r="W442" s="7">
        <f>IF(N(U442)&lt;=0,0,MIN(Assumptions!$B$15,N(R442)/N(U442)))</f>
        <v/>
      </c>
      <c r="X442" s="6" t="n">
        <v>0.214</v>
      </c>
      <c r="Y442" s="3" t="n"/>
      <c r="Z442" t="inlineStr"/>
      <c r="AA442" s="3" t="n">
        <v>1</v>
      </c>
      <c r="AB442" s="3" t="n"/>
      <c r="AC442" s="3" t="n"/>
      <c r="AD442" s="3" t="n"/>
      <c r="AE442" s="3" t="n">
        <v>0</v>
      </c>
      <c r="AF442" s="3" t="n">
        <v>0</v>
      </c>
      <c r="AG442" s="3" t="n"/>
      <c r="AH442" s="3" t="n">
        <v>0</v>
      </c>
      <c r="AI442" s="3" t="n">
        <v>3.22</v>
      </c>
      <c r="AJ442" s="3" t="n">
        <v>1.6019</v>
      </c>
      <c r="AK442" s="3" t="n">
        <v>-0.0763216474948735</v>
      </c>
      <c r="AL442" s="6" t="n">
        <v>0</v>
      </c>
      <c r="AM442" s="3" t="n">
        <v>0</v>
      </c>
      <c r="AN442" s="3" t="n">
        <v>0</v>
      </c>
      <c r="AO442" s="3" t="n">
        <v>0</v>
      </c>
      <c r="AP442" s="3">
        <f>N(X442)*N(BI442)</f>
        <v/>
      </c>
      <c r="AQ442" s="3" t="n">
        <v>0</v>
      </c>
      <c r="AR442" s="3" t="n">
        <v>0.7380333201454712</v>
      </c>
      <c r="AS442" s="3" t="n">
        <v>-0.5611019003833156</v>
      </c>
      <c r="AT442" s="3" t="n">
        <v>-0.0763216474948735</v>
      </c>
      <c r="AU442" s="3">
        <f>SUM(AN442:AT442)</f>
        <v/>
      </c>
      <c r="AV442" s="7">
        <f>IF(OR(N(W442)&lt;=0,N(BG442)=0),0,N(W442)*IF(N(R442)/N(W442)&gt;=60,N(BG442),1))</f>
        <v/>
      </c>
      <c r="AW442" s="7">
        <f>N(W442)*N(AF442)*N(BH442)</f>
        <v/>
      </c>
      <c r="AX442" s="7">
        <f>N(AL442)*(Assumptions!$B$13*N(BJ442)-(1-Assumptions!$B$13)*Assumptions!$B$14)+N(AM442)</f>
        <v/>
      </c>
      <c r="AY442" s="7">
        <f>N(AU442)*N(R442)/90+N(AV442)+N(AW442)+N(AX442)</f>
        <v/>
      </c>
      <c r="AZ442" s="3">
        <f>IF(N(R442)&lt;=0,0,(N(AY442)-N(AX442))*90/N(R442))</f>
        <v/>
      </c>
      <c r="BA442" s="7">
        <f>IFERROR(AY442-VLOOKUP($E442,Assumptions!$A$40:$C$43,3,FALSE),"")</f>
        <v/>
      </c>
      <c r="BB442" s="3">
        <f>IFERROR(BA442/H442,"")</f>
        <v/>
      </c>
      <c r="BC442">
        <f>IF(AND($G442=TRUE,$E442="GKP"),AY442,"")</f>
        <v/>
      </c>
      <c r="BD442">
        <f>IF(AND($G442=TRUE,$E442="DEF"),AY442,"")</f>
        <v/>
      </c>
      <c r="BE442">
        <f>IF(AND($G442=TRUE,$E442="MID"),AY442,"")</f>
        <v/>
      </c>
      <c r="BF442">
        <f>IF(AND($G442=TRUE,$E442="FWD"),AY442,"")</f>
        <v/>
      </c>
      <c r="BG442" t="n">
        <v>2</v>
      </c>
      <c r="BH442" t="n">
        <v>0</v>
      </c>
      <c r="BI442" t="n">
        <v>4</v>
      </c>
      <c r="BJ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s="8" t="n">
        <v>0</v>
      </c>
      <c r="O443" s="8" t="n">
        <v>0</v>
      </c>
      <c r="Q443" t="inlineStr">
        <is>
          <t>flat</t>
        </is>
      </c>
      <c r="R443" s="6" t="n">
        <v>0</v>
      </c>
      <c r="S443" t="inlineStr">
        <is>
          <t>Solio</t>
        </is>
      </c>
      <c r="U443" s="6" t="n">
        <v>85</v>
      </c>
      <c r="V443" s="2" t="n"/>
      <c r="W443" s="7">
        <f>IF(N(U443)&lt;=0,0,MIN(Assumptions!$B$15,N(R443)/N(U443)))</f>
        <v/>
      </c>
      <c r="X443" s="6" t="n">
        <v>0.342</v>
      </c>
      <c r="Y443" s="3" t="n"/>
      <c r="Z443" t="inlineStr"/>
      <c r="AA443" s="3" t="n">
        <v>1</v>
      </c>
      <c r="AB443" s="3" t="n"/>
      <c r="AC443" s="3" t="n"/>
      <c r="AD443" s="3" t="n"/>
      <c r="AE443" s="3" t="n"/>
      <c r="AF443" s="3" t="n">
        <v>0</v>
      </c>
      <c r="AG443" s="3" t="n"/>
      <c r="AH443" s="3" t="n">
        <v>0</v>
      </c>
      <c r="AI443" s="3" t="n">
        <v>2.409</v>
      </c>
      <c r="AJ443" s="3" t="n">
        <v>1.1228</v>
      </c>
      <c r="AK443" s="3" t="n">
        <v>-0.1985489867524817</v>
      </c>
      <c r="AL443" s="6" t="n">
        <v>0</v>
      </c>
      <c r="AM443" s="3" t="n">
        <v>0</v>
      </c>
      <c r="AN443" s="3" t="n">
        <v>0</v>
      </c>
      <c r="AO443" s="3" t="n">
        <v>0</v>
      </c>
      <c r="AP443" s="3">
        <f>N(X443)*N(BI443)</f>
        <v/>
      </c>
      <c r="AQ443" s="3" t="n">
        <v>0</v>
      </c>
      <c r="AR443" s="3" t="n">
        <v>0</v>
      </c>
      <c r="AS443" s="3" t="n">
        <v>-0</v>
      </c>
      <c r="AT443" s="3" t="n">
        <v>-0.1985489867524817</v>
      </c>
      <c r="AU443" s="3">
        <f>SUM(AN443:AT443)</f>
        <v/>
      </c>
      <c r="AV443" s="7">
        <f>IF(OR(N(W443)&lt;=0,N(BG443)=0),0,N(W443)*IF(N(R443)/N(W443)&gt;=60,N(BG443),1))</f>
        <v/>
      </c>
      <c r="AW443" s="7">
        <f>N(W443)*N(AF443)*N(BH443)</f>
        <v/>
      </c>
      <c r="AX443" s="7">
        <f>N(AL443)*(Assumptions!$B$13*N(BJ443)-(1-Assumptions!$B$13)*Assumptions!$B$14)+N(AM443)</f>
        <v/>
      </c>
      <c r="AY443" s="7">
        <f>N(AU443)*N(R443)/90+N(AV443)+N(AW443)+N(AX443)</f>
        <v/>
      </c>
      <c r="AZ443" s="3">
        <f>IF(N(R443)&lt;=0,0,(N(AY443)-N(AX443))*90/N(R443))</f>
        <v/>
      </c>
      <c r="BA443" s="7">
        <f>IFERROR(AY443-VLOOKUP($E443,Assumptions!$A$40:$C$43,3,FALSE),"")</f>
        <v/>
      </c>
      <c r="BB443" s="3">
        <f>IFERROR(BA443/H443,"")</f>
        <v/>
      </c>
      <c r="BC443">
        <f>IF(AND($G443=TRUE,$E443="GKP"),AY443,"")</f>
        <v/>
      </c>
      <c r="BD443">
        <f>IF(AND($G443=TRUE,$E443="DEF"),AY443,"")</f>
        <v/>
      </c>
      <c r="BE443">
        <f>IF(AND($G443=TRUE,$E443="MID"),AY443,"")</f>
        <v/>
      </c>
      <c r="BF443">
        <f>IF(AND($G443=TRUE,$E443="FWD"),AY443,"")</f>
        <v/>
      </c>
      <c r="BG443" t="n">
        <v>2</v>
      </c>
      <c r="BH443" t="n">
        <v>2</v>
      </c>
      <c r="BI443" t="n">
        <v>0</v>
      </c>
      <c r="BJ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s="8" t="n">
        <v>0</v>
      </c>
      <c r="O444" s="8" t="n">
        <v>0</v>
      </c>
      <c r="Q444" t="inlineStr">
        <is>
          <t>flat</t>
        </is>
      </c>
      <c r="R444" s="6" t="n">
        <v>0</v>
      </c>
      <c r="S444" t="inlineStr">
        <is>
          <t>Solio</t>
        </is>
      </c>
      <c r="U444" s="6" t="n">
        <v>85</v>
      </c>
      <c r="V444" s="2" t="n"/>
      <c r="W444" s="7">
        <f>IF(N(U444)&lt;=0,0,MIN(Assumptions!$B$15,N(R444)/N(U444)))</f>
        <v/>
      </c>
      <c r="X444" s="6" t="n">
        <v>0.371</v>
      </c>
      <c r="Y444" s="3" t="n"/>
      <c r="Z444" t="inlineStr"/>
      <c r="AA444" s="3" t="n">
        <v>1</v>
      </c>
      <c r="AB444" s="3" t="n"/>
      <c r="AC444" s="3" t="n"/>
      <c r="AD444" s="3" t="n"/>
      <c r="AE444" s="3" t="n"/>
      <c r="AF444" s="3" t="n">
        <v>0</v>
      </c>
      <c r="AG444" s="3" t="n"/>
      <c r="AH444" s="3" t="n">
        <v>0</v>
      </c>
      <c r="AI444" s="3" t="n">
        <v>1.9737</v>
      </c>
      <c r="AJ444" s="3" t="n">
        <v>1.0365</v>
      </c>
      <c r="AK444" s="3" t="n">
        <v>-0.2156288455209739</v>
      </c>
      <c r="AL444" s="6" t="n">
        <v>0</v>
      </c>
      <c r="AM444" s="3" t="n">
        <v>0</v>
      </c>
      <c r="AN444" s="3" t="n">
        <v>0</v>
      </c>
      <c r="AO444" s="3" t="n">
        <v>0</v>
      </c>
      <c r="AP444" s="3">
        <f>N(X444)*N(BI444)</f>
        <v/>
      </c>
      <c r="AQ444" s="3" t="n">
        <v>0</v>
      </c>
      <c r="AR444" s="3" t="n">
        <v>0</v>
      </c>
      <c r="AS444" s="3" t="n">
        <v>-0</v>
      </c>
      <c r="AT444" s="3" t="n">
        <v>-0.2156288455209739</v>
      </c>
      <c r="AU444" s="3">
        <f>SUM(AN444:AT444)</f>
        <v/>
      </c>
      <c r="AV444" s="7">
        <f>IF(OR(N(W444)&lt;=0,N(BG444)=0),0,N(W444)*IF(N(R444)/N(W444)&gt;=60,N(BG444),1))</f>
        <v/>
      </c>
      <c r="AW444" s="7">
        <f>N(W444)*N(AF444)*N(BH444)</f>
        <v/>
      </c>
      <c r="AX444" s="7">
        <f>N(AL444)*(Assumptions!$B$13*N(BJ444)-(1-Assumptions!$B$13)*Assumptions!$B$14)+N(AM444)</f>
        <v/>
      </c>
      <c r="AY444" s="7">
        <f>N(AU444)*N(R444)/90+N(AV444)+N(AW444)+N(AX444)</f>
        <v/>
      </c>
      <c r="AZ444" s="3">
        <f>IF(N(R444)&lt;=0,0,(N(AY444)-N(AX444))*90/N(R444))</f>
        <v/>
      </c>
      <c r="BA444" s="7">
        <f>IFERROR(AY444-VLOOKUP($E444,Assumptions!$A$40:$C$43,3,FALSE),"")</f>
        <v/>
      </c>
      <c r="BB444" s="3">
        <f>IFERROR(BA444/H444,"")</f>
        <v/>
      </c>
      <c r="BC444">
        <f>IF(AND($G444=TRUE,$E444="GKP"),AY444,"")</f>
        <v/>
      </c>
      <c r="BD444">
        <f>IF(AND($G444=TRUE,$E444="DEF"),AY444,"")</f>
        <v/>
      </c>
      <c r="BE444">
        <f>IF(AND($G444=TRUE,$E444="MID"),AY444,"")</f>
        <v/>
      </c>
      <c r="BF444">
        <f>IF(AND($G444=TRUE,$E444="FWD"),AY444,"")</f>
        <v/>
      </c>
      <c r="BG444" t="n">
        <v>2</v>
      </c>
      <c r="BH444" t="n">
        <v>2</v>
      </c>
      <c r="BI444" t="n">
        <v>1</v>
      </c>
      <c r="BJ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s="8" t="n">
        <v>0</v>
      </c>
      <c r="O445" s="8" t="n">
        <v>0</v>
      </c>
      <c r="Q445" t="inlineStr">
        <is>
          <t>flat</t>
        </is>
      </c>
      <c r="R445" s="6" t="n">
        <v>0</v>
      </c>
      <c r="S445" t="inlineStr">
        <is>
          <t>Solio</t>
        </is>
      </c>
      <c r="U445" s="6" t="n">
        <v>85</v>
      </c>
      <c r="V445" s="2" t="n"/>
      <c r="W445" s="7">
        <f>IF(N(U445)&lt;=0,0,MIN(Assumptions!$B$15,N(R445)/N(U445)))</f>
        <v/>
      </c>
      <c r="X445" s="6" t="n">
        <v>0.286</v>
      </c>
      <c r="Y445" s="3" t="n"/>
      <c r="Z445" t="inlineStr"/>
      <c r="AA445" s="3" t="n">
        <v>1</v>
      </c>
      <c r="AB445" s="3" t="n"/>
      <c r="AC445" s="3" t="n"/>
      <c r="AD445" s="3" t="n"/>
      <c r="AE445" s="3" t="n"/>
      <c r="AF445" s="3" t="n">
        <v>0</v>
      </c>
      <c r="AG445" s="3" t="n"/>
      <c r="AH445" s="3" t="n">
        <v>0</v>
      </c>
      <c r="AI445" s="3" t="n">
        <v>2.5739</v>
      </c>
      <c r="AJ445" s="3" t="n">
        <v>1.3096</v>
      </c>
      <c r="AK445" s="3" t="n">
        <v>-0.1899707836076616</v>
      </c>
      <c r="AL445" s="6" t="n">
        <v>0</v>
      </c>
      <c r="AM445" s="3" t="n">
        <v>0</v>
      </c>
      <c r="AN445" s="3" t="n">
        <v>0</v>
      </c>
      <c r="AO445" s="3" t="n">
        <v>0</v>
      </c>
      <c r="AP445" s="3">
        <f>N(X445)*N(BI445)</f>
        <v/>
      </c>
      <c r="AQ445" s="3" t="n">
        <v>0</v>
      </c>
      <c r="AR445" s="3" t="n">
        <v>0</v>
      </c>
      <c r="AS445" s="3" t="n">
        <v>-0</v>
      </c>
      <c r="AT445" s="3" t="n">
        <v>-0.1899707836076616</v>
      </c>
      <c r="AU445" s="3">
        <f>SUM(AN445:AT445)</f>
        <v/>
      </c>
      <c r="AV445" s="7">
        <f>IF(OR(N(W445)&lt;=0,N(BG445)=0),0,N(W445)*IF(N(R445)/N(W445)&gt;=60,N(BG445),1))</f>
        <v/>
      </c>
      <c r="AW445" s="7">
        <f>N(W445)*N(AF445)*N(BH445)</f>
        <v/>
      </c>
      <c r="AX445" s="7">
        <f>N(AL445)*(Assumptions!$B$13*N(BJ445)-(1-Assumptions!$B$13)*Assumptions!$B$14)+N(AM445)</f>
        <v/>
      </c>
      <c r="AY445" s="7">
        <f>N(AU445)*N(R445)/90+N(AV445)+N(AW445)+N(AX445)</f>
        <v/>
      </c>
      <c r="AZ445" s="3">
        <f>IF(N(R445)&lt;=0,0,(N(AY445)-N(AX445))*90/N(R445))</f>
        <v/>
      </c>
      <c r="BA445" s="7">
        <f>IFERROR(AY445-VLOOKUP($E445,Assumptions!$A$40:$C$43,3,FALSE),"")</f>
        <v/>
      </c>
      <c r="BB445" s="3">
        <f>IFERROR(BA445/H445,"")</f>
        <v/>
      </c>
      <c r="BC445">
        <f>IF(AND($G445=TRUE,$E445="GKP"),AY445,"")</f>
        <v/>
      </c>
      <c r="BD445">
        <f>IF(AND($G445=TRUE,$E445="DEF"),AY445,"")</f>
        <v/>
      </c>
      <c r="BE445">
        <f>IF(AND($G445=TRUE,$E445="MID"),AY445,"")</f>
        <v/>
      </c>
      <c r="BF445">
        <f>IF(AND($G445=TRUE,$E445="FWD"),AY445,"")</f>
        <v/>
      </c>
      <c r="BG445" t="n">
        <v>2</v>
      </c>
      <c r="BH445" t="n">
        <v>2</v>
      </c>
      <c r="BI445" t="n">
        <v>1</v>
      </c>
      <c r="BJ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s="4" t="n">
        <v>700</v>
      </c>
      <c r="O446" s="4" t="n">
        <v>700</v>
      </c>
      <c r="P446" s="5" t="inlineStr">
        <is>
          <t>medium</t>
        </is>
      </c>
      <c r="Q446" t="inlineStr">
        <is>
          <t>flat</t>
        </is>
      </c>
      <c r="R446" s="6" t="n">
        <v>700</v>
      </c>
      <c r="S446" t="inlineStr">
        <is>
          <t>research</t>
        </is>
      </c>
      <c r="T446" s="5" t="inlineStr">
        <is>
          <t>Solio has him at zero. Read Everton's transfer tracker on 15 August states he has ruled out a summer loan - despite reported PSV interest - and is 'preparing to compete with Vitaliy Mykolenko for the left-back position' after impressing in pre-season. He was among the substitutes for both the Newcastle (12 Aug) and Lille (15 Aug) friendlies. Zero minutes for a fit, retained, matchday-squad left-back who is the only cover at the position is wrong regardless of whether he wins the shirt.</t>
        </is>
      </c>
      <c r="U446" s="6" t="n">
        <v>85</v>
      </c>
      <c r="V446" s="2" t="n"/>
      <c r="W446" s="7">
        <f>IF(N(U446)&lt;=0,0,MIN(Assumptions!$B$15,N(R446)/N(U446)))</f>
        <v/>
      </c>
      <c r="X446" s="6" t="n">
        <v>0.231</v>
      </c>
      <c r="Y446" s="3" t="n"/>
      <c r="Z446" t="inlineStr"/>
      <c r="AA446" s="3" t="n">
        <v>1</v>
      </c>
      <c r="AB446" s="3" t="n"/>
      <c r="AC446" s="3" t="n"/>
      <c r="AD446" s="3" t="n"/>
      <c r="AE446" s="3" t="n"/>
      <c r="AF446" s="3" t="n">
        <v>0</v>
      </c>
      <c r="AG446" s="3" t="n"/>
      <c r="AH446" s="3" t="n">
        <v>0</v>
      </c>
      <c r="AI446" s="3" t="n">
        <v>3.0311</v>
      </c>
      <c r="AJ446" s="3" t="n">
        <v>1.5252</v>
      </c>
      <c r="AK446" s="3" t="n">
        <v>-0.2045226422080557</v>
      </c>
      <c r="AL446" s="6" t="n">
        <v>0</v>
      </c>
      <c r="AM446" s="3" t="n">
        <v>0</v>
      </c>
      <c r="AN446" s="3" t="n">
        <v>0</v>
      </c>
      <c r="AO446" s="3" t="n">
        <v>0</v>
      </c>
      <c r="AP446" s="3">
        <f>N(X446)*N(BI446)</f>
        <v/>
      </c>
      <c r="AQ446" s="3" t="n">
        <v>0</v>
      </c>
      <c r="AR446" s="3" t="n">
        <v>0</v>
      </c>
      <c r="AS446" s="3" t="n">
        <v>-0.524434996152324</v>
      </c>
      <c r="AT446" s="3" t="n">
        <v>-0.2045226422080557</v>
      </c>
      <c r="AU446" s="3">
        <f>SUM(AN446:AT446)</f>
        <v/>
      </c>
      <c r="AV446" s="7">
        <f>IF(OR(N(W446)&lt;=0,N(BG446)=0),0,N(W446)*IF(N(R446)/N(W446)&gt;=60,N(BG446),1))</f>
        <v/>
      </c>
      <c r="AW446" s="7">
        <f>N(W446)*N(AF446)*N(BH446)</f>
        <v/>
      </c>
      <c r="AX446" s="7">
        <f>N(AL446)*(Assumptions!$B$13*N(BJ446)-(1-Assumptions!$B$13)*Assumptions!$B$14)+N(AM446)</f>
        <v/>
      </c>
      <c r="AY446" s="7">
        <f>N(AU446)*N(R446)/90+N(AV446)+N(AW446)+N(AX446)</f>
        <v/>
      </c>
      <c r="AZ446" s="3">
        <f>IF(N(R446)&lt;=0,0,(N(AY446)-N(AX446))*90/N(R446))</f>
        <v/>
      </c>
      <c r="BA446" s="7">
        <f>IFERROR(AY446-VLOOKUP($E446,Assumptions!$A$40:$C$43,3,FALSE),"")</f>
        <v/>
      </c>
      <c r="BB446" s="3">
        <f>IFERROR(BA446/H446,"")</f>
        <v/>
      </c>
      <c r="BC446">
        <f>IF(AND($G446=TRUE,$E446="GKP"),AY446,"")</f>
        <v/>
      </c>
      <c r="BD446">
        <f>IF(AND($G446=TRUE,$E446="DEF"),AY446,"")</f>
        <v/>
      </c>
      <c r="BE446">
        <f>IF(AND($G446=TRUE,$E446="MID"),AY446,"")</f>
        <v/>
      </c>
      <c r="BF446">
        <f>IF(AND($G446=TRUE,$E446="FWD"),AY446,"")</f>
        <v/>
      </c>
      <c r="BG446" t="n">
        <v>2</v>
      </c>
      <c r="BH446" t="n">
        <v>2</v>
      </c>
      <c r="BI446" t="n">
        <v>4</v>
      </c>
      <c r="BJ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s="8" t="n">
        <v>0</v>
      </c>
      <c r="O447" s="8" t="n">
        <v>0</v>
      </c>
      <c r="Q447" t="inlineStr">
        <is>
          <t>flat</t>
        </is>
      </c>
      <c r="R447" s="6" t="n">
        <v>0</v>
      </c>
      <c r="S447" t="inlineStr">
        <is>
          <t>Solio</t>
        </is>
      </c>
      <c r="U447" s="6" t="n">
        <v>85</v>
      </c>
      <c r="V447" s="2" t="n"/>
      <c r="W447" s="7">
        <f>IF(N(U447)&lt;=0,0,MIN(Assumptions!$B$15,N(R447)/N(U447)))</f>
        <v/>
      </c>
      <c r="X447" s="6" t="n">
        <v>0.334</v>
      </c>
      <c r="Y447" s="3" t="n"/>
      <c r="Z447" t="inlineStr"/>
      <c r="AA447" s="3" t="n">
        <v>1</v>
      </c>
      <c r="AB447" s="3" t="n"/>
      <c r="AC447" s="3" t="n"/>
      <c r="AD447" s="3" t="n"/>
      <c r="AE447" s="3" t="n"/>
      <c r="AF447" s="3" t="n">
        <v>0</v>
      </c>
      <c r="AG447" s="3" t="n"/>
      <c r="AH447" s="3" t="n">
        <v>0</v>
      </c>
      <c r="AI447" s="3" t="n">
        <v>2.2165</v>
      </c>
      <c r="AJ447" s="3" t="n">
        <v>1.1467</v>
      </c>
      <c r="AK447" s="3" t="n">
        <v>-0.2025635746060023</v>
      </c>
      <c r="AL447" s="6" t="n">
        <v>0</v>
      </c>
      <c r="AM447" s="3" t="n">
        <v>0</v>
      </c>
      <c r="AN447" s="3" t="n">
        <v>0</v>
      </c>
      <c r="AO447" s="3" t="n">
        <v>0</v>
      </c>
      <c r="AP447" s="3">
        <f>N(X447)*N(BI447)</f>
        <v/>
      </c>
      <c r="AQ447" s="3" t="n">
        <v>0</v>
      </c>
      <c r="AR447" s="3" t="n">
        <v>0</v>
      </c>
      <c r="AS447" s="3" t="n">
        <v>-0</v>
      </c>
      <c r="AT447" s="3" t="n">
        <v>-0.2025635746060023</v>
      </c>
      <c r="AU447" s="3">
        <f>SUM(AN447:AT447)</f>
        <v/>
      </c>
      <c r="AV447" s="7">
        <f>IF(OR(N(W447)&lt;=0,N(BG447)=0),0,N(W447)*IF(N(R447)/N(W447)&gt;=60,N(BG447),1))</f>
        <v/>
      </c>
      <c r="AW447" s="7">
        <f>N(W447)*N(AF447)*N(BH447)</f>
        <v/>
      </c>
      <c r="AX447" s="7">
        <f>N(AL447)*(Assumptions!$B$13*N(BJ447)-(1-Assumptions!$B$13)*Assumptions!$B$14)+N(AM447)</f>
        <v/>
      </c>
      <c r="AY447" s="7">
        <f>N(AU447)*N(R447)/90+N(AV447)+N(AW447)+N(AX447)</f>
        <v/>
      </c>
      <c r="AZ447" s="3">
        <f>IF(N(R447)&lt;=0,0,(N(AY447)-N(AX447))*90/N(R447))</f>
        <v/>
      </c>
      <c r="BA447" s="7">
        <f>IFERROR(AY447-VLOOKUP($E447,Assumptions!$A$40:$C$43,3,FALSE),"")</f>
        <v/>
      </c>
      <c r="BB447" s="3">
        <f>IFERROR(BA447/H447,"")</f>
        <v/>
      </c>
      <c r="BC447">
        <f>IF(AND($G447=TRUE,$E447="GKP"),AY447,"")</f>
        <v/>
      </c>
      <c r="BD447">
        <f>IF(AND($G447=TRUE,$E447="DEF"),AY447,"")</f>
        <v/>
      </c>
      <c r="BE447">
        <f>IF(AND($G447=TRUE,$E447="MID"),AY447,"")</f>
        <v/>
      </c>
      <c r="BF447">
        <f>IF(AND($G447=TRUE,$E447="FWD"),AY447,"")</f>
        <v/>
      </c>
      <c r="BG447" t="n">
        <v>2</v>
      </c>
      <c r="BH447" t="n">
        <v>2</v>
      </c>
      <c r="BI447" t="n">
        <v>1</v>
      </c>
      <c r="BJ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s="8" t="n">
        <v>0</v>
      </c>
      <c r="O448" s="8" t="n">
        <v>0</v>
      </c>
      <c r="Q448" t="inlineStr">
        <is>
          <t>flat</t>
        </is>
      </c>
      <c r="R448" s="6" t="n">
        <v>0</v>
      </c>
      <c r="S448" t="inlineStr">
        <is>
          <t>Solio</t>
        </is>
      </c>
      <c r="U448" s="6" t="n">
        <v>85</v>
      </c>
      <c r="V448" s="2" t="n"/>
      <c r="W448" s="7">
        <f>IF(N(U448)&lt;=0,0,MIN(Assumptions!$B$15,N(R448)/N(U448)))</f>
        <v/>
      </c>
      <c r="X448" s="6" t="n">
        <v>0.334</v>
      </c>
      <c r="Y448" s="3" t="n"/>
      <c r="Z448" t="inlineStr"/>
      <c r="AA448" s="3" t="n">
        <v>1</v>
      </c>
      <c r="AB448" s="3" t="n"/>
      <c r="AC448" s="3" t="n"/>
      <c r="AD448" s="3" t="n"/>
      <c r="AE448" s="3" t="n"/>
      <c r="AF448" s="3" t="n">
        <v>0</v>
      </c>
      <c r="AG448" s="3" t="n"/>
      <c r="AH448" s="3" t="n">
        <v>0</v>
      </c>
      <c r="AI448" s="3" t="n">
        <v>2.2165</v>
      </c>
      <c r="AJ448" s="3" t="n">
        <v>1.1467</v>
      </c>
      <c r="AK448" s="3" t="n">
        <v>-0.1996559750781705</v>
      </c>
      <c r="AL448" s="6" t="n">
        <v>0</v>
      </c>
      <c r="AM448" s="3" t="n">
        <v>0</v>
      </c>
      <c r="AN448" s="3" t="n">
        <v>0</v>
      </c>
      <c r="AO448" s="3" t="n">
        <v>0</v>
      </c>
      <c r="AP448" s="3">
        <f>N(X448)*N(BI448)</f>
        <v/>
      </c>
      <c r="AQ448" s="3" t="n">
        <v>0</v>
      </c>
      <c r="AR448" s="3" t="n">
        <v>0</v>
      </c>
      <c r="AS448" s="3" t="n">
        <v>-0</v>
      </c>
      <c r="AT448" s="3" t="n">
        <v>-0.1996559750781705</v>
      </c>
      <c r="AU448" s="3">
        <f>SUM(AN448:AT448)</f>
        <v/>
      </c>
      <c r="AV448" s="7">
        <f>IF(OR(N(W448)&lt;=0,N(BG448)=0),0,N(W448)*IF(N(R448)/N(W448)&gt;=60,N(BG448),1))</f>
        <v/>
      </c>
      <c r="AW448" s="7">
        <f>N(W448)*N(AF448)*N(BH448)</f>
        <v/>
      </c>
      <c r="AX448" s="7">
        <f>N(AL448)*(Assumptions!$B$13*N(BJ448)-(1-Assumptions!$B$13)*Assumptions!$B$14)+N(AM448)</f>
        <v/>
      </c>
      <c r="AY448" s="7">
        <f>N(AU448)*N(R448)/90+N(AV448)+N(AW448)+N(AX448)</f>
        <v/>
      </c>
      <c r="AZ448" s="3">
        <f>IF(N(R448)&lt;=0,0,(N(AY448)-N(AX448))*90/N(R448))</f>
        <v/>
      </c>
      <c r="BA448" s="7">
        <f>IFERROR(AY448-VLOOKUP($E448,Assumptions!$A$40:$C$43,3,FALSE),"")</f>
        <v/>
      </c>
      <c r="BB448" s="3">
        <f>IFERROR(BA448/H448,"")</f>
        <v/>
      </c>
      <c r="BC448">
        <f>IF(AND($G448=TRUE,$E448="GKP"),AY448,"")</f>
        <v/>
      </c>
      <c r="BD448">
        <f>IF(AND($G448=TRUE,$E448="DEF"),AY448,"")</f>
        <v/>
      </c>
      <c r="BE448">
        <f>IF(AND($G448=TRUE,$E448="MID"),AY448,"")</f>
        <v/>
      </c>
      <c r="BF448">
        <f>IF(AND($G448=TRUE,$E448="FWD"),AY448,"")</f>
        <v/>
      </c>
      <c r="BG448" t="n">
        <v>2</v>
      </c>
      <c r="BH448" t="n">
        <v>2</v>
      </c>
      <c r="BI448" t="n">
        <v>0</v>
      </c>
      <c r="BJ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s="8" t="n">
        <v>103</v>
      </c>
      <c r="O449" s="8" t="n">
        <v>0</v>
      </c>
      <c r="Q449" t="inlineStr">
        <is>
          <t>flat</t>
        </is>
      </c>
      <c r="R449" s="6" t="n">
        <v>103</v>
      </c>
      <c r="S449" t="inlineStr">
        <is>
          <t>Solio</t>
        </is>
      </c>
      <c r="U449" s="6" t="n">
        <v>85</v>
      </c>
      <c r="V449" s="2" t="n"/>
      <c r="W449" s="7">
        <f>IF(N(U449)&lt;=0,0,MIN(Assumptions!$B$15,N(R449)/N(U449)))</f>
        <v/>
      </c>
      <c r="X449" s="6" t="n">
        <v>0.342</v>
      </c>
      <c r="Y449" s="3" t="n"/>
      <c r="Z449" t="inlineStr"/>
      <c r="AA449" s="3" t="n">
        <v>1</v>
      </c>
      <c r="AB449" s="3" t="n"/>
      <c r="AC449" s="3" t="n"/>
      <c r="AD449" s="3" t="n"/>
      <c r="AE449" s="3" t="n"/>
      <c r="AF449" s="3" t="n">
        <v>0</v>
      </c>
      <c r="AG449" s="3" t="n"/>
      <c r="AH449" s="3" t="n">
        <v>0</v>
      </c>
      <c r="AI449" s="3" t="n">
        <v>2.409</v>
      </c>
      <c r="AJ449" s="3" t="n">
        <v>1.1228</v>
      </c>
      <c r="AK449" s="3" t="n">
        <v>-0.2045226422080557</v>
      </c>
      <c r="AL449" s="6" t="n">
        <v>0</v>
      </c>
      <c r="AM449" s="3" t="n">
        <v>0</v>
      </c>
      <c r="AN449" s="3" t="n">
        <v>0</v>
      </c>
      <c r="AO449" s="3" t="n">
        <v>0</v>
      </c>
      <c r="AP449" s="3">
        <f>N(X449)*N(BI449)</f>
        <v/>
      </c>
      <c r="AQ449" s="3" t="n">
        <v>0</v>
      </c>
      <c r="AR449" s="3" t="n">
        <v>0</v>
      </c>
      <c r="AS449" s="3" t="n">
        <v>-0.3378660007281162</v>
      </c>
      <c r="AT449" s="3" t="n">
        <v>-0.2045226422080557</v>
      </c>
      <c r="AU449" s="3">
        <f>SUM(AN449:AT449)</f>
        <v/>
      </c>
      <c r="AV449" s="7">
        <f>IF(OR(N(W449)&lt;=0,N(BG449)=0),0,N(W449)*IF(N(R449)/N(W449)&gt;=60,N(BG449),1))</f>
        <v/>
      </c>
      <c r="AW449" s="7">
        <f>N(W449)*N(AF449)*N(BH449)</f>
        <v/>
      </c>
      <c r="AX449" s="7">
        <f>N(AL449)*(Assumptions!$B$13*N(BJ449)-(1-Assumptions!$B$13)*Assumptions!$B$14)+N(AM449)</f>
        <v/>
      </c>
      <c r="AY449" s="7">
        <f>N(AU449)*N(R449)/90+N(AV449)+N(AW449)+N(AX449)</f>
        <v/>
      </c>
      <c r="AZ449" s="3">
        <f>IF(N(R449)&lt;=0,0,(N(AY449)-N(AX449))*90/N(R449))</f>
        <v/>
      </c>
      <c r="BA449" s="7">
        <f>IFERROR(AY449-VLOOKUP($E449,Assumptions!$A$40:$C$43,3,FALSE),"")</f>
        <v/>
      </c>
      <c r="BB449" s="3">
        <f>IFERROR(BA449/H449,"")</f>
        <v/>
      </c>
      <c r="BC449">
        <f>IF(AND($G449=TRUE,$E449="GKP"),AY449,"")</f>
        <v/>
      </c>
      <c r="BD449">
        <f>IF(AND($G449=TRUE,$E449="DEF"),AY449,"")</f>
        <v/>
      </c>
      <c r="BE449">
        <f>IF(AND($G449=TRUE,$E449="MID"),AY449,"")</f>
        <v/>
      </c>
      <c r="BF449">
        <f>IF(AND($G449=TRUE,$E449="FWD"),AY449,"")</f>
        <v/>
      </c>
      <c r="BG449" t="n">
        <v>2</v>
      </c>
      <c r="BH449" t="n">
        <v>2</v>
      </c>
      <c r="BI449" t="n">
        <v>4</v>
      </c>
      <c r="BJ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s="4" t="n">
        <v>450</v>
      </c>
      <c r="O450" s="4" t="n">
        <v>450</v>
      </c>
      <c r="P450" s="5" t="inlineStr">
        <is>
          <t>medium</t>
        </is>
      </c>
      <c r="Q450" t="inlineStr">
        <is>
          <t>flat</t>
        </is>
      </c>
      <c r="R450" s="6" t="n">
        <v>450</v>
      </c>
      <c r="S450" t="inlineStr">
        <is>
          <t>research</t>
        </is>
      </c>
      <c r="T450" s="5" t="inlineStr">
        <is>
          <t>Solio gives him zero, but he is a registered Brighton player, is back from his Roma loan rather than being sent out for a third straight season, and is under contract to 2029. He had ankle surgery in March 2026; FPL's flag says 'Expected back 10 Oct'. With Welbeck sold to Chelsea and only Rutter, Kostoulas and a 75%-fit Tzimas ahead of him, some Premier League minutes from October are more likely than none. Kept small because he could still leave on loan before 1 Sep and has a poor recent fitness record.</t>
        </is>
      </c>
      <c r="U450" s="6" t="n">
        <v>85</v>
      </c>
      <c r="V450" s="2" t="n"/>
      <c r="W450" s="7">
        <f>IF(N(U450)&lt;=0,0,MIN(Assumptions!$B$15,N(R450)/N(U450)))</f>
        <v/>
      </c>
      <c r="X450" s="6" t="n">
        <v>0.252</v>
      </c>
      <c r="Y450" s="3" t="n"/>
      <c r="Z450" t="inlineStr"/>
      <c r="AA450" s="3" t="n">
        <v>1</v>
      </c>
      <c r="AB450" s="3" t="n"/>
      <c r="AC450" s="3" t="n"/>
      <c r="AD450" s="3" t="n"/>
      <c r="AE450" s="3" t="n"/>
      <c r="AF450" s="3" t="n">
        <v>0</v>
      </c>
      <c r="AG450" s="3" t="n"/>
      <c r="AH450" s="3" t="n">
        <v>0</v>
      </c>
      <c r="AI450" s="3" t="n">
        <v>2.8404</v>
      </c>
      <c r="AJ450" s="3" t="n">
        <v>1.439</v>
      </c>
      <c r="AK450" s="3" t="n">
        <v>-0.1339781214132491</v>
      </c>
      <c r="AL450" s="6" t="n">
        <v>0</v>
      </c>
      <c r="AM450" s="3" t="n">
        <v>0</v>
      </c>
      <c r="AN450" s="3" t="n">
        <v>0</v>
      </c>
      <c r="AO450" s="3" t="n">
        <v>0</v>
      </c>
      <c r="AP450" s="3">
        <f>N(X450)*N(BI450)</f>
        <v/>
      </c>
      <c r="AQ450" s="3" t="n">
        <v>0</v>
      </c>
      <c r="AR450" s="3" t="n">
        <v>0</v>
      </c>
      <c r="AS450" s="3" t="n">
        <v>-0</v>
      </c>
      <c r="AT450" s="3" t="n">
        <v>-0.1339781214132491</v>
      </c>
      <c r="AU450" s="3">
        <f>SUM(AN450:AT450)</f>
        <v/>
      </c>
      <c r="AV450" s="7">
        <f>IF(OR(N(W450)&lt;=0,N(BG450)=0),0,N(W450)*IF(N(R450)/N(W450)&gt;=60,N(BG450),1))</f>
        <v/>
      </c>
      <c r="AW450" s="7">
        <f>N(W450)*N(AF450)*N(BH450)</f>
        <v/>
      </c>
      <c r="AX450" s="7">
        <f>N(AL450)*(Assumptions!$B$13*N(BJ450)-(1-Assumptions!$B$13)*Assumptions!$B$14)+N(AM450)</f>
        <v/>
      </c>
      <c r="AY450" s="7">
        <f>N(AU450)*N(R450)/90+N(AV450)+N(AW450)+N(AX450)</f>
        <v/>
      </c>
      <c r="AZ450" s="3">
        <f>IF(N(R450)&lt;=0,0,(N(AY450)-N(AX450))*90/N(R450))</f>
        <v/>
      </c>
      <c r="BA450" s="7">
        <f>IFERROR(AY450-VLOOKUP($E450,Assumptions!$A$40:$C$43,3,FALSE),"")</f>
        <v/>
      </c>
      <c r="BB450" s="3">
        <f>IFERROR(BA450/H450,"")</f>
        <v/>
      </c>
      <c r="BC450">
        <f>IF(AND($G450=TRUE,$E450="GKP"),AY450,"")</f>
        <v/>
      </c>
      <c r="BD450">
        <f>IF(AND($G450=TRUE,$E450="DEF"),AY450,"")</f>
        <v/>
      </c>
      <c r="BE450">
        <f>IF(AND($G450=TRUE,$E450="MID"),AY450,"")</f>
        <v/>
      </c>
      <c r="BF450">
        <f>IF(AND($G450=TRUE,$E450="FWD"),AY450,"")</f>
        <v/>
      </c>
      <c r="BG450" t="n">
        <v>2</v>
      </c>
      <c r="BH450" t="n">
        <v>2</v>
      </c>
      <c r="BI450" t="n">
        <v>0</v>
      </c>
      <c r="BJ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s="8" t="n">
        <v>79</v>
      </c>
      <c r="O451" s="8" t="n">
        <v>0</v>
      </c>
      <c r="Q451" t="inlineStr">
        <is>
          <t>flat</t>
        </is>
      </c>
      <c r="R451" s="6" t="n">
        <v>79</v>
      </c>
      <c r="S451" t="inlineStr">
        <is>
          <t>Solio</t>
        </is>
      </c>
      <c r="U451" s="6" t="n">
        <v>85</v>
      </c>
      <c r="V451" s="2" t="n"/>
      <c r="W451" s="7">
        <f>IF(N(U451)&lt;=0,0,MIN(Assumptions!$B$15,N(R451)/N(U451)))</f>
        <v/>
      </c>
      <c r="X451" s="6" t="n">
        <v>0.334</v>
      </c>
      <c r="Y451" s="3" t="n"/>
      <c r="Z451" t="inlineStr"/>
      <c r="AA451" s="3" t="n">
        <v>1</v>
      </c>
      <c r="AB451" s="3" t="n"/>
      <c r="AC451" s="3" t="n"/>
      <c r="AD451" s="3" t="n"/>
      <c r="AE451" s="3" t="n"/>
      <c r="AF451" s="3" t="n">
        <v>0</v>
      </c>
      <c r="AG451" s="3" t="n"/>
      <c r="AH451" s="3" t="n">
        <v>0</v>
      </c>
      <c r="AI451" s="3" t="n">
        <v>2.2165</v>
      </c>
      <c r="AJ451" s="3" t="n">
        <v>1.1467</v>
      </c>
      <c r="AK451" s="3" t="n">
        <v>-0.1814819720106033</v>
      </c>
      <c r="AL451" s="6" t="n">
        <v>0</v>
      </c>
      <c r="AM451" s="3" t="n">
        <v>0</v>
      </c>
      <c r="AN451" s="3" t="n">
        <v>0</v>
      </c>
      <c r="AO451" s="3" t="n">
        <v>0</v>
      </c>
      <c r="AP451" s="3">
        <f>N(X451)*N(BI451)</f>
        <v/>
      </c>
      <c r="AQ451" s="3" t="n">
        <v>0</v>
      </c>
      <c r="AR451" s="3" t="n">
        <v>0</v>
      </c>
      <c r="AS451" s="3" t="n">
        <v>-0.348580685135232</v>
      </c>
      <c r="AT451" s="3" t="n">
        <v>-0.1814819720106033</v>
      </c>
      <c r="AU451" s="3">
        <f>SUM(AN451:AT451)</f>
        <v/>
      </c>
      <c r="AV451" s="7">
        <f>IF(OR(N(W451)&lt;=0,N(BG451)=0),0,N(W451)*IF(N(R451)/N(W451)&gt;=60,N(BG451),1))</f>
        <v/>
      </c>
      <c r="AW451" s="7">
        <f>N(W451)*N(AF451)*N(BH451)</f>
        <v/>
      </c>
      <c r="AX451" s="7">
        <f>N(AL451)*(Assumptions!$B$13*N(BJ451)-(1-Assumptions!$B$13)*Assumptions!$B$14)+N(AM451)</f>
        <v/>
      </c>
      <c r="AY451" s="7">
        <f>N(AU451)*N(R451)/90+N(AV451)+N(AW451)+N(AX451)</f>
        <v/>
      </c>
      <c r="AZ451" s="3">
        <f>IF(N(R451)&lt;=0,0,(N(AY451)-N(AX451))*90/N(R451))</f>
        <v/>
      </c>
      <c r="BA451" s="7">
        <f>IFERROR(AY451-VLOOKUP($E451,Assumptions!$A$40:$C$43,3,FALSE),"")</f>
        <v/>
      </c>
      <c r="BB451" s="3">
        <f>IFERROR(BA451/H451,"")</f>
        <v/>
      </c>
      <c r="BC451">
        <f>IF(AND($G451=TRUE,$E451="GKP"),AY451,"")</f>
        <v/>
      </c>
      <c r="BD451">
        <f>IF(AND($G451=TRUE,$E451="DEF"),AY451,"")</f>
        <v/>
      </c>
      <c r="BE451">
        <f>IF(AND($G451=TRUE,$E451="MID"),AY451,"")</f>
        <v/>
      </c>
      <c r="BF451">
        <f>IF(AND($G451=TRUE,$E451="FWD"),AY451,"")</f>
        <v/>
      </c>
      <c r="BG451" t="n">
        <v>2</v>
      </c>
      <c r="BH451" t="n">
        <v>2</v>
      </c>
      <c r="BI451" t="n">
        <v>4</v>
      </c>
      <c r="BJ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N452" s="8" t="n">
        <v>0</v>
      </c>
      <c r="O452" s="8" t="n">
        <v>0</v>
      </c>
      <c r="R452" s="6" t="n">
        <v>0</v>
      </c>
      <c r="S452" t="inlineStr">
        <is>
          <t>25/26 actual</t>
        </is>
      </c>
      <c r="U452" s="6" t="n">
        <v>85</v>
      </c>
      <c r="V452" s="2" t="n"/>
      <c r="W452" s="7">
        <f>IF(N(U452)&lt;=0,0,MIN(Assumptions!$B$15,N(R452)/N(U452)))</f>
        <v/>
      </c>
      <c r="X452" s="6" t="n">
        <v>0.204</v>
      </c>
      <c r="Y452" s="3" t="n"/>
      <c r="Z452" t="inlineStr"/>
      <c r="AA452" s="3" t="n">
        <v>1</v>
      </c>
      <c r="AB452" s="3" t="n"/>
      <c r="AC452" s="3" t="n"/>
      <c r="AD452" s="3" t="n"/>
      <c r="AE452" s="3" t="n"/>
      <c r="AF452" s="3" t="n">
        <v>0</v>
      </c>
      <c r="AG452" s="3" t="n"/>
      <c r="AH452" s="3" t="n">
        <v>0</v>
      </c>
      <c r="AI452" s="3" t="n">
        <v>3.3348</v>
      </c>
      <c r="AJ452" s="3" t="n">
        <v>1.6498</v>
      </c>
      <c r="AK452" s="3" t="n">
        <v>-0.2045226422080557</v>
      </c>
      <c r="AL452" s="6" t="n">
        <v>0</v>
      </c>
      <c r="AM452" s="3" t="n">
        <v>0</v>
      </c>
      <c r="AN452" s="3" t="n">
        <v>0</v>
      </c>
      <c r="AO452" s="3" t="n">
        <v>0</v>
      </c>
      <c r="AP452" s="3">
        <f>N(X452)*N(BI452)</f>
        <v/>
      </c>
      <c r="AQ452" s="3" t="n">
        <v>0</v>
      </c>
      <c r="AR452" s="3" t="n">
        <v>0</v>
      </c>
      <c r="AS452" s="3" t="n">
        <v>-0.5841244809045405</v>
      </c>
      <c r="AT452" s="3" t="n">
        <v>-0.2045226422080557</v>
      </c>
      <c r="AU452" s="3">
        <f>SUM(AN452:AT452)</f>
        <v/>
      </c>
      <c r="AV452" s="7">
        <f>IF(OR(N(W452)&lt;=0,N(BG452)=0),0,N(W452)*IF(N(R452)/N(W452)&gt;=60,N(BG452),1))</f>
        <v/>
      </c>
      <c r="AW452" s="7">
        <f>N(W452)*N(AF452)*N(BH452)</f>
        <v/>
      </c>
      <c r="AX452" s="7">
        <f>N(AL452)*(Assumptions!$B$13*N(BJ452)-(1-Assumptions!$B$13)*Assumptions!$B$14)+N(AM452)</f>
        <v/>
      </c>
      <c r="AY452" s="7">
        <f>N(AU452)*N(R452)/90+N(AV452)+N(AW452)+N(AX452)</f>
        <v/>
      </c>
      <c r="AZ452" s="3">
        <f>IF(N(R452)&lt;=0,0,(N(AY452)-N(AX452))*90/N(R452))</f>
        <v/>
      </c>
      <c r="BA452" s="7">
        <f>IFERROR(AY452-VLOOKUP($E452,Assumptions!$A$40:$C$43,3,FALSE),"")</f>
        <v/>
      </c>
      <c r="BB452" s="3">
        <f>IFERROR(BA452/H452,"")</f>
        <v/>
      </c>
      <c r="BC452">
        <f>IF(AND($G452=TRUE,$E452="GKP"),AY452,"")</f>
        <v/>
      </c>
      <c r="BD452">
        <f>IF(AND($G452=TRUE,$E452="DEF"),AY452,"")</f>
        <v/>
      </c>
      <c r="BE452">
        <f>IF(AND($G452=TRUE,$E452="MID"),AY452,"")</f>
        <v/>
      </c>
      <c r="BF452">
        <f>IF(AND($G452=TRUE,$E452="FWD"),AY452,"")</f>
        <v/>
      </c>
      <c r="BG452" t="n">
        <v>2</v>
      </c>
      <c r="BH452" t="n">
        <v>2</v>
      </c>
      <c r="BI452" t="n">
        <v>4</v>
      </c>
      <c r="BJ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s="8" t="n">
        <v>0</v>
      </c>
      <c r="O453" s="8" t="n">
        <v>0</v>
      </c>
      <c r="Q453" t="inlineStr">
        <is>
          <t>flat</t>
        </is>
      </c>
      <c r="R453" s="6" t="n">
        <v>0</v>
      </c>
      <c r="S453" t="inlineStr">
        <is>
          <t>Solio</t>
        </is>
      </c>
      <c r="U453" s="6" t="n">
        <v>85</v>
      </c>
      <c r="V453" s="2" t="n"/>
      <c r="W453" s="7">
        <f>IF(N(U453)&lt;=0,0,MIN(Assumptions!$B$15,N(R453)/N(U453)))</f>
        <v/>
      </c>
      <c r="X453" s="6" t="n">
        <v>0.342</v>
      </c>
      <c r="Y453" s="3" t="n"/>
      <c r="Z453" t="inlineStr"/>
      <c r="AA453" s="3" t="n">
        <v>1</v>
      </c>
      <c r="AB453" s="3" t="n"/>
      <c r="AC453" s="3" t="n"/>
      <c r="AD453" s="3" t="n"/>
      <c r="AE453" s="3" t="n">
        <v>0</v>
      </c>
      <c r="AF453" s="3" t="n">
        <v>0</v>
      </c>
      <c r="AG453" s="3" t="n"/>
      <c r="AH453" s="3" t="n">
        <v>0</v>
      </c>
      <c r="AI453" s="3" t="n">
        <v>2.409</v>
      </c>
      <c r="AJ453" s="3" t="n">
        <v>1.1228</v>
      </c>
      <c r="AK453" s="3" t="n">
        <v>-0.0763216474948735</v>
      </c>
      <c r="AL453" s="6" t="n">
        <v>0</v>
      </c>
      <c r="AM453" s="3" t="n">
        <v>0</v>
      </c>
      <c r="AN453" s="3" t="n">
        <v>0</v>
      </c>
      <c r="AO453" s="3" t="n">
        <v>0</v>
      </c>
      <c r="AP453" s="3">
        <f>N(X453)*N(BI453)</f>
        <v/>
      </c>
      <c r="AQ453" s="3" t="n">
        <v>0</v>
      </c>
      <c r="AR453" s="3" t="n">
        <v>0.4697511244203511</v>
      </c>
      <c r="AS453" s="3" t="n">
        <v>-0.3378660007281162</v>
      </c>
      <c r="AT453" s="3" t="n">
        <v>-0.0763216474948735</v>
      </c>
      <c r="AU453" s="3">
        <f>SUM(AN453:AT453)</f>
        <v/>
      </c>
      <c r="AV453" s="7">
        <f>IF(OR(N(W453)&lt;=0,N(BG453)=0),0,N(W453)*IF(N(R453)/N(W453)&gt;=60,N(BG453),1))</f>
        <v/>
      </c>
      <c r="AW453" s="7">
        <f>N(W453)*N(AF453)*N(BH453)</f>
        <v/>
      </c>
      <c r="AX453" s="7">
        <f>N(AL453)*(Assumptions!$B$13*N(BJ453)-(1-Assumptions!$B$13)*Assumptions!$B$14)+N(AM453)</f>
        <v/>
      </c>
      <c r="AY453" s="7">
        <f>N(AU453)*N(R453)/90+N(AV453)+N(AW453)+N(AX453)</f>
        <v/>
      </c>
      <c r="AZ453" s="3">
        <f>IF(N(R453)&lt;=0,0,(N(AY453)-N(AX453))*90/N(R453))</f>
        <v/>
      </c>
      <c r="BA453" s="7">
        <f>IFERROR(AY453-VLOOKUP($E453,Assumptions!$A$40:$C$43,3,FALSE),"")</f>
        <v/>
      </c>
      <c r="BB453" s="3">
        <f>IFERROR(BA453/H453,"")</f>
        <v/>
      </c>
      <c r="BC453">
        <f>IF(AND($G453=TRUE,$E453="GKP"),AY453,"")</f>
        <v/>
      </c>
      <c r="BD453">
        <f>IF(AND($G453=TRUE,$E453="DEF"),AY453,"")</f>
        <v/>
      </c>
      <c r="BE453">
        <f>IF(AND($G453=TRUE,$E453="MID"),AY453,"")</f>
        <v/>
      </c>
      <c r="BF453">
        <f>IF(AND($G453=TRUE,$E453="FWD"),AY453,"")</f>
        <v/>
      </c>
      <c r="BG453" t="n">
        <v>2</v>
      </c>
      <c r="BH453" t="n">
        <v>0</v>
      </c>
      <c r="BI453" t="n">
        <v>4</v>
      </c>
      <c r="BJ453" t="n">
        <v>10</v>
      </c>
    </row>
    <row r="454">
      <c r="A454" s="9" t="inlineStr">
        <is>
          <t>Carl Rushworth</t>
        </is>
      </c>
      <c r="B454" t="inlineStr">
        <is>
          <t>COV</t>
        </is>
      </c>
      <c r="C454" s="9" t="inlineStr">
        <is>
          <t>BHA</t>
        </is>
      </c>
      <c r="D454" t="b">
        <v>1</v>
      </c>
      <c r="E454" t="inlineStr">
        <is>
          <t>GKP</t>
        </is>
      </c>
      <c r="F454" t="inlineStr">
        <is>
          <t>GKP</t>
        </is>
      </c>
      <c r="G454" t="b">
        <v>1</v>
      </c>
      <c r="H454" s="2" t="n">
        <v>4.5</v>
      </c>
      <c r="I454" t="inlineStr">
        <is>
          <t>a</t>
        </is>
      </c>
      <c r="K454" s="2" t="n">
        <v>0</v>
      </c>
      <c r="L454" t="n">
        <v>0</v>
      </c>
      <c r="M454" s="3" t="n">
        <v>3385</v>
      </c>
      <c r="N454" s="8" t="n">
        <v>3385</v>
      </c>
      <c r="O454" s="8" t="n">
        <v>0</v>
      </c>
      <c r="Q454" t="inlineStr">
        <is>
          <t>flat</t>
        </is>
      </c>
      <c r="R454" s="6" t="n">
        <v>3385</v>
      </c>
      <c r="S454" t="inlineStr">
        <is>
          <t>Solio</t>
        </is>
      </c>
      <c r="U454" s="6" t="n">
        <v>85</v>
      </c>
      <c r="V454" s="2" t="n"/>
      <c r="W454" s="7">
        <f>IF(N(U454)&lt;=0,0,MIN(Assumptions!$B$15,N(R454)/N(U454)))</f>
        <v/>
      </c>
      <c r="X454" s="6" t="n">
        <v>0.17</v>
      </c>
      <c r="Y454" s="10" t="n"/>
      <c r="Z454" t="inlineStr"/>
      <c r="AA454" s="3" t="n">
        <v>1</v>
      </c>
      <c r="AB454" s="3" t="n"/>
      <c r="AC454" s="3" t="n"/>
      <c r="AD454" s="10" t="n"/>
      <c r="AE454" s="3" t="n">
        <v>0</v>
      </c>
      <c r="AF454" s="3" t="n">
        <v>0</v>
      </c>
      <c r="AG454" s="3" t="n"/>
      <c r="AH454" s="3" t="n">
        <v>0</v>
      </c>
      <c r="AI454" s="3" t="n">
        <v>3.6194</v>
      </c>
      <c r="AJ454" s="3" t="n">
        <v>1.8271</v>
      </c>
      <c r="AK454" s="3" t="n">
        <v>-0.0763216474948735</v>
      </c>
      <c r="AL454" s="6" t="n">
        <v>0</v>
      </c>
      <c r="AM454" s="3" t="n">
        <v>3.86063745279098</v>
      </c>
      <c r="AN454" s="10" t="n">
        <v>0</v>
      </c>
      <c r="AO454" s="10" t="n">
        <v>0</v>
      </c>
      <c r="AP454" s="3">
        <f>N(X454)*N(BI454)</f>
        <v/>
      </c>
      <c r="AQ454" s="3" t="n">
        <v>0</v>
      </c>
      <c r="AR454" s="3" t="n">
        <v>0.8716770173844571</v>
      </c>
      <c r="AS454" s="3" t="n">
        <v>-0.670020548738316</v>
      </c>
      <c r="AT454" s="3" t="n">
        <v>-0.0763216474948735</v>
      </c>
      <c r="AU454" s="3">
        <f>SUM(AN454:AT454)</f>
        <v/>
      </c>
      <c r="AV454" s="7">
        <f>IF(OR(N(W454)&lt;=0,N(BG454)=0),0,N(W454)*IF(N(R454)/N(W454)&gt;=60,N(BG454),1))</f>
        <v/>
      </c>
      <c r="AW454" s="7">
        <f>N(W454)*N(AF454)*N(BH454)</f>
        <v/>
      </c>
      <c r="AX454" s="7">
        <f>N(AL454)*(Assumptions!$B$13*N(BJ454)-(1-Assumptions!$B$13)*Assumptions!$B$14)+N(AM454)</f>
        <v/>
      </c>
      <c r="AY454" s="7">
        <f>N(AU454)*N(R454)/90+N(AV454)+N(AW454)+N(AX454)</f>
        <v/>
      </c>
      <c r="AZ454" s="3">
        <f>IF(N(R454)&lt;=0,0,(N(AY454)-N(AX454))*90/N(R454))</f>
        <v/>
      </c>
      <c r="BA454" s="7">
        <f>IFERROR(AY454-VLOOKUP($E454,Assumptions!$A$40:$C$43,3,FALSE),"")</f>
        <v/>
      </c>
      <c r="BB454" s="3">
        <f>IFERROR(BA454/H454,"")</f>
        <v/>
      </c>
      <c r="BC454">
        <f>IF(AND($G454=TRUE,$E454="GKP"),AY454,"")</f>
        <v/>
      </c>
      <c r="BD454">
        <f>IF(AND($G454=TRUE,$E454="DEF"),AY454,"")</f>
        <v/>
      </c>
      <c r="BE454">
        <f>IF(AND($G454=TRUE,$E454="MID"),AY454,"")</f>
        <v/>
      </c>
      <c r="BF454">
        <f>IF(AND($G454=TRUE,$E454="FWD"),AY454,"")</f>
        <v/>
      </c>
      <c r="BG454" t="n">
        <v>2</v>
      </c>
      <c r="BH454" t="n">
        <v>0</v>
      </c>
      <c r="BI454" t="n">
        <v>4</v>
      </c>
      <c r="BJ454" t="n">
        <v>10</v>
      </c>
    </row>
    <row r="455">
      <c r="A455" s="9" t="inlineStr">
        <is>
          <t>Darko Gyabi</t>
        </is>
      </c>
      <c r="B455" t="inlineStr">
        <is>
          <t>HUL</t>
        </is>
      </c>
      <c r="C455" s="9"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s="8" t="n">
        <v>0</v>
      </c>
      <c r="O455" s="8" t="n">
        <v>0</v>
      </c>
      <c r="Q455" t="inlineStr">
        <is>
          <t>flat</t>
        </is>
      </c>
      <c r="R455" s="6" t="n">
        <v>0</v>
      </c>
      <c r="S455" t="inlineStr">
        <is>
          <t>Solio</t>
        </is>
      </c>
      <c r="U455" s="6" t="n">
        <v>85</v>
      </c>
      <c r="V455" s="2" t="n"/>
      <c r="W455" s="7">
        <f>IF(N(U455)&lt;=0,0,MIN(Assumptions!$B$15,N(R455)/N(U455)))</f>
        <v/>
      </c>
      <c r="X455" s="6" t="n">
        <v>0.143</v>
      </c>
      <c r="Y455" s="10" t="n"/>
      <c r="Z455" t="inlineStr"/>
      <c r="AA455" s="3" t="n">
        <v>1</v>
      </c>
      <c r="AB455" s="3" t="n"/>
      <c r="AC455" s="3" t="n"/>
      <c r="AD455" s="10" t="n"/>
      <c r="AE455" s="3" t="n"/>
      <c r="AF455" s="3" t="n">
        <v>0</v>
      </c>
      <c r="AG455" s="3" t="n"/>
      <c r="AH455" s="3" t="n">
        <v>0</v>
      </c>
      <c r="AI455" s="3" t="n">
        <v>3.9421</v>
      </c>
      <c r="AJ455" s="3" t="n">
        <v>1.99</v>
      </c>
      <c r="AK455" s="3" t="n">
        <v>-0.2160434166173144</v>
      </c>
      <c r="AL455" s="6" t="n">
        <v>0</v>
      </c>
      <c r="AM455" s="3" t="n">
        <v>0</v>
      </c>
      <c r="AN455" s="10" t="n">
        <v>0</v>
      </c>
      <c r="AO455" s="10" t="n">
        <v>0</v>
      </c>
      <c r="AP455" s="3">
        <f>N(X455)*N(BI455)</f>
        <v/>
      </c>
      <c r="AQ455" s="3" t="n">
        <v>0</v>
      </c>
      <c r="AR455" s="3" t="n">
        <v>0</v>
      </c>
      <c r="AS455" s="3" t="n">
        <v>-0</v>
      </c>
      <c r="AT455" s="3" t="n">
        <v>-0.2160434166173144</v>
      </c>
      <c r="AU455" s="3">
        <f>SUM(AN455:AT455)</f>
        <v/>
      </c>
      <c r="AV455" s="7">
        <f>IF(OR(N(W455)&lt;=0,N(BG455)=0),0,N(W455)*IF(N(R455)/N(W455)&gt;=60,N(BG455),1))</f>
        <v/>
      </c>
      <c r="AW455" s="7">
        <f>N(W455)*N(AF455)*N(BH455)</f>
        <v/>
      </c>
      <c r="AX455" s="7">
        <f>N(AL455)*(Assumptions!$B$13*N(BJ455)-(1-Assumptions!$B$13)*Assumptions!$B$14)+N(AM455)</f>
        <v/>
      </c>
      <c r="AY455" s="7">
        <f>N(AU455)*N(R455)/90+N(AV455)+N(AW455)+N(AX455)</f>
        <v/>
      </c>
      <c r="AZ455" s="3">
        <f>IF(N(R455)&lt;=0,0,(N(AY455)-N(AX455))*90/N(R455))</f>
        <v/>
      </c>
      <c r="BA455" s="7">
        <f>IFERROR(AY455-VLOOKUP($E455,Assumptions!$A$40:$C$43,3,FALSE),"")</f>
        <v/>
      </c>
      <c r="BB455" s="3">
        <f>IFERROR(BA455/H455,"")</f>
        <v/>
      </c>
      <c r="BC455">
        <f>IF(AND($G455=TRUE,$E455="GKP"),AY455,"")</f>
        <v/>
      </c>
      <c r="BD455">
        <f>IF(AND($G455=TRUE,$E455="DEF"),AY455,"")</f>
        <v/>
      </c>
      <c r="BE455">
        <f>IF(AND($G455=TRUE,$E455="MID"),AY455,"")</f>
        <v/>
      </c>
      <c r="BF455">
        <f>IF(AND($G455=TRUE,$E455="FWD"),AY455,"")</f>
        <v/>
      </c>
      <c r="BG455" t="n">
        <v>2</v>
      </c>
      <c r="BH455" t="n">
        <v>2</v>
      </c>
      <c r="BI455" t="n">
        <v>1</v>
      </c>
      <c r="BJ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s="8" t="n">
        <v>0</v>
      </c>
      <c r="O456" s="8" t="n">
        <v>0</v>
      </c>
      <c r="Q456" t="inlineStr">
        <is>
          <t>flat</t>
        </is>
      </c>
      <c r="R456" s="6" t="n">
        <v>0</v>
      </c>
      <c r="S456" t="inlineStr">
        <is>
          <t>Solio</t>
        </is>
      </c>
      <c r="U456" s="6" t="n">
        <v>85</v>
      </c>
      <c r="V456" s="2" t="n"/>
      <c r="W456" s="7">
        <f>IF(N(U456)&lt;=0,0,MIN(Assumptions!$B$15,N(R456)/N(U456)))</f>
        <v/>
      </c>
      <c r="X456" s="6" t="n">
        <v>0.273</v>
      </c>
      <c r="Y456" s="3" t="n"/>
      <c r="Z456" t="inlineStr"/>
      <c r="AA456" s="3" t="n">
        <v>1</v>
      </c>
      <c r="AB456" s="3" t="n"/>
      <c r="AC456" s="3" t="n"/>
      <c r="AD456" s="3" t="n"/>
      <c r="AE456" s="3" t="n"/>
      <c r="AF456" s="3" t="n">
        <v>0</v>
      </c>
      <c r="AG456" s="3" t="n"/>
      <c r="AH456" s="3" t="n">
        <v>0</v>
      </c>
      <c r="AI456" s="3" t="n">
        <v>2.7451</v>
      </c>
      <c r="AJ456" s="3" t="n">
        <v>1.3575</v>
      </c>
      <c r="AK456" s="3" t="n">
        <v>-0.2160434166173144</v>
      </c>
      <c r="AL456" s="6" t="n">
        <v>0</v>
      </c>
      <c r="AM456" s="3" t="n">
        <v>0</v>
      </c>
      <c r="AN456" s="3" t="n">
        <v>0</v>
      </c>
      <c r="AO456" s="3" t="n">
        <v>0</v>
      </c>
      <c r="AP456" s="3">
        <f>N(X456)*N(BI456)</f>
        <v/>
      </c>
      <c r="AQ456" s="3" t="n">
        <v>0</v>
      </c>
      <c r="AR456" s="3" t="n">
        <v>0</v>
      </c>
      <c r="AS456" s="3" t="n">
        <v>-0</v>
      </c>
      <c r="AT456" s="3" t="n">
        <v>-0.2160434166173144</v>
      </c>
      <c r="AU456" s="3">
        <f>SUM(AN456:AT456)</f>
        <v/>
      </c>
      <c r="AV456" s="7">
        <f>IF(OR(N(W456)&lt;=0,N(BG456)=0),0,N(W456)*IF(N(R456)/N(W456)&gt;=60,N(BG456),1))</f>
        <v/>
      </c>
      <c r="AW456" s="7">
        <f>N(W456)*N(AF456)*N(BH456)</f>
        <v/>
      </c>
      <c r="AX456" s="7">
        <f>N(AL456)*(Assumptions!$B$13*N(BJ456)-(1-Assumptions!$B$13)*Assumptions!$B$14)+N(AM456)</f>
        <v/>
      </c>
      <c r="AY456" s="7">
        <f>N(AU456)*N(R456)/90+N(AV456)+N(AW456)+N(AX456)</f>
        <v/>
      </c>
      <c r="AZ456" s="3">
        <f>IF(N(R456)&lt;=0,0,(N(AY456)-N(AX456))*90/N(R456))</f>
        <v/>
      </c>
      <c r="BA456" s="7">
        <f>IFERROR(AY456-VLOOKUP($E456,Assumptions!$A$40:$C$43,3,FALSE),"")</f>
        <v/>
      </c>
      <c r="BB456" s="3">
        <f>IFERROR(BA456/H456,"")</f>
        <v/>
      </c>
      <c r="BC456">
        <f>IF(AND($G456=TRUE,$E456="GKP"),AY456,"")</f>
        <v/>
      </c>
      <c r="BD456">
        <f>IF(AND($G456=TRUE,$E456="DEF"),AY456,"")</f>
        <v/>
      </c>
      <c r="BE456">
        <f>IF(AND($G456=TRUE,$E456="MID"),AY456,"")</f>
        <v/>
      </c>
      <c r="BF456">
        <f>IF(AND($G456=TRUE,$E456="FWD"),AY456,"")</f>
        <v/>
      </c>
      <c r="BG456" t="n">
        <v>2</v>
      </c>
      <c r="BH456" t="n">
        <v>2</v>
      </c>
      <c r="BI456" t="n">
        <v>1</v>
      </c>
      <c r="BJ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s="4" t="n">
        <v>0</v>
      </c>
      <c r="O457" s="4" t="n">
        <v>-20</v>
      </c>
      <c r="P457" s="5" t="inlineStr">
        <is>
          <t>low</t>
        </is>
      </c>
      <c r="Q457" t="inlineStr">
        <is>
          <t>flat</t>
        </is>
      </c>
      <c r="R457" s="6" t="n">
        <v>0</v>
      </c>
      <c r="S457" t="inlineStr">
        <is>
          <t>research</t>
        </is>
      </c>
      <c r="T457" s="5" t="inlineStr">
        <is>
          <t>Named on Last Word on Football's 'unwanted list' and omitted from the final pre-season matchday squad; described as a likely loan candidate to regain match fitness after more than a year without professional football.</t>
        </is>
      </c>
      <c r="U457" s="6" t="n">
        <v>85</v>
      </c>
      <c r="V457" s="2" t="n"/>
      <c r="W457" s="7">
        <f>IF(N(U457)&lt;=0,0,MIN(Assumptions!$B$15,N(R457)/N(U457)))</f>
        <v/>
      </c>
      <c r="X457" s="6" t="n">
        <v>0.322</v>
      </c>
      <c r="Y457" s="3" t="n"/>
      <c r="Z457" t="inlineStr"/>
      <c r="AA457" s="3" t="n">
        <v>1</v>
      </c>
      <c r="AB457" s="3" t="n"/>
      <c r="AC457" s="3" t="n"/>
      <c r="AD457" s="3" t="n"/>
      <c r="AE457" s="3" t="n"/>
      <c r="AF457" s="3" t="n">
        <v>0</v>
      </c>
      <c r="AG457" s="3" t="n"/>
      <c r="AH457" s="3" t="n">
        <v>0</v>
      </c>
      <c r="AI457" s="3" t="n">
        <v>2.4232</v>
      </c>
      <c r="AJ457" s="3" t="n">
        <v>1.1851</v>
      </c>
      <c r="AK457" s="3" t="n">
        <v>-0.2336506647245759</v>
      </c>
      <c r="AL457" s="6" t="n">
        <v>0</v>
      </c>
      <c r="AM457" s="3" t="n">
        <v>0</v>
      </c>
      <c r="AN457" s="3" t="n">
        <v>0</v>
      </c>
      <c r="AO457" s="3" t="n">
        <v>0</v>
      </c>
      <c r="AP457" s="3">
        <f>N(X457)*N(BI457)</f>
        <v/>
      </c>
      <c r="AQ457" s="3" t="n">
        <v>0</v>
      </c>
      <c r="AR457" s="3" t="n">
        <v>0</v>
      </c>
      <c r="AS457" s="3" t="n">
        <v>-0</v>
      </c>
      <c r="AT457" s="3" t="n">
        <v>-0.2336506647245759</v>
      </c>
      <c r="AU457" s="3">
        <f>SUM(AN457:AT457)</f>
        <v/>
      </c>
      <c r="AV457" s="7">
        <f>IF(OR(N(W457)&lt;=0,N(BG457)=0),0,N(W457)*IF(N(R457)/N(W457)&gt;=60,N(BG457),1))</f>
        <v/>
      </c>
      <c r="AW457" s="7">
        <f>N(W457)*N(AF457)*N(BH457)</f>
        <v/>
      </c>
      <c r="AX457" s="7">
        <f>N(AL457)*(Assumptions!$B$13*N(BJ457)-(1-Assumptions!$B$13)*Assumptions!$B$14)+N(AM457)</f>
        <v/>
      </c>
      <c r="AY457" s="7">
        <f>N(AU457)*N(R457)/90+N(AV457)+N(AW457)+N(AX457)</f>
        <v/>
      </c>
      <c r="AZ457" s="3">
        <f>IF(N(R457)&lt;=0,0,(N(AY457)-N(AX457))*90/N(R457))</f>
        <v/>
      </c>
      <c r="BA457" s="7">
        <f>IFERROR(AY457-VLOOKUP($E457,Assumptions!$A$40:$C$43,3,FALSE),"")</f>
        <v/>
      </c>
      <c r="BB457" s="3">
        <f>IFERROR(BA457/H457,"")</f>
        <v/>
      </c>
      <c r="BC457">
        <f>IF(AND($G457=TRUE,$E457="GKP"),AY457,"")</f>
        <v/>
      </c>
      <c r="BD457">
        <f>IF(AND($G457=TRUE,$E457="DEF"),AY457,"")</f>
        <v/>
      </c>
      <c r="BE457">
        <f>IF(AND($G457=TRUE,$E457="MID"),AY457,"")</f>
        <v/>
      </c>
      <c r="BF457">
        <f>IF(AND($G457=TRUE,$E457="FWD"),AY457,"")</f>
        <v/>
      </c>
      <c r="BG457" t="n">
        <v>2</v>
      </c>
      <c r="BH457" t="n">
        <v>2</v>
      </c>
      <c r="BI457" t="n">
        <v>1</v>
      </c>
      <c r="BJ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s="8" t="n">
        <v>0</v>
      </c>
      <c r="O458" s="8" t="n">
        <v>0</v>
      </c>
      <c r="Q458" t="inlineStr">
        <is>
          <t>flat</t>
        </is>
      </c>
      <c r="R458" s="6" t="n">
        <v>0</v>
      </c>
      <c r="S458" t="inlineStr">
        <is>
          <t>Solio</t>
        </is>
      </c>
      <c r="U458" s="6" t="n">
        <v>85</v>
      </c>
      <c r="V458" s="2" t="n"/>
      <c r="W458" s="7">
        <f>IF(N(U458)&lt;=0,0,MIN(Assumptions!$B$15,N(R458)/N(U458)))</f>
        <v/>
      </c>
      <c r="X458" s="6" t="n">
        <v>0.286</v>
      </c>
      <c r="Y458" s="3" t="n"/>
      <c r="Z458" t="inlineStr"/>
      <c r="AA458" s="3" t="n">
        <v>1</v>
      </c>
      <c r="AB458" s="3" t="n"/>
      <c r="AC458" s="3" t="n"/>
      <c r="AD458" s="3" t="n"/>
      <c r="AE458" s="3" t="n"/>
      <c r="AF458" s="3" t="n">
        <v>0</v>
      </c>
      <c r="AG458" s="3" t="n"/>
      <c r="AH458" s="3" t="n">
        <v>0</v>
      </c>
      <c r="AI458" s="3" t="n">
        <v>2.5739</v>
      </c>
      <c r="AJ458" s="3" t="n">
        <v>1.3096</v>
      </c>
      <c r="AK458" s="3" t="n">
        <v>-0.2045226422080557</v>
      </c>
      <c r="AL458" s="6" t="n">
        <v>0</v>
      </c>
      <c r="AM458" s="3" t="n">
        <v>0</v>
      </c>
      <c r="AN458" s="3" t="n">
        <v>0</v>
      </c>
      <c r="AO458" s="3" t="n">
        <v>0</v>
      </c>
      <c r="AP458" s="3">
        <f>N(X458)*N(BI458)</f>
        <v/>
      </c>
      <c r="AQ458" s="3" t="n">
        <v>0</v>
      </c>
      <c r="AR458" s="3" t="n">
        <v>0</v>
      </c>
      <c r="AS458" s="3" t="n">
        <v>-0.4230152821052008</v>
      </c>
      <c r="AT458" s="3" t="n">
        <v>-0.2045226422080557</v>
      </c>
      <c r="AU458" s="3">
        <f>SUM(AN458:AT458)</f>
        <v/>
      </c>
      <c r="AV458" s="7">
        <f>IF(OR(N(W458)&lt;=0,N(BG458)=0),0,N(W458)*IF(N(R458)/N(W458)&gt;=60,N(BG458),1))</f>
        <v/>
      </c>
      <c r="AW458" s="7">
        <f>N(W458)*N(AF458)*N(BH458)</f>
        <v/>
      </c>
      <c r="AX458" s="7">
        <f>N(AL458)*(Assumptions!$B$13*N(BJ458)-(1-Assumptions!$B$13)*Assumptions!$B$14)+N(AM458)</f>
        <v/>
      </c>
      <c r="AY458" s="7">
        <f>N(AU458)*N(R458)/90+N(AV458)+N(AW458)+N(AX458)</f>
        <v/>
      </c>
      <c r="AZ458" s="3">
        <f>IF(N(R458)&lt;=0,0,(N(AY458)-N(AX458))*90/N(R458))</f>
        <v/>
      </c>
      <c r="BA458" s="7">
        <f>IFERROR(AY458-VLOOKUP($E458,Assumptions!$A$40:$C$43,3,FALSE),"")</f>
        <v/>
      </c>
      <c r="BB458" s="3">
        <f>IFERROR(BA458/H458,"")</f>
        <v/>
      </c>
      <c r="BC458">
        <f>IF(AND($G458=TRUE,$E458="GKP"),AY458,"")</f>
        <v/>
      </c>
      <c r="BD458">
        <f>IF(AND($G458=TRUE,$E458="DEF"),AY458,"")</f>
        <v/>
      </c>
      <c r="BE458">
        <f>IF(AND($G458=TRUE,$E458="MID"),AY458,"")</f>
        <v/>
      </c>
      <c r="BF458">
        <f>IF(AND($G458=TRUE,$E458="FWD"),AY458,"")</f>
        <v/>
      </c>
      <c r="BG458" t="n">
        <v>2</v>
      </c>
      <c r="BH458" t="n">
        <v>2</v>
      </c>
      <c r="BI458" t="n">
        <v>4</v>
      </c>
      <c r="BJ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s="8" t="n">
        <v>0</v>
      </c>
      <c r="O459" s="8" t="n">
        <v>0</v>
      </c>
      <c r="Q459" t="inlineStr">
        <is>
          <t>flat</t>
        </is>
      </c>
      <c r="R459" s="6" t="n">
        <v>0</v>
      </c>
      <c r="S459" t="inlineStr">
        <is>
          <t>Solio</t>
        </is>
      </c>
      <c r="U459" s="6" t="n">
        <v>85</v>
      </c>
      <c r="V459" s="2" t="n"/>
      <c r="W459" s="7">
        <f>IF(N(U459)&lt;=0,0,MIN(Assumptions!$B$15,N(R459)/N(U459)))</f>
        <v/>
      </c>
      <c r="X459" s="6" t="n">
        <v>0.216</v>
      </c>
      <c r="Y459" s="3" t="n"/>
      <c r="Z459" t="inlineStr"/>
      <c r="AA459" s="3" t="n">
        <v>1</v>
      </c>
      <c r="AB459" s="3" t="n"/>
      <c r="AC459" s="3" t="n"/>
      <c r="AD459" s="3" t="n"/>
      <c r="AE459" s="3" t="n"/>
      <c r="AF459" s="3" t="n">
        <v>0</v>
      </c>
      <c r="AG459" s="3" t="n"/>
      <c r="AH459" s="3" t="n">
        <v>0</v>
      </c>
      <c r="AI459" s="3" t="n">
        <v>3.2035</v>
      </c>
      <c r="AJ459" s="3" t="n">
        <v>1.5923</v>
      </c>
      <c r="AK459" s="3" t="n">
        <v>-0.2089903758753938</v>
      </c>
      <c r="AL459" s="6" t="n">
        <v>0</v>
      </c>
      <c r="AM459" s="3" t="n">
        <v>0</v>
      </c>
      <c r="AN459" s="3" t="n">
        <v>0</v>
      </c>
      <c r="AO459" s="3" t="n">
        <v>0</v>
      </c>
      <c r="AP459" s="3">
        <f>N(X459)*N(BI459)</f>
        <v/>
      </c>
      <c r="AQ459" s="3" t="n">
        <v>0</v>
      </c>
      <c r="AR459" s="3" t="n">
        <v>0</v>
      </c>
      <c r="AS459" s="3" t="n">
        <v>-0</v>
      </c>
      <c r="AT459" s="3" t="n">
        <v>-0.2089903758753938</v>
      </c>
      <c r="AU459" s="3">
        <f>SUM(AN459:AT459)</f>
        <v/>
      </c>
      <c r="AV459" s="7">
        <f>IF(OR(N(W459)&lt;=0,N(BG459)=0),0,N(W459)*IF(N(R459)/N(W459)&gt;=60,N(BG459),1))</f>
        <v/>
      </c>
      <c r="AW459" s="7">
        <f>N(W459)*N(AF459)*N(BH459)</f>
        <v/>
      </c>
      <c r="AX459" s="7">
        <f>N(AL459)*(Assumptions!$B$13*N(BJ459)-(1-Assumptions!$B$13)*Assumptions!$B$14)+N(AM459)</f>
        <v/>
      </c>
      <c r="AY459" s="7">
        <f>N(AU459)*N(R459)/90+N(AV459)+N(AW459)+N(AX459)</f>
        <v/>
      </c>
      <c r="AZ459" s="3">
        <f>IF(N(R459)&lt;=0,0,(N(AY459)-N(AX459))*90/N(R459))</f>
        <v/>
      </c>
      <c r="BA459" s="7">
        <f>IFERROR(AY459-VLOOKUP($E459,Assumptions!$A$40:$C$43,3,FALSE),"")</f>
        <v/>
      </c>
      <c r="BB459" s="3">
        <f>IFERROR(BA459/H459,"")</f>
        <v/>
      </c>
      <c r="BC459">
        <f>IF(AND($G459=TRUE,$E459="GKP"),AY459,"")</f>
        <v/>
      </c>
      <c r="BD459">
        <f>IF(AND($G459=TRUE,$E459="DEF"),AY459,"")</f>
        <v/>
      </c>
      <c r="BE459">
        <f>IF(AND($G459=TRUE,$E459="MID"),AY459,"")</f>
        <v/>
      </c>
      <c r="BF459">
        <f>IF(AND($G459=TRUE,$E459="FWD"),AY459,"")</f>
        <v/>
      </c>
      <c r="BG459" t="n">
        <v>2</v>
      </c>
      <c r="BH459" t="n">
        <v>2</v>
      </c>
      <c r="BI459" t="n">
        <v>1</v>
      </c>
      <c r="BJ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s="8" t="n">
        <v>0</v>
      </c>
      <c r="O460" s="8" t="n">
        <v>0</v>
      </c>
      <c r="Q460" t="inlineStr">
        <is>
          <t>flat</t>
        </is>
      </c>
      <c r="R460" s="6" t="n">
        <v>0</v>
      </c>
      <c r="S460" t="inlineStr">
        <is>
          <t>Solio</t>
        </is>
      </c>
      <c r="U460" s="6" t="n">
        <v>85</v>
      </c>
      <c r="V460" s="2" t="n"/>
      <c r="W460" s="7">
        <f>IF(N(U460)&lt;=0,0,MIN(Assumptions!$B$15,N(R460)/N(U460)))</f>
        <v/>
      </c>
      <c r="X460" s="6" t="n">
        <v>0.391</v>
      </c>
      <c r="Y460" s="3" t="n"/>
      <c r="Z460" t="inlineStr"/>
      <c r="AA460" s="3" t="n">
        <v>1</v>
      </c>
      <c r="AB460" s="3" t="n"/>
      <c r="AC460" s="3" t="n"/>
      <c r="AD460" s="3" t="n"/>
      <c r="AE460" s="3" t="n"/>
      <c r="AF460" s="3" t="n">
        <v>0</v>
      </c>
      <c r="AG460" s="3" t="n"/>
      <c r="AH460" s="3" t="n">
        <v>0</v>
      </c>
      <c r="AI460" s="3" t="n">
        <v>2.067</v>
      </c>
      <c r="AJ460" s="3" t="n">
        <v>0.9838</v>
      </c>
      <c r="AK460" s="3" t="n">
        <v>-0.2011774725996978</v>
      </c>
      <c r="AL460" s="6" t="n">
        <v>0</v>
      </c>
      <c r="AM460" s="3" t="n">
        <v>0</v>
      </c>
      <c r="AN460" s="3" t="n">
        <v>0</v>
      </c>
      <c r="AO460" s="3" t="n">
        <v>0</v>
      </c>
      <c r="AP460" s="3">
        <f>N(X460)*N(BI460)</f>
        <v/>
      </c>
      <c r="AQ460" s="3" t="n">
        <v>0</v>
      </c>
      <c r="AR460" s="3" t="n">
        <v>0</v>
      </c>
      <c r="AS460" s="3" t="n">
        <v>-0</v>
      </c>
      <c r="AT460" s="3" t="n">
        <v>-0.2011774725996978</v>
      </c>
      <c r="AU460" s="3">
        <f>SUM(AN460:AT460)</f>
        <v/>
      </c>
      <c r="AV460" s="7">
        <f>IF(OR(N(W460)&lt;=0,N(BG460)=0),0,N(W460)*IF(N(R460)/N(W460)&gt;=60,N(BG460),1))</f>
        <v/>
      </c>
      <c r="AW460" s="7">
        <f>N(W460)*N(AF460)*N(BH460)</f>
        <v/>
      </c>
      <c r="AX460" s="7">
        <f>N(AL460)*(Assumptions!$B$13*N(BJ460)-(1-Assumptions!$B$13)*Assumptions!$B$14)+N(AM460)</f>
        <v/>
      </c>
      <c r="AY460" s="7">
        <f>N(AU460)*N(R460)/90+N(AV460)+N(AW460)+N(AX460)</f>
        <v/>
      </c>
      <c r="AZ460" s="3">
        <f>IF(N(R460)&lt;=0,0,(N(AY460)-N(AX460))*90/N(R460))</f>
        <v/>
      </c>
      <c r="BA460" s="7">
        <f>IFERROR(AY460-VLOOKUP($E460,Assumptions!$A$40:$C$43,3,FALSE),"")</f>
        <v/>
      </c>
      <c r="BB460" s="3">
        <f>IFERROR(BA460/H460,"")</f>
        <v/>
      </c>
      <c r="BC460">
        <f>IF(AND($G460=TRUE,$E460="GKP"),AY460,"")</f>
        <v/>
      </c>
      <c r="BD460">
        <f>IF(AND($G460=TRUE,$E460="DEF"),AY460,"")</f>
        <v/>
      </c>
      <c r="BE460">
        <f>IF(AND($G460=TRUE,$E460="MID"),AY460,"")</f>
        <v/>
      </c>
      <c r="BF460">
        <f>IF(AND($G460=TRUE,$E460="FWD"),AY460,"")</f>
        <v/>
      </c>
      <c r="BG460" t="n">
        <v>2</v>
      </c>
      <c r="BH460" t="n">
        <v>2</v>
      </c>
      <c r="BI460" t="n">
        <v>1</v>
      </c>
      <c r="BJ460" t="n">
        <v>5</v>
      </c>
    </row>
    <row r="461">
      <c r="A461" t="inlineStr">
        <is>
          <t>James Milner</t>
        </is>
      </c>
      <c r="C461" t="inlineStr">
        <is>
          <t>BHA</t>
        </is>
      </c>
      <c r="D461" t="b">
        <v>0</v>
      </c>
      <c r="F461" t="inlineStr">
        <is>
          <t>MID</t>
        </is>
      </c>
      <c r="G461" t="b">
        <v>0</v>
      </c>
      <c r="H461" s="2" t="n"/>
      <c r="K461" s="2" t="n">
        <v>778</v>
      </c>
      <c r="M461" s="3" t="n"/>
      <c r="N461" s="8" t="n">
        <v>778</v>
      </c>
      <c r="O461" s="8" t="n">
        <v>0</v>
      </c>
      <c r="R461" s="6" t="n">
        <v>778</v>
      </c>
      <c r="S461" t="inlineStr">
        <is>
          <t>25/26 actual</t>
        </is>
      </c>
      <c r="U461" s="6" t="n">
        <v>78.5</v>
      </c>
      <c r="V461" s="2" t="n">
        <v>7</v>
      </c>
      <c r="W461" s="7">
        <f>IF(N(U461)&lt;=0,0,MIN(Assumptions!$B$15,N(R461)/N(U461)))</f>
        <v/>
      </c>
      <c r="X461" s="6" t="n"/>
      <c r="Y461" s="3" t="n">
        <v>0.0247</v>
      </c>
      <c r="Z461" t="inlineStr">
        <is>
          <t>adjusted xGOT</t>
        </is>
      </c>
      <c r="AA461" s="3" t="n">
        <v>0.223</v>
      </c>
      <c r="AB461" s="3" t="n">
        <v>0.931</v>
      </c>
      <c r="AC461" s="3" t="n">
        <v>1.9</v>
      </c>
      <c r="AD461" s="3" t="n">
        <v>0.07580000000000001</v>
      </c>
      <c r="AE461" s="3" t="n">
        <v>8.965</v>
      </c>
      <c r="AF461" s="3" t="n">
        <v>0</v>
      </c>
      <c r="AG461" s="3" t="n">
        <v>0</v>
      </c>
      <c r="AH461" s="3" t="n">
        <v>27</v>
      </c>
      <c r="AI461" s="3" t="n"/>
      <c r="AJ461" s="3" t="n"/>
      <c r="AK461" s="3" t="n"/>
      <c r="AL461" s="6" t="n">
        <v>0</v>
      </c>
      <c r="AM461" s="3" t="n">
        <v>0</v>
      </c>
      <c r="AN461" s="3" t="n">
        <v>0</v>
      </c>
      <c r="AO461" s="3" t="n">
        <v>0</v>
      </c>
      <c r="AP461" s="3">
        <f>N(X461)*N(BI461)</f>
        <v/>
      </c>
      <c r="AQ461" s="3" t="n">
        <v>0</v>
      </c>
      <c r="AR461" s="3" t="n">
        <v>0</v>
      </c>
      <c r="AS461" s="3" t="n">
        <v>0</v>
      </c>
      <c r="AT461" s="3" t="n">
        <v>0</v>
      </c>
      <c r="AU461" s="3">
        <f>SUM(AN461:AT461)</f>
        <v/>
      </c>
      <c r="AV461" s="7">
        <f>IF(OR(N(W461)&lt;=0,N(BG461)=0),0,N(W461)*IF(N(R461)/N(W461)&gt;=60,N(BG461),1))</f>
        <v/>
      </c>
      <c r="AW461" s="7">
        <f>N(W461)*N(AF461)*N(BH461)</f>
        <v/>
      </c>
      <c r="AX461" s="7">
        <f>N(AL461)*(Assumptions!$B$13*N(BJ461)-(1-Assumptions!$B$13)*Assumptions!$B$14)+N(AM461)</f>
        <v/>
      </c>
      <c r="AY461" s="7">
        <f>N(AU461)*N(R461)/90+N(AV461)+N(AW461)+N(AX461)</f>
        <v/>
      </c>
      <c r="AZ461" s="3">
        <f>IF(N(R461)&lt;=0,0,(N(AY461)-N(AX461))*90/N(R461))</f>
        <v/>
      </c>
      <c r="BA461" s="7">
        <f>IFERROR(AY461-VLOOKUP($E461,Assumptions!$A$40:$C$43,3,FALSE),"")</f>
        <v/>
      </c>
      <c r="BB461" s="3">
        <f>IFERROR(BA461/H461,"")</f>
        <v/>
      </c>
      <c r="BC461">
        <f>IF(AND($G461=TRUE,$E461="GKP"),AY461,"")</f>
        <v/>
      </c>
      <c r="BD461">
        <f>IF(AND($G461=TRUE,$E461="DEF"),AY461,"")</f>
        <v/>
      </c>
      <c r="BE461">
        <f>IF(AND($G461=TRUE,$E461="MID"),AY461,"")</f>
        <v/>
      </c>
      <c r="BF461">
        <f>IF(AND($G461=TRUE,$E461="FWD"),AY461,"")</f>
        <v/>
      </c>
      <c r="BG461" t="n">
        <v>0</v>
      </c>
      <c r="BH461" t="n">
        <v>0</v>
      </c>
      <c r="BI461" t="n">
        <v>0</v>
      </c>
      <c r="BJ461" t="n">
        <v>0</v>
      </c>
    </row>
    <row r="462">
      <c r="A462" t="inlineStr">
        <is>
          <t>Ashley Barnes</t>
        </is>
      </c>
      <c r="C462" t="inlineStr">
        <is>
          <t>BUR</t>
        </is>
      </c>
      <c r="D462" t="b">
        <v>0</v>
      </c>
      <c r="F462" t="inlineStr">
        <is>
          <t>FWD</t>
        </is>
      </c>
      <c r="G462" t="b">
        <v>0</v>
      </c>
      <c r="H462" s="2" t="n"/>
      <c r="K462" s="2" t="n">
        <v>40</v>
      </c>
      <c r="M462" s="3" t="n"/>
      <c r="N462" s="8" t="n">
        <v>40</v>
      </c>
      <c r="O462" s="8" t="n">
        <v>0</v>
      </c>
      <c r="R462" s="6" t="n">
        <v>40</v>
      </c>
      <c r="S462" t="inlineStr">
        <is>
          <t>25/26 actual</t>
        </is>
      </c>
      <c r="U462" s="6" t="n">
        <v>78.5</v>
      </c>
      <c r="V462" s="2" t="n">
        <v>0</v>
      </c>
      <c r="W462" s="7">
        <f>IF(N(U462)&lt;=0,0,MIN(Assumptions!$B$15,N(R462)/N(U462)))</f>
        <v/>
      </c>
      <c r="X462" s="6" t="n"/>
      <c r="Y462" s="3" t="n">
        <v>0.5738</v>
      </c>
      <c r="Z462" t="inlineStr">
        <is>
          <t>adjusted xGOT</t>
        </is>
      </c>
      <c r="AA462" s="3" t="n">
        <v>1</v>
      </c>
      <c r="AB462" s="3" t="n">
        <v>1.018</v>
      </c>
      <c r="AC462" s="3" t="n">
        <v>0.2</v>
      </c>
      <c r="AD462" s="3" t="n">
        <v>0</v>
      </c>
      <c r="AE462" s="3" t="n">
        <v>4.778</v>
      </c>
      <c r="AF462" s="3" t="n">
        <v>0</v>
      </c>
      <c r="AG462" s="3" t="n">
        <v>0</v>
      </c>
      <c r="AH462" s="3" t="n">
        <v>7</v>
      </c>
      <c r="AI462" s="3" t="n"/>
      <c r="AJ462" s="3" t="n"/>
      <c r="AK462" s="3" t="n"/>
      <c r="AL462" s="6" t="n">
        <v>0</v>
      </c>
      <c r="AM462" s="3" t="n">
        <v>0</v>
      </c>
      <c r="AN462" s="3" t="n">
        <v>0</v>
      </c>
      <c r="AO462" s="3" t="n">
        <v>0</v>
      </c>
      <c r="AP462" s="3">
        <f>N(X462)*N(BI462)</f>
        <v/>
      </c>
      <c r="AQ462" s="3" t="n">
        <v>0</v>
      </c>
      <c r="AR462" s="3" t="n">
        <v>0</v>
      </c>
      <c r="AS462" s="3" t="n">
        <v>0</v>
      </c>
      <c r="AT462" s="3" t="n">
        <v>0</v>
      </c>
      <c r="AU462" s="3">
        <f>SUM(AN462:AT462)</f>
        <v/>
      </c>
      <c r="AV462" s="7">
        <f>IF(OR(N(W462)&lt;=0,N(BG462)=0),0,N(W462)*IF(N(R462)/N(W462)&gt;=60,N(BG462),1))</f>
        <v/>
      </c>
      <c r="AW462" s="7">
        <f>N(W462)*N(AF462)*N(BH462)</f>
        <v/>
      </c>
      <c r="AX462" s="7">
        <f>N(AL462)*(Assumptions!$B$13*N(BJ462)-(1-Assumptions!$B$13)*Assumptions!$B$14)+N(AM462)</f>
        <v/>
      </c>
      <c r="AY462" s="7">
        <f>N(AU462)*N(R462)/90+N(AV462)+N(AW462)+N(AX462)</f>
        <v/>
      </c>
      <c r="AZ462" s="3">
        <f>IF(N(R462)&lt;=0,0,(N(AY462)-N(AX462))*90/N(R462))</f>
        <v/>
      </c>
      <c r="BA462" s="7">
        <f>IFERROR(AY462-VLOOKUP($E462,Assumptions!$A$40:$C$43,3,FALSE),"")</f>
        <v/>
      </c>
      <c r="BB462" s="3">
        <f>IFERROR(BA462/H462,"")</f>
        <v/>
      </c>
      <c r="BC462">
        <f>IF(AND($G462=TRUE,$E462="GKP"),AY462,"")</f>
        <v/>
      </c>
      <c r="BD462">
        <f>IF(AND($G462=TRUE,$E462="DEF"),AY462,"")</f>
        <v/>
      </c>
      <c r="BE462">
        <f>IF(AND($G462=TRUE,$E462="MID"),AY462,"")</f>
        <v/>
      </c>
      <c r="BF462">
        <f>IF(AND($G462=TRUE,$E462="FWD"),AY462,"")</f>
        <v/>
      </c>
      <c r="BG462" t="n">
        <v>0</v>
      </c>
      <c r="BH462" t="n">
        <v>0</v>
      </c>
      <c r="BI462" t="n">
        <v>0</v>
      </c>
      <c r="BJ462" t="n">
        <v>0</v>
      </c>
    </row>
    <row r="463">
      <c r="A463" t="inlineStr">
        <is>
          <t>David Button</t>
        </is>
      </c>
      <c r="B463" t="inlineStr">
        <is>
          <t>IPS</t>
        </is>
      </c>
      <c r="D463" t="b">
        <v>0</v>
      </c>
      <c r="E463" t="inlineStr">
        <is>
          <t>GKP</t>
        </is>
      </c>
      <c r="G463" t="b">
        <v>1</v>
      </c>
      <c r="H463" s="2" t="n">
        <v>4</v>
      </c>
      <c r="I463" t="inlineStr">
        <is>
          <t>a</t>
        </is>
      </c>
      <c r="K463" s="2" t="n"/>
      <c r="M463" s="3" t="n">
        <v>0</v>
      </c>
      <c r="N463" s="8" t="n">
        <v>0</v>
      </c>
      <c r="O463" s="8" t="n">
        <v>0</v>
      </c>
      <c r="Q463" t="inlineStr">
        <is>
          <t>flat</t>
        </is>
      </c>
      <c r="R463" s="6" t="n">
        <v>0</v>
      </c>
      <c r="S463" t="inlineStr">
        <is>
          <t>Solio</t>
        </is>
      </c>
      <c r="U463" s="6" t="n">
        <v>85</v>
      </c>
      <c r="V463" s="2" t="n"/>
      <c r="W463" s="7">
        <f>IF(N(U463)&lt;=0,0,MIN(Assumptions!$B$15,N(R463)/N(U463)))</f>
        <v/>
      </c>
      <c r="X463" s="6" t="n">
        <v>0.17</v>
      </c>
      <c r="Y463" s="3" t="n"/>
      <c r="Z463" t="inlineStr"/>
      <c r="AA463" s="3" t="n">
        <v>1</v>
      </c>
      <c r="AB463" s="3" t="n"/>
      <c r="AC463" s="3" t="n"/>
      <c r="AD463" s="3" t="n"/>
      <c r="AE463" s="3" t="n">
        <v>0</v>
      </c>
      <c r="AF463" s="3" t="n">
        <v>0</v>
      </c>
      <c r="AG463" s="3" t="n"/>
      <c r="AH463" s="3" t="n"/>
      <c r="AI463" s="3" t="n">
        <v>3.5741</v>
      </c>
      <c r="AJ463" s="3" t="n">
        <v>1.8319</v>
      </c>
      <c r="AK463" s="3" t="n">
        <v>-0.0763216474948735</v>
      </c>
      <c r="AL463" s="6" t="n">
        <v>0</v>
      </c>
      <c r="AM463" s="3" t="n">
        <v>0</v>
      </c>
      <c r="AN463" s="3" t="n">
        <v>0</v>
      </c>
      <c r="AO463" s="3" t="n">
        <v>0</v>
      </c>
      <c r="AP463" s="3">
        <f>N(X463)*N(BI463)</f>
        <v/>
      </c>
      <c r="AQ463" s="3" t="n">
        <v>0</v>
      </c>
      <c r="AR463" s="3" t="n">
        <v>0.8565116974562608</v>
      </c>
      <c r="AS463" s="3" t="n">
        <v>-0.6723587286814016</v>
      </c>
      <c r="AT463" s="3" t="n">
        <v>-0.0763216474948735</v>
      </c>
      <c r="AU463" s="3">
        <f>SUM(AN463:AT463)</f>
        <v/>
      </c>
      <c r="AV463" s="7">
        <f>IF(OR(N(W463)&lt;=0,N(BG463)=0),0,N(W463)*IF(N(R463)/N(W463)&gt;=60,N(BG463),1))</f>
        <v/>
      </c>
      <c r="AW463" s="7">
        <f>N(W463)*N(AF463)*N(BH463)</f>
        <v/>
      </c>
      <c r="AX463" s="7">
        <f>N(AL463)*(Assumptions!$B$13*N(BJ463)-(1-Assumptions!$B$13)*Assumptions!$B$14)+N(AM463)</f>
        <v/>
      </c>
      <c r="AY463" s="7">
        <f>N(AU463)*N(R463)/90+N(AV463)+N(AW463)+N(AX463)</f>
        <v/>
      </c>
      <c r="AZ463" s="3">
        <f>IF(N(R463)&lt;=0,0,(N(AY463)-N(AX463))*90/N(R463))</f>
        <v/>
      </c>
      <c r="BA463" s="7">
        <f>IFERROR(AY463-VLOOKUP($E463,Assumptions!$A$40:$C$43,3,FALSE),"")</f>
        <v/>
      </c>
      <c r="BB463" s="3">
        <f>IFERROR(BA463/H463,"")</f>
        <v/>
      </c>
      <c r="BC463">
        <f>IF(AND($G463=TRUE,$E463="GKP"),AY463,"")</f>
        <v/>
      </c>
      <c r="BD463">
        <f>IF(AND($G463=TRUE,$E463="DEF"),AY463,"")</f>
        <v/>
      </c>
      <c r="BE463">
        <f>IF(AND($G463=TRUE,$E463="MID"),AY463,"")</f>
        <v/>
      </c>
      <c r="BF463">
        <f>IF(AND($G463=TRUE,$E463="FWD"),AY463,"")</f>
        <v/>
      </c>
      <c r="BG463" t="n">
        <v>2</v>
      </c>
      <c r="BH463" t="n">
        <v>0</v>
      </c>
      <c r="BI463" t="n">
        <v>4</v>
      </c>
      <c r="BJ463" t="n">
        <v>10</v>
      </c>
    </row>
    <row r="464">
      <c r="A464" t="inlineStr">
        <is>
          <t>Nathaniel Clyne</t>
        </is>
      </c>
      <c r="C464" t="inlineStr">
        <is>
          <t>CRY</t>
        </is>
      </c>
      <c r="D464" t="b">
        <v>0</v>
      </c>
      <c r="F464" t="inlineStr">
        <is>
          <t>DEF</t>
        </is>
      </c>
      <c r="G464" t="b">
        <v>0</v>
      </c>
      <c r="H464" s="2" t="n"/>
      <c r="K464" s="2" t="n">
        <v>596</v>
      </c>
      <c r="M464" s="3" t="n"/>
      <c r="N464" s="8" t="n">
        <v>596</v>
      </c>
      <c r="O464" s="8" t="n">
        <v>0</v>
      </c>
      <c r="R464" s="6" t="n">
        <v>596</v>
      </c>
      <c r="S464" t="inlineStr">
        <is>
          <t>25/26 actual</t>
        </is>
      </c>
      <c r="U464" s="6" t="n">
        <v>79.90000000000001</v>
      </c>
      <c r="V464" s="2" t="n">
        <v>7</v>
      </c>
      <c r="W464" s="7">
        <f>IF(N(U464)&lt;=0,0,MIN(Assumptions!$B$15,N(R464)/N(U464)))</f>
        <v/>
      </c>
      <c r="X464" s="6" t="n"/>
      <c r="Y464" s="3" t="n">
        <v>0.0599</v>
      </c>
      <c r="Z464" t="inlineStr">
        <is>
          <t>adjusted xGOT</t>
        </is>
      </c>
      <c r="AA464" s="3" t="n">
        <v>1</v>
      </c>
      <c r="AB464" s="3" t="n">
        <v>0.924</v>
      </c>
      <c r="AC464" s="3" t="n">
        <v>0.7</v>
      </c>
      <c r="AD464" s="3" t="n">
        <v>0.1019</v>
      </c>
      <c r="AE464" s="3" t="n">
        <v>7.647</v>
      </c>
      <c r="AF464" s="3" t="n">
        <v>0</v>
      </c>
      <c r="AG464" s="3" t="n">
        <v>0.302</v>
      </c>
      <c r="AH464" s="3" t="n">
        <v>16</v>
      </c>
      <c r="AI464" s="3" t="n"/>
      <c r="AJ464" s="3" t="n"/>
      <c r="AK464" s="3" t="n"/>
      <c r="AL464" s="6" t="n">
        <v>0</v>
      </c>
      <c r="AM464" s="3" t="n">
        <v>0</v>
      </c>
      <c r="AN464" s="3" t="n">
        <v>0</v>
      </c>
      <c r="AO464" s="3" t="n">
        <v>0</v>
      </c>
      <c r="AP464" s="3">
        <f>N(X464)*N(BI464)</f>
        <v/>
      </c>
      <c r="AQ464" s="3" t="n">
        <v>0</v>
      </c>
      <c r="AR464" s="3" t="n">
        <v>0</v>
      </c>
      <c r="AS464" s="3" t="n">
        <v>0</v>
      </c>
      <c r="AT464" s="3" t="n">
        <v>0</v>
      </c>
      <c r="AU464" s="3">
        <f>SUM(AN464:AT464)</f>
        <v/>
      </c>
      <c r="AV464" s="7">
        <f>IF(OR(N(W464)&lt;=0,N(BG464)=0),0,N(W464)*IF(N(R464)/N(W464)&gt;=60,N(BG464),1))</f>
        <v/>
      </c>
      <c r="AW464" s="7">
        <f>N(W464)*N(AF464)*N(BH464)</f>
        <v/>
      </c>
      <c r="AX464" s="7">
        <f>N(AL464)*(Assumptions!$B$13*N(BJ464)-(1-Assumptions!$B$13)*Assumptions!$B$14)+N(AM464)</f>
        <v/>
      </c>
      <c r="AY464" s="7">
        <f>N(AU464)*N(R464)/90+N(AV464)+N(AW464)+N(AX464)</f>
        <v/>
      </c>
      <c r="AZ464" s="3">
        <f>IF(N(R464)&lt;=0,0,(N(AY464)-N(AX464))*90/N(R464))</f>
        <v/>
      </c>
      <c r="BA464" s="7">
        <f>IFERROR(AY464-VLOOKUP($E464,Assumptions!$A$40:$C$43,3,FALSE),"")</f>
        <v/>
      </c>
      <c r="BB464" s="3">
        <f>IFERROR(BA464/H464,"")</f>
        <v/>
      </c>
      <c r="BC464">
        <f>IF(AND($G464=TRUE,$E464="GKP"),AY464,"")</f>
        <v/>
      </c>
      <c r="BD464">
        <f>IF(AND($G464=TRUE,$E464="DEF"),AY464,"")</f>
        <v/>
      </c>
      <c r="BE464">
        <f>IF(AND($G464=TRUE,$E464="MID"),AY464,"")</f>
        <v/>
      </c>
      <c r="BF464">
        <f>IF(AND($G464=TRUE,$E464="FWD"),AY464,"")</f>
        <v/>
      </c>
      <c r="BG464" t="n">
        <v>0</v>
      </c>
      <c r="BH464" t="n">
        <v>0</v>
      </c>
      <c r="BI464" t="n">
        <v>0</v>
      </c>
      <c r="BJ464" t="n">
        <v>0</v>
      </c>
    </row>
    <row r="465">
      <c r="A465" t="inlineStr">
        <is>
          <t>Kyle Walker</t>
        </is>
      </c>
      <c r="C465" t="inlineStr">
        <is>
          <t>BUR</t>
        </is>
      </c>
      <c r="D465" t="b">
        <v>0</v>
      </c>
      <c r="F465" t="inlineStr">
        <is>
          <t>DEF</t>
        </is>
      </c>
      <c r="G465" t="b">
        <v>0</v>
      </c>
      <c r="H465" s="2" t="n"/>
      <c r="K465" s="2" t="n">
        <v>3097</v>
      </c>
      <c r="M465" s="3" t="n"/>
      <c r="N465" s="8" t="n">
        <v>3097</v>
      </c>
      <c r="O465" s="8" t="n">
        <v>0</v>
      </c>
      <c r="R465" s="6" t="n">
        <v>3097</v>
      </c>
      <c r="S465" t="inlineStr">
        <is>
          <t>25/26 actual</t>
        </is>
      </c>
      <c r="U465" s="6" t="n">
        <v>87.59999999999999</v>
      </c>
      <c r="V465" s="2" t="n">
        <v>35</v>
      </c>
      <c r="W465" s="7">
        <f>IF(N(U465)&lt;=0,0,MIN(Assumptions!$B$15,N(R465)/N(U465)))</f>
        <v/>
      </c>
      <c r="X465" s="6" t="n"/>
      <c r="Y465" s="3" t="n">
        <v>0.004</v>
      </c>
      <c r="Z465" t="inlineStr">
        <is>
          <t>adjusted xGOT</t>
        </is>
      </c>
      <c r="AA465" s="3" t="n">
        <v>1</v>
      </c>
      <c r="AB465" s="3" t="n">
        <v>0.916</v>
      </c>
      <c r="AC465" s="3" t="n">
        <v>1.1</v>
      </c>
      <c r="AD465" s="3" t="n">
        <v>0.0484</v>
      </c>
      <c r="AE465" s="3" t="n">
        <v>6.452</v>
      </c>
      <c r="AF465" s="3" t="n">
        <v>0</v>
      </c>
      <c r="AG465" s="3" t="n">
        <v>0.0872</v>
      </c>
      <c r="AH465" s="3" t="n">
        <v>70</v>
      </c>
      <c r="AI465" s="3" t="n"/>
      <c r="AJ465" s="3" t="n"/>
      <c r="AK465" s="3" t="n"/>
      <c r="AL465" s="6" t="n">
        <v>0</v>
      </c>
      <c r="AM465" s="3" t="n">
        <v>0</v>
      </c>
      <c r="AN465" s="3" t="n">
        <v>0</v>
      </c>
      <c r="AO465" s="3" t="n">
        <v>0</v>
      </c>
      <c r="AP465" s="3">
        <f>N(X465)*N(BI465)</f>
        <v/>
      </c>
      <c r="AQ465" s="3" t="n">
        <v>0</v>
      </c>
      <c r="AR465" s="3" t="n">
        <v>0</v>
      </c>
      <c r="AS465" s="3" t="n">
        <v>0</v>
      </c>
      <c r="AT465" s="3" t="n">
        <v>0</v>
      </c>
      <c r="AU465" s="3">
        <f>SUM(AN465:AT465)</f>
        <v/>
      </c>
      <c r="AV465" s="7">
        <f>IF(OR(N(W465)&lt;=0,N(BG465)=0),0,N(W465)*IF(N(R465)/N(W465)&gt;=60,N(BG465),1))</f>
        <v/>
      </c>
      <c r="AW465" s="7">
        <f>N(W465)*N(AF465)*N(BH465)</f>
        <v/>
      </c>
      <c r="AX465" s="7">
        <f>N(AL465)*(Assumptions!$B$13*N(BJ465)-(1-Assumptions!$B$13)*Assumptions!$B$14)+N(AM465)</f>
        <v/>
      </c>
      <c r="AY465" s="7">
        <f>N(AU465)*N(R465)/90+N(AV465)+N(AW465)+N(AX465)</f>
        <v/>
      </c>
      <c r="AZ465" s="3">
        <f>IF(N(R465)&lt;=0,0,(N(AY465)-N(AX465))*90/N(R465))</f>
        <v/>
      </c>
      <c r="BA465" s="7">
        <f>IFERROR(AY465-VLOOKUP($E465,Assumptions!$A$40:$C$43,3,FALSE),"")</f>
        <v/>
      </c>
      <c r="BB465" s="3">
        <f>IFERROR(BA465/H465,"")</f>
        <v/>
      </c>
      <c r="BC465">
        <f>IF(AND($G465=TRUE,$E465="GKP"),AY465,"")</f>
        <v/>
      </c>
      <c r="BD465">
        <f>IF(AND($G465=TRUE,$E465="DEF"),AY465,"")</f>
        <v/>
      </c>
      <c r="BE465">
        <f>IF(AND($G465=TRUE,$E465="MID"),AY465,"")</f>
        <v/>
      </c>
      <c r="BF465">
        <f>IF(AND($G465=TRUE,$E465="FWD"),AY465,"")</f>
        <v/>
      </c>
      <c r="BG465" t="n">
        <v>0</v>
      </c>
      <c r="BH465" t="n">
        <v>0</v>
      </c>
      <c r="BI465" t="n">
        <v>0</v>
      </c>
      <c r="BJ465" t="n">
        <v>0</v>
      </c>
    </row>
    <row r="466">
      <c r="A466" t="inlineStr">
        <is>
          <t>Séamus Coleman</t>
        </is>
      </c>
      <c r="C466" t="inlineStr">
        <is>
          <t>EVE</t>
        </is>
      </c>
      <c r="D466" t="b">
        <v>0</v>
      </c>
      <c r="F466" t="inlineStr">
        <is>
          <t>DEF</t>
        </is>
      </c>
      <c r="G466" t="b">
        <v>0</v>
      </c>
      <c r="H466" s="2" t="n"/>
      <c r="K466" s="2" t="n">
        <v>20</v>
      </c>
      <c r="M466" s="3" t="n"/>
      <c r="N466" s="8" t="n">
        <v>20</v>
      </c>
      <c r="O466" s="8" t="n">
        <v>0</v>
      </c>
      <c r="R466" s="6" t="n">
        <v>20</v>
      </c>
      <c r="S466" t="inlineStr">
        <is>
          <t>25/26 actual</t>
        </is>
      </c>
      <c r="U466" s="6" t="n">
        <v>78.5</v>
      </c>
      <c r="V466" s="2" t="n">
        <v>1</v>
      </c>
      <c r="W466" s="7">
        <f>IF(N(U466)&lt;=0,0,MIN(Assumptions!$B$15,N(R466)/N(U466)))</f>
        <v/>
      </c>
      <c r="X466" s="6" t="n"/>
      <c r="Y466" s="3" t="n">
        <v>0</v>
      </c>
      <c r="Z466" t="inlineStr">
        <is>
          <t>adjusted xGOT</t>
        </is>
      </c>
      <c r="AA466" s="3" t="n">
        <v>1</v>
      </c>
      <c r="AB466" s="3" t="n">
        <v>0.93</v>
      </c>
      <c r="AC466" s="3" t="n">
        <v>0.9</v>
      </c>
      <c r="AD466" s="3" t="n">
        <v>0.1706</v>
      </c>
      <c r="AE466" s="3" t="n">
        <v>7.731</v>
      </c>
      <c r="AF466" s="3" t="n">
        <v>0</v>
      </c>
      <c r="AG466" s="3" t="n">
        <v>0</v>
      </c>
      <c r="AH466" s="3" t="n">
        <v>5</v>
      </c>
      <c r="AI466" s="3" t="n"/>
      <c r="AJ466" s="3" t="n"/>
      <c r="AK466" s="3" t="n"/>
      <c r="AL466" s="6" t="n">
        <v>0</v>
      </c>
      <c r="AM466" s="3" t="n">
        <v>0</v>
      </c>
      <c r="AN466" s="3" t="n">
        <v>0</v>
      </c>
      <c r="AO466" s="3" t="n">
        <v>0</v>
      </c>
      <c r="AP466" s="3">
        <f>N(X466)*N(BI466)</f>
        <v/>
      </c>
      <c r="AQ466" s="3" t="n">
        <v>0</v>
      </c>
      <c r="AR466" s="3" t="n">
        <v>0</v>
      </c>
      <c r="AS466" s="3" t="n">
        <v>0</v>
      </c>
      <c r="AT466" s="3" t="n">
        <v>0</v>
      </c>
      <c r="AU466" s="3">
        <f>SUM(AN466:AT466)</f>
        <v/>
      </c>
      <c r="AV466" s="7">
        <f>IF(OR(N(W466)&lt;=0,N(BG466)=0),0,N(W466)*IF(N(R466)/N(W466)&gt;=60,N(BG466),1))</f>
        <v/>
      </c>
      <c r="AW466" s="7">
        <f>N(W466)*N(AF466)*N(BH466)</f>
        <v/>
      </c>
      <c r="AX466" s="7">
        <f>N(AL466)*(Assumptions!$B$13*N(BJ466)-(1-Assumptions!$B$13)*Assumptions!$B$14)+N(AM466)</f>
        <v/>
      </c>
      <c r="AY466" s="7">
        <f>N(AU466)*N(R466)/90+N(AV466)+N(AW466)+N(AX466)</f>
        <v/>
      </c>
      <c r="AZ466" s="3">
        <f>IF(N(R466)&lt;=0,0,(N(AY466)-N(AX466))*90/N(R466))</f>
        <v/>
      </c>
      <c r="BA466" s="7">
        <f>IFERROR(AY466-VLOOKUP($E466,Assumptions!$A$40:$C$43,3,FALSE),"")</f>
        <v/>
      </c>
      <c r="BB466" s="3">
        <f>IFERROR(BA466/H466,"")</f>
        <v/>
      </c>
      <c r="BC466">
        <f>IF(AND($G466=TRUE,$E466="GKP"),AY466,"")</f>
        <v/>
      </c>
      <c r="BD466">
        <f>IF(AND($G466=TRUE,$E466="DEF"),AY466,"")</f>
        <v/>
      </c>
      <c r="BE466">
        <f>IF(AND($G466=TRUE,$E466="MID"),AY466,"")</f>
        <v/>
      </c>
      <c r="BF466">
        <f>IF(AND($G466=TRUE,$E466="FWD"),AY466,"")</f>
        <v/>
      </c>
      <c r="BG466" t="n">
        <v>0</v>
      </c>
      <c r="BH466" t="n">
        <v>0</v>
      </c>
      <c r="BI466" t="n">
        <v>0</v>
      </c>
      <c r="BJ466" t="n">
        <v>0</v>
      </c>
    </row>
    <row r="467">
      <c r="A467" t="inlineStr">
        <is>
          <t>Casemiro</t>
        </is>
      </c>
      <c r="C467" t="inlineStr">
        <is>
          <t>MUN</t>
        </is>
      </c>
      <c r="D467" t="b">
        <v>0</v>
      </c>
      <c r="F467" t="inlineStr">
        <is>
          <t>MID</t>
        </is>
      </c>
      <c r="G467" t="b">
        <v>0</v>
      </c>
      <c r="H467" s="2" t="n"/>
      <c r="K467" s="2" t="n">
        <v>2588</v>
      </c>
      <c r="M467" s="3" t="n"/>
      <c r="N467" s="8" t="n">
        <v>2588</v>
      </c>
      <c r="O467" s="8" t="n">
        <v>0</v>
      </c>
      <c r="R467" s="6" t="n">
        <v>2588</v>
      </c>
      <c r="S467" t="inlineStr">
        <is>
          <t>25/26 actual</t>
        </is>
      </c>
      <c r="U467" s="6" t="n">
        <v>79</v>
      </c>
      <c r="V467" s="2" t="n">
        <v>32</v>
      </c>
      <c r="W467" s="7">
        <f>IF(N(U467)&lt;=0,0,MIN(Assumptions!$B$15,N(R467)/N(U467)))</f>
        <v/>
      </c>
      <c r="X467" s="6" t="n"/>
      <c r="Y467" s="3" t="n">
        <v>0.1734</v>
      </c>
      <c r="Z467" t="inlineStr">
        <is>
          <t>adjusted xGOT</t>
        </is>
      </c>
      <c r="AA467" s="3" t="n">
        <v>1</v>
      </c>
      <c r="AB467" s="3" t="n">
        <v>0.916</v>
      </c>
      <c r="AC467" s="3" t="n">
        <v>14.4</v>
      </c>
      <c r="AD467" s="3" t="n">
        <v>0.1105</v>
      </c>
      <c r="AE467" s="3" t="n">
        <v>11.571</v>
      </c>
      <c r="AF467" s="3" t="n">
        <v>0</v>
      </c>
      <c r="AG467" s="3" t="n">
        <v>0.6955</v>
      </c>
      <c r="AH467" s="3" t="n">
        <v>63</v>
      </c>
      <c r="AI467" s="3" t="n"/>
      <c r="AJ467" s="3" t="n"/>
      <c r="AK467" s="3" t="n"/>
      <c r="AL467" s="6" t="n">
        <v>0</v>
      </c>
      <c r="AM467" s="3" t="n">
        <v>0</v>
      </c>
      <c r="AN467" s="3" t="n">
        <v>0</v>
      </c>
      <c r="AO467" s="3" t="n">
        <v>0</v>
      </c>
      <c r="AP467" s="3">
        <f>N(X467)*N(BI467)</f>
        <v/>
      </c>
      <c r="AQ467" s="3" t="n">
        <v>0</v>
      </c>
      <c r="AR467" s="3" t="n">
        <v>0</v>
      </c>
      <c r="AS467" s="3" t="n">
        <v>0</v>
      </c>
      <c r="AT467" s="3" t="n">
        <v>0</v>
      </c>
      <c r="AU467" s="3">
        <f>SUM(AN467:AT467)</f>
        <v/>
      </c>
      <c r="AV467" s="7">
        <f>IF(OR(N(W467)&lt;=0,N(BG467)=0),0,N(W467)*IF(N(R467)/N(W467)&gt;=60,N(BG467),1))</f>
        <v/>
      </c>
      <c r="AW467" s="7">
        <f>N(W467)*N(AF467)*N(BH467)</f>
        <v/>
      </c>
      <c r="AX467" s="7">
        <f>N(AL467)*(Assumptions!$B$13*N(BJ467)-(1-Assumptions!$B$13)*Assumptions!$B$14)+N(AM467)</f>
        <v/>
      </c>
      <c r="AY467" s="7">
        <f>N(AU467)*N(R467)/90+N(AV467)+N(AW467)+N(AX467)</f>
        <v/>
      </c>
      <c r="AZ467" s="3">
        <f>IF(N(R467)&lt;=0,0,(N(AY467)-N(AX467))*90/N(R467))</f>
        <v/>
      </c>
      <c r="BA467" s="7">
        <f>IFERROR(AY467-VLOOKUP($E467,Assumptions!$A$40:$C$43,3,FALSE),"")</f>
        <v/>
      </c>
      <c r="BB467" s="3">
        <f>IFERROR(BA467/H467,"")</f>
        <v/>
      </c>
      <c r="BC467">
        <f>IF(AND($G467=TRUE,$E467="GKP"),AY467,"")</f>
        <v/>
      </c>
      <c r="BD467">
        <f>IF(AND($G467=TRUE,$E467="DEF"),AY467,"")</f>
        <v/>
      </c>
      <c r="BE467">
        <f>IF(AND($G467=TRUE,$E467="MID"),AY467,"")</f>
        <v/>
      </c>
      <c r="BF467">
        <f>IF(AND($G467=TRUE,$E467="FWD"),AY467,"")</f>
        <v/>
      </c>
      <c r="BG467" t="n">
        <v>0</v>
      </c>
      <c r="BH467" t="n">
        <v>0</v>
      </c>
      <c r="BI467" t="n">
        <v>0</v>
      </c>
      <c r="BJ467" t="n">
        <v>0</v>
      </c>
    </row>
    <row r="468">
      <c r="A468" t="inlineStr">
        <is>
          <t>Kieran Trippier</t>
        </is>
      </c>
      <c r="C468" t="inlineStr">
        <is>
          <t>NEW</t>
        </is>
      </c>
      <c r="D468" t="b">
        <v>0</v>
      </c>
      <c r="F468" t="inlineStr">
        <is>
          <t>DEF</t>
        </is>
      </c>
      <c r="G468" t="b">
        <v>0</v>
      </c>
      <c r="H468" s="2" t="n"/>
      <c r="K468" s="2" t="n">
        <v>1592</v>
      </c>
      <c r="M468" s="3" t="n"/>
      <c r="N468" s="8" t="n">
        <v>1592</v>
      </c>
      <c r="O468" s="8" t="n">
        <v>0</v>
      </c>
      <c r="R468" s="6" t="n">
        <v>1592</v>
      </c>
      <c r="S468" t="inlineStr">
        <is>
          <t>25/26 actual</t>
        </is>
      </c>
      <c r="U468" s="6" t="n">
        <v>84.7</v>
      </c>
      <c r="V468" s="2" t="n">
        <v>18</v>
      </c>
      <c r="W468" s="7">
        <f>IF(N(U468)&lt;=0,0,MIN(Assumptions!$B$15,N(R468)/N(U468)))</f>
        <v/>
      </c>
      <c r="X468" s="6" t="n"/>
      <c r="Y468" s="3" t="n">
        <v>0.0047</v>
      </c>
      <c r="Z468" t="inlineStr">
        <is>
          <t>adjusted xGOT</t>
        </is>
      </c>
      <c r="AA468" s="3" t="n">
        <v>1</v>
      </c>
      <c r="AB468" s="3" t="n">
        <v>1.052</v>
      </c>
      <c r="AC468" s="3" t="n">
        <v>1.7</v>
      </c>
      <c r="AD468" s="3" t="n">
        <v>0.1029</v>
      </c>
      <c r="AE468" s="3" t="n">
        <v>5.6</v>
      </c>
      <c r="AF468" s="3" t="n">
        <v>0</v>
      </c>
      <c r="AG468" s="3" t="n">
        <v>0.1131</v>
      </c>
      <c r="AH468" s="3" t="n">
        <v>39</v>
      </c>
      <c r="AI468" s="3" t="n"/>
      <c r="AJ468" s="3" t="n"/>
      <c r="AK468" s="3" t="n"/>
      <c r="AL468" s="6" t="n">
        <v>0</v>
      </c>
      <c r="AM468" s="3" t="n">
        <v>0</v>
      </c>
      <c r="AN468" s="3" t="n">
        <v>0</v>
      </c>
      <c r="AO468" s="3" t="n">
        <v>0</v>
      </c>
      <c r="AP468" s="3">
        <f>N(X468)*N(BI468)</f>
        <v/>
      </c>
      <c r="AQ468" s="3" t="n">
        <v>0</v>
      </c>
      <c r="AR468" s="3" t="n">
        <v>0</v>
      </c>
      <c r="AS468" s="3" t="n">
        <v>0</v>
      </c>
      <c r="AT468" s="3" t="n">
        <v>0</v>
      </c>
      <c r="AU468" s="3">
        <f>SUM(AN468:AT468)</f>
        <v/>
      </c>
      <c r="AV468" s="7">
        <f>IF(OR(N(W468)&lt;=0,N(BG468)=0),0,N(W468)*IF(N(R468)/N(W468)&gt;=60,N(BG468),1))</f>
        <v/>
      </c>
      <c r="AW468" s="7">
        <f>N(W468)*N(AF468)*N(BH468)</f>
        <v/>
      </c>
      <c r="AX468" s="7">
        <f>N(AL468)*(Assumptions!$B$13*N(BJ468)-(1-Assumptions!$B$13)*Assumptions!$B$14)+N(AM468)</f>
        <v/>
      </c>
      <c r="AY468" s="7">
        <f>N(AU468)*N(R468)/90+N(AV468)+N(AW468)+N(AX468)</f>
        <v/>
      </c>
      <c r="AZ468" s="3">
        <f>IF(N(R468)&lt;=0,0,(N(AY468)-N(AX468))*90/N(R468))</f>
        <v/>
      </c>
      <c r="BA468" s="7">
        <f>IFERROR(AY468-VLOOKUP($E468,Assumptions!$A$40:$C$43,3,FALSE),"")</f>
        <v/>
      </c>
      <c r="BB468" s="3">
        <f>IFERROR(BA468/H468,"")</f>
        <v/>
      </c>
      <c r="BC468">
        <f>IF(AND($G468=TRUE,$E468="GKP"),AY468,"")</f>
        <v/>
      </c>
      <c r="BD468">
        <f>IF(AND($G468=TRUE,$E468="DEF"),AY468,"")</f>
        <v/>
      </c>
      <c r="BE468">
        <f>IF(AND($G468=TRUE,$E468="MID"),AY468,"")</f>
        <v/>
      </c>
      <c r="BF468">
        <f>IF(AND($G468=TRUE,$E468="FWD"),AY468,"")</f>
        <v/>
      </c>
      <c r="BG468" t="n">
        <v>0</v>
      </c>
      <c r="BH468" t="n">
        <v>0</v>
      </c>
      <c r="BI468" t="n">
        <v>0</v>
      </c>
      <c r="BJ468" t="n">
        <v>0</v>
      </c>
    </row>
    <row r="469">
      <c r="A469" t="inlineStr">
        <is>
          <t>Dan Bentley</t>
        </is>
      </c>
      <c r="C469" t="inlineStr">
        <is>
          <t>WOL</t>
        </is>
      </c>
      <c r="D469" t="b">
        <v>0</v>
      </c>
      <c r="F469" t="inlineStr">
        <is>
          <t>GKP</t>
        </is>
      </c>
      <c r="G469" t="b">
        <v>0</v>
      </c>
      <c r="H469" s="2" t="n"/>
      <c r="K469" s="2" t="n">
        <v>270</v>
      </c>
      <c r="M469" s="3" t="n"/>
      <c r="N469" s="8" t="n">
        <v>270</v>
      </c>
      <c r="O469" s="8" t="n">
        <v>0</v>
      </c>
      <c r="R469" s="6" t="n">
        <v>270</v>
      </c>
      <c r="S469" t="inlineStr">
        <is>
          <t>25/26 actual</t>
        </is>
      </c>
      <c r="U469" s="6" t="n">
        <v>89.8</v>
      </c>
      <c r="V469" s="2" t="n">
        <v>3</v>
      </c>
      <c r="W469" s="7">
        <f>IF(N(U469)&lt;=0,0,MIN(Assumptions!$B$15,N(R469)/N(U469)))</f>
        <v/>
      </c>
      <c r="X469" s="6" t="n"/>
      <c r="Y469" s="3" t="n">
        <v>0</v>
      </c>
      <c r="Z469" t="inlineStr">
        <is>
          <t>blended xG</t>
        </is>
      </c>
      <c r="AA469" s="3" t="n">
        <v>1</v>
      </c>
      <c r="AB469" s="3" t="n">
        <v>1</v>
      </c>
      <c r="AC469" s="3" t="n">
        <v>0</v>
      </c>
      <c r="AD469" s="3" t="n">
        <v>0</v>
      </c>
      <c r="AE469" s="3" t="n">
        <v>0</v>
      </c>
      <c r="AF469" s="3" t="n">
        <v>0</v>
      </c>
      <c r="AG469" s="3" t="n">
        <v>0</v>
      </c>
      <c r="AH469" s="3" t="n">
        <v>6</v>
      </c>
      <c r="AI469" s="3" t="n"/>
      <c r="AJ469" s="3" t="n"/>
      <c r="AK469" s="3" t="n"/>
      <c r="AL469" s="6" t="n">
        <v>0</v>
      </c>
      <c r="AM469" s="3" t="n">
        <v>0</v>
      </c>
      <c r="AN469" s="3" t="n">
        <v>0</v>
      </c>
      <c r="AO469" s="3" t="n">
        <v>0</v>
      </c>
      <c r="AP469" s="3">
        <f>N(X469)*N(BI469)</f>
        <v/>
      </c>
      <c r="AQ469" s="3" t="n">
        <v>0</v>
      </c>
      <c r="AR469" s="3" t="n">
        <v>0</v>
      </c>
      <c r="AS469" s="3" t="n">
        <v>0</v>
      </c>
      <c r="AT469" s="3" t="n">
        <v>0</v>
      </c>
      <c r="AU469" s="3">
        <f>SUM(AN469:AT469)</f>
        <v/>
      </c>
      <c r="AV469" s="7">
        <f>IF(OR(N(W469)&lt;=0,N(BG469)=0),0,N(W469)*IF(N(R469)/N(W469)&gt;=60,N(BG469),1))</f>
        <v/>
      </c>
      <c r="AW469" s="7">
        <f>N(W469)*N(AF469)*N(BH469)</f>
        <v/>
      </c>
      <c r="AX469" s="7">
        <f>N(AL469)*(Assumptions!$B$13*N(BJ469)-(1-Assumptions!$B$13)*Assumptions!$B$14)+N(AM469)</f>
        <v/>
      </c>
      <c r="AY469" s="7">
        <f>N(AU469)*N(R469)/90+N(AV469)+N(AW469)+N(AX469)</f>
        <v/>
      </c>
      <c r="AZ469" s="3">
        <f>IF(N(R469)&lt;=0,0,(N(AY469)-N(AX469))*90/N(R469))</f>
        <v/>
      </c>
      <c r="BA469" s="7">
        <f>IFERROR(AY469-VLOOKUP($E469,Assumptions!$A$40:$C$43,3,FALSE),"")</f>
        <v/>
      </c>
      <c r="BB469" s="3">
        <f>IFERROR(BA469/H469,"")</f>
        <v/>
      </c>
      <c r="BC469">
        <f>IF(AND($G469=TRUE,$E469="GKP"),AY469,"")</f>
        <v/>
      </c>
      <c r="BD469">
        <f>IF(AND($G469=TRUE,$E469="DEF"),AY469,"")</f>
        <v/>
      </c>
      <c r="BE469">
        <f>IF(AND($G469=TRUE,$E469="MID"),AY469,"")</f>
        <v/>
      </c>
      <c r="BF469">
        <f>IF(AND($G469=TRUE,$E469="FWD"),AY469,"")</f>
        <v/>
      </c>
      <c r="BG469" t="n">
        <v>0</v>
      </c>
      <c r="BH469" t="n">
        <v>0</v>
      </c>
      <c r="BI469" t="n">
        <v>0</v>
      </c>
      <c r="BJ469" t="n">
        <v>0</v>
      </c>
    </row>
    <row r="470">
      <c r="A470" t="inlineStr">
        <is>
          <t>Jake Bidwell</t>
        </is>
      </c>
      <c r="B470" t="inlineStr">
        <is>
          <t>COV</t>
        </is>
      </c>
      <c r="D470" t="b">
        <v>0</v>
      </c>
      <c r="E470" t="inlineStr">
        <is>
          <t>DEF</t>
        </is>
      </c>
      <c r="G470" t="b">
        <v>1</v>
      </c>
      <c r="H470" s="2" t="n">
        <v>4</v>
      </c>
      <c r="I470" t="inlineStr">
        <is>
          <t>a</t>
        </is>
      </c>
      <c r="K470" s="2" t="n"/>
      <c r="M470" s="3" t="n">
        <v>65</v>
      </c>
      <c r="N470" s="8" t="n">
        <v>65</v>
      </c>
      <c r="O470" s="8" t="n">
        <v>0</v>
      </c>
      <c r="Q470" t="inlineStr">
        <is>
          <t>flat</t>
        </is>
      </c>
      <c r="R470" s="6" t="n">
        <v>65</v>
      </c>
      <c r="S470" t="inlineStr">
        <is>
          <t>Solio</t>
        </is>
      </c>
      <c r="U470" s="6" t="n">
        <v>85</v>
      </c>
      <c r="V470" s="2" t="n"/>
      <c r="W470" s="7">
        <f>IF(N(U470)&lt;=0,0,MIN(Assumptions!$B$15,N(R470)/N(U470)))</f>
        <v/>
      </c>
      <c r="X470" s="6" t="n">
        <v>0.17</v>
      </c>
      <c r="Y470" s="3" t="n"/>
      <c r="Z470" t="inlineStr"/>
      <c r="AA470" s="3" t="n">
        <v>1</v>
      </c>
      <c r="AB470" s="3" t="n"/>
      <c r="AC470" s="3" t="n"/>
      <c r="AD470" s="3" t="n"/>
      <c r="AE470" s="3" t="n"/>
      <c r="AF470" s="3" t="n">
        <v>0</v>
      </c>
      <c r="AG470" s="3" t="n"/>
      <c r="AH470" s="3" t="n"/>
      <c r="AI470" s="3" t="n">
        <v>3.6194</v>
      </c>
      <c r="AJ470" s="3" t="n">
        <v>1.8271</v>
      </c>
      <c r="AK470" s="3" t="n">
        <v>-0.2045226422080557</v>
      </c>
      <c r="AL470" s="6" t="n">
        <v>0</v>
      </c>
      <c r="AM470" s="3" t="n">
        <v>0</v>
      </c>
      <c r="AN470" s="3" t="n">
        <v>0</v>
      </c>
      <c r="AO470" s="3" t="n">
        <v>0</v>
      </c>
      <c r="AP470" s="3">
        <f>N(X470)*N(BI470)</f>
        <v/>
      </c>
      <c r="AQ470" s="3" t="n">
        <v>0</v>
      </c>
      <c r="AR470" s="3" t="n">
        <v>0</v>
      </c>
      <c r="AS470" s="3" t="n">
        <v>-0.670020548738316</v>
      </c>
      <c r="AT470" s="3" t="n">
        <v>-0.2045226422080557</v>
      </c>
      <c r="AU470" s="3">
        <f>SUM(AN470:AT470)</f>
        <v/>
      </c>
      <c r="AV470" s="7">
        <f>IF(OR(N(W470)&lt;=0,N(BG470)=0),0,N(W470)*IF(N(R470)/N(W470)&gt;=60,N(BG470),1))</f>
        <v/>
      </c>
      <c r="AW470" s="7">
        <f>N(W470)*N(AF470)*N(BH470)</f>
        <v/>
      </c>
      <c r="AX470" s="7">
        <f>N(AL470)*(Assumptions!$B$13*N(BJ470)-(1-Assumptions!$B$13)*Assumptions!$B$14)+N(AM470)</f>
        <v/>
      </c>
      <c r="AY470" s="7">
        <f>N(AU470)*N(R470)/90+N(AV470)+N(AW470)+N(AX470)</f>
        <v/>
      </c>
      <c r="AZ470" s="3">
        <f>IF(N(R470)&lt;=0,0,(N(AY470)-N(AX470))*90/N(R470))</f>
        <v/>
      </c>
      <c r="BA470" s="7">
        <f>IFERROR(AY470-VLOOKUP($E470,Assumptions!$A$40:$C$43,3,FALSE),"")</f>
        <v/>
      </c>
      <c r="BB470" s="3">
        <f>IFERROR(BA470/H470,"")</f>
        <v/>
      </c>
      <c r="BC470">
        <f>IF(AND($G470=TRUE,$E470="GKP"),AY470,"")</f>
        <v/>
      </c>
      <c r="BD470">
        <f>IF(AND($G470=TRUE,$E470="DEF"),AY470,"")</f>
        <v/>
      </c>
      <c r="BE470">
        <f>IF(AND($G470=TRUE,$E470="MID"),AY470,"")</f>
        <v/>
      </c>
      <c r="BF470">
        <f>IF(AND($G470=TRUE,$E470="FWD"),AY470,"")</f>
        <v/>
      </c>
      <c r="BG470" t="n">
        <v>2</v>
      </c>
      <c r="BH470" t="n">
        <v>2</v>
      </c>
      <c r="BI470" t="n">
        <v>4</v>
      </c>
      <c r="BJ470" t="n">
        <v>6</v>
      </c>
    </row>
    <row r="471">
      <c r="A471" t="inlineStr">
        <is>
          <t>Idrissa Gueye</t>
        </is>
      </c>
      <c r="C471" t="inlineStr">
        <is>
          <t>EVE</t>
        </is>
      </c>
      <c r="D471" t="b">
        <v>0</v>
      </c>
      <c r="F471" t="inlineStr">
        <is>
          <t>MID</t>
        </is>
      </c>
      <c r="G471" t="b">
        <v>0</v>
      </c>
      <c r="H471" s="2" t="n"/>
      <c r="K471" s="2" t="n">
        <v>2101</v>
      </c>
      <c r="M471" s="3" t="n"/>
      <c r="N471" s="8" t="n">
        <v>2101</v>
      </c>
      <c r="O471" s="8" t="n">
        <v>0</v>
      </c>
      <c r="R471" s="6" t="n">
        <v>2101</v>
      </c>
      <c r="S471" t="inlineStr">
        <is>
          <t>25/26 actual</t>
        </is>
      </c>
      <c r="U471" s="6" t="n">
        <v>84.8</v>
      </c>
      <c r="V471" s="2" t="n">
        <v>24</v>
      </c>
      <c r="W471" s="7">
        <f>IF(N(U471)&lt;=0,0,MIN(Assumptions!$B$15,N(R471)/N(U471)))</f>
        <v/>
      </c>
      <c r="X471" s="6" t="n"/>
      <c r="Y471" s="3" t="n">
        <v>0.08790000000000001</v>
      </c>
      <c r="Z471" t="inlineStr">
        <is>
          <t>adjusted xGOT</t>
        </is>
      </c>
      <c r="AA471" s="3" t="n">
        <v>1</v>
      </c>
      <c r="AB471" s="3" t="n">
        <v>1.03</v>
      </c>
      <c r="AC471" s="3" t="n">
        <v>5.1</v>
      </c>
      <c r="AD471" s="3" t="n">
        <v>0.0726</v>
      </c>
      <c r="AE471" s="3" t="n">
        <v>9.167</v>
      </c>
      <c r="AF471" s="3" t="n">
        <v>0</v>
      </c>
      <c r="AG471" s="3" t="n">
        <v>0.1713</v>
      </c>
      <c r="AH471" s="3" t="n">
        <v>49</v>
      </c>
      <c r="AI471" s="3" t="n"/>
      <c r="AJ471" s="3" t="n"/>
      <c r="AK471" s="3" t="n"/>
      <c r="AL471" s="6" t="n">
        <v>0</v>
      </c>
      <c r="AM471" s="3" t="n">
        <v>0</v>
      </c>
      <c r="AN471" s="3" t="n">
        <v>0</v>
      </c>
      <c r="AO471" s="3" t="n">
        <v>0</v>
      </c>
      <c r="AP471" s="3">
        <f>N(X471)*N(BI471)</f>
        <v/>
      </c>
      <c r="AQ471" s="3" t="n">
        <v>0</v>
      </c>
      <c r="AR471" s="3" t="n">
        <v>0</v>
      </c>
      <c r="AS471" s="3" t="n">
        <v>0</v>
      </c>
      <c r="AT471" s="3" t="n">
        <v>0</v>
      </c>
      <c r="AU471" s="3">
        <f>SUM(AN471:AT471)</f>
        <v/>
      </c>
      <c r="AV471" s="7">
        <f>IF(OR(N(W471)&lt;=0,N(BG471)=0),0,N(W471)*IF(N(R471)/N(W471)&gt;=60,N(BG471),1))</f>
        <v/>
      </c>
      <c r="AW471" s="7">
        <f>N(W471)*N(AF471)*N(BH471)</f>
        <v/>
      </c>
      <c r="AX471" s="7">
        <f>N(AL471)*(Assumptions!$B$13*N(BJ471)-(1-Assumptions!$B$13)*Assumptions!$B$14)+N(AM471)</f>
        <v/>
      </c>
      <c r="AY471" s="7">
        <f>N(AU471)*N(R471)/90+N(AV471)+N(AW471)+N(AX471)</f>
        <v/>
      </c>
      <c r="AZ471" s="3">
        <f>IF(N(R471)&lt;=0,0,(N(AY471)-N(AX471))*90/N(R471))</f>
        <v/>
      </c>
      <c r="BA471" s="7">
        <f>IFERROR(AY471-VLOOKUP($E471,Assumptions!$A$40:$C$43,3,FALSE),"")</f>
        <v/>
      </c>
      <c r="BB471" s="3">
        <f>IFERROR(BA471/H471,"")</f>
        <v/>
      </c>
      <c r="BC471">
        <f>IF(AND($G471=TRUE,$E471="GKP"),AY471,"")</f>
        <v/>
      </c>
      <c r="BD471">
        <f>IF(AND($G471=TRUE,$E471="DEF"),AY471,"")</f>
        <v/>
      </c>
      <c r="BE471">
        <f>IF(AND($G471=TRUE,$E471="MID"),AY471,"")</f>
        <v/>
      </c>
      <c r="BF471">
        <f>IF(AND($G471=TRUE,$E471="FWD"),AY471,"")</f>
        <v/>
      </c>
      <c r="BG471" t="n">
        <v>0</v>
      </c>
      <c r="BH471" t="n">
        <v>0</v>
      </c>
      <c r="BI471" t="n">
        <v>0</v>
      </c>
      <c r="BJ471" t="n">
        <v>0</v>
      </c>
    </row>
    <row r="472">
      <c r="A472" t="inlineStr">
        <is>
          <t>Alphonse Areola</t>
        </is>
      </c>
      <c r="C472" t="inlineStr">
        <is>
          <t>WHU</t>
        </is>
      </c>
      <c r="D472" t="b">
        <v>0</v>
      </c>
      <c r="F472" t="inlineStr">
        <is>
          <t>GKP</t>
        </is>
      </c>
      <c r="G472" t="b">
        <v>0</v>
      </c>
      <c r="H472" s="2" t="n"/>
      <c r="K472" s="2" t="n">
        <v>1800</v>
      </c>
      <c r="M472" s="3" t="n"/>
      <c r="N472" s="8" t="n">
        <v>1800</v>
      </c>
      <c r="O472" s="8" t="n">
        <v>0</v>
      </c>
      <c r="R472" s="6" t="n">
        <v>1800</v>
      </c>
      <c r="S472" t="inlineStr">
        <is>
          <t>25/26 actual</t>
        </is>
      </c>
      <c r="U472" s="6" t="n">
        <v>89.90000000000001</v>
      </c>
      <c r="V472" s="2" t="n">
        <v>20</v>
      </c>
      <c r="W472" s="7">
        <f>IF(N(U472)&lt;=0,0,MIN(Assumptions!$B$15,N(R472)/N(U472)))</f>
        <v/>
      </c>
      <c r="X472" s="6" t="n"/>
      <c r="Y472" s="3" t="n">
        <v>0</v>
      </c>
      <c r="Z472" t="inlineStr">
        <is>
          <t>blended xG</t>
        </is>
      </c>
      <c r="AA472" s="3" t="n">
        <v>1</v>
      </c>
      <c r="AB472" s="3" t="n">
        <v>1</v>
      </c>
      <c r="AC472" s="3" t="n">
        <v>0</v>
      </c>
      <c r="AD472" s="3" t="n">
        <v>0.0011</v>
      </c>
      <c r="AE472" s="3" t="n">
        <v>0</v>
      </c>
      <c r="AF472" s="3" t="n">
        <v>0</v>
      </c>
      <c r="AG472" s="3" t="n">
        <v>0.1</v>
      </c>
      <c r="AH472" s="3" t="n">
        <v>40</v>
      </c>
      <c r="AI472" s="3" t="n"/>
      <c r="AJ472" s="3" t="n"/>
      <c r="AK472" s="3" t="n"/>
      <c r="AL472" s="6" t="n">
        <v>0</v>
      </c>
      <c r="AM472" s="3" t="n">
        <v>0</v>
      </c>
      <c r="AN472" s="3" t="n">
        <v>0</v>
      </c>
      <c r="AO472" s="3" t="n">
        <v>0</v>
      </c>
      <c r="AP472" s="3">
        <f>N(X472)*N(BI472)</f>
        <v/>
      </c>
      <c r="AQ472" s="3" t="n">
        <v>0</v>
      </c>
      <c r="AR472" s="3" t="n">
        <v>0</v>
      </c>
      <c r="AS472" s="3" t="n">
        <v>0</v>
      </c>
      <c r="AT472" s="3" t="n">
        <v>0</v>
      </c>
      <c r="AU472" s="3">
        <f>SUM(AN472:AT472)</f>
        <v/>
      </c>
      <c r="AV472" s="7">
        <f>IF(OR(N(W472)&lt;=0,N(BG472)=0),0,N(W472)*IF(N(R472)/N(W472)&gt;=60,N(BG472),1))</f>
        <v/>
      </c>
      <c r="AW472" s="7">
        <f>N(W472)*N(AF472)*N(BH472)</f>
        <v/>
      </c>
      <c r="AX472" s="7">
        <f>N(AL472)*(Assumptions!$B$13*N(BJ472)-(1-Assumptions!$B$13)*Assumptions!$B$14)+N(AM472)</f>
        <v/>
      </c>
      <c r="AY472" s="7">
        <f>N(AU472)*N(R472)/90+N(AV472)+N(AW472)+N(AX472)</f>
        <v/>
      </c>
      <c r="AZ472" s="3">
        <f>IF(N(R472)&lt;=0,0,(N(AY472)-N(AX472))*90/N(R472))</f>
        <v/>
      </c>
      <c r="BA472" s="7">
        <f>IFERROR(AY472-VLOOKUP($E472,Assumptions!$A$40:$C$43,3,FALSE),"")</f>
        <v/>
      </c>
      <c r="BB472" s="3">
        <f>IFERROR(BA472/H472,"")</f>
        <v/>
      </c>
      <c r="BC472">
        <f>IF(AND($G472=TRUE,$E472="GKP"),AY472,"")</f>
        <v/>
      </c>
      <c r="BD472">
        <f>IF(AND($G472=TRUE,$E472="DEF"),AY472,"")</f>
        <v/>
      </c>
      <c r="BE472">
        <f>IF(AND($G472=TRUE,$E472="MID"),AY472,"")</f>
        <v/>
      </c>
      <c r="BF472">
        <f>IF(AND($G472=TRUE,$E472="FWD"),AY472,"")</f>
        <v/>
      </c>
      <c r="BG472" t="n">
        <v>0</v>
      </c>
      <c r="BH472" t="n">
        <v>0</v>
      </c>
      <c r="BI472" t="n">
        <v>0</v>
      </c>
      <c r="BJ472" t="n">
        <v>0</v>
      </c>
    </row>
    <row r="473">
      <c r="A473" t="inlineStr">
        <is>
          <t>Matt Doherty</t>
        </is>
      </c>
      <c r="C473" t="inlineStr">
        <is>
          <t>WOL</t>
        </is>
      </c>
      <c r="D473" t="b">
        <v>0</v>
      </c>
      <c r="F473" t="inlineStr">
        <is>
          <t>DEF</t>
        </is>
      </c>
      <c r="G473" t="b">
        <v>0</v>
      </c>
      <c r="H473" s="2" t="n"/>
      <c r="K473" s="2" t="n">
        <v>791</v>
      </c>
      <c r="M473" s="3" t="n"/>
      <c r="N473" s="8" t="n">
        <v>791</v>
      </c>
      <c r="O473" s="8" t="n">
        <v>0</v>
      </c>
      <c r="R473" s="6" t="n">
        <v>791</v>
      </c>
      <c r="S473" t="inlineStr">
        <is>
          <t>25/26 actual</t>
        </is>
      </c>
      <c r="U473" s="6" t="n">
        <v>78.09999999999999</v>
      </c>
      <c r="V473" s="2" t="n">
        <v>11</v>
      </c>
      <c r="W473" s="7">
        <f>IF(N(U473)&lt;=0,0,MIN(Assumptions!$B$15,N(R473)/N(U473)))</f>
        <v/>
      </c>
      <c r="X473" s="6" t="n"/>
      <c r="Y473" s="3" t="n">
        <v>0.0108</v>
      </c>
      <c r="Z473" t="inlineStr">
        <is>
          <t>adjusted xGOT</t>
        </is>
      </c>
      <c r="AA473" s="3" t="n">
        <v>1</v>
      </c>
      <c r="AB473" s="3" t="n">
        <v>1.061</v>
      </c>
      <c r="AC473" s="3" t="n">
        <v>2.8</v>
      </c>
      <c r="AD473" s="3" t="n">
        <v>0.0197</v>
      </c>
      <c r="AE473" s="3" t="n">
        <v>7.618</v>
      </c>
      <c r="AF473" s="3" t="n">
        <v>0</v>
      </c>
      <c r="AG473" s="3" t="n">
        <v>0</v>
      </c>
      <c r="AH473" s="3" t="n">
        <v>19</v>
      </c>
      <c r="AI473" s="3" t="n"/>
      <c r="AJ473" s="3" t="n"/>
      <c r="AK473" s="3" t="n"/>
      <c r="AL473" s="6" t="n">
        <v>0</v>
      </c>
      <c r="AM473" s="3" t="n">
        <v>0</v>
      </c>
      <c r="AN473" s="3" t="n">
        <v>0</v>
      </c>
      <c r="AO473" s="3" t="n">
        <v>0</v>
      </c>
      <c r="AP473" s="3">
        <f>N(X473)*N(BI473)</f>
        <v/>
      </c>
      <c r="AQ473" s="3" t="n">
        <v>0</v>
      </c>
      <c r="AR473" s="3" t="n">
        <v>0</v>
      </c>
      <c r="AS473" s="3" t="n">
        <v>0</v>
      </c>
      <c r="AT473" s="3" t="n">
        <v>0</v>
      </c>
      <c r="AU473" s="3">
        <f>SUM(AN473:AT473)</f>
        <v/>
      </c>
      <c r="AV473" s="7">
        <f>IF(OR(N(W473)&lt;=0,N(BG473)=0),0,N(W473)*IF(N(R473)/N(W473)&gt;=60,N(BG473),1))</f>
        <v/>
      </c>
      <c r="AW473" s="7">
        <f>N(W473)*N(AF473)*N(BH473)</f>
        <v/>
      </c>
      <c r="AX473" s="7">
        <f>N(AL473)*(Assumptions!$B$13*N(BJ473)-(1-Assumptions!$B$13)*Assumptions!$B$14)+N(AM473)</f>
        <v/>
      </c>
      <c r="AY473" s="7">
        <f>N(AU473)*N(R473)/90+N(AV473)+N(AW473)+N(AX473)</f>
        <v/>
      </c>
      <c r="AZ473" s="3">
        <f>IF(N(R473)&lt;=0,0,(N(AY473)-N(AX473))*90/N(R473))</f>
        <v/>
      </c>
      <c r="BA473" s="7">
        <f>IFERROR(AY473-VLOOKUP($E473,Assumptions!$A$40:$C$43,3,FALSE),"")</f>
        <v/>
      </c>
      <c r="BB473" s="3">
        <f>IFERROR(BA473/H473,"")</f>
        <v/>
      </c>
      <c r="BC473">
        <f>IF(AND($G473=TRUE,$E473="GKP"),AY473,"")</f>
        <v/>
      </c>
      <c r="BD473">
        <f>IF(AND($G473=TRUE,$E473="DEF"),AY473,"")</f>
        <v/>
      </c>
      <c r="BE473">
        <f>IF(AND($G473=TRUE,$E473="MID"),AY473,"")</f>
        <v/>
      </c>
      <c r="BF473">
        <f>IF(AND($G473=TRUE,$E473="FWD"),AY473,"")</f>
        <v/>
      </c>
      <c r="BG473" t="n">
        <v>0</v>
      </c>
      <c r="BH473" t="n">
        <v>0</v>
      </c>
      <c r="BI473" t="n">
        <v>0</v>
      </c>
      <c r="BJ473" t="n">
        <v>0</v>
      </c>
    </row>
    <row r="474">
      <c r="A474" t="inlineStr">
        <is>
          <t>Stefan Ortega</t>
        </is>
      </c>
      <c r="C474" t="inlineStr">
        <is>
          <t>NFO</t>
        </is>
      </c>
      <c r="D474" t="b">
        <v>0</v>
      </c>
      <c r="F474" t="inlineStr">
        <is>
          <t>GKP</t>
        </is>
      </c>
      <c r="G474" t="b">
        <v>0</v>
      </c>
      <c r="H474" s="2" t="n"/>
      <c r="K474" s="2" t="n">
        <v>270</v>
      </c>
      <c r="M474" s="3" t="n"/>
      <c r="N474" s="8" t="n">
        <v>270</v>
      </c>
      <c r="O474" s="8" t="n">
        <v>0</v>
      </c>
      <c r="R474" s="6" t="n">
        <v>270</v>
      </c>
      <c r="S474" t="inlineStr">
        <is>
          <t>25/26 actual</t>
        </is>
      </c>
      <c r="U474" s="6" t="n">
        <v>89.8</v>
      </c>
      <c r="V474" s="2" t="n">
        <v>3</v>
      </c>
      <c r="W474" s="7">
        <f>IF(N(U474)&lt;=0,0,MIN(Assumptions!$B$15,N(R474)/N(U474)))</f>
        <v/>
      </c>
      <c r="X474" s="6" t="n"/>
      <c r="Y474" s="3" t="n">
        <v>0</v>
      </c>
      <c r="Z474" t="inlineStr">
        <is>
          <t>blended xG</t>
        </is>
      </c>
      <c r="AA474" s="3" t="n">
        <v>1</v>
      </c>
      <c r="AB474" s="3" t="n">
        <v>1</v>
      </c>
      <c r="AC474" s="3" t="n">
        <v>0</v>
      </c>
      <c r="AD474" s="3" t="n">
        <v>0</v>
      </c>
      <c r="AE474" s="3" t="n">
        <v>0</v>
      </c>
      <c r="AF474" s="3" t="n">
        <v>0</v>
      </c>
      <c r="AG474" s="3" t="n">
        <v>0</v>
      </c>
      <c r="AH474" s="3" t="n">
        <v>6</v>
      </c>
      <c r="AI474" s="3" t="n"/>
      <c r="AJ474" s="3" t="n"/>
      <c r="AK474" s="3" t="n"/>
      <c r="AL474" s="6" t="n">
        <v>0</v>
      </c>
      <c r="AM474" s="3" t="n">
        <v>0</v>
      </c>
      <c r="AN474" s="3" t="n">
        <v>0</v>
      </c>
      <c r="AO474" s="3" t="n">
        <v>0</v>
      </c>
      <c r="AP474" s="3">
        <f>N(X474)*N(BI474)</f>
        <v/>
      </c>
      <c r="AQ474" s="3" t="n">
        <v>0</v>
      </c>
      <c r="AR474" s="3" t="n">
        <v>0</v>
      </c>
      <c r="AS474" s="3" t="n">
        <v>0</v>
      </c>
      <c r="AT474" s="3" t="n">
        <v>0</v>
      </c>
      <c r="AU474" s="3">
        <f>SUM(AN474:AT474)</f>
        <v/>
      </c>
      <c r="AV474" s="7">
        <f>IF(OR(N(W474)&lt;=0,N(BG474)=0),0,N(W474)*IF(N(R474)/N(W474)&gt;=60,N(BG474),1))</f>
        <v/>
      </c>
      <c r="AW474" s="7">
        <f>N(W474)*N(AF474)*N(BH474)</f>
        <v/>
      </c>
      <c r="AX474" s="7">
        <f>N(AL474)*(Assumptions!$B$13*N(BJ474)-(1-Assumptions!$B$13)*Assumptions!$B$14)+N(AM474)</f>
        <v/>
      </c>
      <c r="AY474" s="7">
        <f>N(AU474)*N(R474)/90+N(AV474)+N(AW474)+N(AX474)</f>
        <v/>
      </c>
      <c r="AZ474" s="3">
        <f>IF(N(R474)&lt;=0,0,(N(AY474)-N(AX474))*90/N(R474))</f>
        <v/>
      </c>
      <c r="BA474" s="7">
        <f>IFERROR(AY474-VLOOKUP($E474,Assumptions!$A$40:$C$43,3,FALSE),"")</f>
        <v/>
      </c>
      <c r="BB474" s="3">
        <f>IFERROR(BA474/H474,"")</f>
        <v/>
      </c>
      <c r="BC474">
        <f>IF(AND($G474=TRUE,$E474="GKP"),AY474,"")</f>
        <v/>
      </c>
      <c r="BD474">
        <f>IF(AND($G474=TRUE,$E474="DEF"),AY474,"")</f>
        <v/>
      </c>
      <c r="BE474">
        <f>IF(AND($G474=TRUE,$E474="MID"),AY474,"")</f>
        <v/>
      </c>
      <c r="BF474">
        <f>IF(AND($G474=TRUE,$E474="FWD"),AY474,"")</f>
        <v/>
      </c>
      <c r="BG474" t="n">
        <v>0</v>
      </c>
      <c r="BH474" t="n">
        <v>0</v>
      </c>
      <c r="BI474" t="n">
        <v>0</v>
      </c>
      <c r="BJ474" t="n">
        <v>0</v>
      </c>
    </row>
    <row r="475">
      <c r="A475" t="inlineStr">
        <is>
          <t>Niclas Füllkrug</t>
        </is>
      </c>
      <c r="C475" t="inlineStr">
        <is>
          <t>WHU</t>
        </is>
      </c>
      <c r="D475" t="b">
        <v>0</v>
      </c>
      <c r="F475" t="inlineStr">
        <is>
          <t>FWD</t>
        </is>
      </c>
      <c r="G475" t="b">
        <v>0</v>
      </c>
      <c r="H475" s="2" t="n"/>
      <c r="K475" s="2" t="n">
        <v>408</v>
      </c>
      <c r="M475" s="3" t="n"/>
      <c r="N475" s="8" t="n">
        <v>408</v>
      </c>
      <c r="O475" s="8" t="n">
        <v>0</v>
      </c>
      <c r="R475" s="6" t="n">
        <v>408</v>
      </c>
      <c r="S475" t="inlineStr">
        <is>
          <t>25/26 actual</t>
        </is>
      </c>
      <c r="U475" s="6" t="n">
        <v>75.5</v>
      </c>
      <c r="V475" s="2" t="n">
        <v>5</v>
      </c>
      <c r="W475" s="7">
        <f>IF(N(U475)&lt;=0,0,MIN(Assumptions!$B$15,N(R475)/N(U475)))</f>
        <v/>
      </c>
      <c r="X475" s="6" t="n"/>
      <c r="Y475" s="3" t="n">
        <v>0.2279</v>
      </c>
      <c r="Z475" t="inlineStr">
        <is>
          <t>adjusted xGOT</t>
        </is>
      </c>
      <c r="AA475" s="3" t="n">
        <v>1</v>
      </c>
      <c r="AB475" s="3" t="n">
        <v>1.111</v>
      </c>
      <c r="AC475" s="3" t="n">
        <v>3.1</v>
      </c>
      <c r="AD475" s="3" t="n">
        <v>0.09909999999999999</v>
      </c>
      <c r="AE475" s="3" t="n">
        <v>4.579</v>
      </c>
      <c r="AF475" s="3" t="n">
        <v>0</v>
      </c>
      <c r="AG475" s="3" t="n">
        <v>0</v>
      </c>
      <c r="AH475" s="3" t="n">
        <v>12</v>
      </c>
      <c r="AI475" s="3" t="n"/>
      <c r="AJ475" s="3" t="n"/>
      <c r="AK475" s="3" t="n"/>
      <c r="AL475" s="6" t="n">
        <v>0</v>
      </c>
      <c r="AM475" s="3" t="n">
        <v>0</v>
      </c>
      <c r="AN475" s="3" t="n">
        <v>0</v>
      </c>
      <c r="AO475" s="3" t="n">
        <v>0</v>
      </c>
      <c r="AP475" s="3">
        <f>N(X475)*N(BI475)</f>
        <v/>
      </c>
      <c r="AQ475" s="3" t="n">
        <v>0</v>
      </c>
      <c r="AR475" s="3" t="n">
        <v>0</v>
      </c>
      <c r="AS475" s="3" t="n">
        <v>0</v>
      </c>
      <c r="AT475" s="3" t="n">
        <v>0</v>
      </c>
      <c r="AU475" s="3">
        <f>SUM(AN475:AT475)</f>
        <v/>
      </c>
      <c r="AV475" s="7">
        <f>IF(OR(N(W475)&lt;=0,N(BG475)=0),0,N(W475)*IF(N(R475)/N(W475)&gt;=60,N(BG475),1))</f>
        <v/>
      </c>
      <c r="AW475" s="7">
        <f>N(W475)*N(AF475)*N(BH475)</f>
        <v/>
      </c>
      <c r="AX475" s="7">
        <f>N(AL475)*(Assumptions!$B$13*N(BJ475)-(1-Assumptions!$B$13)*Assumptions!$B$14)+N(AM475)</f>
        <v/>
      </c>
      <c r="AY475" s="7">
        <f>N(AU475)*N(R475)/90+N(AV475)+N(AW475)+N(AX475)</f>
        <v/>
      </c>
      <c r="AZ475" s="3">
        <f>IF(N(R475)&lt;=0,0,(N(AY475)-N(AX475))*90/N(R475))</f>
        <v/>
      </c>
      <c r="BA475" s="7">
        <f>IFERROR(AY475-VLOOKUP($E475,Assumptions!$A$40:$C$43,3,FALSE),"")</f>
        <v/>
      </c>
      <c r="BB475" s="3">
        <f>IFERROR(BA475/H475,"")</f>
        <v/>
      </c>
      <c r="BC475">
        <f>IF(AND($G475=TRUE,$E475="GKP"),AY475,"")</f>
        <v/>
      </c>
      <c r="BD475">
        <f>IF(AND($G475=TRUE,$E475="DEF"),AY475,"")</f>
        <v/>
      </c>
      <c r="BE475">
        <f>IF(AND($G475=TRUE,$E475="MID"),AY475,"")</f>
        <v/>
      </c>
      <c r="BF475">
        <f>IF(AND($G475=TRUE,$E475="FWD"),AY475,"")</f>
        <v/>
      </c>
      <c r="BG475" t="n">
        <v>0</v>
      </c>
      <c r="BH475" t="n">
        <v>0</v>
      </c>
      <c r="BI475" t="n">
        <v>0</v>
      </c>
      <c r="BJ475" t="n">
        <v>0</v>
      </c>
    </row>
    <row r="476">
      <c r="A476" t="inlineStr">
        <is>
          <t>Thomas Meunier</t>
        </is>
      </c>
      <c r="B476" t="inlineStr">
        <is>
          <t>SUN</t>
        </is>
      </c>
      <c r="D476" t="b">
        <v>0</v>
      </c>
      <c r="E476" t="inlineStr">
        <is>
          <t>DEF</t>
        </is>
      </c>
      <c r="G476" t="b">
        <v>1</v>
      </c>
      <c r="H476" s="2" t="n">
        <v>4.5</v>
      </c>
      <c r="I476" t="inlineStr">
        <is>
          <t>a</t>
        </is>
      </c>
      <c r="K476" s="2" t="n"/>
      <c r="M476" s="3" t="n">
        <v>804</v>
      </c>
      <c r="N476" s="8" t="n">
        <v>804</v>
      </c>
      <c r="O476" s="8" t="n">
        <v>0</v>
      </c>
      <c r="Q476" t="inlineStr">
        <is>
          <t>flat</t>
        </is>
      </c>
      <c r="R476" s="6" t="n">
        <v>804</v>
      </c>
      <c r="S476" t="inlineStr">
        <is>
          <t>Solio</t>
        </is>
      </c>
      <c r="U476" s="6" t="n">
        <v>85</v>
      </c>
      <c r="V476" s="2" t="n"/>
      <c r="W476" s="7">
        <f>IF(N(U476)&lt;=0,0,MIN(Assumptions!$B$15,N(R476)/N(U476)))</f>
        <v/>
      </c>
      <c r="X476" s="6" t="n">
        <v>0.204</v>
      </c>
      <c r="Y476" s="3" t="n"/>
      <c r="Z476" t="inlineStr"/>
      <c r="AA476" s="3" t="n">
        <v>1</v>
      </c>
      <c r="AB476" s="3" t="n"/>
      <c r="AC476" s="3" t="n"/>
      <c r="AD476" s="3" t="n"/>
      <c r="AE476" s="3" t="n"/>
      <c r="AF476" s="3" t="n">
        <v>0</v>
      </c>
      <c r="AG476" s="3" t="n"/>
      <c r="AH476" s="3" t="n"/>
      <c r="AI476" s="3" t="n">
        <v>3.3348</v>
      </c>
      <c r="AJ476" s="3" t="n">
        <v>1.6498</v>
      </c>
      <c r="AK476" s="3" t="n">
        <v>-0.2045226422080557</v>
      </c>
      <c r="AL476" s="6" t="n">
        <v>0</v>
      </c>
      <c r="AM476" s="3" t="n">
        <v>0</v>
      </c>
      <c r="AN476" s="3" t="n">
        <v>0</v>
      </c>
      <c r="AO476" s="3" t="n">
        <v>0</v>
      </c>
      <c r="AP476" s="3">
        <f>N(X476)*N(BI476)</f>
        <v/>
      </c>
      <c r="AQ476" s="3" t="n">
        <v>0</v>
      </c>
      <c r="AR476" s="3" t="n">
        <v>0</v>
      </c>
      <c r="AS476" s="3" t="n">
        <v>-0.5841244809045405</v>
      </c>
      <c r="AT476" s="3" t="n">
        <v>-0.2045226422080557</v>
      </c>
      <c r="AU476" s="3">
        <f>SUM(AN476:AT476)</f>
        <v/>
      </c>
      <c r="AV476" s="7">
        <f>IF(OR(N(W476)&lt;=0,N(BG476)=0),0,N(W476)*IF(N(R476)/N(W476)&gt;=60,N(BG476),1))</f>
        <v/>
      </c>
      <c r="AW476" s="7">
        <f>N(W476)*N(AF476)*N(BH476)</f>
        <v/>
      </c>
      <c r="AX476" s="7">
        <f>N(AL476)*(Assumptions!$B$13*N(BJ476)-(1-Assumptions!$B$13)*Assumptions!$B$14)+N(AM476)</f>
        <v/>
      </c>
      <c r="AY476" s="7">
        <f>N(AU476)*N(R476)/90+N(AV476)+N(AW476)+N(AX476)</f>
        <v/>
      </c>
      <c r="AZ476" s="3">
        <f>IF(N(R476)&lt;=0,0,(N(AY476)-N(AX476))*90/N(R476))</f>
        <v/>
      </c>
      <c r="BA476" s="7">
        <f>IFERROR(AY476-VLOOKUP($E476,Assumptions!$A$40:$C$43,3,FALSE),"")</f>
        <v/>
      </c>
      <c r="BB476" s="3">
        <f>IFERROR(BA476/H476,"")</f>
        <v/>
      </c>
      <c r="BC476">
        <f>IF(AND($G476=TRUE,$E476="GKP"),AY476,"")</f>
        <v/>
      </c>
      <c r="BD476">
        <f>IF(AND($G476=TRUE,$E476="DEF"),AY476,"")</f>
        <v/>
      </c>
      <c r="BE476">
        <f>IF(AND($G476=TRUE,$E476="MID"),AY476,"")</f>
        <v/>
      </c>
      <c r="BF476">
        <f>IF(AND($G476=TRUE,$E476="FWD"),AY476,"")</f>
        <v/>
      </c>
      <c r="BG476" t="n">
        <v>2</v>
      </c>
      <c r="BH476" t="n">
        <v>2</v>
      </c>
      <c r="BI476" t="n">
        <v>4</v>
      </c>
      <c r="BJ476" t="n">
        <v>6</v>
      </c>
    </row>
    <row r="477">
      <c r="A477" t="inlineStr">
        <is>
          <t>John Stones</t>
        </is>
      </c>
      <c r="C477" t="inlineStr">
        <is>
          <t>MCI</t>
        </is>
      </c>
      <c r="D477" t="b">
        <v>0</v>
      </c>
      <c r="F477" t="inlineStr">
        <is>
          <t>DEF</t>
        </is>
      </c>
      <c r="G477" t="b">
        <v>0</v>
      </c>
      <c r="H477" s="2" t="n"/>
      <c r="K477" s="2" t="n">
        <v>439</v>
      </c>
      <c r="M477" s="3" t="n"/>
      <c r="N477" s="8" t="n">
        <v>439</v>
      </c>
      <c r="O477" s="8" t="n">
        <v>0</v>
      </c>
      <c r="R477" s="6" t="n">
        <v>439</v>
      </c>
      <c r="S477" t="inlineStr">
        <is>
          <t>25/26 actual</t>
        </is>
      </c>
      <c r="U477" s="6" t="n">
        <v>83.5</v>
      </c>
      <c r="V477" s="2" t="n">
        <v>5</v>
      </c>
      <c r="W477" s="7">
        <f>IF(N(U477)&lt;=0,0,MIN(Assumptions!$B$15,N(R477)/N(U477)))</f>
        <v/>
      </c>
      <c r="X477" s="6" t="n"/>
      <c r="Y477" s="3" t="n">
        <v>0</v>
      </c>
      <c r="Z477" t="inlineStr">
        <is>
          <t>adjusted xGOT</t>
        </is>
      </c>
      <c r="AA477" s="3" t="n">
        <v>1</v>
      </c>
      <c r="AB477" s="3" t="n">
        <v>1.001</v>
      </c>
      <c r="AC477" s="3" t="n">
        <v>2.7</v>
      </c>
      <c r="AD477" s="3" t="n">
        <v>0.0129</v>
      </c>
      <c r="AE477" s="3" t="n">
        <v>7.122</v>
      </c>
      <c r="AF477" s="3" t="n">
        <v>0</v>
      </c>
      <c r="AG477" s="3" t="n">
        <v>0</v>
      </c>
      <c r="AH477" s="3" t="n">
        <v>14</v>
      </c>
      <c r="AI477" s="3" t="n"/>
      <c r="AJ477" s="3" t="n"/>
      <c r="AK477" s="3" t="n"/>
      <c r="AL477" s="6" t="n">
        <v>0</v>
      </c>
      <c r="AM477" s="3" t="n">
        <v>0</v>
      </c>
      <c r="AN477" s="3" t="n">
        <v>0</v>
      </c>
      <c r="AO477" s="3" t="n">
        <v>0</v>
      </c>
      <c r="AP477" s="3">
        <f>N(X477)*N(BI477)</f>
        <v/>
      </c>
      <c r="AQ477" s="3" t="n">
        <v>0</v>
      </c>
      <c r="AR477" s="3" t="n">
        <v>0</v>
      </c>
      <c r="AS477" s="3" t="n">
        <v>0</v>
      </c>
      <c r="AT477" s="3" t="n">
        <v>0</v>
      </c>
      <c r="AU477" s="3">
        <f>SUM(AN477:AT477)</f>
        <v/>
      </c>
      <c r="AV477" s="7">
        <f>IF(OR(N(W477)&lt;=0,N(BG477)=0),0,N(W477)*IF(N(R477)/N(W477)&gt;=60,N(BG477),1))</f>
        <v/>
      </c>
      <c r="AW477" s="7">
        <f>N(W477)*N(AF477)*N(BH477)</f>
        <v/>
      </c>
      <c r="AX477" s="7">
        <f>N(AL477)*(Assumptions!$B$13*N(BJ477)-(1-Assumptions!$B$13)*Assumptions!$B$14)+N(AM477)</f>
        <v/>
      </c>
      <c r="AY477" s="7">
        <f>N(AU477)*N(R477)/90+N(AV477)+N(AW477)+N(AX477)</f>
        <v/>
      </c>
      <c r="AZ477" s="3">
        <f>IF(N(R477)&lt;=0,0,(N(AY477)-N(AX477))*90/N(R477))</f>
        <v/>
      </c>
      <c r="BA477" s="7">
        <f>IFERROR(AY477-VLOOKUP($E477,Assumptions!$A$40:$C$43,3,FALSE),"")</f>
        <v/>
      </c>
      <c r="BB477" s="3">
        <f>IFERROR(BA477/H477,"")</f>
        <v/>
      </c>
      <c r="BC477">
        <f>IF(AND($G477=TRUE,$E477="GKP"),AY477,"")</f>
        <v/>
      </c>
      <c r="BD477">
        <f>IF(AND($G477=TRUE,$E477="DEF"),AY477,"")</f>
        <v/>
      </c>
      <c r="BE477">
        <f>IF(AND($G477=TRUE,$E477="MID"),AY477,"")</f>
        <v/>
      </c>
      <c r="BF477">
        <f>IF(AND($G477=TRUE,$E477="FWD"),AY477,"")</f>
        <v/>
      </c>
      <c r="BG477" t="n">
        <v>0</v>
      </c>
      <c r="BH477" t="n">
        <v>0</v>
      </c>
      <c r="BI477" t="n">
        <v>0</v>
      </c>
      <c r="BJ477" t="n">
        <v>0</v>
      </c>
    </row>
    <row r="478">
      <c r="A478" t="inlineStr">
        <is>
          <t>Jamaal Lascelles</t>
        </is>
      </c>
      <c r="C478" t="inlineStr">
        <is>
          <t>NEW</t>
        </is>
      </c>
      <c r="D478" t="b">
        <v>0</v>
      </c>
      <c r="F478" t="inlineStr">
        <is>
          <t>DEF</t>
        </is>
      </c>
      <c r="G478" t="b">
        <v>0</v>
      </c>
      <c r="H478" s="2" t="n"/>
      <c r="K478" s="2" t="n">
        <v>19</v>
      </c>
      <c r="M478" s="3" t="n"/>
      <c r="N478" s="8" t="n">
        <v>19</v>
      </c>
      <c r="O478" s="8" t="n">
        <v>0</v>
      </c>
      <c r="R478" s="6" t="n">
        <v>19</v>
      </c>
      <c r="S478" t="inlineStr">
        <is>
          <t>25/26 actual</t>
        </is>
      </c>
      <c r="U478" s="6" t="n">
        <v>85.5</v>
      </c>
      <c r="V478" s="2" t="n">
        <v>0</v>
      </c>
      <c r="W478" s="7">
        <f>IF(N(U478)&lt;=0,0,MIN(Assumptions!$B$15,N(R478)/N(U478)))</f>
        <v/>
      </c>
      <c r="X478" s="6" t="n"/>
      <c r="Y478" s="3" t="n">
        <v>0.18</v>
      </c>
      <c r="Z478" t="inlineStr">
        <is>
          <t>adjusted xGOT</t>
        </is>
      </c>
      <c r="AA478" s="3" t="n">
        <v>1</v>
      </c>
      <c r="AB478" s="3" t="n">
        <v>0.945</v>
      </c>
      <c r="AC478" s="3" t="n">
        <v>0.9</v>
      </c>
      <c r="AD478" s="3" t="n"/>
      <c r="AE478" s="3" t="n">
        <v>8.096</v>
      </c>
      <c r="AF478" s="3" t="n">
        <v>0</v>
      </c>
      <c r="AG478" s="3" t="n">
        <v>0</v>
      </c>
      <c r="AH478" s="3" t="n">
        <v>2</v>
      </c>
      <c r="AI478" s="3" t="n"/>
      <c r="AJ478" s="3" t="n"/>
      <c r="AK478" s="3" t="n"/>
      <c r="AL478" s="6" t="n">
        <v>0</v>
      </c>
      <c r="AM478" s="3" t="n">
        <v>0</v>
      </c>
      <c r="AN478" s="3" t="n">
        <v>0</v>
      </c>
      <c r="AO478" s="3" t="n">
        <v>0</v>
      </c>
      <c r="AP478" s="3">
        <f>N(X478)*N(BI478)</f>
        <v/>
      </c>
      <c r="AQ478" s="3" t="n">
        <v>0</v>
      </c>
      <c r="AR478" s="3" t="n">
        <v>0</v>
      </c>
      <c r="AS478" s="3" t="n">
        <v>0</v>
      </c>
      <c r="AT478" s="3" t="n">
        <v>0</v>
      </c>
      <c r="AU478" s="3">
        <f>SUM(AN478:AT478)</f>
        <v/>
      </c>
      <c r="AV478" s="7">
        <f>IF(OR(N(W478)&lt;=0,N(BG478)=0),0,N(W478)*IF(N(R478)/N(W478)&gt;=60,N(BG478),1))</f>
        <v/>
      </c>
      <c r="AW478" s="7">
        <f>N(W478)*N(AF478)*N(BH478)</f>
        <v/>
      </c>
      <c r="AX478" s="7">
        <f>N(AL478)*(Assumptions!$B$13*N(BJ478)-(1-Assumptions!$B$13)*Assumptions!$B$14)+N(AM478)</f>
        <v/>
      </c>
      <c r="AY478" s="7">
        <f>N(AU478)*N(R478)/90+N(AV478)+N(AW478)+N(AX478)</f>
        <v/>
      </c>
      <c r="AZ478" s="3">
        <f>IF(N(R478)&lt;=0,0,(N(AY478)-N(AX478))*90/N(R478))</f>
        <v/>
      </c>
      <c r="BA478" s="7">
        <f>IFERROR(AY478-VLOOKUP($E478,Assumptions!$A$40:$C$43,3,FALSE),"")</f>
        <v/>
      </c>
      <c r="BB478" s="3">
        <f>IFERROR(BA478/H478,"")</f>
        <v/>
      </c>
      <c r="BC478">
        <f>IF(AND($G478=TRUE,$E478="GKP"),AY478,"")</f>
        <v/>
      </c>
      <c r="BD478">
        <f>IF(AND($G478=TRUE,$E478="DEF"),AY478,"")</f>
        <v/>
      </c>
      <c r="BE478">
        <f>IF(AND($G478=TRUE,$E478="MID"),AY478,"")</f>
        <v/>
      </c>
      <c r="BF478">
        <f>IF(AND($G478=TRUE,$E478="FWD"),AY478,"")</f>
        <v/>
      </c>
      <c r="BG478" t="n">
        <v>0</v>
      </c>
      <c r="BH478" t="n">
        <v>0</v>
      </c>
      <c r="BI478" t="n">
        <v>0</v>
      </c>
      <c r="BJ478" t="n">
        <v>0</v>
      </c>
    </row>
    <row r="479">
      <c r="A479" t="inlineStr">
        <is>
          <t>James Ward-Prowse</t>
        </is>
      </c>
      <c r="C479" t="inlineStr">
        <is>
          <t>BUR</t>
        </is>
      </c>
      <c r="D479" t="b">
        <v>0</v>
      </c>
      <c r="F479" t="inlineStr">
        <is>
          <t>MID</t>
        </is>
      </c>
      <c r="G479" t="b">
        <v>0</v>
      </c>
      <c r="H479" s="2" t="n"/>
      <c r="K479" s="2" t="n">
        <v>1096</v>
      </c>
      <c r="M479" s="3" t="n"/>
      <c r="N479" s="8" t="n">
        <v>1096</v>
      </c>
      <c r="O479" s="8" t="n">
        <v>0</v>
      </c>
      <c r="R479" s="6" t="n">
        <v>1096</v>
      </c>
      <c r="S479" t="inlineStr">
        <is>
          <t>25/26 actual</t>
        </is>
      </c>
      <c r="U479" s="6" t="n">
        <v>81.40000000000001</v>
      </c>
      <c r="V479" s="2" t="n">
        <v>12</v>
      </c>
      <c r="W479" s="7">
        <f>IF(N(U479)&lt;=0,0,MIN(Assumptions!$B$15,N(R479)/N(U479)))</f>
        <v/>
      </c>
      <c r="X479" s="6" t="n"/>
      <c r="Y479" s="3" t="n">
        <v>0.0232</v>
      </c>
      <c r="Z479" t="inlineStr">
        <is>
          <t>adjusted xGOT</t>
        </is>
      </c>
      <c r="AA479" s="3" t="n">
        <v>1</v>
      </c>
      <c r="AB479" s="3" t="n">
        <v>1.177</v>
      </c>
      <c r="AC479" s="3" t="n">
        <v>13.9</v>
      </c>
      <c r="AD479" s="3" t="n">
        <v>0.2816</v>
      </c>
      <c r="AE479" s="3" t="n">
        <v>8.821999999999999</v>
      </c>
      <c r="AF479" s="3" t="n">
        <v>0</v>
      </c>
      <c r="AG479" s="3" t="n">
        <v>0</v>
      </c>
      <c r="AH479" s="3" t="n">
        <v>30</v>
      </c>
      <c r="AI479" s="3" t="n"/>
      <c r="AJ479" s="3" t="n"/>
      <c r="AK479" s="3" t="n"/>
      <c r="AL479" s="6" t="n">
        <v>0</v>
      </c>
      <c r="AM479" s="3" t="n">
        <v>0</v>
      </c>
      <c r="AN479" s="3" t="n">
        <v>0</v>
      </c>
      <c r="AO479" s="3" t="n">
        <v>0</v>
      </c>
      <c r="AP479" s="3">
        <f>N(X479)*N(BI479)</f>
        <v/>
      </c>
      <c r="AQ479" s="3" t="n">
        <v>0</v>
      </c>
      <c r="AR479" s="3" t="n">
        <v>0</v>
      </c>
      <c r="AS479" s="3" t="n">
        <v>0</v>
      </c>
      <c r="AT479" s="3" t="n">
        <v>0</v>
      </c>
      <c r="AU479" s="3">
        <f>SUM(AN479:AT479)</f>
        <v/>
      </c>
      <c r="AV479" s="7">
        <f>IF(OR(N(W479)&lt;=0,N(BG479)=0),0,N(W479)*IF(N(R479)/N(W479)&gt;=60,N(BG479),1))</f>
        <v/>
      </c>
      <c r="AW479" s="7">
        <f>N(W479)*N(AF479)*N(BH479)</f>
        <v/>
      </c>
      <c r="AX479" s="7">
        <f>N(AL479)*(Assumptions!$B$13*N(BJ479)-(1-Assumptions!$B$13)*Assumptions!$B$14)+N(AM479)</f>
        <v/>
      </c>
      <c r="AY479" s="7">
        <f>N(AU479)*N(R479)/90+N(AV479)+N(AW479)+N(AX479)</f>
        <v/>
      </c>
      <c r="AZ479" s="3">
        <f>IF(N(R479)&lt;=0,0,(N(AY479)-N(AX479))*90/N(R479))</f>
        <v/>
      </c>
      <c r="BA479" s="7">
        <f>IFERROR(AY479-VLOOKUP($E479,Assumptions!$A$40:$C$43,3,FALSE),"")</f>
        <v/>
      </c>
      <c r="BB479" s="3">
        <f>IFERROR(BA479/H479,"")</f>
        <v/>
      </c>
      <c r="BC479">
        <f>IF(AND($G479=TRUE,$E479="GKP"),AY479,"")</f>
        <v/>
      </c>
      <c r="BD479">
        <f>IF(AND($G479=TRUE,$E479="DEF"),AY479,"")</f>
        <v/>
      </c>
      <c r="BE479">
        <f>IF(AND($G479=TRUE,$E479="MID"),AY479,"")</f>
        <v/>
      </c>
      <c r="BF479">
        <f>IF(AND($G479=TRUE,$E479="FWD"),AY479,"")</f>
        <v/>
      </c>
      <c r="BG479" t="n">
        <v>0</v>
      </c>
      <c r="BH479" t="n">
        <v>0</v>
      </c>
      <c r="BI479" t="n">
        <v>0</v>
      </c>
      <c r="BJ479" t="n">
        <v>0</v>
      </c>
    </row>
    <row r="480">
      <c r="A480" t="inlineStr">
        <is>
          <t>Matt Crooks</t>
        </is>
      </c>
      <c r="B480" t="inlineStr">
        <is>
          <t>HUL</t>
        </is>
      </c>
      <c r="D480" t="b">
        <v>0</v>
      </c>
      <c r="E480" t="inlineStr">
        <is>
          <t>MID</t>
        </is>
      </c>
      <c r="G480" t="b">
        <v>1</v>
      </c>
      <c r="H480" s="2" t="n">
        <v>4.5</v>
      </c>
      <c r="I480" t="inlineStr">
        <is>
          <t>a</t>
        </is>
      </c>
      <c r="K480" s="2" t="n"/>
      <c r="M480" s="3" t="n">
        <v>1545</v>
      </c>
      <c r="N480" s="8" t="n">
        <v>1545</v>
      </c>
      <c r="O480" s="8" t="n">
        <v>0</v>
      </c>
      <c r="Q480" t="inlineStr">
        <is>
          <t>fade (losing his place)</t>
        </is>
      </c>
      <c r="R480" s="6" t="n">
        <v>1545</v>
      </c>
      <c r="S480" t="inlineStr">
        <is>
          <t>Solio</t>
        </is>
      </c>
      <c r="U480" s="6" t="n">
        <v>85</v>
      </c>
      <c r="V480" s="2" t="n"/>
      <c r="W480" s="7">
        <f>IF(N(U480)&lt;=0,0,MIN(Assumptions!$B$15,N(R480)/N(U480)))</f>
        <v/>
      </c>
      <c r="X480" s="6" t="n">
        <v>0.143</v>
      </c>
      <c r="Y480" s="3" t="n"/>
      <c r="Z480" t="inlineStr"/>
      <c r="AA480" s="3" t="n">
        <v>1</v>
      </c>
      <c r="AB480" s="3" t="n"/>
      <c r="AC480" s="3" t="n"/>
      <c r="AD480" s="3" t="n"/>
      <c r="AE480" s="3" t="n"/>
      <c r="AF480" s="3" t="n">
        <v>0</v>
      </c>
      <c r="AG480" s="3" t="n"/>
      <c r="AH480" s="3" t="n"/>
      <c r="AI480" s="3" t="n">
        <v>3.9421</v>
      </c>
      <c r="AJ480" s="3" t="n">
        <v>1.99</v>
      </c>
      <c r="AK480" s="3" t="n">
        <v>-0.2160434166173144</v>
      </c>
      <c r="AL480" s="6" t="n">
        <v>0</v>
      </c>
      <c r="AM480" s="3" t="n">
        <v>0</v>
      </c>
      <c r="AN480" s="3" t="n">
        <v>0</v>
      </c>
      <c r="AO480" s="3" t="n">
        <v>0</v>
      </c>
      <c r="AP480" s="3">
        <f>N(X480)*N(BI480)</f>
        <v/>
      </c>
      <c r="AQ480" s="3" t="n">
        <v>0</v>
      </c>
      <c r="AR480" s="3" t="n">
        <v>0</v>
      </c>
      <c r="AS480" s="3" t="n">
        <v>-0</v>
      </c>
      <c r="AT480" s="3" t="n">
        <v>-0.2160434166173144</v>
      </c>
      <c r="AU480" s="3">
        <f>SUM(AN480:AT480)</f>
        <v/>
      </c>
      <c r="AV480" s="7">
        <f>IF(OR(N(W480)&lt;=0,N(BG480)=0),0,N(W480)*IF(N(R480)/N(W480)&gt;=60,N(BG480),1))</f>
        <v/>
      </c>
      <c r="AW480" s="7">
        <f>N(W480)*N(AF480)*N(BH480)</f>
        <v/>
      </c>
      <c r="AX480" s="7">
        <f>N(AL480)*(Assumptions!$B$13*N(BJ480)-(1-Assumptions!$B$13)*Assumptions!$B$14)+N(AM480)</f>
        <v/>
      </c>
      <c r="AY480" s="7">
        <f>N(AU480)*N(R480)/90+N(AV480)+N(AW480)+N(AX480)</f>
        <v/>
      </c>
      <c r="AZ480" s="3">
        <f>IF(N(R480)&lt;=0,0,(N(AY480)-N(AX480))*90/N(R480))</f>
        <v/>
      </c>
      <c r="BA480" s="7">
        <f>IFERROR(AY480-VLOOKUP($E480,Assumptions!$A$40:$C$43,3,FALSE),"")</f>
        <v/>
      </c>
      <c r="BB480" s="3">
        <f>IFERROR(BA480/H480,"")</f>
        <v/>
      </c>
      <c r="BC480">
        <f>IF(AND($G480=TRUE,$E480="GKP"),AY480,"")</f>
        <v/>
      </c>
      <c r="BD480">
        <f>IF(AND($G480=TRUE,$E480="DEF"),AY480,"")</f>
        <v/>
      </c>
      <c r="BE480">
        <f>IF(AND($G480=TRUE,$E480="MID"),AY480,"")</f>
        <v/>
      </c>
      <c r="BF480">
        <f>IF(AND($G480=TRUE,$E480="FWD"),AY480,"")</f>
        <v/>
      </c>
      <c r="BG480" t="n">
        <v>2</v>
      </c>
      <c r="BH480" t="n">
        <v>2</v>
      </c>
      <c r="BI480" t="n">
        <v>1</v>
      </c>
      <c r="BJ480" t="n">
        <v>5</v>
      </c>
    </row>
    <row r="481">
      <c r="A481" t="inlineStr">
        <is>
          <t>Sam Johnstone</t>
        </is>
      </c>
      <c r="C481" t="inlineStr">
        <is>
          <t>WOL</t>
        </is>
      </c>
      <c r="D481" t="b">
        <v>0</v>
      </c>
      <c r="F481" t="inlineStr">
        <is>
          <t>GKP</t>
        </is>
      </c>
      <c r="G481" t="b">
        <v>0</v>
      </c>
      <c r="H481" s="2" t="n"/>
      <c r="K481" s="2" t="n">
        <v>1080</v>
      </c>
      <c r="M481" s="3" t="n"/>
      <c r="N481" s="8" t="n">
        <v>1080</v>
      </c>
      <c r="O481" s="8" t="n">
        <v>0</v>
      </c>
      <c r="R481" s="6" t="n">
        <v>1080</v>
      </c>
      <c r="S481" t="inlineStr">
        <is>
          <t>25/26 actual</t>
        </is>
      </c>
      <c r="U481" s="6" t="n">
        <v>89.90000000000001</v>
      </c>
      <c r="V481" s="2" t="n">
        <v>12</v>
      </c>
      <c r="W481" s="7">
        <f>IF(N(U481)&lt;=0,0,MIN(Assumptions!$B$15,N(R481)/N(U481)))</f>
        <v/>
      </c>
      <c r="X481" s="6" t="n"/>
      <c r="Y481" s="3" t="n">
        <v>0</v>
      </c>
      <c r="Z481" t="inlineStr">
        <is>
          <t>blended xG</t>
        </is>
      </c>
      <c r="AA481" s="3" t="n">
        <v>1</v>
      </c>
      <c r="AB481" s="3" t="n">
        <v>1</v>
      </c>
      <c r="AC481" s="3" t="n">
        <v>0</v>
      </c>
      <c r="AD481" s="3" t="n">
        <v>0</v>
      </c>
      <c r="AE481" s="3" t="n">
        <v>0</v>
      </c>
      <c r="AF481" s="3" t="n">
        <v>0</v>
      </c>
      <c r="AG481" s="3" t="n">
        <v>0</v>
      </c>
      <c r="AH481" s="3" t="n">
        <v>24</v>
      </c>
      <c r="AI481" s="3" t="n"/>
      <c r="AJ481" s="3" t="n"/>
      <c r="AK481" s="3" t="n"/>
      <c r="AL481" s="6" t="n">
        <v>0</v>
      </c>
      <c r="AM481" s="3" t="n">
        <v>0</v>
      </c>
      <c r="AN481" s="3" t="n">
        <v>0</v>
      </c>
      <c r="AO481" s="3" t="n">
        <v>0</v>
      </c>
      <c r="AP481" s="3">
        <f>N(X481)*N(BI481)</f>
        <v/>
      </c>
      <c r="AQ481" s="3" t="n">
        <v>0</v>
      </c>
      <c r="AR481" s="3" t="n">
        <v>0</v>
      </c>
      <c r="AS481" s="3" t="n">
        <v>0</v>
      </c>
      <c r="AT481" s="3" t="n">
        <v>0</v>
      </c>
      <c r="AU481" s="3">
        <f>SUM(AN481:AT481)</f>
        <v/>
      </c>
      <c r="AV481" s="7">
        <f>IF(OR(N(W481)&lt;=0,N(BG481)=0),0,N(W481)*IF(N(R481)/N(W481)&gt;=60,N(BG481),1))</f>
        <v/>
      </c>
      <c r="AW481" s="7">
        <f>N(W481)*N(AF481)*N(BH481)</f>
        <v/>
      </c>
      <c r="AX481" s="7">
        <f>N(AL481)*(Assumptions!$B$13*N(BJ481)-(1-Assumptions!$B$13)*Assumptions!$B$14)+N(AM481)</f>
        <v/>
      </c>
      <c r="AY481" s="7">
        <f>N(AU481)*N(R481)/90+N(AV481)+N(AW481)+N(AX481)</f>
        <v/>
      </c>
      <c r="AZ481" s="3">
        <f>IF(N(R481)&lt;=0,0,(N(AY481)-N(AX481))*90/N(R481))</f>
        <v/>
      </c>
      <c r="BA481" s="7">
        <f>IFERROR(AY481-VLOOKUP($E481,Assumptions!$A$40:$C$43,3,FALSE),"")</f>
        <v/>
      </c>
      <c r="BB481" s="3">
        <f>IFERROR(BA481/H481,"")</f>
        <v/>
      </c>
      <c r="BC481">
        <f>IF(AND($G481=TRUE,$E481="GKP"),AY481,"")</f>
        <v/>
      </c>
      <c r="BD481">
        <f>IF(AND($G481=TRUE,$E481="DEF"),AY481,"")</f>
        <v/>
      </c>
      <c r="BE481">
        <f>IF(AND($G481=TRUE,$E481="MID"),AY481,"")</f>
        <v/>
      </c>
      <c r="BF481">
        <f>IF(AND($G481=TRUE,$E481="FWD"),AY481,"")</f>
        <v/>
      </c>
      <c r="BG481" t="n">
        <v>0</v>
      </c>
      <c r="BH481" t="n">
        <v>0</v>
      </c>
      <c r="BI481" t="n">
        <v>0</v>
      </c>
      <c r="BJ481" t="n">
        <v>0</v>
      </c>
    </row>
    <row r="482">
      <c r="A482" t="inlineStr">
        <is>
          <t>Raúl Jiménez</t>
        </is>
      </c>
      <c r="C482" t="inlineStr">
        <is>
          <t>FUL</t>
        </is>
      </c>
      <c r="D482" t="b">
        <v>0</v>
      </c>
      <c r="F482" t="inlineStr">
        <is>
          <t>FWD</t>
        </is>
      </c>
      <c r="G482" t="b">
        <v>0</v>
      </c>
      <c r="H482" s="2" t="n"/>
      <c r="K482" s="2" t="n">
        <v>2199</v>
      </c>
      <c r="M482" s="3" t="n"/>
      <c r="N482" s="8" t="n">
        <v>2199</v>
      </c>
      <c r="O482" s="8" t="n">
        <v>0</v>
      </c>
      <c r="R482" s="6" t="n">
        <v>2199</v>
      </c>
      <c r="S482" t="inlineStr">
        <is>
          <t>25/26 actual</t>
        </is>
      </c>
      <c r="U482" s="6" t="n">
        <v>76.2</v>
      </c>
      <c r="V482" s="2" t="n">
        <v>27</v>
      </c>
      <c r="W482" s="7">
        <f>IF(N(U482)&lt;=0,0,MIN(Assumptions!$B$15,N(R482)/N(U482)))</f>
        <v/>
      </c>
      <c r="X482" s="6" t="n"/>
      <c r="Y482" s="3" t="n">
        <v>0.329</v>
      </c>
      <c r="Z482" t="inlineStr">
        <is>
          <t>adjusted xGOT</t>
        </is>
      </c>
      <c r="AA482" s="3" t="n">
        <v>0.747</v>
      </c>
      <c r="AB482" s="3" t="n">
        <v>0.93</v>
      </c>
      <c r="AC482" s="3" t="n">
        <v>31.5</v>
      </c>
      <c r="AD482" s="3" t="n">
        <v>0.0796</v>
      </c>
      <c r="AE482" s="3" t="n">
        <v>5.281</v>
      </c>
      <c r="AF482" s="3" t="n">
        <v>0</v>
      </c>
      <c r="AG482" s="3" t="n">
        <v>0.3274</v>
      </c>
      <c r="AH482" s="3" t="n">
        <v>59</v>
      </c>
      <c r="AI482" s="3" t="n"/>
      <c r="AJ482" s="3" t="n"/>
      <c r="AK482" s="3" t="n"/>
      <c r="AL482" s="6" t="n">
        <v>0</v>
      </c>
      <c r="AM482" s="3" t="n">
        <v>0</v>
      </c>
      <c r="AN482" s="3" t="n">
        <v>0</v>
      </c>
      <c r="AO482" s="3" t="n">
        <v>0</v>
      </c>
      <c r="AP482" s="3">
        <f>N(X482)*N(BI482)</f>
        <v/>
      </c>
      <c r="AQ482" s="3" t="n">
        <v>0</v>
      </c>
      <c r="AR482" s="3" t="n">
        <v>0</v>
      </c>
      <c r="AS482" s="3" t="n">
        <v>0</v>
      </c>
      <c r="AT482" s="3" t="n">
        <v>0</v>
      </c>
      <c r="AU482" s="3">
        <f>SUM(AN482:AT482)</f>
        <v/>
      </c>
      <c r="AV482" s="7">
        <f>IF(OR(N(W482)&lt;=0,N(BG482)=0),0,N(W482)*IF(N(R482)/N(W482)&gt;=60,N(BG482),1))</f>
        <v/>
      </c>
      <c r="AW482" s="7">
        <f>N(W482)*N(AF482)*N(BH482)</f>
        <v/>
      </c>
      <c r="AX482" s="7">
        <f>N(AL482)*(Assumptions!$B$13*N(BJ482)-(1-Assumptions!$B$13)*Assumptions!$B$14)+N(AM482)</f>
        <v/>
      </c>
      <c r="AY482" s="7">
        <f>N(AU482)*N(R482)/90+N(AV482)+N(AW482)+N(AX482)</f>
        <v/>
      </c>
      <c r="AZ482" s="3">
        <f>IF(N(R482)&lt;=0,0,(N(AY482)-N(AX482))*90/N(R482))</f>
        <v/>
      </c>
      <c r="BA482" s="7">
        <f>IFERROR(AY482-VLOOKUP($E482,Assumptions!$A$40:$C$43,3,FALSE),"")</f>
        <v/>
      </c>
      <c r="BB482" s="3">
        <f>IFERROR(BA482/H482,"")</f>
        <v/>
      </c>
      <c r="BC482">
        <f>IF(AND($G482=TRUE,$E482="GKP"),AY482,"")</f>
        <v/>
      </c>
      <c r="BD482">
        <f>IF(AND($G482=TRUE,$E482="DEF"),AY482,"")</f>
        <v/>
      </c>
      <c r="BE482">
        <f>IF(AND($G482=TRUE,$E482="MID"),AY482,"")</f>
        <v/>
      </c>
      <c r="BF482">
        <f>IF(AND($G482=TRUE,$E482="FWD"),AY482,"")</f>
        <v/>
      </c>
      <c r="BG482" t="n">
        <v>0</v>
      </c>
      <c r="BH482" t="n">
        <v>0</v>
      </c>
      <c r="BI482" t="n">
        <v>0</v>
      </c>
      <c r="BJ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s="8" t="n">
        <v>35</v>
      </c>
      <c r="O483" s="8" t="n">
        <v>0</v>
      </c>
      <c r="Q483" t="inlineStr">
        <is>
          <t>flat</t>
        </is>
      </c>
      <c r="R483" s="6" t="n">
        <v>35</v>
      </c>
      <c r="S483" t="inlineStr">
        <is>
          <t>Solio</t>
        </is>
      </c>
      <c r="U483" s="6" t="n">
        <v>85</v>
      </c>
      <c r="V483" s="2" t="n"/>
      <c r="W483" s="7">
        <f>IF(N(U483)&lt;=0,0,MIN(Assumptions!$B$15,N(R483)/N(U483)))</f>
        <v/>
      </c>
      <c r="X483" s="6" t="n">
        <v>0.143</v>
      </c>
      <c r="Y483" s="3" t="n"/>
      <c r="Z483" t="inlineStr"/>
      <c r="AA483" s="3" t="n">
        <v>1</v>
      </c>
      <c r="AB483" s="3" t="n"/>
      <c r="AC483" s="3" t="n"/>
      <c r="AD483" s="3" t="n"/>
      <c r="AE483" s="3" t="n">
        <v>0</v>
      </c>
      <c r="AF483" s="3" t="n">
        <v>0</v>
      </c>
      <c r="AG483" s="3" t="n"/>
      <c r="AH483" s="3" t="n"/>
      <c r="AI483" s="3" t="n">
        <v>3.9421</v>
      </c>
      <c r="AJ483" s="3" t="n">
        <v>1.99</v>
      </c>
      <c r="AK483" s="3" t="n">
        <v>-0.0763216474948735</v>
      </c>
      <c r="AL483" s="6" t="n">
        <v>0</v>
      </c>
      <c r="AM483" s="3" t="n">
        <v>0.0434768840139444</v>
      </c>
      <c r="AN483" s="3" t="n">
        <v>0</v>
      </c>
      <c r="AO483" s="3" t="n">
        <v>0</v>
      </c>
      <c r="AP483" s="3">
        <f>N(X483)*N(BI483)</f>
        <v/>
      </c>
      <c r="AQ483" s="3" t="n">
        <v>0</v>
      </c>
      <c r="AR483" s="3" t="n">
        <v>0.979692031005534</v>
      </c>
      <c r="AS483" s="3" t="n">
        <v>-0.7496714098286652</v>
      </c>
      <c r="AT483" s="3" t="n">
        <v>-0.0763216474948735</v>
      </c>
      <c r="AU483" s="3">
        <f>SUM(AN483:AT483)</f>
        <v/>
      </c>
      <c r="AV483" s="7">
        <f>IF(OR(N(W483)&lt;=0,N(BG483)=0),0,N(W483)*IF(N(R483)/N(W483)&gt;=60,N(BG483),1))</f>
        <v/>
      </c>
      <c r="AW483" s="7">
        <f>N(W483)*N(AF483)*N(BH483)</f>
        <v/>
      </c>
      <c r="AX483" s="7">
        <f>N(AL483)*(Assumptions!$B$13*N(BJ483)-(1-Assumptions!$B$13)*Assumptions!$B$14)+N(AM483)</f>
        <v/>
      </c>
      <c r="AY483" s="7">
        <f>N(AU483)*N(R483)/90+N(AV483)+N(AW483)+N(AX483)</f>
        <v/>
      </c>
      <c r="AZ483" s="3">
        <f>IF(N(R483)&lt;=0,0,(N(AY483)-N(AX483))*90/N(R483))</f>
        <v/>
      </c>
      <c r="BA483" s="7">
        <f>IFERROR(AY483-VLOOKUP($E483,Assumptions!$A$40:$C$43,3,FALSE),"")</f>
        <v/>
      </c>
      <c r="BB483" s="3">
        <f>IFERROR(BA483/H483,"")</f>
        <v/>
      </c>
      <c r="BC483">
        <f>IF(AND($G483=TRUE,$E483="GKP"),AY483,"")</f>
        <v/>
      </c>
      <c r="BD483">
        <f>IF(AND($G483=TRUE,$E483="DEF"),AY483,"")</f>
        <v/>
      </c>
      <c r="BE483">
        <f>IF(AND($G483=TRUE,$E483="MID"),AY483,"")</f>
        <v/>
      </c>
      <c r="BF483">
        <f>IF(AND($G483=TRUE,$E483="FWD"),AY483,"")</f>
        <v/>
      </c>
      <c r="BG483" t="n">
        <v>2</v>
      </c>
      <c r="BH483" t="n">
        <v>0</v>
      </c>
      <c r="BI483" t="n">
        <v>4</v>
      </c>
      <c r="BJ483" t="n">
        <v>10</v>
      </c>
    </row>
    <row r="484">
      <c r="A484" t="inlineStr">
        <is>
          <t>Gerónimo Rulli</t>
        </is>
      </c>
      <c r="B484" t="inlineStr">
        <is>
          <t>MCI</t>
        </is>
      </c>
      <c r="D484" t="b">
        <v>0</v>
      </c>
      <c r="E484" t="inlineStr">
        <is>
          <t>GKP</t>
        </is>
      </c>
      <c r="G484" t="b">
        <v>1</v>
      </c>
      <c r="H484" s="2" t="n">
        <v>5</v>
      </c>
      <c r="I484" t="inlineStr">
        <is>
          <t>a</t>
        </is>
      </c>
      <c r="K484" s="2" t="n"/>
      <c r="M484" s="3" t="n">
        <v>0</v>
      </c>
      <c r="N484" s="8" t="n">
        <v>0</v>
      </c>
      <c r="O484" s="8" t="n">
        <v>0</v>
      </c>
      <c r="Q484" t="inlineStr">
        <is>
          <t>flat</t>
        </is>
      </c>
      <c r="R484" s="6" t="n">
        <v>0</v>
      </c>
      <c r="S484" t="inlineStr">
        <is>
          <t>Solio</t>
        </is>
      </c>
      <c r="U484" s="6" t="n">
        <v>85</v>
      </c>
      <c r="V484" s="2" t="n"/>
      <c r="W484" s="7">
        <f>IF(N(U484)&lt;=0,0,MIN(Assumptions!$B$15,N(R484)/N(U484)))</f>
        <v/>
      </c>
      <c r="X484" s="6" t="n">
        <v>0.371</v>
      </c>
      <c r="Y484" s="3" t="n"/>
      <c r="Z484" t="inlineStr"/>
      <c r="AA484" s="3" t="n">
        <v>1</v>
      </c>
      <c r="AB484" s="3" t="n"/>
      <c r="AC484" s="3" t="n"/>
      <c r="AD484" s="3" t="n"/>
      <c r="AE484" s="3" t="n">
        <v>0</v>
      </c>
      <c r="AF484" s="3" t="n">
        <v>0</v>
      </c>
      <c r="AG484" s="3" t="n"/>
      <c r="AH484" s="3" t="n"/>
      <c r="AI484" s="3" t="n">
        <v>1.9737</v>
      </c>
      <c r="AJ484" s="3" t="n">
        <v>1.0365</v>
      </c>
      <c r="AK484" s="3" t="n">
        <v>-0.0763216474948735</v>
      </c>
      <c r="AL484" s="6" t="n">
        <v>0</v>
      </c>
      <c r="AM484" s="3" t="n">
        <v>0</v>
      </c>
      <c r="AN484" s="3" t="n">
        <v>0</v>
      </c>
      <c r="AO484" s="3" t="n">
        <v>0</v>
      </c>
      <c r="AP484" s="3">
        <f>N(X484)*N(BI484)</f>
        <v/>
      </c>
      <c r="AQ484" s="3" t="n">
        <v>0</v>
      </c>
      <c r="AR484" s="3" t="n">
        <v>0.3320553475083804</v>
      </c>
      <c r="AS484" s="3" t="n">
        <v>-0.2997019479071323</v>
      </c>
      <c r="AT484" s="3" t="n">
        <v>-0.0763216474948735</v>
      </c>
      <c r="AU484" s="3">
        <f>SUM(AN484:AT484)</f>
        <v/>
      </c>
      <c r="AV484" s="7">
        <f>IF(OR(N(W484)&lt;=0,N(BG484)=0),0,N(W484)*IF(N(R484)/N(W484)&gt;=60,N(BG484),1))</f>
        <v/>
      </c>
      <c r="AW484" s="7">
        <f>N(W484)*N(AF484)*N(BH484)</f>
        <v/>
      </c>
      <c r="AX484" s="7">
        <f>N(AL484)*(Assumptions!$B$13*N(BJ484)-(1-Assumptions!$B$13)*Assumptions!$B$14)+N(AM484)</f>
        <v/>
      </c>
      <c r="AY484" s="7">
        <f>N(AU484)*N(R484)/90+N(AV484)+N(AW484)+N(AX484)</f>
        <v/>
      </c>
      <c r="AZ484" s="3">
        <f>IF(N(R484)&lt;=0,0,(N(AY484)-N(AX484))*90/N(R484))</f>
        <v/>
      </c>
      <c r="BA484" s="7">
        <f>IFERROR(AY484-VLOOKUP($E484,Assumptions!$A$40:$C$43,3,FALSE),"")</f>
        <v/>
      </c>
      <c r="BB484" s="3">
        <f>IFERROR(BA484/H484,"")</f>
        <v/>
      </c>
      <c r="BC484">
        <f>IF(AND($G484=TRUE,$E484="GKP"),AY484,"")</f>
        <v/>
      </c>
      <c r="BD484">
        <f>IF(AND($G484=TRUE,$E484="DEF"),AY484,"")</f>
        <v/>
      </c>
      <c r="BE484">
        <f>IF(AND($G484=TRUE,$E484="MID"),AY484,"")</f>
        <v/>
      </c>
      <c r="BF484">
        <f>IF(AND($G484=TRUE,$E484="FWD"),AY484,"")</f>
        <v/>
      </c>
      <c r="BG484" t="n">
        <v>2</v>
      </c>
      <c r="BH484" t="n">
        <v>0</v>
      </c>
      <c r="BI484" t="n">
        <v>4</v>
      </c>
      <c r="BJ484" t="n">
        <v>10</v>
      </c>
    </row>
    <row r="485">
      <c r="A485" t="inlineStr">
        <is>
          <t>Angus Gunn</t>
        </is>
      </c>
      <c r="C485" t="inlineStr">
        <is>
          <t>NFO</t>
        </is>
      </c>
      <c r="D485" t="b">
        <v>0</v>
      </c>
      <c r="F485" t="inlineStr">
        <is>
          <t>GKP</t>
        </is>
      </c>
      <c r="G485" t="b">
        <v>0</v>
      </c>
      <c r="H485" s="2" t="n"/>
      <c r="K485" s="2" t="n">
        <v>45</v>
      </c>
      <c r="M485" s="3" t="n"/>
      <c r="N485" s="8" t="n">
        <v>45</v>
      </c>
      <c r="O485" s="8" t="n">
        <v>0</v>
      </c>
      <c r="R485" s="6" t="n">
        <v>45</v>
      </c>
      <c r="S485" t="inlineStr">
        <is>
          <t>25/26 actual</t>
        </is>
      </c>
      <c r="U485" s="6" t="n">
        <v>89.8</v>
      </c>
      <c r="V485" s="2" t="n">
        <v>0</v>
      </c>
      <c r="W485" s="7">
        <f>IF(N(U485)&lt;=0,0,MIN(Assumptions!$B$15,N(R485)/N(U485)))</f>
        <v/>
      </c>
      <c r="X485" s="6" t="n"/>
      <c r="Y485" s="3" t="n">
        <v>0</v>
      </c>
      <c r="Z485" t="inlineStr">
        <is>
          <t>blended xG</t>
        </is>
      </c>
      <c r="AA485" s="3" t="n">
        <v>1</v>
      </c>
      <c r="AB485" s="3" t="n">
        <v>1</v>
      </c>
      <c r="AC485" s="3" t="n">
        <v>0</v>
      </c>
      <c r="AD485" s="3" t="n">
        <v>0</v>
      </c>
      <c r="AE485" s="3" t="n">
        <v>0</v>
      </c>
      <c r="AF485" s="3" t="n">
        <v>0</v>
      </c>
      <c r="AG485" s="3" t="n">
        <v>0</v>
      </c>
      <c r="AH485" s="3" t="n">
        <v>1</v>
      </c>
      <c r="AI485" s="3" t="n"/>
      <c r="AJ485" s="3" t="n"/>
      <c r="AK485" s="3" t="n"/>
      <c r="AL485" s="6" t="n">
        <v>0</v>
      </c>
      <c r="AM485" s="3" t="n">
        <v>0</v>
      </c>
      <c r="AN485" s="3" t="n">
        <v>0</v>
      </c>
      <c r="AO485" s="3" t="n">
        <v>0</v>
      </c>
      <c r="AP485" s="3">
        <f>N(X485)*N(BI485)</f>
        <v/>
      </c>
      <c r="AQ485" s="3" t="n">
        <v>0</v>
      </c>
      <c r="AR485" s="3" t="n">
        <v>0</v>
      </c>
      <c r="AS485" s="3" t="n">
        <v>0</v>
      </c>
      <c r="AT485" s="3" t="n">
        <v>0</v>
      </c>
      <c r="AU485" s="3">
        <f>SUM(AN485:AT485)</f>
        <v/>
      </c>
      <c r="AV485" s="7">
        <f>IF(OR(N(W485)&lt;=0,N(BG485)=0),0,N(W485)*IF(N(R485)/N(W485)&gt;=60,N(BG485),1))</f>
        <v/>
      </c>
      <c r="AW485" s="7">
        <f>N(W485)*N(AF485)*N(BH485)</f>
        <v/>
      </c>
      <c r="AX485" s="7">
        <f>N(AL485)*(Assumptions!$B$13*N(BJ485)-(1-Assumptions!$B$13)*Assumptions!$B$14)+N(AM485)</f>
        <v/>
      </c>
      <c r="AY485" s="7">
        <f>N(AU485)*N(R485)/90+N(AV485)+N(AW485)+N(AX485)</f>
        <v/>
      </c>
      <c r="AZ485" s="3">
        <f>IF(N(R485)&lt;=0,0,(N(AY485)-N(AX485))*90/N(R485))</f>
        <v/>
      </c>
      <c r="BA485" s="7">
        <f>IFERROR(AY485-VLOOKUP($E485,Assumptions!$A$40:$C$43,3,FALSE),"")</f>
        <v/>
      </c>
      <c r="BB485" s="3">
        <f>IFERROR(BA485/H485,"")</f>
        <v/>
      </c>
      <c r="BC485">
        <f>IF(AND($G485=TRUE,$E485="GKP"),AY485,"")</f>
        <v/>
      </c>
      <c r="BD485">
        <f>IF(AND($G485=TRUE,$E485="DEF"),AY485,"")</f>
        <v/>
      </c>
      <c r="BE485">
        <f>IF(AND($G485=TRUE,$E485="MID"),AY485,"")</f>
        <v/>
      </c>
      <c r="BF485">
        <f>IF(AND($G485=TRUE,$E485="FWD"),AY485,"")</f>
        <v/>
      </c>
      <c r="BG485" t="n">
        <v>0</v>
      </c>
      <c r="BH485" t="n">
        <v>0</v>
      </c>
      <c r="BI485" t="n">
        <v>0</v>
      </c>
      <c r="BJ485" t="n">
        <v>0</v>
      </c>
    </row>
    <row r="486">
      <c r="A486" t="inlineStr">
        <is>
          <t>John Egan</t>
        </is>
      </c>
      <c r="B486" t="inlineStr">
        <is>
          <t>HUL</t>
        </is>
      </c>
      <c r="D486" t="b">
        <v>0</v>
      </c>
      <c r="E486" t="inlineStr">
        <is>
          <t>DEF</t>
        </is>
      </c>
      <c r="G486" t="b">
        <v>1</v>
      </c>
      <c r="H486" s="2" t="n">
        <v>4</v>
      </c>
      <c r="I486" t="inlineStr">
        <is>
          <t>a</t>
        </is>
      </c>
      <c r="K486" s="2" t="n"/>
      <c r="M486" s="3" t="n">
        <v>3015</v>
      </c>
      <c r="N486" s="8" t="n">
        <v>3015</v>
      </c>
      <c r="O486" s="8" t="n">
        <v>0</v>
      </c>
      <c r="Q486" t="inlineStr">
        <is>
          <t>flat</t>
        </is>
      </c>
      <c r="R486" s="6" t="n">
        <v>3015</v>
      </c>
      <c r="S486" t="inlineStr">
        <is>
          <t>Solio</t>
        </is>
      </c>
      <c r="U486" s="6" t="n">
        <v>85</v>
      </c>
      <c r="V486" s="2" t="n"/>
      <c r="W486" s="7">
        <f>IF(N(U486)&lt;=0,0,MIN(Assumptions!$B$15,N(R486)/N(U486)))</f>
        <v/>
      </c>
      <c r="X486" s="6" t="n">
        <v>0.143</v>
      </c>
      <c r="Y486" s="3" t="n"/>
      <c r="Z486" t="inlineStr"/>
      <c r="AA486" s="3" t="n">
        <v>1</v>
      </c>
      <c r="AB486" s="3" t="n"/>
      <c r="AC486" s="3" t="n"/>
      <c r="AD486" s="3" t="n"/>
      <c r="AE486" s="3" t="n"/>
      <c r="AF486" s="3" t="n">
        <v>0</v>
      </c>
      <c r="AG486" s="3" t="n"/>
      <c r="AH486" s="3" t="n"/>
      <c r="AI486" s="3" t="n">
        <v>3.9421</v>
      </c>
      <c r="AJ486" s="3" t="n">
        <v>1.99</v>
      </c>
      <c r="AK486" s="3" t="n">
        <v>-0.2269719386373797</v>
      </c>
      <c r="AL486" s="6" t="n">
        <v>0</v>
      </c>
      <c r="AM486" s="3" t="n">
        <v>0</v>
      </c>
      <c r="AN486" s="3" t="n">
        <v>0</v>
      </c>
      <c r="AO486" s="3" t="n">
        <v>0</v>
      </c>
      <c r="AP486" s="3">
        <f>N(X486)*N(BI486)</f>
        <v/>
      </c>
      <c r="AQ486" s="3" t="n">
        <v>0</v>
      </c>
      <c r="AR486" s="3" t="n">
        <v>0</v>
      </c>
      <c r="AS486" s="3" t="n">
        <v>-0.7496714098286652</v>
      </c>
      <c r="AT486" s="3" t="n">
        <v>-0.2269719386373797</v>
      </c>
      <c r="AU486" s="3">
        <f>SUM(AN486:AT486)</f>
        <v/>
      </c>
      <c r="AV486" s="7">
        <f>IF(OR(N(W486)&lt;=0,N(BG486)=0),0,N(W486)*IF(N(R486)/N(W486)&gt;=60,N(BG486),1))</f>
        <v/>
      </c>
      <c r="AW486" s="7">
        <f>N(W486)*N(AF486)*N(BH486)</f>
        <v/>
      </c>
      <c r="AX486" s="7">
        <f>N(AL486)*(Assumptions!$B$13*N(BJ486)-(1-Assumptions!$B$13)*Assumptions!$B$14)+N(AM486)</f>
        <v/>
      </c>
      <c r="AY486" s="7">
        <f>N(AU486)*N(R486)/90+N(AV486)+N(AW486)+N(AX486)</f>
        <v/>
      </c>
      <c r="AZ486" s="3">
        <f>IF(N(R486)&lt;=0,0,(N(AY486)-N(AX486))*90/N(R486))</f>
        <v/>
      </c>
      <c r="BA486" s="7">
        <f>IFERROR(AY486-VLOOKUP($E486,Assumptions!$A$40:$C$43,3,FALSE),"")</f>
        <v/>
      </c>
      <c r="BB486" s="3">
        <f>IFERROR(BA486/H486,"")</f>
        <v/>
      </c>
      <c r="BC486">
        <f>IF(AND($G486=TRUE,$E486="GKP"),AY486,"")</f>
        <v/>
      </c>
      <c r="BD486">
        <f>IF(AND($G486=TRUE,$E486="DEF"),AY486,"")</f>
        <v/>
      </c>
      <c r="BE486">
        <f>IF(AND($G486=TRUE,$E486="MID"),AY486,"")</f>
        <v/>
      </c>
      <c r="BF486">
        <f>IF(AND($G486=TRUE,$E486="FWD"),AY486,"")</f>
        <v/>
      </c>
      <c r="BG486" t="n">
        <v>2</v>
      </c>
      <c r="BH486" t="n">
        <v>2</v>
      </c>
      <c r="BI486" t="n">
        <v>4</v>
      </c>
      <c r="BJ486" t="n">
        <v>6</v>
      </c>
    </row>
    <row r="487">
      <c r="A487" t="inlineStr">
        <is>
          <t>Christian Walton</t>
        </is>
      </c>
      <c r="B487" t="inlineStr">
        <is>
          <t>IPS</t>
        </is>
      </c>
      <c r="D487" t="b">
        <v>0</v>
      </c>
      <c r="E487" t="inlineStr">
        <is>
          <t>GKP</t>
        </is>
      </c>
      <c r="G487" t="b">
        <v>1</v>
      </c>
      <c r="H487" s="2" t="n">
        <v>4.5</v>
      </c>
      <c r="I487" t="inlineStr">
        <is>
          <t>a</t>
        </is>
      </c>
      <c r="K487" s="2" t="n"/>
      <c r="M487" s="3" t="n">
        <v>35</v>
      </c>
      <c r="N487" s="8" t="n">
        <v>35</v>
      </c>
      <c r="O487" s="8" t="n">
        <v>0</v>
      </c>
      <c r="Q487" t="inlineStr">
        <is>
          <t>flat</t>
        </is>
      </c>
      <c r="R487" s="6" t="n">
        <v>35</v>
      </c>
      <c r="S487" t="inlineStr">
        <is>
          <t>Solio</t>
        </is>
      </c>
      <c r="U487" s="6" t="n">
        <v>85</v>
      </c>
      <c r="V487" s="2" t="n"/>
      <c r="W487" s="7">
        <f>IF(N(U487)&lt;=0,0,MIN(Assumptions!$B$15,N(R487)/N(U487)))</f>
        <v/>
      </c>
      <c r="X487" s="6" t="n">
        <v>0.17</v>
      </c>
      <c r="Y487" s="3" t="n"/>
      <c r="Z487" t="inlineStr"/>
      <c r="AA487" s="3" t="n">
        <v>1</v>
      </c>
      <c r="AB487" s="3" t="n"/>
      <c r="AC487" s="3" t="n"/>
      <c r="AD487" s="3" t="n"/>
      <c r="AE487" s="3" t="n">
        <v>0</v>
      </c>
      <c r="AF487" s="3" t="n">
        <v>0</v>
      </c>
      <c r="AG487" s="3" t="n"/>
      <c r="AH487" s="3" t="n"/>
      <c r="AI487" s="3" t="n">
        <v>3.5741</v>
      </c>
      <c r="AJ487" s="3" t="n">
        <v>1.8319</v>
      </c>
      <c r="AK487" s="3" t="n">
        <v>-0.0610683923216705</v>
      </c>
      <c r="AL487" s="6" t="n">
        <v>0</v>
      </c>
      <c r="AM487" s="3" t="n">
        <v>0.0400226050740512</v>
      </c>
      <c r="AN487" s="3" t="n">
        <v>0</v>
      </c>
      <c r="AO487" s="3" t="n">
        <v>0</v>
      </c>
      <c r="AP487" s="3">
        <f>N(X487)*N(BI487)</f>
        <v/>
      </c>
      <c r="AQ487" s="3" t="n">
        <v>0</v>
      </c>
      <c r="AR487" s="3" t="n">
        <v>0.8565116974562608</v>
      </c>
      <c r="AS487" s="3" t="n">
        <v>-0.6723587286814016</v>
      </c>
      <c r="AT487" s="3" t="n">
        <v>-0.0610683923216705</v>
      </c>
      <c r="AU487" s="3">
        <f>SUM(AN487:AT487)</f>
        <v/>
      </c>
      <c r="AV487" s="7">
        <f>IF(OR(N(W487)&lt;=0,N(BG487)=0),0,N(W487)*IF(N(R487)/N(W487)&gt;=60,N(BG487),1))</f>
        <v/>
      </c>
      <c r="AW487" s="7">
        <f>N(W487)*N(AF487)*N(BH487)</f>
        <v/>
      </c>
      <c r="AX487" s="7">
        <f>N(AL487)*(Assumptions!$B$13*N(BJ487)-(1-Assumptions!$B$13)*Assumptions!$B$14)+N(AM487)</f>
        <v/>
      </c>
      <c r="AY487" s="7">
        <f>N(AU487)*N(R487)/90+N(AV487)+N(AW487)+N(AX487)</f>
        <v/>
      </c>
      <c r="AZ487" s="3">
        <f>IF(N(R487)&lt;=0,0,(N(AY487)-N(AX487))*90/N(R487))</f>
        <v/>
      </c>
      <c r="BA487" s="7">
        <f>IFERROR(AY487-VLOOKUP($E487,Assumptions!$A$40:$C$43,3,FALSE),"")</f>
        <v/>
      </c>
      <c r="BB487" s="3">
        <f>IFERROR(BA487/H487,"")</f>
        <v/>
      </c>
      <c r="BC487">
        <f>IF(AND($G487=TRUE,$E487="GKP"),AY487,"")</f>
        <v/>
      </c>
      <c r="BD487">
        <f>IF(AND($G487=TRUE,$E487="DEF"),AY487,"")</f>
        <v/>
      </c>
      <c r="BE487">
        <f>IF(AND($G487=TRUE,$E487="MID"),AY487,"")</f>
        <v/>
      </c>
      <c r="BF487">
        <f>IF(AND($G487=TRUE,$E487="FWD"),AY487,"")</f>
        <v/>
      </c>
      <c r="BG487" t="n">
        <v>2</v>
      </c>
      <c r="BH487" t="n">
        <v>0</v>
      </c>
      <c r="BI487" t="n">
        <v>4</v>
      </c>
      <c r="BJ487" t="n">
        <v>10</v>
      </c>
    </row>
    <row r="488">
      <c r="A488" t="inlineStr">
        <is>
          <t>Solly March</t>
        </is>
      </c>
      <c r="C488" t="inlineStr">
        <is>
          <t>BHA</t>
        </is>
      </c>
      <c r="D488" t="b">
        <v>0</v>
      </c>
      <c r="F488" t="inlineStr">
        <is>
          <t>MID</t>
        </is>
      </c>
      <c r="G488" t="b">
        <v>0</v>
      </c>
      <c r="H488" s="2" t="n"/>
      <c r="K488" s="2" t="n">
        <v>38</v>
      </c>
      <c r="M488" s="3" t="n"/>
      <c r="N488" s="8" t="n">
        <v>38</v>
      </c>
      <c r="O488" s="8" t="n">
        <v>0</v>
      </c>
      <c r="R488" s="6" t="n">
        <v>38</v>
      </c>
      <c r="S488" t="inlineStr">
        <is>
          <t>25/26 actual</t>
        </is>
      </c>
      <c r="U488" s="6" t="n">
        <v>80.09999999999999</v>
      </c>
      <c r="V488" s="2" t="n">
        <v>0</v>
      </c>
      <c r="W488" s="7">
        <f>IF(N(U488)&lt;=0,0,MIN(Assumptions!$B$15,N(R488)/N(U488)))</f>
        <v/>
      </c>
      <c r="X488" s="6" t="n"/>
      <c r="Y488" s="3" t="n">
        <v>0.1066</v>
      </c>
      <c r="Z488" t="inlineStr">
        <is>
          <t>adjusted xGOT</t>
        </is>
      </c>
      <c r="AA488" s="3" t="n">
        <v>1</v>
      </c>
      <c r="AB488" s="3" t="n">
        <v>1.131</v>
      </c>
      <c r="AC488" s="3" t="n">
        <v>9.199999999999999</v>
      </c>
      <c r="AD488" s="3" t="n">
        <v>0</v>
      </c>
      <c r="AE488" s="3" t="n">
        <v>8.741</v>
      </c>
      <c r="AF488" s="3" t="n">
        <v>0</v>
      </c>
      <c r="AG488" s="3" t="n">
        <v>0</v>
      </c>
      <c r="AH488" s="3" t="n">
        <v>4</v>
      </c>
      <c r="AI488" s="3" t="n"/>
      <c r="AJ488" s="3" t="n"/>
      <c r="AK488" s="3" t="n"/>
      <c r="AL488" s="6" t="n">
        <v>0</v>
      </c>
      <c r="AM488" s="3" t="n">
        <v>0</v>
      </c>
      <c r="AN488" s="3" t="n">
        <v>0</v>
      </c>
      <c r="AO488" s="3" t="n">
        <v>0</v>
      </c>
      <c r="AP488" s="3">
        <f>N(X488)*N(BI488)</f>
        <v/>
      </c>
      <c r="AQ488" s="3" t="n">
        <v>0</v>
      </c>
      <c r="AR488" s="3" t="n">
        <v>0</v>
      </c>
      <c r="AS488" s="3" t="n">
        <v>0</v>
      </c>
      <c r="AT488" s="3" t="n">
        <v>0</v>
      </c>
      <c r="AU488" s="3">
        <f>SUM(AN488:AT488)</f>
        <v/>
      </c>
      <c r="AV488" s="7">
        <f>IF(OR(N(W488)&lt;=0,N(BG488)=0),0,N(W488)*IF(N(R488)/N(W488)&gt;=60,N(BG488),1))</f>
        <v/>
      </c>
      <c r="AW488" s="7">
        <f>N(W488)*N(AF488)*N(BH488)</f>
        <v/>
      </c>
      <c r="AX488" s="7">
        <f>N(AL488)*(Assumptions!$B$13*N(BJ488)-(1-Assumptions!$B$13)*Assumptions!$B$14)+N(AM488)</f>
        <v/>
      </c>
      <c r="AY488" s="7">
        <f>N(AU488)*N(R488)/90+N(AV488)+N(AW488)+N(AX488)</f>
        <v/>
      </c>
      <c r="AZ488" s="3">
        <f>IF(N(R488)&lt;=0,0,(N(AY488)-N(AX488))*90/N(R488))</f>
        <v/>
      </c>
      <c r="BA488" s="7">
        <f>IFERROR(AY488-VLOOKUP($E488,Assumptions!$A$40:$C$43,3,FALSE),"")</f>
        <v/>
      </c>
      <c r="BB488" s="3">
        <f>IFERROR(BA488/H488,"")</f>
        <v/>
      </c>
      <c r="BC488">
        <f>IF(AND($G488=TRUE,$E488="GKP"),AY488,"")</f>
        <v/>
      </c>
      <c r="BD488">
        <f>IF(AND($G488=TRUE,$E488="DEF"),AY488,"")</f>
        <v/>
      </c>
      <c r="BE488">
        <f>IF(AND($G488=TRUE,$E488="MID"),AY488,"")</f>
        <v/>
      </c>
      <c r="BF488">
        <f>IF(AND($G488=TRUE,$E488="FWD"),AY488,"")</f>
        <v/>
      </c>
      <c r="BG488" t="n">
        <v>0</v>
      </c>
      <c r="BH488" t="n">
        <v>0</v>
      </c>
      <c r="BI488" t="n">
        <v>0</v>
      </c>
      <c r="BJ488" t="n">
        <v>0</v>
      </c>
    </row>
    <row r="489">
      <c r="A489" t="inlineStr">
        <is>
          <t>Bertrand Traoré</t>
        </is>
      </c>
      <c r="C489" t="inlineStr">
        <is>
          <t>SUN</t>
        </is>
      </c>
      <c r="D489" t="b">
        <v>0</v>
      </c>
      <c r="F489" t="inlineStr">
        <is>
          <t>MID</t>
        </is>
      </c>
      <c r="G489" t="b">
        <v>0</v>
      </c>
      <c r="H489" s="2" t="n"/>
      <c r="K489" s="2" t="n">
        <v>638</v>
      </c>
      <c r="M489" s="3" t="n"/>
      <c r="N489" s="8" t="n">
        <v>638</v>
      </c>
      <c r="O489" s="8" t="n">
        <v>0</v>
      </c>
      <c r="R489" s="6" t="n">
        <v>638</v>
      </c>
      <c r="S489" t="inlineStr">
        <is>
          <t>25/26 actual</t>
        </is>
      </c>
      <c r="U489" s="6" t="n">
        <v>72.5</v>
      </c>
      <c r="V489" s="2" t="n">
        <v>9</v>
      </c>
      <c r="W489" s="7">
        <f>IF(N(U489)&lt;=0,0,MIN(Assumptions!$B$15,N(R489)/N(U489)))</f>
        <v/>
      </c>
      <c r="X489" s="6" t="n"/>
      <c r="Y489" s="3" t="n">
        <v>0.0814</v>
      </c>
      <c r="Z489" t="inlineStr">
        <is>
          <t>adjusted xGOT</t>
        </is>
      </c>
      <c r="AA489" s="3" t="n">
        <v>1</v>
      </c>
      <c r="AB489" s="3" t="n">
        <v>1.203</v>
      </c>
      <c r="AC489" s="3" t="n">
        <v>1.2</v>
      </c>
      <c r="AD489" s="3" t="n">
        <v>0.1395</v>
      </c>
      <c r="AE489" s="3" t="n">
        <v>7.22</v>
      </c>
      <c r="AF489" s="3" t="n">
        <v>0</v>
      </c>
      <c r="AG489" s="3" t="n">
        <v>0.1411</v>
      </c>
      <c r="AH489" s="3" t="n">
        <v>19</v>
      </c>
      <c r="AI489" s="3" t="n"/>
      <c r="AJ489" s="3" t="n"/>
      <c r="AK489" s="3" t="n"/>
      <c r="AL489" s="6" t="n">
        <v>0</v>
      </c>
      <c r="AM489" s="3" t="n">
        <v>0</v>
      </c>
      <c r="AN489" s="3" t="n">
        <v>0</v>
      </c>
      <c r="AO489" s="3" t="n">
        <v>0</v>
      </c>
      <c r="AP489" s="3">
        <f>N(X489)*N(BI489)</f>
        <v/>
      </c>
      <c r="AQ489" s="3" t="n">
        <v>0</v>
      </c>
      <c r="AR489" s="3" t="n">
        <v>0</v>
      </c>
      <c r="AS489" s="3" t="n">
        <v>0</v>
      </c>
      <c r="AT489" s="3" t="n">
        <v>0</v>
      </c>
      <c r="AU489" s="3">
        <f>SUM(AN489:AT489)</f>
        <v/>
      </c>
      <c r="AV489" s="7">
        <f>IF(OR(N(W489)&lt;=0,N(BG489)=0),0,N(W489)*IF(N(R489)/N(W489)&gt;=60,N(BG489),1))</f>
        <v/>
      </c>
      <c r="AW489" s="7">
        <f>N(W489)*N(AF489)*N(BH489)</f>
        <v/>
      </c>
      <c r="AX489" s="7">
        <f>N(AL489)*(Assumptions!$B$13*N(BJ489)-(1-Assumptions!$B$13)*Assumptions!$B$14)+N(AM489)</f>
        <v/>
      </c>
      <c r="AY489" s="7">
        <f>N(AU489)*N(R489)/90+N(AV489)+N(AW489)+N(AX489)</f>
        <v/>
      </c>
      <c r="AZ489" s="3">
        <f>IF(N(R489)&lt;=0,0,(N(AY489)-N(AX489))*90/N(R489))</f>
        <v/>
      </c>
      <c r="BA489" s="7">
        <f>IFERROR(AY489-VLOOKUP($E489,Assumptions!$A$40:$C$43,3,FALSE),"")</f>
        <v/>
      </c>
      <c r="BB489" s="3">
        <f>IFERROR(BA489/H489,"")</f>
        <v/>
      </c>
      <c r="BC489">
        <f>IF(AND($G489=TRUE,$E489="GKP"),AY489,"")</f>
        <v/>
      </c>
      <c r="BD489">
        <f>IF(AND($G489=TRUE,$E489="DEF"),AY489,"")</f>
        <v/>
      </c>
      <c r="BE489">
        <f>IF(AND($G489=TRUE,$E489="MID"),AY489,"")</f>
        <v/>
      </c>
      <c r="BF489">
        <f>IF(AND($G489=TRUE,$E489="FWD"),AY489,"")</f>
        <v/>
      </c>
      <c r="BG489" t="n">
        <v>0</v>
      </c>
      <c r="BH489" t="n">
        <v>0</v>
      </c>
      <c r="BI489" t="n">
        <v>0</v>
      </c>
      <c r="BJ489" t="n">
        <v>0</v>
      </c>
    </row>
    <row r="490">
      <c r="A490" t="inlineStr">
        <is>
          <t>Ben Wilson</t>
        </is>
      </c>
      <c r="B490" t="inlineStr">
        <is>
          <t>COV</t>
        </is>
      </c>
      <c r="D490" t="b">
        <v>0</v>
      </c>
      <c r="E490" t="inlineStr">
        <is>
          <t>GKP</t>
        </is>
      </c>
      <c r="G490" t="b">
        <v>1</v>
      </c>
      <c r="H490" s="2" t="n">
        <v>4.5</v>
      </c>
      <c r="I490" t="inlineStr">
        <is>
          <t>a</t>
        </is>
      </c>
      <c r="K490" s="2" t="n"/>
      <c r="M490" s="3" t="n">
        <v>35</v>
      </c>
      <c r="N490" s="8" t="n">
        <v>35</v>
      </c>
      <c r="O490" s="8" t="n">
        <v>0</v>
      </c>
      <c r="Q490" t="inlineStr">
        <is>
          <t>flat</t>
        </is>
      </c>
      <c r="R490" s="6" t="n">
        <v>35</v>
      </c>
      <c r="S490" t="inlineStr">
        <is>
          <t>Solio</t>
        </is>
      </c>
      <c r="U490" s="6" t="n">
        <v>85</v>
      </c>
      <c r="V490" s="2" t="n"/>
      <c r="W490" s="7">
        <f>IF(N(U490)&lt;=0,0,MIN(Assumptions!$B$15,N(R490)/N(U490)))</f>
        <v/>
      </c>
      <c r="X490" s="6" t="n">
        <v>0.17</v>
      </c>
      <c r="Y490" s="3" t="n"/>
      <c r="Z490" t="inlineStr"/>
      <c r="AA490" s="3" t="n">
        <v>1</v>
      </c>
      <c r="AB490" s="3" t="n"/>
      <c r="AC490" s="3" t="n"/>
      <c r="AD490" s="3" t="n"/>
      <c r="AE490" s="3" t="n">
        <v>0</v>
      </c>
      <c r="AF490" s="3" t="n">
        <v>0</v>
      </c>
      <c r="AG490" s="3" t="n"/>
      <c r="AH490" s="3" t="n"/>
      <c r="AI490" s="3" t="n">
        <v>3.6194</v>
      </c>
      <c r="AJ490" s="3" t="n">
        <v>1.8271</v>
      </c>
      <c r="AK490" s="3" t="n">
        <v>-0.0763216474948735</v>
      </c>
      <c r="AL490" s="6" t="n">
        <v>0</v>
      </c>
      <c r="AM490" s="3" t="n">
        <v>0.0399179647999067</v>
      </c>
      <c r="AN490" s="3" t="n">
        <v>0</v>
      </c>
      <c r="AO490" s="3" t="n">
        <v>0</v>
      </c>
      <c r="AP490" s="3">
        <f>N(X490)*N(BI490)</f>
        <v/>
      </c>
      <c r="AQ490" s="3" t="n">
        <v>0</v>
      </c>
      <c r="AR490" s="3" t="n">
        <v>0.8716770173844571</v>
      </c>
      <c r="AS490" s="3" t="n">
        <v>-0.670020548738316</v>
      </c>
      <c r="AT490" s="3" t="n">
        <v>-0.0763216474948735</v>
      </c>
      <c r="AU490" s="3">
        <f>SUM(AN490:AT490)</f>
        <v/>
      </c>
      <c r="AV490" s="7">
        <f>IF(OR(N(W490)&lt;=0,N(BG490)=0),0,N(W490)*IF(N(R490)/N(W490)&gt;=60,N(BG490),1))</f>
        <v/>
      </c>
      <c r="AW490" s="7">
        <f>N(W490)*N(AF490)*N(BH490)</f>
        <v/>
      </c>
      <c r="AX490" s="7">
        <f>N(AL490)*(Assumptions!$B$13*N(BJ490)-(1-Assumptions!$B$13)*Assumptions!$B$14)+N(AM490)</f>
        <v/>
      </c>
      <c r="AY490" s="7">
        <f>N(AU490)*N(R490)/90+N(AV490)+N(AW490)+N(AX490)</f>
        <v/>
      </c>
      <c r="AZ490" s="3">
        <f>IF(N(R490)&lt;=0,0,(N(AY490)-N(AX490))*90/N(R490))</f>
        <v/>
      </c>
      <c r="BA490" s="7">
        <f>IFERROR(AY490-VLOOKUP($E490,Assumptions!$A$40:$C$43,3,FALSE),"")</f>
        <v/>
      </c>
      <c r="BB490" s="3">
        <f>IFERROR(BA490/H490,"")</f>
        <v/>
      </c>
      <c r="BC490">
        <f>IF(AND($G490=TRUE,$E490="GKP"),AY490,"")</f>
        <v/>
      </c>
      <c r="BD490">
        <f>IF(AND($G490=TRUE,$E490="DEF"),AY490,"")</f>
        <v/>
      </c>
      <c r="BE490">
        <f>IF(AND($G490=TRUE,$E490="MID"),AY490,"")</f>
        <v/>
      </c>
      <c r="BF490">
        <f>IF(AND($G490=TRUE,$E490="FWD"),AY490,"")</f>
        <v/>
      </c>
      <c r="BG490" t="n">
        <v>2</v>
      </c>
      <c r="BH490" t="n">
        <v>0</v>
      </c>
      <c r="BI490" t="n">
        <v>4</v>
      </c>
      <c r="BJ490" t="n">
        <v>10</v>
      </c>
    </row>
    <row r="491">
      <c r="A491" t="inlineStr">
        <is>
          <t>Joël Veltman</t>
        </is>
      </c>
      <c r="C491" t="inlineStr">
        <is>
          <t>BHA</t>
        </is>
      </c>
      <c r="D491" t="b">
        <v>0</v>
      </c>
      <c r="F491" t="inlineStr">
        <is>
          <t>DEF</t>
        </is>
      </c>
      <c r="G491" t="b">
        <v>0</v>
      </c>
      <c r="H491" s="2" t="n"/>
      <c r="K491" s="2" t="n">
        <v>1050</v>
      </c>
      <c r="M491" s="3" t="n"/>
      <c r="N491" s="8" t="n">
        <v>1050</v>
      </c>
      <c r="O491" s="8" t="n">
        <v>0</v>
      </c>
      <c r="R491" s="6" t="n">
        <v>1050</v>
      </c>
      <c r="S491" t="inlineStr">
        <is>
          <t>25/26 actual</t>
        </is>
      </c>
      <c r="U491" s="6" t="n">
        <v>84.40000000000001</v>
      </c>
      <c r="V491" s="2" t="n">
        <v>9</v>
      </c>
      <c r="W491" s="7">
        <f>IF(N(U491)&lt;=0,0,MIN(Assumptions!$B$15,N(R491)/N(U491)))</f>
        <v/>
      </c>
      <c r="X491" s="6" t="n"/>
      <c r="Y491" s="3" t="n">
        <v>0.0961</v>
      </c>
      <c r="Z491" t="inlineStr">
        <is>
          <t>adjusted xGOT</t>
        </is>
      </c>
      <c r="AA491" s="3" t="n">
        <v>1</v>
      </c>
      <c r="AB491" s="3" t="n">
        <v>0.975</v>
      </c>
      <c r="AC491" s="3" t="n">
        <v>3.8</v>
      </c>
      <c r="AD491" s="3" t="n">
        <v>0.0216</v>
      </c>
      <c r="AE491" s="3" t="n">
        <v>8.173999999999999</v>
      </c>
      <c r="AF491" s="3" t="n">
        <v>0</v>
      </c>
      <c r="AG491" s="3" t="n">
        <v>0</v>
      </c>
      <c r="AH491" s="3" t="n">
        <v>33</v>
      </c>
      <c r="AI491" s="3" t="n"/>
      <c r="AJ491" s="3" t="n"/>
      <c r="AK491" s="3" t="n"/>
      <c r="AL491" s="6" t="n">
        <v>0</v>
      </c>
      <c r="AM491" s="3" t="n">
        <v>0</v>
      </c>
      <c r="AN491" s="3" t="n">
        <v>0</v>
      </c>
      <c r="AO491" s="3" t="n">
        <v>0</v>
      </c>
      <c r="AP491" s="3">
        <f>N(X491)*N(BI491)</f>
        <v/>
      </c>
      <c r="AQ491" s="3" t="n">
        <v>0</v>
      </c>
      <c r="AR491" s="3" t="n">
        <v>0</v>
      </c>
      <c r="AS491" s="3" t="n">
        <v>0</v>
      </c>
      <c r="AT491" s="3" t="n">
        <v>0</v>
      </c>
      <c r="AU491" s="3">
        <f>SUM(AN491:AT491)</f>
        <v/>
      </c>
      <c r="AV491" s="7">
        <f>IF(OR(N(W491)&lt;=0,N(BG491)=0),0,N(W491)*IF(N(R491)/N(W491)&gt;=60,N(BG491),1))</f>
        <v/>
      </c>
      <c r="AW491" s="7">
        <f>N(W491)*N(AF491)*N(BH491)</f>
        <v/>
      </c>
      <c r="AX491" s="7">
        <f>N(AL491)*(Assumptions!$B$13*N(BJ491)-(1-Assumptions!$B$13)*Assumptions!$B$14)+N(AM491)</f>
        <v/>
      </c>
      <c r="AY491" s="7">
        <f>N(AU491)*N(R491)/90+N(AV491)+N(AW491)+N(AX491)</f>
        <v/>
      </c>
      <c r="AZ491" s="3">
        <f>IF(N(R491)&lt;=0,0,(N(AY491)-N(AX491))*90/N(R491))</f>
        <v/>
      </c>
      <c r="BA491" s="7">
        <f>IFERROR(AY491-VLOOKUP($E491,Assumptions!$A$40:$C$43,3,FALSE),"")</f>
        <v/>
      </c>
      <c r="BB491" s="3">
        <f>IFERROR(BA491/H491,"")</f>
        <v/>
      </c>
      <c r="BC491">
        <f>IF(AND($G491=TRUE,$E491="GKP"),AY491,"")</f>
        <v/>
      </c>
      <c r="BD491">
        <f>IF(AND($G491=TRUE,$E491="DEF"),AY491,"")</f>
        <v/>
      </c>
      <c r="BE491">
        <f>IF(AND($G491=TRUE,$E491="MID"),AY491,"")</f>
        <v/>
      </c>
      <c r="BF491">
        <f>IF(AND($G491=TRUE,$E491="FWD"),AY491,"")</f>
        <v/>
      </c>
      <c r="BG491" t="n">
        <v>0</v>
      </c>
      <c r="BH491" t="n">
        <v>0</v>
      </c>
      <c r="BI491" t="n">
        <v>0</v>
      </c>
      <c r="BJ491" t="n">
        <v>0</v>
      </c>
    </row>
    <row r="492">
      <c r="A492" t="inlineStr">
        <is>
          <t>Emil Krafth</t>
        </is>
      </c>
      <c r="C492" t="inlineStr">
        <is>
          <t>NEW</t>
        </is>
      </c>
      <c r="D492" t="b">
        <v>0</v>
      </c>
      <c r="F492" t="inlineStr">
        <is>
          <t>DEF</t>
        </is>
      </c>
      <c r="G492" t="b">
        <v>0</v>
      </c>
      <c r="H492" s="2" t="n"/>
      <c r="K492" s="2" t="n">
        <v>45</v>
      </c>
      <c r="M492" s="3" t="n"/>
      <c r="N492" s="8" t="n">
        <v>45</v>
      </c>
      <c r="O492" s="8" t="n">
        <v>0</v>
      </c>
      <c r="R492" s="6" t="n">
        <v>45</v>
      </c>
      <c r="S492" t="inlineStr">
        <is>
          <t>25/26 actual</t>
        </is>
      </c>
      <c r="U492" s="6" t="n">
        <v>81.8</v>
      </c>
      <c r="V492" s="2" t="n">
        <v>1</v>
      </c>
      <c r="W492" s="7">
        <f>IF(N(U492)&lt;=0,0,MIN(Assumptions!$B$15,N(R492)/N(U492)))</f>
        <v/>
      </c>
      <c r="X492" s="6" t="n"/>
      <c r="Y492" s="3" t="n">
        <v>0</v>
      </c>
      <c r="Z492" t="inlineStr">
        <is>
          <t>adjusted xGOT</t>
        </is>
      </c>
      <c r="AA492" s="3" t="n">
        <v>1</v>
      </c>
      <c r="AB492" s="3" t="n">
        <v>0.971</v>
      </c>
      <c r="AC492" s="3" t="n">
        <v>0.2</v>
      </c>
      <c r="AD492" s="3" t="n">
        <v>0</v>
      </c>
      <c r="AE492" s="3" t="n">
        <v>7.351</v>
      </c>
      <c r="AF492" s="3" t="n">
        <v>0</v>
      </c>
      <c r="AG492" s="3" t="n">
        <v>0</v>
      </c>
      <c r="AH492" s="3" t="n">
        <v>1</v>
      </c>
      <c r="AI492" s="3" t="n"/>
      <c r="AJ492" s="3" t="n"/>
      <c r="AK492" s="3" t="n"/>
      <c r="AL492" s="6" t="n">
        <v>0</v>
      </c>
      <c r="AM492" s="3" t="n">
        <v>0</v>
      </c>
      <c r="AN492" s="3" t="n">
        <v>0</v>
      </c>
      <c r="AO492" s="3" t="n">
        <v>0</v>
      </c>
      <c r="AP492" s="3">
        <f>N(X492)*N(BI492)</f>
        <v/>
      </c>
      <c r="AQ492" s="3" t="n">
        <v>0</v>
      </c>
      <c r="AR492" s="3" t="n">
        <v>0</v>
      </c>
      <c r="AS492" s="3" t="n">
        <v>0</v>
      </c>
      <c r="AT492" s="3" t="n">
        <v>0</v>
      </c>
      <c r="AU492" s="3">
        <f>SUM(AN492:AT492)</f>
        <v/>
      </c>
      <c r="AV492" s="7">
        <f>IF(OR(N(W492)&lt;=0,N(BG492)=0),0,N(W492)*IF(N(R492)/N(W492)&gt;=60,N(BG492),1))</f>
        <v/>
      </c>
      <c r="AW492" s="7">
        <f>N(W492)*N(AF492)*N(BH492)</f>
        <v/>
      </c>
      <c r="AX492" s="7">
        <f>N(AL492)*(Assumptions!$B$13*N(BJ492)-(1-Assumptions!$B$13)*Assumptions!$B$14)+N(AM492)</f>
        <v/>
      </c>
      <c r="AY492" s="7">
        <f>N(AU492)*N(R492)/90+N(AV492)+N(AW492)+N(AX492)</f>
        <v/>
      </c>
      <c r="AZ492" s="3">
        <f>IF(N(R492)&lt;=0,0,(N(AY492)-N(AX492))*90/N(R492))</f>
        <v/>
      </c>
      <c r="BA492" s="7">
        <f>IFERROR(AY492-VLOOKUP($E492,Assumptions!$A$40:$C$43,3,FALSE),"")</f>
        <v/>
      </c>
      <c r="BB492" s="3">
        <f>IFERROR(BA492/H492,"")</f>
        <v/>
      </c>
      <c r="BC492">
        <f>IF(AND($G492=TRUE,$E492="GKP"),AY492,"")</f>
        <v/>
      </c>
      <c r="BD492">
        <f>IF(AND($G492=TRUE,$E492="DEF"),AY492,"")</f>
        <v/>
      </c>
      <c r="BE492">
        <f>IF(AND($G492=TRUE,$E492="MID"),AY492,"")</f>
        <v/>
      </c>
      <c r="BF492">
        <f>IF(AND($G492=TRUE,$E492="FWD"),AY492,"")</f>
        <v/>
      </c>
      <c r="BG492" t="n">
        <v>0</v>
      </c>
      <c r="BH492" t="n">
        <v>0</v>
      </c>
      <c r="BI492" t="n">
        <v>0</v>
      </c>
      <c r="BJ492" t="n">
        <v>0</v>
      </c>
    </row>
    <row r="493">
      <c r="A493" t="inlineStr">
        <is>
          <t>Alex Palmer</t>
        </is>
      </c>
      <c r="B493" t="inlineStr">
        <is>
          <t>IPS</t>
        </is>
      </c>
      <c r="D493" t="b">
        <v>0</v>
      </c>
      <c r="E493" t="inlineStr">
        <is>
          <t>GKP</t>
        </is>
      </c>
      <c r="G493" t="b">
        <v>1</v>
      </c>
      <c r="H493" s="2" t="n">
        <v>4</v>
      </c>
      <c r="I493" t="inlineStr">
        <is>
          <t>a</t>
        </is>
      </c>
      <c r="K493" s="2" t="n"/>
      <c r="M493" s="3" t="n">
        <v>34</v>
      </c>
      <c r="N493" s="8" t="n">
        <v>34</v>
      </c>
      <c r="O493" s="8" t="n">
        <v>0</v>
      </c>
      <c r="Q493" t="inlineStr">
        <is>
          <t>flat</t>
        </is>
      </c>
      <c r="R493" s="6" t="n">
        <v>34</v>
      </c>
      <c r="S493" t="inlineStr">
        <is>
          <t>Solio</t>
        </is>
      </c>
      <c r="U493" s="6" t="n">
        <v>85</v>
      </c>
      <c r="V493" s="2" t="n"/>
      <c r="W493" s="7">
        <f>IF(N(U493)&lt;=0,0,MIN(Assumptions!$B$15,N(R493)/N(U493)))</f>
        <v/>
      </c>
      <c r="X493" s="6" t="n">
        <v>0.17</v>
      </c>
      <c r="Y493" s="3" t="n"/>
      <c r="Z493" t="inlineStr"/>
      <c r="AA493" s="3" t="n">
        <v>1</v>
      </c>
      <c r="AB493" s="3" t="n"/>
      <c r="AC493" s="3" t="n"/>
      <c r="AD493" s="3" t="n"/>
      <c r="AE493" s="3" t="n">
        <v>0</v>
      </c>
      <c r="AF493" s="3" t="n">
        <v>0</v>
      </c>
      <c r="AG493" s="3" t="n"/>
      <c r="AH493" s="3" t="n"/>
      <c r="AI493" s="3" t="n">
        <v>3.5741</v>
      </c>
      <c r="AJ493" s="3" t="n">
        <v>1.8319</v>
      </c>
      <c r="AK493" s="3" t="n">
        <v>-0.102699169652838</v>
      </c>
      <c r="AL493" s="6" t="n">
        <v>0</v>
      </c>
      <c r="AM493" s="3" t="n">
        <v>0.0388791020719355</v>
      </c>
      <c r="AN493" s="3" t="n">
        <v>0</v>
      </c>
      <c r="AO493" s="3" t="n">
        <v>0</v>
      </c>
      <c r="AP493" s="3">
        <f>N(X493)*N(BI493)</f>
        <v/>
      </c>
      <c r="AQ493" s="3" t="n">
        <v>0</v>
      </c>
      <c r="AR493" s="3" t="n">
        <v>0.8565116974562608</v>
      </c>
      <c r="AS493" s="3" t="n">
        <v>-0.6723587286814016</v>
      </c>
      <c r="AT493" s="3" t="n">
        <v>-0.102699169652838</v>
      </c>
      <c r="AU493" s="3">
        <f>SUM(AN493:AT493)</f>
        <v/>
      </c>
      <c r="AV493" s="7">
        <f>IF(OR(N(W493)&lt;=0,N(BG493)=0),0,N(W493)*IF(N(R493)/N(W493)&gt;=60,N(BG493),1))</f>
        <v/>
      </c>
      <c r="AW493" s="7">
        <f>N(W493)*N(AF493)*N(BH493)</f>
        <v/>
      </c>
      <c r="AX493" s="7">
        <f>N(AL493)*(Assumptions!$B$13*N(BJ493)-(1-Assumptions!$B$13)*Assumptions!$B$14)+N(AM493)</f>
        <v/>
      </c>
      <c r="AY493" s="7">
        <f>N(AU493)*N(R493)/90+N(AV493)+N(AW493)+N(AX493)</f>
        <v/>
      </c>
      <c r="AZ493" s="3">
        <f>IF(N(R493)&lt;=0,0,(N(AY493)-N(AX493))*90/N(R493))</f>
        <v/>
      </c>
      <c r="BA493" s="7">
        <f>IFERROR(AY493-VLOOKUP($E493,Assumptions!$A$40:$C$43,3,FALSE),"")</f>
        <v/>
      </c>
      <c r="BB493" s="3">
        <f>IFERROR(BA493/H493,"")</f>
        <v/>
      </c>
      <c r="BC493">
        <f>IF(AND($G493=TRUE,$E493="GKP"),AY493,"")</f>
        <v/>
      </c>
      <c r="BD493">
        <f>IF(AND($G493=TRUE,$E493="DEF"),AY493,"")</f>
        <v/>
      </c>
      <c r="BE493">
        <f>IF(AND($G493=TRUE,$E493="MID"),AY493,"")</f>
        <v/>
      </c>
      <c r="BF493">
        <f>IF(AND($G493=TRUE,$E493="FWD"),AY493,"")</f>
        <v/>
      </c>
      <c r="BG493" t="n">
        <v>2</v>
      </c>
      <c r="BH493" t="n">
        <v>0</v>
      </c>
      <c r="BI493" t="n">
        <v>4</v>
      </c>
      <c r="BJ493" t="n">
        <v>10</v>
      </c>
    </row>
    <row r="494">
      <c r="A494" t="inlineStr">
        <is>
          <t>Sam Byram</t>
        </is>
      </c>
      <c r="C494" t="inlineStr">
        <is>
          <t>LEE</t>
        </is>
      </c>
      <c r="D494" t="b">
        <v>0</v>
      </c>
      <c r="F494" t="inlineStr">
        <is>
          <t>DEF</t>
        </is>
      </c>
      <c r="G494" t="b">
        <v>0</v>
      </c>
      <c r="H494" s="2" t="n"/>
      <c r="K494" s="2" t="n">
        <v>8</v>
      </c>
      <c r="M494" s="3" t="n"/>
      <c r="N494" s="8" t="n">
        <v>8</v>
      </c>
      <c r="O494" s="8" t="n">
        <v>0</v>
      </c>
      <c r="R494" s="6" t="n">
        <v>8</v>
      </c>
      <c r="S494" t="inlineStr">
        <is>
          <t>25/26 actual</t>
        </is>
      </c>
      <c r="U494" s="6" t="n">
        <v>85.5</v>
      </c>
      <c r="V494" s="2" t="n">
        <v>0</v>
      </c>
      <c r="W494" s="7">
        <f>IF(N(U494)&lt;=0,0,MIN(Assumptions!$B$15,N(R494)/N(U494)))</f>
        <v/>
      </c>
      <c r="X494" s="6" t="n"/>
      <c r="Y494" s="3" t="n">
        <v>0</v>
      </c>
      <c r="Z494" t="inlineStr">
        <is>
          <t>blended xG</t>
        </is>
      </c>
      <c r="AA494" s="3" t="n">
        <v>1</v>
      </c>
      <c r="AB494" s="3" t="n">
        <v>1</v>
      </c>
      <c r="AC494" s="3" t="n">
        <v>0</v>
      </c>
      <c r="AD494" s="3" t="n">
        <v>0</v>
      </c>
      <c r="AE494" s="3" t="n">
        <v>7.971</v>
      </c>
      <c r="AF494" s="3" t="n">
        <v>0</v>
      </c>
      <c r="AG494" s="3" t="n">
        <v>0</v>
      </c>
      <c r="AH494" s="3" t="n">
        <v>2</v>
      </c>
      <c r="AI494" s="3" t="n"/>
      <c r="AJ494" s="3" t="n"/>
      <c r="AK494" s="3" t="n"/>
      <c r="AL494" s="6" t="n">
        <v>0</v>
      </c>
      <c r="AM494" s="3" t="n">
        <v>0</v>
      </c>
      <c r="AN494" s="3" t="n">
        <v>0</v>
      </c>
      <c r="AO494" s="3" t="n">
        <v>0</v>
      </c>
      <c r="AP494" s="3">
        <f>N(X494)*N(BI494)</f>
        <v/>
      </c>
      <c r="AQ494" s="3" t="n">
        <v>0</v>
      </c>
      <c r="AR494" s="3" t="n">
        <v>0</v>
      </c>
      <c r="AS494" s="3" t="n">
        <v>0</v>
      </c>
      <c r="AT494" s="3" t="n">
        <v>0</v>
      </c>
      <c r="AU494" s="3">
        <f>SUM(AN494:AT494)</f>
        <v/>
      </c>
      <c r="AV494" s="7">
        <f>IF(OR(N(W494)&lt;=0,N(BG494)=0),0,N(W494)*IF(N(R494)/N(W494)&gt;=60,N(BG494),1))</f>
        <v/>
      </c>
      <c r="AW494" s="7">
        <f>N(W494)*N(AF494)*N(BH494)</f>
        <v/>
      </c>
      <c r="AX494" s="7">
        <f>N(AL494)*(Assumptions!$B$13*N(BJ494)-(1-Assumptions!$B$13)*Assumptions!$B$14)+N(AM494)</f>
        <v/>
      </c>
      <c r="AY494" s="7">
        <f>N(AU494)*N(R494)/90+N(AV494)+N(AW494)+N(AX494)</f>
        <v/>
      </c>
      <c r="AZ494" s="3">
        <f>IF(N(R494)&lt;=0,0,(N(AY494)-N(AX494))*90/N(R494))</f>
        <v/>
      </c>
      <c r="BA494" s="7">
        <f>IFERROR(AY494-VLOOKUP($E494,Assumptions!$A$40:$C$43,3,FALSE),"")</f>
        <v/>
      </c>
      <c r="BB494" s="3">
        <f>IFERROR(BA494/H494,"")</f>
        <v/>
      </c>
      <c r="BC494">
        <f>IF(AND($G494=TRUE,$E494="GKP"),AY494,"")</f>
        <v/>
      </c>
      <c r="BD494">
        <f>IF(AND($G494=TRUE,$E494="DEF"),AY494,"")</f>
        <v/>
      </c>
      <c r="BE494">
        <f>IF(AND($G494=TRUE,$E494="MID"),AY494,"")</f>
        <v/>
      </c>
      <c r="BF494">
        <f>IF(AND($G494=TRUE,$E494="FWD"),AY494,"")</f>
        <v/>
      </c>
      <c r="BG494" t="n">
        <v>0</v>
      </c>
      <c r="BH494" t="n">
        <v>0</v>
      </c>
      <c r="BI494" t="n">
        <v>0</v>
      </c>
      <c r="BJ494" t="n">
        <v>0</v>
      </c>
    </row>
    <row r="495">
      <c r="A495" t="inlineStr">
        <is>
          <t>Leandro Trossard</t>
        </is>
      </c>
      <c r="C495" t="inlineStr">
        <is>
          <t>ARS</t>
        </is>
      </c>
      <c r="D495" t="b">
        <v>0</v>
      </c>
      <c r="F495" t="inlineStr">
        <is>
          <t>MID</t>
        </is>
      </c>
      <c r="G495" t="b">
        <v>0</v>
      </c>
      <c r="H495" s="2" t="n"/>
      <c r="K495" s="2" t="n">
        <v>2006</v>
      </c>
      <c r="M495" s="3" t="n"/>
      <c r="N495" s="8" t="n">
        <v>2006</v>
      </c>
      <c r="O495" s="8" t="n">
        <v>0</v>
      </c>
      <c r="R495" s="6" t="n">
        <v>2006</v>
      </c>
      <c r="S495" t="inlineStr">
        <is>
          <t>25/26 actual</t>
        </is>
      </c>
      <c r="U495" s="6" t="n">
        <v>80.90000000000001</v>
      </c>
      <c r="V495" s="2" t="n">
        <v>21</v>
      </c>
      <c r="W495" s="7">
        <f>IF(N(U495)&lt;=0,0,MIN(Assumptions!$B$15,N(R495)/N(U495)))</f>
        <v/>
      </c>
      <c r="X495" s="6" t="n"/>
      <c r="Y495" s="3" t="n">
        <v>0.2556</v>
      </c>
      <c r="Z495" t="inlineStr">
        <is>
          <t>adjusted xGOT</t>
        </is>
      </c>
      <c r="AA495" s="3" t="n">
        <v>1</v>
      </c>
      <c r="AB495" s="3" t="n">
        <v>1.017</v>
      </c>
      <c r="AC495" s="3" t="n">
        <v>27</v>
      </c>
      <c r="AD495" s="3" t="n">
        <v>0.2238</v>
      </c>
      <c r="AE495" s="3" t="n">
        <v>6.678</v>
      </c>
      <c r="AF495" s="3" t="n">
        <v>0</v>
      </c>
      <c r="AG495" s="3" t="n">
        <v>0.4935</v>
      </c>
      <c r="AH495" s="3" t="n">
        <v>51</v>
      </c>
      <c r="AI495" s="3" t="n"/>
      <c r="AJ495" s="3" t="n"/>
      <c r="AK495" s="3" t="n"/>
      <c r="AL495" s="6" t="n">
        <v>0</v>
      </c>
      <c r="AM495" s="3" t="n">
        <v>0</v>
      </c>
      <c r="AN495" s="3" t="n">
        <v>0</v>
      </c>
      <c r="AO495" s="3" t="n">
        <v>0</v>
      </c>
      <c r="AP495" s="3">
        <f>N(X495)*N(BI495)</f>
        <v/>
      </c>
      <c r="AQ495" s="3" t="n">
        <v>0</v>
      </c>
      <c r="AR495" s="3" t="n">
        <v>0</v>
      </c>
      <c r="AS495" s="3" t="n">
        <v>0</v>
      </c>
      <c r="AT495" s="3" t="n">
        <v>0</v>
      </c>
      <c r="AU495" s="3">
        <f>SUM(AN495:AT495)</f>
        <v/>
      </c>
      <c r="AV495" s="7">
        <f>IF(OR(N(W495)&lt;=0,N(BG495)=0),0,N(W495)*IF(N(R495)/N(W495)&gt;=60,N(BG495),1))</f>
        <v/>
      </c>
      <c r="AW495" s="7">
        <f>N(W495)*N(AF495)*N(BH495)</f>
        <v/>
      </c>
      <c r="AX495" s="7">
        <f>N(AL495)*(Assumptions!$B$13*N(BJ495)-(1-Assumptions!$B$13)*Assumptions!$B$14)+N(AM495)</f>
        <v/>
      </c>
      <c r="AY495" s="7">
        <f>N(AU495)*N(R495)/90+N(AV495)+N(AW495)+N(AX495)</f>
        <v/>
      </c>
      <c r="AZ495" s="3">
        <f>IF(N(R495)&lt;=0,0,(N(AY495)-N(AX495))*90/N(R495))</f>
        <v/>
      </c>
      <c r="BA495" s="7">
        <f>IFERROR(AY495-VLOOKUP($E495,Assumptions!$A$40:$C$43,3,FALSE),"")</f>
        <v/>
      </c>
      <c r="BB495" s="3">
        <f>IFERROR(BA495/H495,"")</f>
        <v/>
      </c>
      <c r="BC495">
        <f>IF(AND($G495=TRUE,$E495="GKP"),AY495,"")</f>
        <v/>
      </c>
      <c r="BD495">
        <f>IF(AND($G495=TRUE,$E495="DEF"),AY495,"")</f>
        <v/>
      </c>
      <c r="BE495">
        <f>IF(AND($G495=TRUE,$E495="MID"),AY495,"")</f>
        <v/>
      </c>
      <c r="BF495">
        <f>IF(AND($G495=TRUE,$E495="FWD"),AY495,"")</f>
        <v/>
      </c>
      <c r="BG495" t="n">
        <v>0</v>
      </c>
      <c r="BH495" t="n">
        <v>0</v>
      </c>
      <c r="BI495" t="n">
        <v>0</v>
      </c>
      <c r="BJ495" t="n">
        <v>0</v>
      </c>
    </row>
    <row r="496">
      <c r="A496" t="inlineStr">
        <is>
          <t>Mohamed Salah</t>
        </is>
      </c>
      <c r="C496" t="inlineStr">
        <is>
          <t>LIV</t>
        </is>
      </c>
      <c r="D496" t="b">
        <v>0</v>
      </c>
      <c r="F496" t="inlineStr">
        <is>
          <t>MID</t>
        </is>
      </c>
      <c r="G496" t="b">
        <v>0</v>
      </c>
      <c r="H496" s="2" t="n"/>
      <c r="K496" s="2" t="n">
        <v>2148</v>
      </c>
      <c r="M496" s="3" t="n"/>
      <c r="N496" s="8" t="n">
        <v>2148</v>
      </c>
      <c r="O496" s="8" t="n">
        <v>0</v>
      </c>
      <c r="R496" s="6" t="n">
        <v>2148</v>
      </c>
      <c r="S496" t="inlineStr">
        <is>
          <t>25/26 actual</t>
        </is>
      </c>
      <c r="U496" s="6" t="n">
        <v>84.7</v>
      </c>
      <c r="V496" s="2" t="n">
        <v>23</v>
      </c>
      <c r="W496" s="7">
        <f>IF(N(U496)&lt;=0,0,MIN(Assumptions!$B$15,N(R496)/N(U496)))</f>
        <v/>
      </c>
      <c r="X496" s="6" t="n"/>
      <c r="Y496" s="3" t="n">
        <v>0.3051</v>
      </c>
      <c r="Z496" t="inlineStr">
        <is>
          <t>adjusted xGOT</t>
        </is>
      </c>
      <c r="AA496" s="3" t="n">
        <v>0.914</v>
      </c>
      <c r="AB496" s="3" t="n">
        <v>0.968</v>
      </c>
      <c r="AC496" s="3" t="n">
        <v>74.8</v>
      </c>
      <c r="AD496" s="3" t="n">
        <v>0.2693</v>
      </c>
      <c r="AE496" s="3" t="n">
        <v>5.582</v>
      </c>
      <c r="AF496" s="3" t="n">
        <v>0</v>
      </c>
      <c r="AG496" s="3" t="n">
        <v>0.5447</v>
      </c>
      <c r="AH496" s="3" t="n">
        <v>50</v>
      </c>
      <c r="AI496" s="3" t="n"/>
      <c r="AJ496" s="3" t="n"/>
      <c r="AK496" s="3" t="n"/>
      <c r="AL496" s="6" t="n">
        <v>0</v>
      </c>
      <c r="AM496" s="3" t="n">
        <v>0</v>
      </c>
      <c r="AN496" s="3" t="n">
        <v>0</v>
      </c>
      <c r="AO496" s="3" t="n">
        <v>0</v>
      </c>
      <c r="AP496" s="3">
        <f>N(X496)*N(BI496)</f>
        <v/>
      </c>
      <c r="AQ496" s="3" t="n">
        <v>0</v>
      </c>
      <c r="AR496" s="3" t="n">
        <v>0</v>
      </c>
      <c r="AS496" s="3" t="n">
        <v>0</v>
      </c>
      <c r="AT496" s="3" t="n">
        <v>0</v>
      </c>
      <c r="AU496" s="3">
        <f>SUM(AN496:AT496)</f>
        <v/>
      </c>
      <c r="AV496" s="7">
        <f>IF(OR(N(W496)&lt;=0,N(BG496)=0),0,N(W496)*IF(N(R496)/N(W496)&gt;=60,N(BG496),1))</f>
        <v/>
      </c>
      <c r="AW496" s="7">
        <f>N(W496)*N(AF496)*N(BH496)</f>
        <v/>
      </c>
      <c r="AX496" s="7">
        <f>N(AL496)*(Assumptions!$B$13*N(BJ496)-(1-Assumptions!$B$13)*Assumptions!$B$14)+N(AM496)</f>
        <v/>
      </c>
      <c r="AY496" s="7">
        <f>N(AU496)*N(R496)/90+N(AV496)+N(AW496)+N(AX496)</f>
        <v/>
      </c>
      <c r="AZ496" s="3">
        <f>IF(N(R496)&lt;=0,0,(N(AY496)-N(AX496))*90/N(R496))</f>
        <v/>
      </c>
      <c r="BA496" s="7">
        <f>IFERROR(AY496-VLOOKUP($E496,Assumptions!$A$40:$C$43,3,FALSE),"")</f>
        <v/>
      </c>
      <c r="BB496" s="3">
        <f>IFERROR(BA496/H496,"")</f>
        <v/>
      </c>
      <c r="BC496">
        <f>IF(AND($G496=TRUE,$E496="GKP"),AY496,"")</f>
        <v/>
      </c>
      <c r="BD496">
        <f>IF(AND($G496=TRUE,$E496="DEF"),AY496,"")</f>
        <v/>
      </c>
      <c r="BE496">
        <f>IF(AND($G496=TRUE,$E496="MID"),AY496,"")</f>
        <v/>
      </c>
      <c r="BF496">
        <f>IF(AND($G496=TRUE,$E496="FWD"),AY496,"")</f>
        <v/>
      </c>
      <c r="BG496" t="n">
        <v>0</v>
      </c>
      <c r="BH496" t="n">
        <v>0</v>
      </c>
      <c r="BI496" t="n">
        <v>0</v>
      </c>
      <c r="BJ496" t="n">
        <v>0</v>
      </c>
    </row>
    <row r="497">
      <c r="A497" t="inlineStr">
        <is>
          <t>Patrick Roberts</t>
        </is>
      </c>
      <c r="C497" t="inlineStr">
        <is>
          <t>SUN</t>
        </is>
      </c>
      <c r="D497" t="b">
        <v>0</v>
      </c>
      <c r="F497" t="inlineStr">
        <is>
          <t>MID</t>
        </is>
      </c>
      <c r="G497" t="b">
        <v>0</v>
      </c>
      <c r="H497" s="2" t="n"/>
      <c r="K497" s="2" t="n">
        <v>27</v>
      </c>
      <c r="M497" s="3" t="n"/>
      <c r="N497" s="8" t="n">
        <v>27</v>
      </c>
      <c r="O497" s="8" t="n">
        <v>0</v>
      </c>
      <c r="R497" s="6" t="n">
        <v>27</v>
      </c>
      <c r="S497" t="inlineStr">
        <is>
          <t>25/26 actual</t>
        </is>
      </c>
      <c r="U497" s="6" t="n">
        <v>80.09999999999999</v>
      </c>
      <c r="V497" s="2" t="n">
        <v>0</v>
      </c>
      <c r="W497" s="7">
        <f>IF(N(U497)&lt;=0,0,MIN(Assumptions!$B$15,N(R497)/N(U497)))</f>
        <v/>
      </c>
      <c r="X497" s="6" t="n"/>
      <c r="Y497" s="3" t="n">
        <v>0.1</v>
      </c>
      <c r="Z497" t="inlineStr">
        <is>
          <t>adjusted xGOT</t>
        </is>
      </c>
      <c r="AA497" s="3" t="n">
        <v>1</v>
      </c>
      <c r="AB497" s="3" t="n">
        <v>0.996</v>
      </c>
      <c r="AC497" s="3" t="n">
        <v>0</v>
      </c>
      <c r="AD497" s="3" t="n">
        <v>0</v>
      </c>
      <c r="AE497" s="3" t="n">
        <v>8.387</v>
      </c>
      <c r="AF497" s="3" t="n">
        <v>0</v>
      </c>
      <c r="AG497" s="3" t="n">
        <v>0</v>
      </c>
      <c r="AH497" s="3" t="n">
        <v>1</v>
      </c>
      <c r="AI497" s="3" t="n"/>
      <c r="AJ497" s="3" t="n"/>
      <c r="AK497" s="3" t="n"/>
      <c r="AL497" s="6" t="n">
        <v>0</v>
      </c>
      <c r="AM497" s="3" t="n">
        <v>0</v>
      </c>
      <c r="AN497" s="3" t="n">
        <v>0</v>
      </c>
      <c r="AO497" s="3" t="n">
        <v>0</v>
      </c>
      <c r="AP497" s="3">
        <f>N(X497)*N(BI497)</f>
        <v/>
      </c>
      <c r="AQ497" s="3" t="n">
        <v>0</v>
      </c>
      <c r="AR497" s="3" t="n">
        <v>0</v>
      </c>
      <c r="AS497" s="3" t="n">
        <v>0</v>
      </c>
      <c r="AT497" s="3" t="n">
        <v>0</v>
      </c>
      <c r="AU497" s="3">
        <f>SUM(AN497:AT497)</f>
        <v/>
      </c>
      <c r="AV497" s="7">
        <f>IF(OR(N(W497)&lt;=0,N(BG497)=0),0,N(W497)*IF(N(R497)/N(W497)&gt;=60,N(BG497),1))</f>
        <v/>
      </c>
      <c r="AW497" s="7">
        <f>N(W497)*N(AF497)*N(BH497)</f>
        <v/>
      </c>
      <c r="AX497" s="7">
        <f>N(AL497)*(Assumptions!$B$13*N(BJ497)-(1-Assumptions!$B$13)*Assumptions!$B$14)+N(AM497)</f>
        <v/>
      </c>
      <c r="AY497" s="7">
        <f>N(AU497)*N(R497)/90+N(AV497)+N(AW497)+N(AX497)</f>
        <v/>
      </c>
      <c r="AZ497" s="3">
        <f>IF(N(R497)&lt;=0,0,(N(AY497)-N(AX497))*90/N(R497))</f>
        <v/>
      </c>
      <c r="BA497" s="7">
        <f>IFERROR(AY497-VLOOKUP($E497,Assumptions!$A$40:$C$43,3,FALSE),"")</f>
        <v/>
      </c>
      <c r="BB497" s="3">
        <f>IFERROR(BA497/H497,"")</f>
        <v/>
      </c>
      <c r="BC497">
        <f>IF(AND($G497=TRUE,$E497="GKP"),AY497,"")</f>
        <v/>
      </c>
      <c r="BD497">
        <f>IF(AND($G497=TRUE,$E497="DEF"),AY497,"")</f>
        <v/>
      </c>
      <c r="BE497">
        <f>IF(AND($G497=TRUE,$E497="MID"),AY497,"")</f>
        <v/>
      </c>
      <c r="BF497">
        <f>IF(AND($G497=TRUE,$E497="FWD"),AY497,"")</f>
        <v/>
      </c>
      <c r="BG497" t="n">
        <v>0</v>
      </c>
      <c r="BH497" t="n">
        <v>0</v>
      </c>
      <c r="BI497" t="n">
        <v>0</v>
      </c>
      <c r="BJ497" t="n">
        <v>0</v>
      </c>
    </row>
    <row r="498">
      <c r="A498" t="inlineStr">
        <is>
          <t>Nathan Aké</t>
        </is>
      </c>
      <c r="C498" t="inlineStr">
        <is>
          <t>MCI</t>
        </is>
      </c>
      <c r="D498" t="b">
        <v>0</v>
      </c>
      <c r="F498" t="inlineStr">
        <is>
          <t>DEF</t>
        </is>
      </c>
      <c r="G498" t="b">
        <v>0</v>
      </c>
      <c r="H498" s="2" t="n"/>
      <c r="K498" s="2" t="n">
        <v>688</v>
      </c>
      <c r="M498" s="3" t="n"/>
      <c r="N498" s="8" t="n">
        <v>688</v>
      </c>
      <c r="O498" s="8" t="n">
        <v>0</v>
      </c>
      <c r="R498" s="6" t="n">
        <v>688</v>
      </c>
      <c r="S498" t="inlineStr">
        <is>
          <t>25/26 actual</t>
        </is>
      </c>
      <c r="U498" s="6" t="n">
        <v>85.2</v>
      </c>
      <c r="V498" s="2" t="n">
        <v>6</v>
      </c>
      <c r="W498" s="7">
        <f>IF(N(U498)&lt;=0,0,MIN(Assumptions!$B$15,N(R498)/N(U498)))</f>
        <v/>
      </c>
      <c r="X498" s="6" t="n"/>
      <c r="Y498" s="3" t="n">
        <v>0.0793</v>
      </c>
      <c r="Z498" t="inlineStr">
        <is>
          <t>adjusted xGOT</t>
        </is>
      </c>
      <c r="AA498" s="3" t="n">
        <v>1</v>
      </c>
      <c r="AB498" s="3" t="n">
        <v>0.841</v>
      </c>
      <c r="AC498" s="3" t="n">
        <v>5</v>
      </c>
      <c r="AD498" s="3" t="n">
        <v>0.0931</v>
      </c>
      <c r="AE498" s="3" t="n">
        <v>6.88</v>
      </c>
      <c r="AF498" s="3" t="n">
        <v>0</v>
      </c>
      <c r="AG498" s="3" t="n">
        <v>0</v>
      </c>
      <c r="AH498" s="3" t="n">
        <v>25</v>
      </c>
      <c r="AI498" s="3" t="n"/>
      <c r="AJ498" s="3" t="n"/>
      <c r="AK498" s="3" t="n"/>
      <c r="AL498" s="6" t="n">
        <v>0</v>
      </c>
      <c r="AM498" s="3" t="n">
        <v>0</v>
      </c>
      <c r="AN498" s="3" t="n">
        <v>0</v>
      </c>
      <c r="AO498" s="3" t="n">
        <v>0</v>
      </c>
      <c r="AP498" s="3">
        <f>N(X498)*N(BI498)</f>
        <v/>
      </c>
      <c r="AQ498" s="3" t="n">
        <v>0</v>
      </c>
      <c r="AR498" s="3" t="n">
        <v>0</v>
      </c>
      <c r="AS498" s="3" t="n">
        <v>0</v>
      </c>
      <c r="AT498" s="3" t="n">
        <v>0</v>
      </c>
      <c r="AU498" s="3">
        <f>SUM(AN498:AT498)</f>
        <v/>
      </c>
      <c r="AV498" s="7">
        <f>IF(OR(N(W498)&lt;=0,N(BG498)=0),0,N(W498)*IF(N(R498)/N(W498)&gt;=60,N(BG498),1))</f>
        <v/>
      </c>
      <c r="AW498" s="7">
        <f>N(W498)*N(AF498)*N(BH498)</f>
        <v/>
      </c>
      <c r="AX498" s="7">
        <f>N(AL498)*(Assumptions!$B$13*N(BJ498)-(1-Assumptions!$B$13)*Assumptions!$B$14)+N(AM498)</f>
        <v/>
      </c>
      <c r="AY498" s="7">
        <f>N(AU498)*N(R498)/90+N(AV498)+N(AW498)+N(AX498)</f>
        <v/>
      </c>
      <c r="AZ498" s="3">
        <f>IF(N(R498)&lt;=0,0,(N(AY498)-N(AX498))*90/N(R498))</f>
        <v/>
      </c>
      <c r="BA498" s="7">
        <f>IFERROR(AY498-VLOOKUP($E498,Assumptions!$A$40:$C$43,3,FALSE),"")</f>
        <v/>
      </c>
      <c r="BB498" s="3">
        <f>IFERROR(BA498/H498,"")</f>
        <v/>
      </c>
      <c r="BC498">
        <f>IF(AND($G498=TRUE,$E498="GKP"),AY498,"")</f>
        <v/>
      </c>
      <c r="BD498">
        <f>IF(AND($G498=TRUE,$E498="DEF"),AY498,"")</f>
        <v/>
      </c>
      <c r="BE498">
        <f>IF(AND($G498=TRUE,$E498="MID"),AY498,"")</f>
        <v/>
      </c>
      <c r="BF498">
        <f>IF(AND($G498=TRUE,$E498="FWD"),AY498,"")</f>
        <v/>
      </c>
      <c r="BG498" t="n">
        <v>0</v>
      </c>
      <c r="BH498" t="n">
        <v>0</v>
      </c>
      <c r="BI498" t="n">
        <v>0</v>
      </c>
      <c r="BJ498" t="n">
        <v>0</v>
      </c>
    </row>
    <row r="499">
      <c r="A499" t="inlineStr">
        <is>
          <t>Semi Ajayi</t>
        </is>
      </c>
      <c r="B499" t="inlineStr">
        <is>
          <t>HUL</t>
        </is>
      </c>
      <c r="D499" t="b">
        <v>0</v>
      </c>
      <c r="E499" t="inlineStr">
        <is>
          <t>DEF</t>
        </is>
      </c>
      <c r="G499" t="b">
        <v>1</v>
      </c>
      <c r="H499" s="2" t="n">
        <v>4</v>
      </c>
      <c r="I499" t="inlineStr">
        <is>
          <t>a</t>
        </is>
      </c>
      <c r="K499" s="2" t="n"/>
      <c r="M499" s="3" t="n">
        <v>1824</v>
      </c>
      <c r="N499" s="8" t="n">
        <v>1824</v>
      </c>
      <c r="O499" s="8" t="n">
        <v>0</v>
      </c>
      <c r="Q499" t="inlineStr">
        <is>
          <t>fade (losing his place)</t>
        </is>
      </c>
      <c r="R499" s="6" t="n">
        <v>1824</v>
      </c>
      <c r="S499" t="inlineStr">
        <is>
          <t>Solio</t>
        </is>
      </c>
      <c r="U499" s="6" t="n">
        <v>85</v>
      </c>
      <c r="V499" s="2" t="n"/>
      <c r="W499" s="7">
        <f>IF(N(U499)&lt;=0,0,MIN(Assumptions!$B$15,N(R499)/N(U499)))</f>
        <v/>
      </c>
      <c r="X499" s="6" t="n">
        <v>0.143</v>
      </c>
      <c r="Y499" s="3" t="n"/>
      <c r="Z499" t="inlineStr"/>
      <c r="AA499" s="3" t="n">
        <v>1</v>
      </c>
      <c r="AB499" s="3" t="n"/>
      <c r="AC499" s="3" t="n"/>
      <c r="AD499" s="3" t="n"/>
      <c r="AE499" s="3" t="n"/>
      <c r="AF499" s="3" t="n">
        <v>0</v>
      </c>
      <c r="AG499" s="3" t="n"/>
      <c r="AH499" s="3" t="n"/>
      <c r="AI499" s="3" t="n">
        <v>3.9421</v>
      </c>
      <c r="AJ499" s="3" t="n">
        <v>1.99</v>
      </c>
      <c r="AK499" s="3" t="n">
        <v>-0.2045226422080557</v>
      </c>
      <c r="AL499" s="6" t="n">
        <v>0</v>
      </c>
      <c r="AM499" s="3" t="n">
        <v>0</v>
      </c>
      <c r="AN499" s="3" t="n">
        <v>0</v>
      </c>
      <c r="AO499" s="3" t="n">
        <v>0</v>
      </c>
      <c r="AP499" s="3">
        <f>N(X499)*N(BI499)</f>
        <v/>
      </c>
      <c r="AQ499" s="3" t="n">
        <v>0</v>
      </c>
      <c r="AR499" s="3" t="n">
        <v>0</v>
      </c>
      <c r="AS499" s="3" t="n">
        <v>-0.7496714098286652</v>
      </c>
      <c r="AT499" s="3" t="n">
        <v>-0.2045226422080557</v>
      </c>
      <c r="AU499" s="3">
        <f>SUM(AN499:AT499)</f>
        <v/>
      </c>
      <c r="AV499" s="7">
        <f>IF(OR(N(W499)&lt;=0,N(BG499)=0),0,N(W499)*IF(N(R499)/N(W499)&gt;=60,N(BG499),1))</f>
        <v/>
      </c>
      <c r="AW499" s="7">
        <f>N(W499)*N(AF499)*N(BH499)</f>
        <v/>
      </c>
      <c r="AX499" s="7">
        <f>N(AL499)*(Assumptions!$B$13*N(BJ499)-(1-Assumptions!$B$13)*Assumptions!$B$14)+N(AM499)</f>
        <v/>
      </c>
      <c r="AY499" s="7">
        <f>N(AU499)*N(R499)/90+N(AV499)+N(AW499)+N(AX499)</f>
        <v/>
      </c>
      <c r="AZ499" s="3">
        <f>IF(N(R499)&lt;=0,0,(N(AY499)-N(AX499))*90/N(R499))</f>
        <v/>
      </c>
      <c r="BA499" s="7">
        <f>IFERROR(AY499-VLOOKUP($E499,Assumptions!$A$40:$C$43,3,FALSE),"")</f>
        <v/>
      </c>
      <c r="BB499" s="3">
        <f>IFERROR(BA499/H499,"")</f>
        <v/>
      </c>
      <c r="BC499">
        <f>IF(AND($G499=TRUE,$E499="GKP"),AY499,"")</f>
        <v/>
      </c>
      <c r="BD499">
        <f>IF(AND($G499=TRUE,$E499="DEF"),AY499,"")</f>
        <v/>
      </c>
      <c r="BE499">
        <f>IF(AND($G499=TRUE,$E499="MID"),AY499,"")</f>
        <v/>
      </c>
      <c r="BF499">
        <f>IF(AND($G499=TRUE,$E499="FWD"),AY499,"")</f>
        <v/>
      </c>
      <c r="BG499" t="n">
        <v>2</v>
      </c>
      <c r="BH499" t="n">
        <v>2</v>
      </c>
      <c r="BI499" t="n">
        <v>4</v>
      </c>
      <c r="BJ499" t="n">
        <v>6</v>
      </c>
    </row>
    <row r="500">
      <c r="A500" t="inlineStr">
        <is>
          <t>Chuba Akpom</t>
        </is>
      </c>
      <c r="B500" t="inlineStr">
        <is>
          <t>IPS</t>
        </is>
      </c>
      <c r="D500" t="b">
        <v>0</v>
      </c>
      <c r="E500" t="inlineStr">
        <is>
          <t>FWD</t>
        </is>
      </c>
      <c r="G500" t="b">
        <v>1</v>
      </c>
      <c r="H500" s="2" t="n">
        <v>5</v>
      </c>
      <c r="I500" t="inlineStr">
        <is>
          <t>a</t>
        </is>
      </c>
      <c r="K500" s="2" t="n"/>
      <c r="M500" s="3" t="n">
        <v>220</v>
      </c>
      <c r="N500" s="8" t="n">
        <v>220</v>
      </c>
      <c r="O500" s="8" t="n">
        <v>0</v>
      </c>
      <c r="Q500" t="inlineStr">
        <is>
          <t>flat</t>
        </is>
      </c>
      <c r="R500" s="6" t="n">
        <v>220</v>
      </c>
      <c r="S500" t="inlineStr">
        <is>
          <t>Solio</t>
        </is>
      </c>
      <c r="U500" s="6" t="n">
        <v>85</v>
      </c>
      <c r="V500" s="2" t="n"/>
      <c r="W500" s="7">
        <f>IF(N(U500)&lt;=0,0,MIN(Assumptions!$B$15,N(R500)/N(U500)))</f>
        <v/>
      </c>
      <c r="X500" s="6" t="n">
        <v>0.17</v>
      </c>
      <c r="Y500" s="3" t="n"/>
      <c r="Z500" t="inlineStr"/>
      <c r="AA500" s="3" t="n">
        <v>1</v>
      </c>
      <c r="AB500" s="3" t="n"/>
      <c r="AC500" s="3" t="n"/>
      <c r="AD500" s="3" t="n"/>
      <c r="AE500" s="3" t="n"/>
      <c r="AF500" s="3" t="n">
        <v>0</v>
      </c>
      <c r="AG500" s="3" t="n"/>
      <c r="AH500" s="3" t="n"/>
      <c r="AI500" s="3" t="n">
        <v>3.5741</v>
      </c>
      <c r="AJ500" s="3" t="n">
        <v>1.8319</v>
      </c>
      <c r="AK500" s="3" t="n">
        <v>-0.174691292596322</v>
      </c>
      <c r="AL500" s="6" t="n">
        <v>0</v>
      </c>
      <c r="AM500" s="3" t="n">
        <v>0</v>
      </c>
      <c r="AN500" s="3" t="n">
        <v>0</v>
      </c>
      <c r="AO500" s="3" t="n">
        <v>0</v>
      </c>
      <c r="AP500" s="3">
        <f>N(X500)*N(BI500)</f>
        <v/>
      </c>
      <c r="AQ500" s="3" t="n">
        <v>0</v>
      </c>
      <c r="AR500" s="3" t="n">
        <v>0</v>
      </c>
      <c r="AS500" s="3" t="n">
        <v>-0</v>
      </c>
      <c r="AT500" s="3" t="n">
        <v>-0.174691292596322</v>
      </c>
      <c r="AU500" s="3">
        <f>SUM(AN500:AT500)</f>
        <v/>
      </c>
      <c r="AV500" s="7">
        <f>IF(OR(N(W500)&lt;=0,N(BG500)=0),0,N(W500)*IF(N(R500)/N(W500)&gt;=60,N(BG500),1))</f>
        <v/>
      </c>
      <c r="AW500" s="7">
        <f>N(W500)*N(AF500)*N(BH500)</f>
        <v/>
      </c>
      <c r="AX500" s="7">
        <f>N(AL500)*(Assumptions!$B$13*N(BJ500)-(1-Assumptions!$B$13)*Assumptions!$B$14)+N(AM500)</f>
        <v/>
      </c>
      <c r="AY500" s="7">
        <f>N(AU500)*N(R500)/90+N(AV500)+N(AW500)+N(AX500)</f>
        <v/>
      </c>
      <c r="AZ500" s="3">
        <f>IF(N(R500)&lt;=0,0,(N(AY500)-N(AX500))*90/N(R500))</f>
        <v/>
      </c>
      <c r="BA500" s="7">
        <f>IFERROR(AY500-VLOOKUP($E500,Assumptions!$A$40:$C$43,3,FALSE),"")</f>
        <v/>
      </c>
      <c r="BB500" s="3">
        <f>IFERROR(BA500/H500,"")</f>
        <v/>
      </c>
      <c r="BC500">
        <f>IF(AND($G500=TRUE,$E500="GKP"),AY500,"")</f>
        <v/>
      </c>
      <c r="BD500">
        <f>IF(AND($G500=TRUE,$E500="DEF"),AY500,"")</f>
        <v/>
      </c>
      <c r="BE500">
        <f>IF(AND($G500=TRUE,$E500="MID"),AY500,"")</f>
        <v/>
      </c>
      <c r="BF500">
        <f>IF(AND($G500=TRUE,$E500="FWD"),AY500,"")</f>
        <v/>
      </c>
      <c r="BG500" t="n">
        <v>2</v>
      </c>
      <c r="BH500" t="n">
        <v>2</v>
      </c>
      <c r="BI500" t="n">
        <v>0</v>
      </c>
      <c r="BJ500" t="n">
        <v>4</v>
      </c>
    </row>
    <row r="501">
      <c r="A501" t="inlineStr">
        <is>
          <t>José Sá</t>
        </is>
      </c>
      <c r="C501" t="inlineStr">
        <is>
          <t>WOL</t>
        </is>
      </c>
      <c r="D501" t="b">
        <v>0</v>
      </c>
      <c r="F501" t="inlineStr">
        <is>
          <t>GKP</t>
        </is>
      </c>
      <c r="G501" t="b">
        <v>0</v>
      </c>
      <c r="H501" s="2" t="n"/>
      <c r="K501" s="2" t="n">
        <v>2070</v>
      </c>
      <c r="M501" s="3" t="n"/>
      <c r="N501" s="8" t="n">
        <v>2070</v>
      </c>
      <c r="O501" s="8" t="n">
        <v>0</v>
      </c>
      <c r="R501" s="6" t="n">
        <v>2070</v>
      </c>
      <c r="S501" t="inlineStr">
        <is>
          <t>25/26 actual</t>
        </is>
      </c>
      <c r="U501" s="6" t="n">
        <v>89.90000000000001</v>
      </c>
      <c r="V501" s="2" t="n">
        <v>23</v>
      </c>
      <c r="W501" s="7">
        <f>IF(N(U501)&lt;=0,0,MIN(Assumptions!$B$15,N(R501)/N(U501)))</f>
        <v/>
      </c>
      <c r="X501" s="6" t="n"/>
      <c r="Y501" s="3" t="n">
        <v>0</v>
      </c>
      <c r="Z501" t="inlineStr">
        <is>
          <t>blended xG</t>
        </is>
      </c>
      <c r="AA501" s="3" t="n">
        <v>1</v>
      </c>
      <c r="AB501" s="3" t="n">
        <v>1</v>
      </c>
      <c r="AC501" s="3" t="n">
        <v>0</v>
      </c>
      <c r="AD501" s="3" t="n">
        <v>0.0036</v>
      </c>
      <c r="AE501" s="3" t="n">
        <v>0</v>
      </c>
      <c r="AF501" s="3" t="n">
        <v>0</v>
      </c>
      <c r="AG501" s="3" t="n">
        <v>0.3478</v>
      </c>
      <c r="AH501" s="3" t="n">
        <v>46</v>
      </c>
      <c r="AI501" s="3" t="n"/>
      <c r="AJ501" s="3" t="n"/>
      <c r="AK501" s="3" t="n"/>
      <c r="AL501" s="6" t="n">
        <v>0</v>
      </c>
      <c r="AM501" s="3" t="n">
        <v>0</v>
      </c>
      <c r="AN501" s="3" t="n">
        <v>0</v>
      </c>
      <c r="AO501" s="3" t="n">
        <v>0</v>
      </c>
      <c r="AP501" s="3">
        <f>N(X501)*N(BI501)</f>
        <v/>
      </c>
      <c r="AQ501" s="3" t="n">
        <v>0</v>
      </c>
      <c r="AR501" s="3" t="n">
        <v>0</v>
      </c>
      <c r="AS501" s="3" t="n">
        <v>0</v>
      </c>
      <c r="AT501" s="3" t="n">
        <v>0</v>
      </c>
      <c r="AU501" s="3">
        <f>SUM(AN501:AT501)</f>
        <v/>
      </c>
      <c r="AV501" s="7">
        <f>IF(OR(N(W501)&lt;=0,N(BG501)=0),0,N(W501)*IF(N(R501)/N(W501)&gt;=60,N(BG501),1))</f>
        <v/>
      </c>
      <c r="AW501" s="7">
        <f>N(W501)*N(AF501)*N(BH501)</f>
        <v/>
      </c>
      <c r="AX501" s="7">
        <f>N(AL501)*(Assumptions!$B$13*N(BJ501)-(1-Assumptions!$B$13)*Assumptions!$B$14)+N(AM501)</f>
        <v/>
      </c>
      <c r="AY501" s="7">
        <f>N(AU501)*N(R501)/90+N(AV501)+N(AW501)+N(AX501)</f>
        <v/>
      </c>
      <c r="AZ501" s="3">
        <f>IF(N(R501)&lt;=0,0,(N(AY501)-N(AX501))*90/N(R501))</f>
        <v/>
      </c>
      <c r="BA501" s="7">
        <f>IFERROR(AY501-VLOOKUP($E501,Assumptions!$A$40:$C$43,3,FALSE),"")</f>
        <v/>
      </c>
      <c r="BB501" s="3">
        <f>IFERROR(BA501/H501,"")</f>
        <v/>
      </c>
      <c r="BC501">
        <f>IF(AND($G501=TRUE,$E501="GKP"),AY501,"")</f>
        <v/>
      </c>
      <c r="BD501">
        <f>IF(AND($G501=TRUE,$E501="DEF"),AY501,"")</f>
        <v/>
      </c>
      <c r="BE501">
        <f>IF(AND($G501=TRUE,$E501="MID"),AY501,"")</f>
        <v/>
      </c>
      <c r="BF501">
        <f>IF(AND($G501=TRUE,$E501="FWD"),AY501,"")</f>
        <v/>
      </c>
      <c r="BG501" t="n">
        <v>0</v>
      </c>
      <c r="BH501" t="n">
        <v>0</v>
      </c>
      <c r="BI501" t="n">
        <v>0</v>
      </c>
      <c r="BJ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N502" s="8" t="n"/>
      <c r="O502" s="8" t="n"/>
      <c r="R502" s="6" t="n"/>
      <c r="S502" t="inlineStr"/>
      <c r="U502" s="6" t="n">
        <v>85</v>
      </c>
      <c r="V502" s="2" t="n"/>
      <c r="W502" s="7">
        <f>IF(N(U502)&lt;=0,0,MIN(Assumptions!$B$15,N(R502)/N(U502)))</f>
        <v/>
      </c>
      <c r="X502" s="6" t="n">
        <v>0.17</v>
      </c>
      <c r="Y502" s="3" t="n"/>
      <c r="Z502" t="inlineStr"/>
      <c r="AA502" s="3" t="n">
        <v>1</v>
      </c>
      <c r="AB502" s="3" t="n"/>
      <c r="AC502" s="3" t="n"/>
      <c r="AD502" s="3" t="n"/>
      <c r="AE502" s="3" t="n"/>
      <c r="AF502" s="3" t="n">
        <v>0</v>
      </c>
      <c r="AG502" s="3" t="n"/>
      <c r="AH502" s="3" t="n"/>
      <c r="AI502" s="3" t="n">
        <v>3.5741</v>
      </c>
      <c r="AJ502" s="3" t="n">
        <v>1.8319</v>
      </c>
      <c r="AK502" s="3" t="n">
        <v>-0.1877909124188637</v>
      </c>
      <c r="AL502" s="6" t="n">
        <v>0</v>
      </c>
      <c r="AM502" s="3" t="n">
        <v>0</v>
      </c>
      <c r="AN502" s="3" t="n">
        <v>0</v>
      </c>
      <c r="AO502" s="3" t="n">
        <v>0</v>
      </c>
      <c r="AP502" s="3">
        <f>N(X502)*N(BI502)</f>
        <v/>
      </c>
      <c r="AQ502" s="3" t="n">
        <v>0</v>
      </c>
      <c r="AR502" s="3" t="n">
        <v>0</v>
      </c>
      <c r="AS502" s="3" t="n">
        <v>-0</v>
      </c>
      <c r="AT502" s="3" t="n">
        <v>-0.1877909124188637</v>
      </c>
      <c r="AU502" s="3">
        <f>SUM(AN502:AT502)</f>
        <v/>
      </c>
      <c r="AV502" s="7">
        <f>IF(OR(N(W502)&lt;=0,N(BG502)=0),0,N(W502)*IF(N(R502)/N(W502)&gt;=60,N(BG502),1))</f>
        <v/>
      </c>
      <c r="AW502" s="7">
        <f>N(W502)*N(AF502)*N(BH502)</f>
        <v/>
      </c>
      <c r="AX502" s="7">
        <f>N(AL502)*(Assumptions!$B$13*N(BJ502)-(1-Assumptions!$B$13)*Assumptions!$B$14)+N(AM502)</f>
        <v/>
      </c>
      <c r="AY502" s="7">
        <f>N(AU502)*N(R502)/90+N(AV502)+N(AW502)+N(AX502)</f>
        <v/>
      </c>
      <c r="AZ502" s="3">
        <f>IF(N(R502)&lt;=0,0,(N(AY502)-N(AX502))*90/N(R502))</f>
        <v/>
      </c>
      <c r="BA502" s="7">
        <f>IFERROR(AY502-VLOOKUP($E502,Assumptions!$A$40:$C$43,3,FALSE),"")</f>
        <v/>
      </c>
      <c r="BB502" s="3">
        <f>IFERROR(BA502/H502,"")</f>
        <v/>
      </c>
      <c r="BC502">
        <f>IF(AND($G502=TRUE,$E502="GKP"),AY502,"")</f>
        <v/>
      </c>
      <c r="BD502">
        <f>IF(AND($G502=TRUE,$E502="DEF"),AY502,"")</f>
        <v/>
      </c>
      <c r="BE502">
        <f>IF(AND($G502=TRUE,$E502="MID"),AY502,"")</f>
        <v/>
      </c>
      <c r="BF502">
        <f>IF(AND($G502=TRUE,$E502="FWD"),AY502,"")</f>
        <v/>
      </c>
      <c r="BG502" t="n">
        <v>2</v>
      </c>
      <c r="BH502" t="n">
        <v>2</v>
      </c>
      <c r="BI502" t="n">
        <v>1</v>
      </c>
      <c r="BJ502" t="n">
        <v>5</v>
      </c>
    </row>
    <row r="503">
      <c r="A503" t="inlineStr">
        <is>
          <t>João Palhinha</t>
        </is>
      </c>
      <c r="C503" t="inlineStr">
        <is>
          <t>TOT</t>
        </is>
      </c>
      <c r="D503" t="b">
        <v>0</v>
      </c>
      <c r="F503" t="inlineStr">
        <is>
          <t>MID</t>
        </is>
      </c>
      <c r="G503" t="b">
        <v>0</v>
      </c>
      <c r="H503" s="2" t="n"/>
      <c r="K503" s="2" t="n">
        <v>2197</v>
      </c>
      <c r="M503" s="3" t="n"/>
      <c r="N503" s="8" t="n">
        <v>2197</v>
      </c>
      <c r="O503" s="8" t="n">
        <v>0</v>
      </c>
      <c r="R503" s="6" t="n">
        <v>2197</v>
      </c>
      <c r="S503" t="inlineStr">
        <is>
          <t>25/26 actual</t>
        </is>
      </c>
      <c r="U503" s="6" t="n">
        <v>83</v>
      </c>
      <c r="V503" s="2" t="n">
        <v>23</v>
      </c>
      <c r="W503" s="7">
        <f>IF(N(U503)&lt;=0,0,MIN(Assumptions!$B$15,N(R503)/N(U503)))</f>
        <v/>
      </c>
      <c r="X503" s="6" t="n"/>
      <c r="Y503" s="3" t="n">
        <v>0.121</v>
      </c>
      <c r="Z503" t="inlineStr">
        <is>
          <t>adjusted xGOT</t>
        </is>
      </c>
      <c r="AA503" s="3" t="n">
        <v>1</v>
      </c>
      <c r="AB503" s="3" t="n">
        <v>1.086</v>
      </c>
      <c r="AC503" s="3" t="n">
        <v>9</v>
      </c>
      <c r="AD503" s="3" t="n">
        <v>0.0315</v>
      </c>
      <c r="AE503" s="3" t="n">
        <v>11.454</v>
      </c>
      <c r="AF503" s="3" t="n">
        <v>0</v>
      </c>
      <c r="AG503" s="3" t="n">
        <v>0.7374000000000001</v>
      </c>
      <c r="AH503" s="3" t="n">
        <v>54</v>
      </c>
      <c r="AI503" s="3" t="n"/>
      <c r="AJ503" s="3" t="n"/>
      <c r="AK503" s="3" t="n"/>
      <c r="AL503" s="6" t="n">
        <v>0</v>
      </c>
      <c r="AM503" s="3" t="n">
        <v>0</v>
      </c>
      <c r="AN503" s="3" t="n">
        <v>0</v>
      </c>
      <c r="AO503" s="3" t="n">
        <v>0</v>
      </c>
      <c r="AP503" s="3">
        <f>N(X503)*N(BI503)</f>
        <v/>
      </c>
      <c r="AQ503" s="3" t="n">
        <v>0</v>
      </c>
      <c r="AR503" s="3" t="n">
        <v>0</v>
      </c>
      <c r="AS503" s="3" t="n">
        <v>0</v>
      </c>
      <c r="AT503" s="3" t="n">
        <v>0</v>
      </c>
      <c r="AU503" s="3">
        <f>SUM(AN503:AT503)</f>
        <v/>
      </c>
      <c r="AV503" s="7">
        <f>IF(OR(N(W503)&lt;=0,N(BG503)=0),0,N(W503)*IF(N(R503)/N(W503)&gt;=60,N(BG503),1))</f>
        <v/>
      </c>
      <c r="AW503" s="7">
        <f>N(W503)*N(AF503)*N(BH503)</f>
        <v/>
      </c>
      <c r="AX503" s="7">
        <f>N(AL503)*(Assumptions!$B$13*N(BJ503)-(1-Assumptions!$B$13)*Assumptions!$B$14)+N(AM503)</f>
        <v/>
      </c>
      <c r="AY503" s="7">
        <f>N(AU503)*N(R503)/90+N(AV503)+N(AW503)+N(AX503)</f>
        <v/>
      </c>
      <c r="AZ503" s="3">
        <f>IF(N(R503)&lt;=0,0,(N(AY503)-N(AX503))*90/N(R503))</f>
        <v/>
      </c>
      <c r="BA503" s="7">
        <f>IFERROR(AY503-VLOOKUP($E503,Assumptions!$A$40:$C$43,3,FALSE),"")</f>
        <v/>
      </c>
      <c r="BB503" s="3">
        <f>IFERROR(BA503/H503,"")</f>
        <v/>
      </c>
      <c r="BC503">
        <f>IF(AND($G503=TRUE,$E503="GKP"),AY503,"")</f>
        <v/>
      </c>
      <c r="BD503">
        <f>IF(AND($G503=TRUE,$E503="DEF"),AY503,"")</f>
        <v/>
      </c>
      <c r="BE503">
        <f>IF(AND($G503=TRUE,$E503="MID"),AY503,"")</f>
        <v/>
      </c>
      <c r="BF503">
        <f>IF(AND($G503=TRUE,$E503="FWD"),AY503,"")</f>
        <v/>
      </c>
      <c r="BG503" t="n">
        <v>0</v>
      </c>
      <c r="BH503" t="n">
        <v>0</v>
      </c>
      <c r="BI503" t="n">
        <v>0</v>
      </c>
      <c r="BJ503" t="n">
        <v>0</v>
      </c>
    </row>
    <row r="504">
      <c r="A504" t="inlineStr">
        <is>
          <t>Adam Armstrong</t>
        </is>
      </c>
      <c r="C504" t="inlineStr">
        <is>
          <t>WOL</t>
        </is>
      </c>
      <c r="D504" t="b">
        <v>0</v>
      </c>
      <c r="F504" t="inlineStr">
        <is>
          <t>FWD</t>
        </is>
      </c>
      <c r="G504" t="b">
        <v>0</v>
      </c>
      <c r="H504" s="2" t="n"/>
      <c r="K504" s="2" t="n">
        <v>1146</v>
      </c>
      <c r="M504" s="3" t="n"/>
      <c r="N504" s="8" t="n">
        <v>1146</v>
      </c>
      <c r="O504" s="8" t="n">
        <v>0</v>
      </c>
      <c r="R504" s="6" t="n">
        <v>1146</v>
      </c>
      <c r="S504" t="inlineStr">
        <is>
          <t>25/26 actual</t>
        </is>
      </c>
      <c r="U504" s="6" t="n">
        <v>80.2</v>
      </c>
      <c r="V504" s="2" t="n">
        <v>14</v>
      </c>
      <c r="W504" s="7">
        <f>IF(N(U504)&lt;=0,0,MIN(Assumptions!$B$15,N(R504)/N(U504)))</f>
        <v/>
      </c>
      <c r="X504" s="6" t="n"/>
      <c r="Y504" s="3" t="n">
        <v>0.1403</v>
      </c>
      <c r="Z504" t="inlineStr">
        <is>
          <t>adjusted xGOT</t>
        </is>
      </c>
      <c r="AA504" s="3" t="n">
        <v>0.729</v>
      </c>
      <c r="AB504" s="3" t="n">
        <v>0.884</v>
      </c>
      <c r="AC504" s="3" t="n">
        <v>8.300000000000001</v>
      </c>
      <c r="AD504" s="3" t="n">
        <v>0.1179</v>
      </c>
      <c r="AE504" s="3" t="n">
        <v>3.644</v>
      </c>
      <c r="AF504" s="3" t="n">
        <v>0</v>
      </c>
      <c r="AG504" s="3" t="n">
        <v>0.0785</v>
      </c>
      <c r="AH504" s="3" t="n">
        <v>27</v>
      </c>
      <c r="AI504" s="3" t="n"/>
      <c r="AJ504" s="3" t="n"/>
      <c r="AK504" s="3" t="n"/>
      <c r="AL504" s="6" t="n">
        <v>0</v>
      </c>
      <c r="AM504" s="3" t="n">
        <v>0</v>
      </c>
      <c r="AN504" s="3" t="n">
        <v>0</v>
      </c>
      <c r="AO504" s="3" t="n">
        <v>0</v>
      </c>
      <c r="AP504" s="3">
        <f>N(X504)*N(BI504)</f>
        <v/>
      </c>
      <c r="AQ504" s="3" t="n">
        <v>0</v>
      </c>
      <c r="AR504" s="3" t="n">
        <v>0</v>
      </c>
      <c r="AS504" s="3" t="n">
        <v>0</v>
      </c>
      <c r="AT504" s="3" t="n">
        <v>0</v>
      </c>
      <c r="AU504" s="3">
        <f>SUM(AN504:AT504)</f>
        <v/>
      </c>
      <c r="AV504" s="7">
        <f>IF(OR(N(W504)&lt;=0,N(BG504)=0),0,N(W504)*IF(N(R504)/N(W504)&gt;=60,N(BG504),1))</f>
        <v/>
      </c>
      <c r="AW504" s="7">
        <f>N(W504)*N(AF504)*N(BH504)</f>
        <v/>
      </c>
      <c r="AX504" s="7">
        <f>N(AL504)*(Assumptions!$B$13*N(BJ504)-(1-Assumptions!$B$13)*Assumptions!$B$14)+N(AM504)</f>
        <v/>
      </c>
      <c r="AY504" s="7">
        <f>N(AU504)*N(R504)/90+N(AV504)+N(AW504)+N(AX504)</f>
        <v/>
      </c>
      <c r="AZ504" s="3">
        <f>IF(N(R504)&lt;=0,0,(N(AY504)-N(AX504))*90/N(R504))</f>
        <v/>
      </c>
      <c r="BA504" s="7">
        <f>IFERROR(AY504-VLOOKUP($E504,Assumptions!$A$40:$C$43,3,FALSE),"")</f>
        <v/>
      </c>
      <c r="BB504" s="3">
        <f>IFERROR(BA504/H504,"")</f>
        <v/>
      </c>
      <c r="BC504">
        <f>IF(AND($G504=TRUE,$E504="GKP"),AY504,"")</f>
        <v/>
      </c>
      <c r="BD504">
        <f>IF(AND($G504=TRUE,$E504="DEF"),AY504,"")</f>
        <v/>
      </c>
      <c r="BE504">
        <f>IF(AND($G504=TRUE,$E504="MID"),AY504,"")</f>
        <v/>
      </c>
      <c r="BF504">
        <f>IF(AND($G504=TRUE,$E504="FWD"),AY504,"")</f>
        <v/>
      </c>
      <c r="BG504" t="n">
        <v>0</v>
      </c>
      <c r="BH504" t="n">
        <v>0</v>
      </c>
      <c r="BI504" t="n">
        <v>0</v>
      </c>
      <c r="BJ504" t="n">
        <v>0</v>
      </c>
    </row>
    <row r="505">
      <c r="A505" t="inlineStr">
        <is>
          <t>Kyle Walker-Peters</t>
        </is>
      </c>
      <c r="C505" t="inlineStr">
        <is>
          <t>WHU</t>
        </is>
      </c>
      <c r="D505" t="b">
        <v>0</v>
      </c>
      <c r="F505" t="inlineStr">
        <is>
          <t>DEF</t>
        </is>
      </c>
      <c r="G505" t="b">
        <v>0</v>
      </c>
      <c r="H505" s="2" t="n"/>
      <c r="K505" s="2" t="n">
        <v>1380</v>
      </c>
      <c r="M505" s="3" t="n"/>
      <c r="N505" s="8" t="n">
        <v>1380</v>
      </c>
      <c r="O505" s="8" t="n">
        <v>0</v>
      </c>
      <c r="R505" s="6" t="n">
        <v>1380</v>
      </c>
      <c r="S505" t="inlineStr">
        <is>
          <t>25/26 actual</t>
        </is>
      </c>
      <c r="U505" s="6" t="n">
        <v>85</v>
      </c>
      <c r="V505" s="2" t="n">
        <v>15</v>
      </c>
      <c r="W505" s="7">
        <f>IF(N(U505)&lt;=0,0,MIN(Assumptions!$B$15,N(R505)/N(U505)))</f>
        <v/>
      </c>
      <c r="X505" s="6" t="n"/>
      <c r="Y505" s="3" t="n">
        <v>0.07530000000000001</v>
      </c>
      <c r="Z505" t="inlineStr">
        <is>
          <t>adjusted xGOT</t>
        </is>
      </c>
      <c r="AA505" s="3" t="n">
        <v>1</v>
      </c>
      <c r="AB505" s="3" t="n">
        <v>1.022</v>
      </c>
      <c r="AC505" s="3" t="n">
        <v>3.1</v>
      </c>
      <c r="AD505" s="3" t="n">
        <v>0.0233</v>
      </c>
      <c r="AE505" s="3" t="n">
        <v>6.627</v>
      </c>
      <c r="AF505" s="3" t="n">
        <v>0</v>
      </c>
      <c r="AG505" s="3" t="n">
        <v>0</v>
      </c>
      <c r="AH505" s="3" t="n">
        <v>37</v>
      </c>
      <c r="AI505" s="3" t="n"/>
      <c r="AJ505" s="3" t="n"/>
      <c r="AK505" s="3" t="n"/>
      <c r="AL505" s="6" t="n">
        <v>0</v>
      </c>
      <c r="AM505" s="3" t="n">
        <v>0</v>
      </c>
      <c r="AN505" s="3" t="n">
        <v>0</v>
      </c>
      <c r="AO505" s="3" t="n">
        <v>0</v>
      </c>
      <c r="AP505" s="3">
        <f>N(X505)*N(BI505)</f>
        <v/>
      </c>
      <c r="AQ505" s="3" t="n">
        <v>0</v>
      </c>
      <c r="AR505" s="3" t="n">
        <v>0</v>
      </c>
      <c r="AS505" s="3" t="n">
        <v>0</v>
      </c>
      <c r="AT505" s="3" t="n">
        <v>0</v>
      </c>
      <c r="AU505" s="3">
        <f>SUM(AN505:AT505)</f>
        <v/>
      </c>
      <c r="AV505" s="7">
        <f>IF(OR(N(W505)&lt;=0,N(BG505)=0),0,N(W505)*IF(N(R505)/N(W505)&gt;=60,N(BG505),1))</f>
        <v/>
      </c>
      <c r="AW505" s="7">
        <f>N(W505)*N(AF505)*N(BH505)</f>
        <v/>
      </c>
      <c r="AX505" s="7">
        <f>N(AL505)*(Assumptions!$B$13*N(BJ505)-(1-Assumptions!$B$13)*Assumptions!$B$14)+N(AM505)</f>
        <v/>
      </c>
      <c r="AY505" s="7">
        <f>N(AU505)*N(R505)/90+N(AV505)+N(AW505)+N(AX505)</f>
        <v/>
      </c>
      <c r="AZ505" s="3">
        <f>IF(N(R505)&lt;=0,0,(N(AY505)-N(AX505))*90/N(R505))</f>
        <v/>
      </c>
      <c r="BA505" s="7">
        <f>IFERROR(AY505-VLOOKUP($E505,Assumptions!$A$40:$C$43,3,FALSE),"")</f>
        <v/>
      </c>
      <c r="BB505" s="3">
        <f>IFERROR(BA505/H505,"")</f>
        <v/>
      </c>
      <c r="BC505">
        <f>IF(AND($G505=TRUE,$E505="GKP"),AY505,"")</f>
        <v/>
      </c>
      <c r="BD505">
        <f>IF(AND($G505=TRUE,$E505="DEF"),AY505,"")</f>
        <v/>
      </c>
      <c r="BE505">
        <f>IF(AND($G505=TRUE,$E505="MID"),AY505,"")</f>
        <v/>
      </c>
      <c r="BF505">
        <f>IF(AND($G505=TRUE,$E505="FWD"),AY505,"")</f>
        <v/>
      </c>
      <c r="BG505" t="n">
        <v>0</v>
      </c>
      <c r="BH505" t="n">
        <v>0</v>
      </c>
      <c r="BI505" t="n">
        <v>0</v>
      </c>
      <c r="BJ505" t="n">
        <v>0</v>
      </c>
    </row>
    <row r="506">
      <c r="A506" t="inlineStr">
        <is>
          <t>Adama Traoré</t>
        </is>
      </c>
      <c r="C506" t="inlineStr">
        <is>
          <t>WHU</t>
        </is>
      </c>
      <c r="D506" t="b">
        <v>0</v>
      </c>
      <c r="F506" t="inlineStr">
        <is>
          <t>MID</t>
        </is>
      </c>
      <c r="G506" t="b">
        <v>0</v>
      </c>
      <c r="H506" s="2" t="n"/>
      <c r="K506" s="2" t="n">
        <v>377</v>
      </c>
      <c r="M506" s="3" t="n"/>
      <c r="N506" s="8" t="n">
        <v>377</v>
      </c>
      <c r="O506" s="8" t="n">
        <v>0</v>
      </c>
      <c r="R506" s="6" t="n">
        <v>377</v>
      </c>
      <c r="S506" t="inlineStr">
        <is>
          <t>25/26 actual</t>
        </is>
      </c>
      <c r="U506" s="6" t="n">
        <v>79.59999999999999</v>
      </c>
      <c r="V506" s="2" t="n">
        <v>1</v>
      </c>
      <c r="W506" s="7">
        <f>IF(N(U506)&lt;=0,0,MIN(Assumptions!$B$15,N(R506)/N(U506)))</f>
        <v/>
      </c>
      <c r="X506" s="6" t="n"/>
      <c r="Y506" s="3" t="n">
        <v>0.1671</v>
      </c>
      <c r="Z506" t="inlineStr">
        <is>
          <t>adjusted xGOT</t>
        </is>
      </c>
      <c r="AA506" s="3" t="n">
        <v>1</v>
      </c>
      <c r="AB506" s="3" t="n">
        <v>1.015</v>
      </c>
      <c r="AC506" s="3" t="n">
        <v>7.7</v>
      </c>
      <c r="AD506" s="3" t="n">
        <v>0.099</v>
      </c>
      <c r="AE506" s="3" t="n">
        <v>7.113</v>
      </c>
      <c r="AF506" s="3" t="n">
        <v>0</v>
      </c>
      <c r="AG506" s="3" t="n">
        <v>0</v>
      </c>
      <c r="AH506" s="3" t="n">
        <v>26</v>
      </c>
      <c r="AI506" s="3" t="n"/>
      <c r="AJ506" s="3" t="n"/>
      <c r="AK506" s="3" t="n"/>
      <c r="AL506" s="6" t="n">
        <v>0</v>
      </c>
      <c r="AM506" s="3" t="n">
        <v>0</v>
      </c>
      <c r="AN506" s="3" t="n">
        <v>0</v>
      </c>
      <c r="AO506" s="3" t="n">
        <v>0</v>
      </c>
      <c r="AP506" s="3">
        <f>N(X506)*N(BI506)</f>
        <v/>
      </c>
      <c r="AQ506" s="3" t="n">
        <v>0</v>
      </c>
      <c r="AR506" s="3" t="n">
        <v>0</v>
      </c>
      <c r="AS506" s="3" t="n">
        <v>0</v>
      </c>
      <c r="AT506" s="3" t="n">
        <v>0</v>
      </c>
      <c r="AU506" s="3">
        <f>SUM(AN506:AT506)</f>
        <v/>
      </c>
      <c r="AV506" s="7">
        <f>IF(OR(N(W506)&lt;=0,N(BG506)=0),0,N(W506)*IF(N(R506)/N(W506)&gt;=60,N(BG506),1))</f>
        <v/>
      </c>
      <c r="AW506" s="7">
        <f>N(W506)*N(AF506)*N(BH506)</f>
        <v/>
      </c>
      <c r="AX506" s="7">
        <f>N(AL506)*(Assumptions!$B$13*N(BJ506)-(1-Assumptions!$B$13)*Assumptions!$B$14)+N(AM506)</f>
        <v/>
      </c>
      <c r="AY506" s="7">
        <f>N(AU506)*N(R506)/90+N(AV506)+N(AW506)+N(AX506)</f>
        <v/>
      </c>
      <c r="AZ506" s="3">
        <f>IF(N(R506)&lt;=0,0,(N(AY506)-N(AX506))*90/N(R506))</f>
        <v/>
      </c>
      <c r="BA506" s="7">
        <f>IFERROR(AY506-VLOOKUP($E506,Assumptions!$A$40:$C$43,3,FALSE),"")</f>
        <v/>
      </c>
      <c r="BB506" s="3">
        <f>IFERROR(BA506/H506,"")</f>
        <v/>
      </c>
      <c r="BC506">
        <f>IF(AND($G506=TRUE,$E506="GKP"),AY506,"")</f>
        <v/>
      </c>
      <c r="BD506">
        <f>IF(AND($G506=TRUE,$E506="DEF"),AY506,"")</f>
        <v/>
      </c>
      <c r="BE506">
        <f>IF(AND($G506=TRUE,$E506="MID"),AY506,"")</f>
        <v/>
      </c>
      <c r="BF506">
        <f>IF(AND($G506=TRUE,$E506="FWD"),AY506,"")</f>
        <v/>
      </c>
      <c r="BG506" t="n">
        <v>0</v>
      </c>
      <c r="BH506" t="n">
        <v>0</v>
      </c>
      <c r="BI506" t="n">
        <v>0</v>
      </c>
      <c r="BJ506" t="n">
        <v>0</v>
      </c>
    </row>
    <row r="507">
      <c r="A507" t="inlineStr">
        <is>
          <t>Paddy McNair</t>
        </is>
      </c>
      <c r="B507" t="inlineStr">
        <is>
          <t>HUL</t>
        </is>
      </c>
      <c r="D507" t="b">
        <v>0</v>
      </c>
      <c r="E507" t="inlineStr">
        <is>
          <t>DEF</t>
        </is>
      </c>
      <c r="G507" t="b">
        <v>1</v>
      </c>
      <c r="H507" s="2" t="n">
        <v>4</v>
      </c>
      <c r="I507" t="inlineStr">
        <is>
          <t>a</t>
        </is>
      </c>
      <c r="K507" s="2" t="n"/>
      <c r="M507" s="3" t="n">
        <v>103</v>
      </c>
      <c r="N507" s="8" t="n">
        <v>103</v>
      </c>
      <c r="O507" s="8" t="n">
        <v>0</v>
      </c>
      <c r="Q507" t="inlineStr">
        <is>
          <t>flat</t>
        </is>
      </c>
      <c r="R507" s="6" t="n">
        <v>103</v>
      </c>
      <c r="S507" t="inlineStr">
        <is>
          <t>Solio</t>
        </is>
      </c>
      <c r="U507" s="6" t="n">
        <v>85</v>
      </c>
      <c r="V507" s="2" t="n"/>
      <c r="W507" s="7">
        <f>IF(N(U507)&lt;=0,0,MIN(Assumptions!$B$15,N(R507)/N(U507)))</f>
        <v/>
      </c>
      <c r="X507" s="6" t="n">
        <v>0.143</v>
      </c>
      <c r="Y507" s="3" t="n"/>
      <c r="Z507" t="inlineStr"/>
      <c r="AA507" s="3" t="n">
        <v>1</v>
      </c>
      <c r="AB507" s="3" t="n"/>
      <c r="AC507" s="3" t="n"/>
      <c r="AD507" s="3" t="n"/>
      <c r="AE507" s="3" t="n"/>
      <c r="AF507" s="3" t="n">
        <v>0</v>
      </c>
      <c r="AG507" s="3" t="n"/>
      <c r="AH507" s="3" t="n"/>
      <c r="AI507" s="3" t="n">
        <v>3.9421</v>
      </c>
      <c r="AJ507" s="3" t="n">
        <v>1.99</v>
      </c>
      <c r="AK507" s="3" t="n">
        <v>-0.2045226422080557</v>
      </c>
      <c r="AL507" s="6" t="n">
        <v>0</v>
      </c>
      <c r="AM507" s="3" t="n">
        <v>0</v>
      </c>
      <c r="AN507" s="3" t="n">
        <v>0</v>
      </c>
      <c r="AO507" s="3" t="n">
        <v>0</v>
      </c>
      <c r="AP507" s="3">
        <f>N(X507)*N(BI507)</f>
        <v/>
      </c>
      <c r="AQ507" s="3" t="n">
        <v>0</v>
      </c>
      <c r="AR507" s="3" t="n">
        <v>0</v>
      </c>
      <c r="AS507" s="3" t="n">
        <v>-0.7496714098286652</v>
      </c>
      <c r="AT507" s="3" t="n">
        <v>-0.2045226422080557</v>
      </c>
      <c r="AU507" s="3">
        <f>SUM(AN507:AT507)</f>
        <v/>
      </c>
      <c r="AV507" s="7">
        <f>IF(OR(N(W507)&lt;=0,N(BG507)=0),0,N(W507)*IF(N(R507)/N(W507)&gt;=60,N(BG507),1))</f>
        <v/>
      </c>
      <c r="AW507" s="7">
        <f>N(W507)*N(AF507)*N(BH507)</f>
        <v/>
      </c>
      <c r="AX507" s="7">
        <f>N(AL507)*(Assumptions!$B$13*N(BJ507)-(1-Assumptions!$B$13)*Assumptions!$B$14)+N(AM507)</f>
        <v/>
      </c>
      <c r="AY507" s="7">
        <f>N(AU507)*N(R507)/90+N(AV507)+N(AW507)+N(AX507)</f>
        <v/>
      </c>
      <c r="AZ507" s="3">
        <f>IF(N(R507)&lt;=0,0,(N(AY507)-N(AX507))*90/N(R507))</f>
        <v/>
      </c>
      <c r="BA507" s="7">
        <f>IFERROR(AY507-VLOOKUP($E507,Assumptions!$A$40:$C$43,3,FALSE),"")</f>
        <v/>
      </c>
      <c r="BB507" s="3">
        <f>IFERROR(BA507/H507,"")</f>
        <v/>
      </c>
      <c r="BC507">
        <f>IF(AND($G507=TRUE,$E507="GKP"),AY507,"")</f>
        <v/>
      </c>
      <c r="BD507">
        <f>IF(AND($G507=TRUE,$E507="DEF"),AY507,"")</f>
        <v/>
      </c>
      <c r="BE507">
        <f>IF(AND($G507=TRUE,$E507="MID"),AY507,"")</f>
        <v/>
      </c>
      <c r="BF507">
        <f>IF(AND($G507=TRUE,$E507="FWD"),AY507,"")</f>
        <v/>
      </c>
      <c r="BG507" t="n">
        <v>2</v>
      </c>
      <c r="BH507" t="n">
        <v>2</v>
      </c>
      <c r="BI507" t="n">
        <v>4</v>
      </c>
      <c r="BJ507" t="n">
        <v>6</v>
      </c>
    </row>
    <row r="508">
      <c r="A508" t="inlineStr">
        <is>
          <t>Bernardo Silva</t>
        </is>
      </c>
      <c r="C508" t="inlineStr">
        <is>
          <t>MCI</t>
        </is>
      </c>
      <c r="D508" t="b">
        <v>0</v>
      </c>
      <c r="F508" t="inlineStr">
        <is>
          <t>MID</t>
        </is>
      </c>
      <c r="G508" t="b">
        <v>0</v>
      </c>
      <c r="H508" s="2" t="n"/>
      <c r="K508" s="2" t="n">
        <v>2886</v>
      </c>
      <c r="M508" s="3" t="n"/>
      <c r="N508" s="8" t="n">
        <v>2886</v>
      </c>
      <c r="O508" s="8" t="n">
        <v>0</v>
      </c>
      <c r="R508" s="6" t="n">
        <v>2886</v>
      </c>
      <c r="S508" t="inlineStr">
        <is>
          <t>25/26 actual</t>
        </is>
      </c>
      <c r="U508" s="6" t="n">
        <v>81.40000000000001</v>
      </c>
      <c r="V508" s="2" t="n">
        <v>34</v>
      </c>
      <c r="W508" s="7">
        <f>IF(N(U508)&lt;=0,0,MIN(Assumptions!$B$15,N(R508)/N(U508)))</f>
        <v/>
      </c>
      <c r="X508" s="6" t="n"/>
      <c r="Y508" s="3" t="n">
        <v>0.0934</v>
      </c>
      <c r="Z508" t="inlineStr">
        <is>
          <t>adjusted xGOT</t>
        </is>
      </c>
      <c r="AA508" s="3" t="n">
        <v>1</v>
      </c>
      <c r="AB508" s="3" t="n">
        <v>1.105</v>
      </c>
      <c r="AC508" s="3" t="n">
        <v>12.2</v>
      </c>
      <c r="AD508" s="3" t="n">
        <v>0.1647</v>
      </c>
      <c r="AE508" s="3" t="n">
        <v>8.291</v>
      </c>
      <c r="AF508" s="3" t="n">
        <v>0</v>
      </c>
      <c r="AG508" s="3" t="n">
        <v>0.1247</v>
      </c>
      <c r="AH508" s="3" t="n">
        <v>69</v>
      </c>
      <c r="AI508" s="3" t="n"/>
      <c r="AJ508" s="3" t="n"/>
      <c r="AK508" s="3" t="n"/>
      <c r="AL508" s="6" t="n">
        <v>0</v>
      </c>
      <c r="AM508" s="3" t="n">
        <v>0</v>
      </c>
      <c r="AN508" s="3" t="n">
        <v>0</v>
      </c>
      <c r="AO508" s="3" t="n">
        <v>0</v>
      </c>
      <c r="AP508" s="3">
        <f>N(X508)*N(BI508)</f>
        <v/>
      </c>
      <c r="AQ508" s="3" t="n">
        <v>0</v>
      </c>
      <c r="AR508" s="3" t="n">
        <v>0</v>
      </c>
      <c r="AS508" s="3" t="n">
        <v>0</v>
      </c>
      <c r="AT508" s="3" t="n">
        <v>0</v>
      </c>
      <c r="AU508" s="3">
        <f>SUM(AN508:AT508)</f>
        <v/>
      </c>
      <c r="AV508" s="7">
        <f>IF(OR(N(W508)&lt;=0,N(BG508)=0),0,N(W508)*IF(N(R508)/N(W508)&gt;=60,N(BG508),1))</f>
        <v/>
      </c>
      <c r="AW508" s="7">
        <f>N(W508)*N(AF508)*N(BH508)</f>
        <v/>
      </c>
      <c r="AX508" s="7">
        <f>N(AL508)*(Assumptions!$B$13*N(BJ508)-(1-Assumptions!$B$13)*Assumptions!$B$14)+N(AM508)</f>
        <v/>
      </c>
      <c r="AY508" s="7">
        <f>N(AU508)*N(R508)/90+N(AV508)+N(AW508)+N(AX508)</f>
        <v/>
      </c>
      <c r="AZ508" s="3">
        <f>IF(N(R508)&lt;=0,0,(N(AY508)-N(AX508))*90/N(R508))</f>
        <v/>
      </c>
      <c r="BA508" s="7">
        <f>IFERROR(AY508-VLOOKUP($E508,Assumptions!$A$40:$C$43,3,FALSE),"")</f>
        <v/>
      </c>
      <c r="BB508" s="3">
        <f>IFERROR(BA508/H508,"")</f>
        <v/>
      </c>
      <c r="BC508">
        <f>IF(AND($G508=TRUE,$E508="GKP"),AY508,"")</f>
        <v/>
      </c>
      <c r="BD508">
        <f>IF(AND($G508=TRUE,$E508="DEF"),AY508,"")</f>
        <v/>
      </c>
      <c r="BE508">
        <f>IF(AND($G508=TRUE,$E508="MID"),AY508,"")</f>
        <v/>
      </c>
      <c r="BF508">
        <f>IF(AND($G508=TRUE,$E508="FWD"),AY508,"")</f>
        <v/>
      </c>
      <c r="BG508" t="n">
        <v>0</v>
      </c>
      <c r="BH508" t="n">
        <v>0</v>
      </c>
      <c r="BI508" t="n">
        <v>0</v>
      </c>
      <c r="BJ508" t="n">
        <v>0</v>
      </c>
    </row>
    <row r="509">
      <c r="A509" t="inlineStr">
        <is>
          <t>Dillon Phillips</t>
        </is>
      </c>
      <c r="B509" t="inlineStr">
        <is>
          <t>HUL</t>
        </is>
      </c>
      <c r="D509" t="b">
        <v>0</v>
      </c>
      <c r="E509" t="inlineStr">
        <is>
          <t>GKP</t>
        </is>
      </c>
      <c r="G509" t="b">
        <v>1</v>
      </c>
      <c r="H509" s="2" t="n">
        <v>4</v>
      </c>
      <c r="I509" t="inlineStr">
        <is>
          <t>a</t>
        </is>
      </c>
      <c r="K509" s="2" t="n"/>
      <c r="M509" s="3" t="n">
        <v>0</v>
      </c>
      <c r="N509" s="8" t="n">
        <v>0</v>
      </c>
      <c r="O509" s="8" t="n">
        <v>0</v>
      </c>
      <c r="Q509" t="inlineStr">
        <is>
          <t>flat</t>
        </is>
      </c>
      <c r="R509" s="6" t="n">
        <v>0</v>
      </c>
      <c r="S509" t="inlineStr">
        <is>
          <t>Solio</t>
        </is>
      </c>
      <c r="U509" s="6" t="n">
        <v>85</v>
      </c>
      <c r="V509" s="2" t="n"/>
      <c r="W509" s="7">
        <f>IF(N(U509)&lt;=0,0,MIN(Assumptions!$B$15,N(R509)/N(U509)))</f>
        <v/>
      </c>
      <c r="X509" s="6" t="n">
        <v>0.143</v>
      </c>
      <c r="Y509" s="3" t="n"/>
      <c r="Z509" t="inlineStr"/>
      <c r="AA509" s="3" t="n">
        <v>1</v>
      </c>
      <c r="AB509" s="3" t="n"/>
      <c r="AC509" s="3" t="n"/>
      <c r="AD509" s="3" t="n"/>
      <c r="AE509" s="3" t="n">
        <v>0</v>
      </c>
      <c r="AF509" s="3" t="n">
        <v>0</v>
      </c>
      <c r="AG509" s="3" t="n"/>
      <c r="AH509" s="3" t="n"/>
      <c r="AI509" s="3" t="n">
        <v>3.9421</v>
      </c>
      <c r="AJ509" s="3" t="n">
        <v>1.99</v>
      </c>
      <c r="AK509" s="3" t="n">
        <v>-0.0763216474948735</v>
      </c>
      <c r="AL509" s="6" t="n">
        <v>0</v>
      </c>
      <c r="AM509" s="3" t="n">
        <v>0</v>
      </c>
      <c r="AN509" s="3" t="n">
        <v>0</v>
      </c>
      <c r="AO509" s="3" t="n">
        <v>0</v>
      </c>
      <c r="AP509" s="3">
        <f>N(X509)*N(BI509)</f>
        <v/>
      </c>
      <c r="AQ509" s="3" t="n">
        <v>0</v>
      </c>
      <c r="AR509" s="3" t="n">
        <v>0.979692031005534</v>
      </c>
      <c r="AS509" s="3" t="n">
        <v>-0.7496714098286652</v>
      </c>
      <c r="AT509" s="3" t="n">
        <v>-0.0763216474948735</v>
      </c>
      <c r="AU509" s="3">
        <f>SUM(AN509:AT509)</f>
        <v/>
      </c>
      <c r="AV509" s="7">
        <f>IF(OR(N(W509)&lt;=0,N(BG509)=0),0,N(W509)*IF(N(R509)/N(W509)&gt;=60,N(BG509),1))</f>
        <v/>
      </c>
      <c r="AW509" s="7">
        <f>N(W509)*N(AF509)*N(BH509)</f>
        <v/>
      </c>
      <c r="AX509" s="7">
        <f>N(AL509)*(Assumptions!$B$13*N(BJ509)-(1-Assumptions!$B$13)*Assumptions!$B$14)+N(AM509)</f>
        <v/>
      </c>
      <c r="AY509" s="7">
        <f>N(AU509)*N(R509)/90+N(AV509)+N(AW509)+N(AX509)</f>
        <v/>
      </c>
      <c r="AZ509" s="3">
        <f>IF(N(R509)&lt;=0,0,(N(AY509)-N(AX509))*90/N(R509))</f>
        <v/>
      </c>
      <c r="BA509" s="7">
        <f>IFERROR(AY509-VLOOKUP($E509,Assumptions!$A$40:$C$43,3,FALSE),"")</f>
        <v/>
      </c>
      <c r="BB509" s="3">
        <f>IFERROR(BA509/H509,"")</f>
        <v/>
      </c>
      <c r="BC509">
        <f>IF(AND($G509=TRUE,$E509="GKP"),AY509,"")</f>
        <v/>
      </c>
      <c r="BD509">
        <f>IF(AND($G509=TRUE,$E509="DEF"),AY509,"")</f>
        <v/>
      </c>
      <c r="BE509">
        <f>IF(AND($G509=TRUE,$E509="MID"),AY509,"")</f>
        <v/>
      </c>
      <c r="BF509">
        <f>IF(AND($G509=TRUE,$E509="FWD"),AY509,"")</f>
        <v/>
      </c>
      <c r="BG509" t="n">
        <v>2</v>
      </c>
      <c r="BH509" t="n">
        <v>0</v>
      </c>
      <c r="BI509" t="n">
        <v>4</v>
      </c>
      <c r="BJ509" t="n">
        <v>10</v>
      </c>
    </row>
    <row r="510">
      <c r="A510" t="inlineStr">
        <is>
          <t>Josh Laurent</t>
        </is>
      </c>
      <c r="C510" t="inlineStr">
        <is>
          <t>BUR</t>
        </is>
      </c>
      <c r="D510" t="b">
        <v>0</v>
      </c>
      <c r="F510" t="inlineStr">
        <is>
          <t>MID</t>
        </is>
      </c>
      <c r="G510" t="b">
        <v>0</v>
      </c>
      <c r="H510" s="2" t="n"/>
      <c r="K510" s="2" t="n">
        <v>1759</v>
      </c>
      <c r="M510" s="3" t="n"/>
      <c r="N510" s="8" t="n">
        <v>1759</v>
      </c>
      <c r="O510" s="8" t="n">
        <v>0</v>
      </c>
      <c r="R510" s="6" t="n">
        <v>1759</v>
      </c>
      <c r="S510" t="inlineStr">
        <is>
          <t>25/26 actual</t>
        </is>
      </c>
      <c r="U510" s="6" t="n">
        <v>80.59999999999999</v>
      </c>
      <c r="V510" s="2" t="n">
        <v>17</v>
      </c>
      <c r="W510" s="7">
        <f>IF(N(U510)&lt;=0,0,MIN(Assumptions!$B$15,N(R510)/N(U510)))</f>
        <v/>
      </c>
      <c r="X510" s="6" t="n"/>
      <c r="Y510" s="3" t="n">
        <v>0.0457</v>
      </c>
      <c r="Z510" t="inlineStr">
        <is>
          <t>adjusted xGOT</t>
        </is>
      </c>
      <c r="AA510" s="3" t="n">
        <v>1</v>
      </c>
      <c r="AB510" s="3" t="n">
        <v>1.026</v>
      </c>
      <c r="AC510" s="3" t="n">
        <v>0.9</v>
      </c>
      <c r="AD510" s="3" t="n">
        <v>0.0376</v>
      </c>
      <c r="AE510" s="3" t="n">
        <v>9.27</v>
      </c>
      <c r="AF510" s="3" t="n">
        <v>0</v>
      </c>
      <c r="AG510" s="3" t="n">
        <v>0.0512</v>
      </c>
      <c r="AH510" s="3" t="n">
        <v>49</v>
      </c>
      <c r="AI510" s="3" t="n"/>
      <c r="AJ510" s="3" t="n"/>
      <c r="AK510" s="3" t="n"/>
      <c r="AL510" s="6" t="n">
        <v>0</v>
      </c>
      <c r="AM510" s="3" t="n">
        <v>0</v>
      </c>
      <c r="AN510" s="3" t="n">
        <v>0</v>
      </c>
      <c r="AO510" s="3" t="n">
        <v>0</v>
      </c>
      <c r="AP510" s="3">
        <f>N(X510)*N(BI510)</f>
        <v/>
      </c>
      <c r="AQ510" s="3" t="n">
        <v>0</v>
      </c>
      <c r="AR510" s="3" t="n">
        <v>0</v>
      </c>
      <c r="AS510" s="3" t="n">
        <v>0</v>
      </c>
      <c r="AT510" s="3" t="n">
        <v>0</v>
      </c>
      <c r="AU510" s="3">
        <f>SUM(AN510:AT510)</f>
        <v/>
      </c>
      <c r="AV510" s="7">
        <f>IF(OR(N(W510)&lt;=0,N(BG510)=0),0,N(W510)*IF(N(R510)/N(W510)&gt;=60,N(BG510),1))</f>
        <v/>
      </c>
      <c r="AW510" s="7">
        <f>N(W510)*N(AF510)*N(BH510)</f>
        <v/>
      </c>
      <c r="AX510" s="7">
        <f>N(AL510)*(Assumptions!$B$13*N(BJ510)-(1-Assumptions!$B$13)*Assumptions!$B$14)+N(AM510)</f>
        <v/>
      </c>
      <c r="AY510" s="7">
        <f>N(AU510)*N(R510)/90+N(AV510)+N(AW510)+N(AX510)</f>
        <v/>
      </c>
      <c r="AZ510" s="3">
        <f>IF(N(R510)&lt;=0,0,(N(AY510)-N(AX510))*90/N(R510))</f>
        <v/>
      </c>
      <c r="BA510" s="7">
        <f>IFERROR(AY510-VLOOKUP($E510,Assumptions!$A$40:$C$43,3,FALSE),"")</f>
        <v/>
      </c>
      <c r="BB510" s="3">
        <f>IFERROR(BA510/H510,"")</f>
        <v/>
      </c>
      <c r="BC510">
        <f>IF(AND($G510=TRUE,$E510="GKP"),AY510,"")</f>
        <v/>
      </c>
      <c r="BD510">
        <f>IF(AND($G510=TRUE,$E510="DEF"),AY510,"")</f>
        <v/>
      </c>
      <c r="BE510">
        <f>IF(AND($G510=TRUE,$E510="MID"),AY510,"")</f>
        <v/>
      </c>
      <c r="BF510">
        <f>IF(AND($G510=TRUE,$E510="FWD"),AY510,"")</f>
        <v/>
      </c>
      <c r="BG510" t="n">
        <v>0</v>
      </c>
      <c r="BH510" t="n">
        <v>0</v>
      </c>
      <c r="BI510" t="n">
        <v>0</v>
      </c>
      <c r="BJ510" t="n">
        <v>0</v>
      </c>
    </row>
    <row r="511">
      <c r="A511" t="inlineStr">
        <is>
          <t>Matt Grimes</t>
        </is>
      </c>
      <c r="B511" t="inlineStr">
        <is>
          <t>COV</t>
        </is>
      </c>
      <c r="D511" t="b">
        <v>0</v>
      </c>
      <c r="E511" t="inlineStr">
        <is>
          <t>MID</t>
        </is>
      </c>
      <c r="G511" t="b">
        <v>1</v>
      </c>
      <c r="H511" s="2" t="n">
        <v>5</v>
      </c>
      <c r="I511" t="inlineStr">
        <is>
          <t>a</t>
        </is>
      </c>
      <c r="K511" s="2" t="n"/>
      <c r="M511" s="3" t="n">
        <v>2668</v>
      </c>
      <c r="N511" s="8" t="n">
        <v>2668</v>
      </c>
      <c r="O511" s="8" t="n">
        <v>0</v>
      </c>
      <c r="Q511" t="inlineStr">
        <is>
          <t>flat</t>
        </is>
      </c>
      <c r="R511" s="6" t="n">
        <v>2668</v>
      </c>
      <c r="S511" t="inlineStr">
        <is>
          <t>Solio</t>
        </is>
      </c>
      <c r="U511" s="6" t="n">
        <v>85</v>
      </c>
      <c r="V511" s="2" t="n"/>
      <c r="W511" s="7">
        <f>IF(N(U511)&lt;=0,0,MIN(Assumptions!$B$15,N(R511)/N(U511)))</f>
        <v/>
      </c>
      <c r="X511" s="6" t="n">
        <v>0.17</v>
      </c>
      <c r="Y511" s="3" t="n"/>
      <c r="Z511" t="inlineStr"/>
      <c r="AA511" s="3" t="n">
        <v>1</v>
      </c>
      <c r="AB511" s="3" t="n"/>
      <c r="AC511" s="3" t="n"/>
      <c r="AD511" s="3" t="n"/>
      <c r="AE511" s="3" t="n"/>
      <c r="AF511" s="3" t="n">
        <v>0</v>
      </c>
      <c r="AG511" s="3" t="n"/>
      <c r="AH511" s="3" t="n"/>
      <c r="AI511" s="3" t="n">
        <v>3.6194</v>
      </c>
      <c r="AJ511" s="3" t="n">
        <v>1.8271</v>
      </c>
      <c r="AK511" s="3" t="n">
        <v>-0.2160434166173144</v>
      </c>
      <c r="AL511" s="6" t="n">
        <v>0.4588591229925738</v>
      </c>
      <c r="AM511" s="3" t="n">
        <v>0</v>
      </c>
      <c r="AN511" s="3" t="n">
        <v>0</v>
      </c>
      <c r="AO511" s="3" t="n">
        <v>0</v>
      </c>
      <c r="AP511" s="3">
        <f>N(X511)*N(BI511)</f>
        <v/>
      </c>
      <c r="AQ511" s="3" t="n">
        <v>0</v>
      </c>
      <c r="AR511" s="3" t="n">
        <v>0</v>
      </c>
      <c r="AS511" s="3" t="n">
        <v>-0</v>
      </c>
      <c r="AT511" s="3" t="n">
        <v>-0.2160434166173144</v>
      </c>
      <c r="AU511" s="3">
        <f>SUM(AN511:AT511)</f>
        <v/>
      </c>
      <c r="AV511" s="7">
        <f>IF(OR(N(W511)&lt;=0,N(BG511)=0),0,N(W511)*IF(N(R511)/N(W511)&gt;=60,N(BG511),1))</f>
        <v/>
      </c>
      <c r="AW511" s="7">
        <f>N(W511)*N(AF511)*N(BH511)</f>
        <v/>
      </c>
      <c r="AX511" s="7">
        <f>N(AL511)*(Assumptions!$B$13*N(BJ511)-(1-Assumptions!$B$13)*Assumptions!$B$14)+N(AM511)</f>
        <v/>
      </c>
      <c r="AY511" s="7">
        <f>N(AU511)*N(R511)/90+N(AV511)+N(AW511)+N(AX511)</f>
        <v/>
      </c>
      <c r="AZ511" s="3">
        <f>IF(N(R511)&lt;=0,0,(N(AY511)-N(AX511))*90/N(R511))</f>
        <v/>
      </c>
      <c r="BA511" s="7">
        <f>IFERROR(AY511-VLOOKUP($E511,Assumptions!$A$40:$C$43,3,FALSE),"")</f>
        <v/>
      </c>
      <c r="BB511" s="3">
        <f>IFERROR(BA511/H511,"")</f>
        <v/>
      </c>
      <c r="BC511">
        <f>IF(AND($G511=TRUE,$E511="GKP"),AY511,"")</f>
        <v/>
      </c>
      <c r="BD511">
        <f>IF(AND($G511=TRUE,$E511="DEF"),AY511,"")</f>
        <v/>
      </c>
      <c r="BE511">
        <f>IF(AND($G511=TRUE,$E511="MID"),AY511,"")</f>
        <v/>
      </c>
      <c r="BF511">
        <f>IF(AND($G511=TRUE,$E511="FWD"),AY511,"")</f>
        <v/>
      </c>
      <c r="BG511" t="n">
        <v>2</v>
      </c>
      <c r="BH511" t="n">
        <v>2</v>
      </c>
      <c r="BI511" t="n">
        <v>1</v>
      </c>
      <c r="BJ511" t="n">
        <v>5</v>
      </c>
    </row>
    <row r="512">
      <c r="A512" t="inlineStr">
        <is>
          <t>Oli McBurnie</t>
        </is>
      </c>
      <c r="B512" t="inlineStr">
        <is>
          <t>HUL</t>
        </is>
      </c>
      <c r="D512" t="b">
        <v>0</v>
      </c>
      <c r="E512" t="inlineStr">
        <is>
          <t>FWD</t>
        </is>
      </c>
      <c r="G512" t="b">
        <v>1</v>
      </c>
      <c r="H512" s="2" t="n">
        <v>5.5</v>
      </c>
      <c r="I512" t="inlineStr">
        <is>
          <t>a</t>
        </is>
      </c>
      <c r="K512" s="2" t="n"/>
      <c r="M512" s="3" t="n">
        <v>3260</v>
      </c>
      <c r="N512" s="8" t="n">
        <v>3260</v>
      </c>
      <c r="O512" s="8" t="n">
        <v>0</v>
      </c>
      <c r="Q512" t="inlineStr">
        <is>
          <t>flat</t>
        </is>
      </c>
      <c r="R512" s="6" t="n">
        <v>3260</v>
      </c>
      <c r="S512" t="inlineStr">
        <is>
          <t>Solio</t>
        </is>
      </c>
      <c r="U512" s="6" t="n">
        <v>85</v>
      </c>
      <c r="V512" s="2" t="n"/>
      <c r="W512" s="7">
        <f>IF(N(U512)&lt;=0,0,MIN(Assumptions!$B$15,N(R512)/N(U512)))</f>
        <v/>
      </c>
      <c r="X512" s="6" t="n">
        <v>0.143</v>
      </c>
      <c r="Y512" s="3" t="n"/>
      <c r="Z512" t="inlineStr"/>
      <c r="AA512" s="3" t="n">
        <v>1</v>
      </c>
      <c r="AB512" s="3" t="n"/>
      <c r="AC512" s="3" t="n"/>
      <c r="AD512" s="3" t="n"/>
      <c r="AE512" s="3" t="n"/>
      <c r="AF512" s="3" t="n">
        <v>0</v>
      </c>
      <c r="AG512" s="3" t="n"/>
      <c r="AH512" s="3" t="n"/>
      <c r="AI512" s="3" t="n">
        <v>3.9421</v>
      </c>
      <c r="AJ512" s="3" t="n">
        <v>1.99</v>
      </c>
      <c r="AK512" s="3" t="n">
        <v>-0.1872839882939133</v>
      </c>
      <c r="AL512" s="6" t="n">
        <v>2.576470200796949</v>
      </c>
      <c r="AM512" s="3" t="n">
        <v>0</v>
      </c>
      <c r="AN512" s="3" t="n">
        <v>0</v>
      </c>
      <c r="AO512" s="3" t="n">
        <v>0</v>
      </c>
      <c r="AP512" s="3">
        <f>N(X512)*N(BI512)</f>
        <v/>
      </c>
      <c r="AQ512" s="3" t="n">
        <v>0</v>
      </c>
      <c r="AR512" s="3" t="n">
        <v>0</v>
      </c>
      <c r="AS512" s="3" t="n">
        <v>-0</v>
      </c>
      <c r="AT512" s="3" t="n">
        <v>-0.1872839882939133</v>
      </c>
      <c r="AU512" s="3">
        <f>SUM(AN512:AT512)</f>
        <v/>
      </c>
      <c r="AV512" s="7">
        <f>IF(OR(N(W512)&lt;=0,N(BG512)=0),0,N(W512)*IF(N(R512)/N(W512)&gt;=60,N(BG512),1))</f>
        <v/>
      </c>
      <c r="AW512" s="7">
        <f>N(W512)*N(AF512)*N(BH512)</f>
        <v/>
      </c>
      <c r="AX512" s="7">
        <f>N(AL512)*(Assumptions!$B$13*N(BJ512)-(1-Assumptions!$B$13)*Assumptions!$B$14)+N(AM512)</f>
        <v/>
      </c>
      <c r="AY512" s="7">
        <f>N(AU512)*N(R512)/90+N(AV512)+N(AW512)+N(AX512)</f>
        <v/>
      </c>
      <c r="AZ512" s="3">
        <f>IF(N(R512)&lt;=0,0,(N(AY512)-N(AX512))*90/N(R512))</f>
        <v/>
      </c>
      <c r="BA512" s="7">
        <f>IFERROR(AY512-VLOOKUP($E512,Assumptions!$A$40:$C$43,3,FALSE),"")</f>
        <v/>
      </c>
      <c r="BB512" s="3">
        <f>IFERROR(BA512/H512,"")</f>
        <v/>
      </c>
      <c r="BC512">
        <f>IF(AND($G512=TRUE,$E512="GKP"),AY512,"")</f>
        <v/>
      </c>
      <c r="BD512">
        <f>IF(AND($G512=TRUE,$E512="DEF"),AY512,"")</f>
        <v/>
      </c>
      <c r="BE512">
        <f>IF(AND($G512=TRUE,$E512="MID"),AY512,"")</f>
        <v/>
      </c>
      <c r="BF512">
        <f>IF(AND($G512=TRUE,$E512="FWD"),AY512,"")</f>
        <v/>
      </c>
      <c r="BG512" t="n">
        <v>2</v>
      </c>
      <c r="BH512" t="n">
        <v>2</v>
      </c>
      <c r="BI512" t="n">
        <v>0</v>
      </c>
      <c r="BJ512" t="n">
        <v>4</v>
      </c>
    </row>
    <row r="513">
      <c r="A513" t="inlineStr">
        <is>
          <t>Kieran Dowell</t>
        </is>
      </c>
      <c r="B513" t="inlineStr">
        <is>
          <t>HUL</t>
        </is>
      </c>
      <c r="D513" t="b">
        <v>0</v>
      </c>
      <c r="E513" t="inlineStr">
        <is>
          <t>MID</t>
        </is>
      </c>
      <c r="G513" t="b">
        <v>1</v>
      </c>
      <c r="H513" s="2" t="n">
        <v>4.5</v>
      </c>
      <c r="I513" t="inlineStr">
        <is>
          <t>a</t>
        </is>
      </c>
      <c r="K513" s="2" t="n"/>
      <c r="M513" s="3" t="n">
        <v>51</v>
      </c>
      <c r="N513" s="8" t="n">
        <v>51</v>
      </c>
      <c r="O513" s="8" t="n">
        <v>0</v>
      </c>
      <c r="Q513" t="inlineStr">
        <is>
          <t>flat</t>
        </is>
      </c>
      <c r="R513" s="6" t="n">
        <v>51</v>
      </c>
      <c r="S513" t="inlineStr">
        <is>
          <t>Solio</t>
        </is>
      </c>
      <c r="U513" s="6" t="n">
        <v>85</v>
      </c>
      <c r="V513" s="2" t="n"/>
      <c r="W513" s="7">
        <f>IF(N(U513)&lt;=0,0,MIN(Assumptions!$B$15,N(R513)/N(U513)))</f>
        <v/>
      </c>
      <c r="X513" s="6" t="n">
        <v>0.143</v>
      </c>
      <c r="Y513" s="3" t="n"/>
      <c r="Z513" t="inlineStr"/>
      <c r="AA513" s="3" t="n">
        <v>1</v>
      </c>
      <c r="AB513" s="3" t="n"/>
      <c r="AC513" s="3" t="n"/>
      <c r="AD513" s="3" t="n"/>
      <c r="AE513" s="3" t="n"/>
      <c r="AF513" s="3" t="n">
        <v>0</v>
      </c>
      <c r="AG513" s="3" t="n"/>
      <c r="AH513" s="3" t="n"/>
      <c r="AI513" s="3" t="n">
        <v>3.9421</v>
      </c>
      <c r="AJ513" s="3" t="n">
        <v>1.99</v>
      </c>
      <c r="AK513" s="3" t="n">
        <v>-0.2160434166173144</v>
      </c>
      <c r="AL513" s="6" t="n">
        <v>0</v>
      </c>
      <c r="AM513" s="3" t="n">
        <v>0</v>
      </c>
      <c r="AN513" s="3" t="n">
        <v>0</v>
      </c>
      <c r="AO513" s="3" t="n">
        <v>0</v>
      </c>
      <c r="AP513" s="3">
        <f>N(X513)*N(BI513)</f>
        <v/>
      </c>
      <c r="AQ513" s="3" t="n">
        <v>0</v>
      </c>
      <c r="AR513" s="3" t="n">
        <v>0</v>
      </c>
      <c r="AS513" s="3" t="n">
        <v>-0</v>
      </c>
      <c r="AT513" s="3" t="n">
        <v>-0.2160434166173144</v>
      </c>
      <c r="AU513" s="3">
        <f>SUM(AN513:AT513)</f>
        <v/>
      </c>
      <c r="AV513" s="7">
        <f>IF(OR(N(W513)&lt;=0,N(BG513)=0),0,N(W513)*IF(N(R513)/N(W513)&gt;=60,N(BG513),1))</f>
        <v/>
      </c>
      <c r="AW513" s="7">
        <f>N(W513)*N(AF513)*N(BH513)</f>
        <v/>
      </c>
      <c r="AX513" s="7">
        <f>N(AL513)*(Assumptions!$B$13*N(BJ513)-(1-Assumptions!$B$13)*Assumptions!$B$14)+N(AM513)</f>
        <v/>
      </c>
      <c r="AY513" s="7">
        <f>N(AU513)*N(R513)/90+N(AV513)+N(AW513)+N(AX513)</f>
        <v/>
      </c>
      <c r="AZ513" s="3">
        <f>IF(N(R513)&lt;=0,0,(N(AY513)-N(AX513))*90/N(R513))</f>
        <v/>
      </c>
      <c r="BA513" s="7">
        <f>IFERROR(AY513-VLOOKUP($E513,Assumptions!$A$40:$C$43,3,FALSE),"")</f>
        <v/>
      </c>
      <c r="BB513" s="3">
        <f>IFERROR(BA513/H513,"")</f>
        <v/>
      </c>
      <c r="BC513">
        <f>IF(AND($G513=TRUE,$E513="GKP"),AY513,"")</f>
        <v/>
      </c>
      <c r="BD513">
        <f>IF(AND($G513=TRUE,$E513="DEF"),AY513,"")</f>
        <v/>
      </c>
      <c r="BE513">
        <f>IF(AND($G513=TRUE,$E513="MID"),AY513,"")</f>
        <v/>
      </c>
      <c r="BF513">
        <f>IF(AND($G513=TRUE,$E513="FWD"),AY513,"")</f>
        <v/>
      </c>
      <c r="BG513" t="n">
        <v>2</v>
      </c>
      <c r="BH513" t="n">
        <v>2</v>
      </c>
      <c r="BI513" t="n">
        <v>1</v>
      </c>
      <c r="BJ513" t="n">
        <v>5</v>
      </c>
    </row>
    <row r="514">
      <c r="A514" t="inlineStr">
        <is>
          <t>Sam Szmodics</t>
        </is>
      </c>
      <c r="B514" t="inlineStr">
        <is>
          <t>IPS</t>
        </is>
      </c>
      <c r="D514" t="b">
        <v>0</v>
      </c>
      <c r="E514" t="inlineStr">
        <is>
          <t>MID</t>
        </is>
      </c>
      <c r="G514" t="b">
        <v>1</v>
      </c>
      <c r="H514" s="2" t="n">
        <v>5</v>
      </c>
      <c r="I514" t="inlineStr">
        <is>
          <t>a</t>
        </is>
      </c>
      <c r="K514" s="2" t="n"/>
      <c r="M514" s="3" t="n">
        <v>0</v>
      </c>
      <c r="N514" s="8" t="n">
        <v>0</v>
      </c>
      <c r="O514" s="8" t="n">
        <v>0</v>
      </c>
      <c r="Q514" t="inlineStr">
        <is>
          <t>flat</t>
        </is>
      </c>
      <c r="R514" s="6" t="n">
        <v>0</v>
      </c>
      <c r="S514" t="inlineStr">
        <is>
          <t>Solio</t>
        </is>
      </c>
      <c r="U514" s="6" t="n">
        <v>85</v>
      </c>
      <c r="V514" s="2" t="n"/>
      <c r="W514" s="7">
        <f>IF(N(U514)&lt;=0,0,MIN(Assumptions!$B$15,N(R514)/N(U514)))</f>
        <v/>
      </c>
      <c r="X514" s="6" t="n">
        <v>0.17</v>
      </c>
      <c r="Y514" s="3" t="n"/>
      <c r="Z514" t="inlineStr"/>
      <c r="AA514" s="3" t="n">
        <v>1</v>
      </c>
      <c r="AB514" s="3" t="n"/>
      <c r="AC514" s="3" t="n"/>
      <c r="AD514" s="3" t="n"/>
      <c r="AE514" s="3" t="n"/>
      <c r="AF514" s="3" t="n">
        <v>0</v>
      </c>
      <c r="AG514" s="3" t="n"/>
      <c r="AH514" s="3" t="n"/>
      <c r="AI514" s="3" t="n">
        <v>3.5741</v>
      </c>
      <c r="AJ514" s="3" t="n">
        <v>1.8319</v>
      </c>
      <c r="AK514" s="3" t="n">
        <v>-0.2110210456103259</v>
      </c>
      <c r="AL514" s="6" t="n">
        <v>0</v>
      </c>
      <c r="AM514" s="3" t="n">
        <v>0</v>
      </c>
      <c r="AN514" s="3" t="n">
        <v>0</v>
      </c>
      <c r="AO514" s="3" t="n">
        <v>0</v>
      </c>
      <c r="AP514" s="3">
        <f>N(X514)*N(BI514)</f>
        <v/>
      </c>
      <c r="AQ514" s="3" t="n">
        <v>0</v>
      </c>
      <c r="AR514" s="3" t="n">
        <v>0</v>
      </c>
      <c r="AS514" s="3" t="n">
        <v>-0</v>
      </c>
      <c r="AT514" s="3" t="n">
        <v>-0.2110210456103259</v>
      </c>
      <c r="AU514" s="3">
        <f>SUM(AN514:AT514)</f>
        <v/>
      </c>
      <c r="AV514" s="7">
        <f>IF(OR(N(W514)&lt;=0,N(BG514)=0),0,N(W514)*IF(N(R514)/N(W514)&gt;=60,N(BG514),1))</f>
        <v/>
      </c>
      <c r="AW514" s="7">
        <f>N(W514)*N(AF514)*N(BH514)</f>
        <v/>
      </c>
      <c r="AX514" s="7">
        <f>N(AL514)*(Assumptions!$B$13*N(BJ514)-(1-Assumptions!$B$13)*Assumptions!$B$14)+N(AM514)</f>
        <v/>
      </c>
      <c r="AY514" s="7">
        <f>N(AU514)*N(R514)/90+N(AV514)+N(AW514)+N(AX514)</f>
        <v/>
      </c>
      <c r="AZ514" s="3">
        <f>IF(N(R514)&lt;=0,0,(N(AY514)-N(AX514))*90/N(R514))</f>
        <v/>
      </c>
      <c r="BA514" s="7">
        <f>IFERROR(AY514-VLOOKUP($E514,Assumptions!$A$40:$C$43,3,FALSE),"")</f>
        <v/>
      </c>
      <c r="BB514" s="3">
        <f>IFERROR(BA514/H514,"")</f>
        <v/>
      </c>
      <c r="BC514">
        <f>IF(AND($G514=TRUE,$E514="GKP"),AY514,"")</f>
        <v/>
      </c>
      <c r="BD514">
        <f>IF(AND($G514=TRUE,$E514="DEF"),AY514,"")</f>
        <v/>
      </c>
      <c r="BE514">
        <f>IF(AND($G514=TRUE,$E514="MID"),AY514,"")</f>
        <v/>
      </c>
      <c r="BF514">
        <f>IF(AND($G514=TRUE,$E514="FWD"),AY514,"")</f>
        <v/>
      </c>
      <c r="BG514" t="n">
        <v>2</v>
      </c>
      <c r="BH514" t="n">
        <v>2</v>
      </c>
      <c r="BI514" t="n">
        <v>1</v>
      </c>
      <c r="BJ514" t="n">
        <v>5</v>
      </c>
    </row>
    <row r="515">
      <c r="A515" t="inlineStr">
        <is>
          <t>Josh Cullen</t>
        </is>
      </c>
      <c r="C515" t="inlineStr">
        <is>
          <t>BUR</t>
        </is>
      </c>
      <c r="D515" t="b">
        <v>0</v>
      </c>
      <c r="F515" t="inlineStr">
        <is>
          <t>MID</t>
        </is>
      </c>
      <c r="G515" t="b">
        <v>0</v>
      </c>
      <c r="H515" s="2" t="n"/>
      <c r="K515" s="2" t="n">
        <v>1519</v>
      </c>
      <c r="M515" s="3" t="n"/>
      <c r="N515" s="8" t="n">
        <v>1519</v>
      </c>
      <c r="O515" s="8" t="n">
        <v>0</v>
      </c>
      <c r="R515" s="6" t="n">
        <v>1519</v>
      </c>
      <c r="S515" t="inlineStr">
        <is>
          <t>25/26 actual</t>
        </is>
      </c>
      <c r="U515" s="6" t="n">
        <v>82.59999999999999</v>
      </c>
      <c r="V515" s="2" t="n">
        <v>18</v>
      </c>
      <c r="W515" s="7">
        <f>IF(N(U515)&lt;=0,0,MIN(Assumptions!$B$15,N(R515)/N(U515)))</f>
        <v/>
      </c>
      <c r="X515" s="6" t="n"/>
      <c r="Y515" s="3" t="n">
        <v>0.0643</v>
      </c>
      <c r="Z515" t="inlineStr">
        <is>
          <t>adjusted xGOT</t>
        </is>
      </c>
      <c r="AA515" s="3" t="n">
        <v>1</v>
      </c>
      <c r="AB515" s="3" t="n">
        <v>1.154</v>
      </c>
      <c r="AC515" s="3" t="n">
        <v>1.5</v>
      </c>
      <c r="AD515" s="3" t="n">
        <v>0.1076</v>
      </c>
      <c r="AE515" s="3" t="n">
        <v>9.738</v>
      </c>
      <c r="AF515" s="3" t="n">
        <v>0</v>
      </c>
      <c r="AG515" s="3" t="n">
        <v>0.4147</v>
      </c>
      <c r="AH515" s="3" t="n">
        <v>35</v>
      </c>
      <c r="AI515" s="3" t="n"/>
      <c r="AJ515" s="3" t="n"/>
      <c r="AK515" s="3" t="n"/>
      <c r="AL515" s="6" t="n">
        <v>0</v>
      </c>
      <c r="AM515" s="3" t="n">
        <v>0</v>
      </c>
      <c r="AN515" s="3" t="n">
        <v>0</v>
      </c>
      <c r="AO515" s="3" t="n">
        <v>0</v>
      </c>
      <c r="AP515" s="3">
        <f>N(X515)*N(BI515)</f>
        <v/>
      </c>
      <c r="AQ515" s="3" t="n">
        <v>0</v>
      </c>
      <c r="AR515" s="3" t="n">
        <v>0</v>
      </c>
      <c r="AS515" s="3" t="n">
        <v>0</v>
      </c>
      <c r="AT515" s="3" t="n">
        <v>0</v>
      </c>
      <c r="AU515" s="3">
        <f>SUM(AN515:AT515)</f>
        <v/>
      </c>
      <c r="AV515" s="7">
        <f>IF(OR(N(W515)&lt;=0,N(BG515)=0),0,N(W515)*IF(N(R515)/N(W515)&gt;=60,N(BG515),1))</f>
        <v/>
      </c>
      <c r="AW515" s="7">
        <f>N(W515)*N(AF515)*N(BH515)</f>
        <v/>
      </c>
      <c r="AX515" s="7">
        <f>N(AL515)*(Assumptions!$B$13*N(BJ515)-(1-Assumptions!$B$13)*Assumptions!$B$14)+N(AM515)</f>
        <v/>
      </c>
      <c r="AY515" s="7">
        <f>N(AU515)*N(R515)/90+N(AV515)+N(AW515)+N(AX515)</f>
        <v/>
      </c>
      <c r="AZ515" s="3">
        <f>IF(N(R515)&lt;=0,0,(N(AY515)-N(AX515))*90/N(R515))</f>
        <v/>
      </c>
      <c r="BA515" s="7">
        <f>IFERROR(AY515-VLOOKUP($E515,Assumptions!$A$40:$C$43,3,FALSE),"")</f>
        <v/>
      </c>
      <c r="BB515" s="3">
        <f>IFERROR(BA515/H515,"")</f>
        <v/>
      </c>
      <c r="BC515">
        <f>IF(AND($G515=TRUE,$E515="GKP"),AY515,"")</f>
        <v/>
      </c>
      <c r="BD515">
        <f>IF(AND($G515=TRUE,$E515="DEF"),AY515,"")</f>
        <v/>
      </c>
      <c r="BE515">
        <f>IF(AND($G515=TRUE,$E515="MID"),AY515,"")</f>
        <v/>
      </c>
      <c r="BF515">
        <f>IF(AND($G515=TRUE,$E515="FWD"),AY515,"")</f>
        <v/>
      </c>
      <c r="BG515" t="n">
        <v>0</v>
      </c>
      <c r="BH515" t="n">
        <v>0</v>
      </c>
      <c r="BI515" t="n">
        <v>0</v>
      </c>
      <c r="BJ515" t="n">
        <v>0</v>
      </c>
    </row>
    <row r="516">
      <c r="A516" t="inlineStr">
        <is>
          <t>Jay Dasilva</t>
        </is>
      </c>
      <c r="B516" t="inlineStr">
        <is>
          <t>COV</t>
        </is>
      </c>
      <c r="D516" t="b">
        <v>0</v>
      </c>
      <c r="E516" t="inlineStr">
        <is>
          <t>DEF</t>
        </is>
      </c>
      <c r="G516" t="b">
        <v>1</v>
      </c>
      <c r="H516" s="2" t="n">
        <v>4</v>
      </c>
      <c r="I516" t="inlineStr">
        <is>
          <t>a</t>
        </is>
      </c>
      <c r="K516" s="2" t="n"/>
      <c r="M516" s="3" t="n">
        <v>2992</v>
      </c>
      <c r="N516" s="8" t="n">
        <v>2992</v>
      </c>
      <c r="O516" s="8" t="n">
        <v>0</v>
      </c>
      <c r="Q516" t="inlineStr">
        <is>
          <t>flat</t>
        </is>
      </c>
      <c r="R516" s="6" t="n">
        <v>2992</v>
      </c>
      <c r="S516" t="inlineStr">
        <is>
          <t>Solio</t>
        </is>
      </c>
      <c r="U516" s="6" t="n">
        <v>85</v>
      </c>
      <c r="V516" s="2" t="n"/>
      <c r="W516" s="7">
        <f>IF(N(U516)&lt;=0,0,MIN(Assumptions!$B$15,N(R516)/N(U516)))</f>
        <v/>
      </c>
      <c r="X516" s="6" t="n">
        <v>0.17</v>
      </c>
      <c r="Y516" s="3" t="n"/>
      <c r="Z516" t="inlineStr"/>
      <c r="AA516" s="3" t="n">
        <v>1</v>
      </c>
      <c r="AB516" s="3" t="n"/>
      <c r="AC516" s="3" t="n"/>
      <c r="AD516" s="3" t="n"/>
      <c r="AE516" s="3" t="n"/>
      <c r="AF516" s="3" t="n">
        <v>0</v>
      </c>
      <c r="AG516" s="3" t="n"/>
      <c r="AH516" s="3" t="n"/>
      <c r="AI516" s="3" t="n">
        <v>3.6194</v>
      </c>
      <c r="AJ516" s="3" t="n">
        <v>1.8271</v>
      </c>
      <c r="AK516" s="3" t="n">
        <v>-0.2045226422080557</v>
      </c>
      <c r="AL516" s="6" t="n">
        <v>0</v>
      </c>
      <c r="AM516" s="3" t="n">
        <v>0</v>
      </c>
      <c r="AN516" s="3" t="n">
        <v>0</v>
      </c>
      <c r="AO516" s="3" t="n">
        <v>0</v>
      </c>
      <c r="AP516" s="3">
        <f>N(X516)*N(BI516)</f>
        <v/>
      </c>
      <c r="AQ516" s="3" t="n">
        <v>0</v>
      </c>
      <c r="AR516" s="3" t="n">
        <v>0</v>
      </c>
      <c r="AS516" s="3" t="n">
        <v>-0.670020548738316</v>
      </c>
      <c r="AT516" s="3" t="n">
        <v>-0.2045226422080557</v>
      </c>
      <c r="AU516" s="3">
        <f>SUM(AN516:AT516)</f>
        <v/>
      </c>
      <c r="AV516" s="7">
        <f>IF(OR(N(W516)&lt;=0,N(BG516)=0),0,N(W516)*IF(N(R516)/N(W516)&gt;=60,N(BG516),1))</f>
        <v/>
      </c>
      <c r="AW516" s="7">
        <f>N(W516)*N(AF516)*N(BH516)</f>
        <v/>
      </c>
      <c r="AX516" s="7">
        <f>N(AL516)*(Assumptions!$B$13*N(BJ516)-(1-Assumptions!$B$13)*Assumptions!$B$14)+N(AM516)</f>
        <v/>
      </c>
      <c r="AY516" s="7">
        <f>N(AU516)*N(R516)/90+N(AV516)+N(AW516)+N(AX516)</f>
        <v/>
      </c>
      <c r="AZ516" s="3">
        <f>IF(N(R516)&lt;=0,0,(N(AY516)-N(AX516))*90/N(R516))</f>
        <v/>
      </c>
      <c r="BA516" s="7">
        <f>IFERROR(AY516-VLOOKUP($E516,Assumptions!$A$40:$C$43,3,FALSE),"")</f>
        <v/>
      </c>
      <c r="BB516" s="3">
        <f>IFERROR(BA516/H516,"")</f>
        <v/>
      </c>
      <c r="BC516">
        <f>IF(AND($G516=TRUE,$E516="GKP"),AY516,"")</f>
        <v/>
      </c>
      <c r="BD516">
        <f>IF(AND($G516=TRUE,$E516="DEF"),AY516,"")</f>
        <v/>
      </c>
      <c r="BE516">
        <f>IF(AND($G516=TRUE,$E516="MID"),AY516,"")</f>
        <v/>
      </c>
      <c r="BF516">
        <f>IF(AND($G516=TRUE,$E516="FWD"),AY516,"")</f>
        <v/>
      </c>
      <c r="BG516" t="n">
        <v>2</v>
      </c>
      <c r="BH516" t="n">
        <v>2</v>
      </c>
      <c r="BI516" t="n">
        <v>4</v>
      </c>
      <c r="BJ516" t="n">
        <v>6</v>
      </c>
    </row>
    <row r="517">
      <c r="A517" t="inlineStr">
        <is>
          <t>Marcus Edwards</t>
        </is>
      </c>
      <c r="C517" t="inlineStr">
        <is>
          <t>BUR</t>
        </is>
      </c>
      <c r="D517" t="b">
        <v>0</v>
      </c>
      <c r="F517" t="inlineStr">
        <is>
          <t>MID</t>
        </is>
      </c>
      <c r="G517" t="b">
        <v>0</v>
      </c>
      <c r="H517" s="2" t="n"/>
      <c r="K517" s="2" t="n">
        <v>1064</v>
      </c>
      <c r="M517" s="3" t="n"/>
      <c r="N517" s="8" t="n">
        <v>1064</v>
      </c>
      <c r="O517" s="8" t="n">
        <v>0</v>
      </c>
      <c r="R517" s="6" t="n">
        <v>1064</v>
      </c>
      <c r="S517" t="inlineStr">
        <is>
          <t>25/26 actual</t>
        </is>
      </c>
      <c r="U517" s="6" t="n">
        <v>79.7</v>
      </c>
      <c r="V517" s="2" t="n">
        <v>11</v>
      </c>
      <c r="W517" s="7">
        <f>IF(N(U517)&lt;=0,0,MIN(Assumptions!$B$15,N(R517)/N(U517)))</f>
        <v/>
      </c>
      <c r="X517" s="6" t="n"/>
      <c r="Y517" s="3" t="n">
        <v>0.1195</v>
      </c>
      <c r="Z517" t="inlineStr">
        <is>
          <t>adjusted xGOT</t>
        </is>
      </c>
      <c r="AA517" s="3" t="n">
        <v>1</v>
      </c>
      <c r="AB517" s="3" t="n">
        <v>0.948</v>
      </c>
      <c r="AC517" s="3" t="n">
        <v>1.5</v>
      </c>
      <c r="AD517" s="3" t="n">
        <v>0.2154</v>
      </c>
      <c r="AE517" s="3" t="n">
        <v>6.865</v>
      </c>
      <c r="AF517" s="3" t="n">
        <v>0</v>
      </c>
      <c r="AG517" s="3" t="n">
        <v>0.1692</v>
      </c>
      <c r="AH517" s="3" t="n">
        <v>34</v>
      </c>
      <c r="AI517" s="3" t="n"/>
      <c r="AJ517" s="3" t="n"/>
      <c r="AK517" s="3" t="n"/>
      <c r="AL517" s="6" t="n">
        <v>0</v>
      </c>
      <c r="AM517" s="3" t="n">
        <v>0</v>
      </c>
      <c r="AN517" s="3" t="n">
        <v>0</v>
      </c>
      <c r="AO517" s="3" t="n">
        <v>0</v>
      </c>
      <c r="AP517" s="3">
        <f>N(X517)*N(BI517)</f>
        <v/>
      </c>
      <c r="AQ517" s="3" t="n">
        <v>0</v>
      </c>
      <c r="AR517" s="3" t="n">
        <v>0</v>
      </c>
      <c r="AS517" s="3" t="n">
        <v>0</v>
      </c>
      <c r="AT517" s="3" t="n">
        <v>0</v>
      </c>
      <c r="AU517" s="3">
        <f>SUM(AN517:AT517)</f>
        <v/>
      </c>
      <c r="AV517" s="7">
        <f>IF(OR(N(W517)&lt;=0,N(BG517)=0),0,N(W517)*IF(N(R517)/N(W517)&gt;=60,N(BG517),1))</f>
        <v/>
      </c>
      <c r="AW517" s="7">
        <f>N(W517)*N(AF517)*N(BH517)</f>
        <v/>
      </c>
      <c r="AX517" s="7">
        <f>N(AL517)*(Assumptions!$B$13*N(BJ517)-(1-Assumptions!$B$13)*Assumptions!$B$14)+N(AM517)</f>
        <v/>
      </c>
      <c r="AY517" s="7">
        <f>N(AU517)*N(R517)/90+N(AV517)+N(AW517)+N(AX517)</f>
        <v/>
      </c>
      <c r="AZ517" s="3">
        <f>IF(N(R517)&lt;=0,0,(N(AY517)-N(AX517))*90/N(R517))</f>
        <v/>
      </c>
      <c r="BA517" s="7">
        <f>IFERROR(AY517-VLOOKUP($E517,Assumptions!$A$40:$C$43,3,FALSE),"")</f>
        <v/>
      </c>
      <c r="BB517" s="3">
        <f>IFERROR(BA517/H517,"")</f>
        <v/>
      </c>
      <c r="BC517">
        <f>IF(AND($G517=TRUE,$E517="GKP"),AY517,"")</f>
        <v/>
      </c>
      <c r="BD517">
        <f>IF(AND($G517=TRUE,$E517="DEF"),AY517,"")</f>
        <v/>
      </c>
      <c r="BE517">
        <f>IF(AND($G517=TRUE,$E517="MID"),AY517,"")</f>
        <v/>
      </c>
      <c r="BF517">
        <f>IF(AND($G517=TRUE,$E517="FWD"),AY517,"")</f>
        <v/>
      </c>
      <c r="BG517" t="n">
        <v>0</v>
      </c>
      <c r="BH517" t="n">
        <v>0</v>
      </c>
      <c r="BI517" t="n">
        <v>0</v>
      </c>
      <c r="BJ517" t="n">
        <v>0</v>
      </c>
    </row>
    <row r="518">
      <c r="A518" t="inlineStr">
        <is>
          <t>Haji Wright</t>
        </is>
      </c>
      <c r="B518" t="inlineStr">
        <is>
          <t>COV</t>
        </is>
      </c>
      <c r="D518" t="b">
        <v>0</v>
      </c>
      <c r="E518" t="inlineStr">
        <is>
          <t>FWD</t>
        </is>
      </c>
      <c r="G518" t="b">
        <v>1</v>
      </c>
      <c r="H518" s="2" t="n">
        <v>5.5</v>
      </c>
      <c r="I518" t="inlineStr">
        <is>
          <t>a</t>
        </is>
      </c>
      <c r="K518" s="2" t="n"/>
      <c r="M518" s="3" t="n">
        <v>2656</v>
      </c>
      <c r="N518" s="8" t="n">
        <v>2656</v>
      </c>
      <c r="O518" s="8" t="n">
        <v>0</v>
      </c>
      <c r="Q518" t="inlineStr">
        <is>
          <t>ramp-up (injury / late WC return)</t>
        </is>
      </c>
      <c r="R518" s="6" t="n">
        <v>2656</v>
      </c>
      <c r="S518" t="inlineStr">
        <is>
          <t>Solio</t>
        </is>
      </c>
      <c r="U518" s="6" t="n">
        <v>85</v>
      </c>
      <c r="V518" s="2" t="n"/>
      <c r="W518" s="7">
        <f>IF(N(U518)&lt;=0,0,MIN(Assumptions!$B$15,N(R518)/N(U518)))</f>
        <v/>
      </c>
      <c r="X518" s="6" t="n">
        <v>0.17</v>
      </c>
      <c r="Y518" s="3" t="n"/>
      <c r="Z518" t="inlineStr"/>
      <c r="AA518" s="3" t="n">
        <v>1</v>
      </c>
      <c r="AB518" s="3" t="n"/>
      <c r="AC518" s="3" t="n"/>
      <c r="AD518" s="3" t="n"/>
      <c r="AE518" s="3" t="n"/>
      <c r="AF518" s="3" t="n">
        <v>0</v>
      </c>
      <c r="AG518" s="3" t="n"/>
      <c r="AH518" s="3" t="n"/>
      <c r="AI518" s="3" t="n">
        <v>3.6194</v>
      </c>
      <c r="AJ518" s="3" t="n">
        <v>1.8271</v>
      </c>
      <c r="AK518" s="3" t="n">
        <v>-0.174691292596322</v>
      </c>
      <c r="AL518" s="6" t="n">
        <v>2.593943915640668</v>
      </c>
      <c r="AM518" s="3" t="n">
        <v>0</v>
      </c>
      <c r="AN518" s="3" t="n">
        <v>0</v>
      </c>
      <c r="AO518" s="3" t="n">
        <v>0</v>
      </c>
      <c r="AP518" s="3">
        <f>N(X518)*N(BI518)</f>
        <v/>
      </c>
      <c r="AQ518" s="3" t="n">
        <v>0</v>
      </c>
      <c r="AR518" s="3" t="n">
        <v>0</v>
      </c>
      <c r="AS518" s="3" t="n">
        <v>-0</v>
      </c>
      <c r="AT518" s="3" t="n">
        <v>-0.174691292596322</v>
      </c>
      <c r="AU518" s="3">
        <f>SUM(AN518:AT518)</f>
        <v/>
      </c>
      <c r="AV518" s="7">
        <f>IF(OR(N(W518)&lt;=0,N(BG518)=0),0,N(W518)*IF(N(R518)/N(W518)&gt;=60,N(BG518),1))</f>
        <v/>
      </c>
      <c r="AW518" s="7">
        <f>N(W518)*N(AF518)*N(BH518)</f>
        <v/>
      </c>
      <c r="AX518" s="7">
        <f>N(AL518)*(Assumptions!$B$13*N(BJ518)-(1-Assumptions!$B$13)*Assumptions!$B$14)+N(AM518)</f>
        <v/>
      </c>
      <c r="AY518" s="7">
        <f>N(AU518)*N(R518)/90+N(AV518)+N(AW518)+N(AX518)</f>
        <v/>
      </c>
      <c r="AZ518" s="3">
        <f>IF(N(R518)&lt;=0,0,(N(AY518)-N(AX518))*90/N(R518))</f>
        <v/>
      </c>
      <c r="BA518" s="7">
        <f>IFERROR(AY518-VLOOKUP($E518,Assumptions!$A$40:$C$43,3,FALSE),"")</f>
        <v/>
      </c>
      <c r="BB518" s="3">
        <f>IFERROR(BA518/H518,"")</f>
        <v/>
      </c>
      <c r="BC518">
        <f>IF(AND($G518=TRUE,$E518="GKP"),AY518,"")</f>
        <v/>
      </c>
      <c r="BD518">
        <f>IF(AND($G518=TRUE,$E518="DEF"),AY518,"")</f>
        <v/>
      </c>
      <c r="BE518">
        <f>IF(AND($G518=TRUE,$E518="MID"),AY518,"")</f>
        <v/>
      </c>
      <c r="BF518">
        <f>IF(AND($G518=TRUE,$E518="FWD"),AY518,"")</f>
        <v/>
      </c>
      <c r="BG518" t="n">
        <v>2</v>
      </c>
      <c r="BH518" t="n">
        <v>2</v>
      </c>
      <c r="BI518" t="n">
        <v>0</v>
      </c>
      <c r="BJ518" t="n">
        <v>4</v>
      </c>
    </row>
    <row r="519">
      <c r="A519" t="inlineStr">
        <is>
          <t>Darnell Furlong</t>
        </is>
      </c>
      <c r="B519" t="inlineStr">
        <is>
          <t>IPS</t>
        </is>
      </c>
      <c r="D519" t="b">
        <v>0</v>
      </c>
      <c r="E519" t="inlineStr">
        <is>
          <t>DEF</t>
        </is>
      </c>
      <c r="G519" t="b">
        <v>1</v>
      </c>
      <c r="H519" s="2" t="n">
        <v>4</v>
      </c>
      <c r="I519" t="inlineStr">
        <is>
          <t>a</t>
        </is>
      </c>
      <c r="K519" s="2" t="n"/>
      <c r="M519" s="3" t="n">
        <v>2775</v>
      </c>
      <c r="N519" s="8" t="n">
        <v>2775</v>
      </c>
      <c r="O519" s="8" t="n">
        <v>0</v>
      </c>
      <c r="Q519" t="inlineStr">
        <is>
          <t>flat</t>
        </is>
      </c>
      <c r="R519" s="6" t="n">
        <v>2775</v>
      </c>
      <c r="S519" t="inlineStr">
        <is>
          <t>Solio</t>
        </is>
      </c>
      <c r="U519" s="6" t="n">
        <v>85</v>
      </c>
      <c r="V519" s="2" t="n"/>
      <c r="W519" s="7">
        <f>IF(N(U519)&lt;=0,0,MIN(Assumptions!$B$15,N(R519)/N(U519)))</f>
        <v/>
      </c>
      <c r="X519" s="6" t="n">
        <v>0.17</v>
      </c>
      <c r="Y519" s="3" t="n"/>
      <c r="Z519" t="inlineStr"/>
      <c r="AA519" s="3" t="n">
        <v>1</v>
      </c>
      <c r="AB519" s="3" t="n"/>
      <c r="AC519" s="3" t="n"/>
      <c r="AD519" s="3" t="n"/>
      <c r="AE519" s="3" t="n"/>
      <c r="AF519" s="3" t="n">
        <v>0</v>
      </c>
      <c r="AG519" s="3" t="n"/>
      <c r="AH519" s="3" t="n"/>
      <c r="AI519" s="3" t="n">
        <v>3.5741</v>
      </c>
      <c r="AJ519" s="3" t="n">
        <v>1.8319</v>
      </c>
      <c r="AK519" s="3" t="n">
        <v>-0.2045226422080557</v>
      </c>
      <c r="AL519" s="6" t="n">
        <v>0</v>
      </c>
      <c r="AM519" s="3" t="n">
        <v>0</v>
      </c>
      <c r="AN519" s="3" t="n">
        <v>0</v>
      </c>
      <c r="AO519" s="3" t="n">
        <v>0</v>
      </c>
      <c r="AP519" s="3">
        <f>N(X519)*N(BI519)</f>
        <v/>
      </c>
      <c r="AQ519" s="3" t="n">
        <v>0</v>
      </c>
      <c r="AR519" s="3" t="n">
        <v>0</v>
      </c>
      <c r="AS519" s="3" t="n">
        <v>-0.6723587286814016</v>
      </c>
      <c r="AT519" s="3" t="n">
        <v>-0.2045226422080557</v>
      </c>
      <c r="AU519" s="3">
        <f>SUM(AN519:AT519)</f>
        <v/>
      </c>
      <c r="AV519" s="7">
        <f>IF(OR(N(W519)&lt;=0,N(BG519)=0),0,N(W519)*IF(N(R519)/N(W519)&gt;=60,N(BG519),1))</f>
        <v/>
      </c>
      <c r="AW519" s="7">
        <f>N(W519)*N(AF519)*N(BH519)</f>
        <v/>
      </c>
      <c r="AX519" s="7">
        <f>N(AL519)*(Assumptions!$B$13*N(BJ519)-(1-Assumptions!$B$13)*Assumptions!$B$14)+N(AM519)</f>
        <v/>
      </c>
      <c r="AY519" s="7">
        <f>N(AU519)*N(R519)/90+N(AV519)+N(AW519)+N(AX519)</f>
        <v/>
      </c>
      <c r="AZ519" s="3">
        <f>IF(N(R519)&lt;=0,0,(N(AY519)-N(AX519))*90/N(R519))</f>
        <v/>
      </c>
      <c r="BA519" s="7">
        <f>IFERROR(AY519-VLOOKUP($E519,Assumptions!$A$40:$C$43,3,FALSE),"")</f>
        <v/>
      </c>
      <c r="BB519" s="3">
        <f>IFERROR(BA519/H519,"")</f>
        <v/>
      </c>
      <c r="BC519">
        <f>IF(AND($G519=TRUE,$E519="GKP"),AY519,"")</f>
        <v/>
      </c>
      <c r="BD519">
        <f>IF(AND($G519=TRUE,$E519="DEF"),AY519,"")</f>
        <v/>
      </c>
      <c r="BE519">
        <f>IF(AND($G519=TRUE,$E519="MID"),AY519,"")</f>
        <v/>
      </c>
      <c r="BF519">
        <f>IF(AND($G519=TRUE,$E519="FWD"),AY519,"")</f>
        <v/>
      </c>
      <c r="BG519" t="n">
        <v>2</v>
      </c>
      <c r="BH519" t="n">
        <v>2</v>
      </c>
      <c r="BI519" t="n">
        <v>4</v>
      </c>
      <c r="BJ519" t="n">
        <v>6</v>
      </c>
    </row>
    <row r="520">
      <c r="A520" t="inlineStr">
        <is>
          <t>Jarrod Bowen</t>
        </is>
      </c>
      <c r="C520" t="inlineStr">
        <is>
          <t>WHU</t>
        </is>
      </c>
      <c r="D520" t="b">
        <v>0</v>
      </c>
      <c r="F520" t="inlineStr">
        <is>
          <t>FWD</t>
        </is>
      </c>
      <c r="G520" t="b">
        <v>0</v>
      </c>
      <c r="H520" s="2" t="n"/>
      <c r="K520" s="2" t="n">
        <v>3405</v>
      </c>
      <c r="M520" s="3" t="n"/>
      <c r="N520" s="8" t="n">
        <v>3405</v>
      </c>
      <c r="O520" s="8" t="n">
        <v>0</v>
      </c>
      <c r="R520" s="6" t="n">
        <v>3405</v>
      </c>
      <c r="S520" t="inlineStr">
        <is>
          <t>25/26 actual</t>
        </is>
      </c>
      <c r="U520" s="6" t="n">
        <v>87.3</v>
      </c>
      <c r="V520" s="2" t="n">
        <v>38</v>
      </c>
      <c r="W520" s="7">
        <f>IF(N(U520)&lt;=0,0,MIN(Assumptions!$B$15,N(R520)/N(U520)))</f>
        <v/>
      </c>
      <c r="X520" s="6" t="n"/>
      <c r="Y520" s="3" t="n">
        <v>0.1842</v>
      </c>
      <c r="Z520" t="inlineStr">
        <is>
          <t>adjusted xGOT</t>
        </is>
      </c>
      <c r="AA520" s="3" t="n">
        <v>0.908</v>
      </c>
      <c r="AB520" s="3" t="n">
        <v>1.063</v>
      </c>
      <c r="AC520" s="3" t="n">
        <v>37.2</v>
      </c>
      <c r="AD520" s="3" t="n">
        <v>0.2229</v>
      </c>
      <c r="AE520" s="3" t="n">
        <v>6.966</v>
      </c>
      <c r="AF520" s="3" t="n">
        <v>0</v>
      </c>
      <c r="AG520" s="3" t="n">
        <v>0.7401</v>
      </c>
      <c r="AH520" s="3" t="n">
        <v>76</v>
      </c>
      <c r="AI520" s="3" t="n"/>
      <c r="AJ520" s="3" t="n"/>
      <c r="AK520" s="3" t="n"/>
      <c r="AL520" s="6" t="n">
        <v>0</v>
      </c>
      <c r="AM520" s="3" t="n">
        <v>0</v>
      </c>
      <c r="AN520" s="3" t="n">
        <v>0</v>
      </c>
      <c r="AO520" s="3" t="n">
        <v>0</v>
      </c>
      <c r="AP520" s="3">
        <f>N(X520)*N(BI520)</f>
        <v/>
      </c>
      <c r="AQ520" s="3" t="n">
        <v>0</v>
      </c>
      <c r="AR520" s="3" t="n">
        <v>0</v>
      </c>
      <c r="AS520" s="3" t="n">
        <v>0</v>
      </c>
      <c r="AT520" s="3" t="n">
        <v>0</v>
      </c>
      <c r="AU520" s="3">
        <f>SUM(AN520:AT520)</f>
        <v/>
      </c>
      <c r="AV520" s="7">
        <f>IF(OR(N(W520)&lt;=0,N(BG520)=0),0,N(W520)*IF(N(R520)/N(W520)&gt;=60,N(BG520),1))</f>
        <v/>
      </c>
      <c r="AW520" s="7">
        <f>N(W520)*N(AF520)*N(BH520)</f>
        <v/>
      </c>
      <c r="AX520" s="7">
        <f>N(AL520)*(Assumptions!$B$13*N(BJ520)-(1-Assumptions!$B$13)*Assumptions!$B$14)+N(AM520)</f>
        <v/>
      </c>
      <c r="AY520" s="7">
        <f>N(AU520)*N(R520)/90+N(AV520)+N(AW520)+N(AX520)</f>
        <v/>
      </c>
      <c r="AZ520" s="3">
        <f>IF(N(R520)&lt;=0,0,(N(AY520)-N(AX520))*90/N(R520))</f>
        <v/>
      </c>
      <c r="BA520" s="7">
        <f>IFERROR(AY520-VLOOKUP($E520,Assumptions!$A$40:$C$43,3,FALSE),"")</f>
        <v/>
      </c>
      <c r="BB520" s="3">
        <f>IFERROR(BA520/H520,"")</f>
        <v/>
      </c>
      <c r="BC520">
        <f>IF(AND($G520=TRUE,$E520="GKP"),AY520,"")</f>
        <v/>
      </c>
      <c r="BD520">
        <f>IF(AND($G520=TRUE,$E520="DEF"),AY520,"")</f>
        <v/>
      </c>
      <c r="BE520">
        <f>IF(AND($G520=TRUE,$E520="MID"),AY520,"")</f>
        <v/>
      </c>
      <c r="BF520">
        <f>IF(AND($G520=TRUE,$E520="FWD"),AY520,"")</f>
        <v/>
      </c>
      <c r="BG520" t="n">
        <v>0</v>
      </c>
      <c r="BH520" t="n">
        <v>0</v>
      </c>
      <c r="BI520" t="n">
        <v>0</v>
      </c>
      <c r="BJ520" t="n">
        <v>0</v>
      </c>
    </row>
    <row r="521">
      <c r="A521" t="inlineStr">
        <is>
          <t>Marc Cucurella</t>
        </is>
      </c>
      <c r="C521" t="inlineStr">
        <is>
          <t>CHE</t>
        </is>
      </c>
      <c r="D521" t="b">
        <v>0</v>
      </c>
      <c r="F521" t="inlineStr">
        <is>
          <t>DEF</t>
        </is>
      </c>
      <c r="G521" t="b">
        <v>0</v>
      </c>
      <c r="H521" s="2" t="n"/>
      <c r="K521" s="2" t="n">
        <v>2710</v>
      </c>
      <c r="M521" s="3" t="n"/>
      <c r="N521" s="8" t="n">
        <v>2710</v>
      </c>
      <c r="O521" s="8" t="n">
        <v>0</v>
      </c>
      <c r="R521" s="6" t="n">
        <v>2710</v>
      </c>
      <c r="S521" t="inlineStr">
        <is>
          <t>25/26 actual</t>
        </is>
      </c>
      <c r="U521" s="6" t="n">
        <v>86</v>
      </c>
      <c r="V521" s="2" t="n">
        <v>30</v>
      </c>
      <c r="W521" s="7">
        <f>IF(N(U521)&lt;=0,0,MIN(Assumptions!$B$15,N(R521)/N(U521)))</f>
        <v/>
      </c>
      <c r="X521" s="6" t="n"/>
      <c r="Y521" s="3" t="n">
        <v>0.081</v>
      </c>
      <c r="Z521" t="inlineStr">
        <is>
          <t>adjusted xGOT</t>
        </is>
      </c>
      <c r="AA521" s="3" t="n">
        <v>1</v>
      </c>
      <c r="AB521" s="3" t="n">
        <v>1.043</v>
      </c>
      <c r="AC521" s="3" t="n">
        <v>6.7</v>
      </c>
      <c r="AD521" s="3" t="n">
        <v>0.1508</v>
      </c>
      <c r="AE521" s="3" t="n">
        <v>6.396</v>
      </c>
      <c r="AF521" s="3" t="n">
        <v>0</v>
      </c>
      <c r="AG521" s="3" t="n">
        <v>0.1328</v>
      </c>
      <c r="AH521" s="3" t="n">
        <v>63</v>
      </c>
      <c r="AI521" s="3" t="n"/>
      <c r="AJ521" s="3" t="n"/>
      <c r="AK521" s="3" t="n"/>
      <c r="AL521" s="6" t="n">
        <v>0</v>
      </c>
      <c r="AM521" s="3" t="n">
        <v>0</v>
      </c>
      <c r="AN521" s="3" t="n">
        <v>0</v>
      </c>
      <c r="AO521" s="3" t="n">
        <v>0</v>
      </c>
      <c r="AP521" s="3">
        <f>N(X521)*N(BI521)</f>
        <v/>
      </c>
      <c r="AQ521" s="3" t="n">
        <v>0</v>
      </c>
      <c r="AR521" s="3" t="n">
        <v>0</v>
      </c>
      <c r="AS521" s="3" t="n">
        <v>0</v>
      </c>
      <c r="AT521" s="3" t="n">
        <v>0</v>
      </c>
      <c r="AU521" s="3">
        <f>SUM(AN521:AT521)</f>
        <v/>
      </c>
      <c r="AV521" s="7">
        <f>IF(OR(N(W521)&lt;=0,N(BG521)=0),0,N(W521)*IF(N(R521)/N(W521)&gt;=60,N(BG521),1))</f>
        <v/>
      </c>
      <c r="AW521" s="7">
        <f>N(W521)*N(AF521)*N(BH521)</f>
        <v/>
      </c>
      <c r="AX521" s="7">
        <f>N(AL521)*(Assumptions!$B$13*N(BJ521)-(1-Assumptions!$B$13)*Assumptions!$B$14)+N(AM521)</f>
        <v/>
      </c>
      <c r="AY521" s="7">
        <f>N(AU521)*N(R521)/90+N(AV521)+N(AW521)+N(AX521)</f>
        <v/>
      </c>
      <c r="AZ521" s="3">
        <f>IF(N(R521)&lt;=0,0,(N(AY521)-N(AX521))*90/N(R521))</f>
        <v/>
      </c>
      <c r="BA521" s="7">
        <f>IFERROR(AY521-VLOOKUP($E521,Assumptions!$A$40:$C$43,3,FALSE),"")</f>
        <v/>
      </c>
      <c r="BB521" s="3">
        <f>IFERROR(BA521/H521,"")</f>
        <v/>
      </c>
      <c r="BC521">
        <f>IF(AND($G521=TRUE,$E521="GKP"),AY521,"")</f>
        <v/>
      </c>
      <c r="BD521">
        <f>IF(AND($G521=TRUE,$E521="DEF"),AY521,"")</f>
        <v/>
      </c>
      <c r="BE521">
        <f>IF(AND($G521=TRUE,$E521="MID"),AY521,"")</f>
        <v/>
      </c>
      <c r="BF521">
        <f>IF(AND($G521=TRUE,$E521="FWD"),AY521,"")</f>
        <v/>
      </c>
      <c r="BG521" t="n">
        <v>0</v>
      </c>
      <c r="BH521" t="n">
        <v>0</v>
      </c>
      <c r="BI521" t="n">
        <v>0</v>
      </c>
      <c r="BJ521" t="n">
        <v>0</v>
      </c>
    </row>
    <row r="522">
      <c r="A522" t="inlineStr">
        <is>
          <t>Jacob Bruun Larsen</t>
        </is>
      </c>
      <c r="C522" t="inlineStr">
        <is>
          <t>BUR</t>
        </is>
      </c>
      <c r="D522" t="b">
        <v>0</v>
      </c>
      <c r="F522" t="inlineStr">
        <is>
          <t>MID</t>
        </is>
      </c>
      <c r="G522" t="b">
        <v>0</v>
      </c>
      <c r="H522" s="2" t="n"/>
      <c r="K522" s="2" t="n">
        <v>1023</v>
      </c>
      <c r="M522" s="3" t="n"/>
      <c r="N522" s="8" t="n">
        <v>1023</v>
      </c>
      <c r="O522" s="8" t="n">
        <v>0</v>
      </c>
      <c r="R522" s="6" t="n">
        <v>1023</v>
      </c>
      <c r="S522" t="inlineStr">
        <is>
          <t>25/26 actual</t>
        </is>
      </c>
      <c r="U522" s="6" t="n">
        <v>73.59999999999999</v>
      </c>
      <c r="V522" s="2" t="n">
        <v>10</v>
      </c>
      <c r="W522" s="7">
        <f>IF(N(U522)&lt;=0,0,MIN(Assumptions!$B$15,N(R522)/N(U522)))</f>
        <v/>
      </c>
      <c r="X522" s="6" t="n"/>
      <c r="Y522" s="3" t="n">
        <v>0.1169</v>
      </c>
      <c r="Z522" t="inlineStr">
        <is>
          <t>adjusted xGOT</t>
        </is>
      </c>
      <c r="AA522" s="3" t="n">
        <v>1</v>
      </c>
      <c r="AB522" s="3" t="n">
        <v>0.97</v>
      </c>
      <c r="AC522" s="3" t="n">
        <v>6</v>
      </c>
      <c r="AD522" s="3" t="n">
        <v>0.1213</v>
      </c>
      <c r="AE522" s="3" t="n">
        <v>6.831</v>
      </c>
      <c r="AF522" s="3" t="n">
        <v>0</v>
      </c>
      <c r="AG522" s="3" t="n">
        <v>0</v>
      </c>
      <c r="AH522" s="3" t="n">
        <v>35</v>
      </c>
      <c r="AI522" s="3" t="n"/>
      <c r="AJ522" s="3" t="n"/>
      <c r="AK522" s="3" t="n"/>
      <c r="AL522" s="6" t="n">
        <v>0</v>
      </c>
      <c r="AM522" s="3" t="n">
        <v>0</v>
      </c>
      <c r="AN522" s="3" t="n">
        <v>0</v>
      </c>
      <c r="AO522" s="3" t="n">
        <v>0</v>
      </c>
      <c r="AP522" s="3">
        <f>N(X522)*N(BI522)</f>
        <v/>
      </c>
      <c r="AQ522" s="3" t="n">
        <v>0</v>
      </c>
      <c r="AR522" s="3" t="n">
        <v>0</v>
      </c>
      <c r="AS522" s="3" t="n">
        <v>0</v>
      </c>
      <c r="AT522" s="3" t="n">
        <v>0</v>
      </c>
      <c r="AU522" s="3">
        <f>SUM(AN522:AT522)</f>
        <v/>
      </c>
      <c r="AV522" s="7">
        <f>IF(OR(N(W522)&lt;=0,N(BG522)=0),0,N(W522)*IF(N(R522)/N(W522)&gt;=60,N(BG522),1))</f>
        <v/>
      </c>
      <c r="AW522" s="7">
        <f>N(W522)*N(AF522)*N(BH522)</f>
        <v/>
      </c>
      <c r="AX522" s="7">
        <f>N(AL522)*(Assumptions!$B$13*N(BJ522)-(1-Assumptions!$B$13)*Assumptions!$B$14)+N(AM522)</f>
        <v/>
      </c>
      <c r="AY522" s="7">
        <f>N(AU522)*N(R522)/90+N(AV522)+N(AW522)+N(AX522)</f>
        <v/>
      </c>
      <c r="AZ522" s="3">
        <f>IF(N(R522)&lt;=0,0,(N(AY522)-N(AX522))*90/N(R522))</f>
        <v/>
      </c>
      <c r="BA522" s="7">
        <f>IFERROR(AY522-VLOOKUP($E522,Assumptions!$A$40:$C$43,3,FALSE),"")</f>
        <v/>
      </c>
      <c r="BB522" s="3">
        <f>IFERROR(BA522/H522,"")</f>
        <v/>
      </c>
      <c r="BC522">
        <f>IF(AND($G522=TRUE,$E522="GKP"),AY522,"")</f>
        <v/>
      </c>
      <c r="BD522">
        <f>IF(AND($G522=TRUE,$E522="DEF"),AY522,"")</f>
        <v/>
      </c>
      <c r="BE522">
        <f>IF(AND($G522=TRUE,$E522="MID"),AY522,"")</f>
        <v/>
      </c>
      <c r="BF522">
        <f>IF(AND($G522=TRUE,$E522="FWD"),AY522,"")</f>
        <v/>
      </c>
      <c r="BG522" t="n">
        <v>0</v>
      </c>
      <c r="BH522" t="n">
        <v>0</v>
      </c>
      <c r="BI522" t="n">
        <v>0</v>
      </c>
      <c r="BJ522" t="n">
        <v>0</v>
      </c>
    </row>
    <row r="523">
      <c r="A523" t="inlineStr">
        <is>
          <t>Axel Tuanzebe</t>
        </is>
      </c>
      <c r="C523" t="inlineStr">
        <is>
          <t>BUR</t>
        </is>
      </c>
      <c r="D523" t="b">
        <v>0</v>
      </c>
      <c r="F523" t="inlineStr">
        <is>
          <t>DEF</t>
        </is>
      </c>
      <c r="G523" t="b">
        <v>0</v>
      </c>
      <c r="H523" s="2" t="n"/>
      <c r="K523" s="2" t="n">
        <v>1202</v>
      </c>
      <c r="M523" s="3" t="n"/>
      <c r="N523" s="8" t="n">
        <v>1202</v>
      </c>
      <c r="O523" s="8" t="n">
        <v>0</v>
      </c>
      <c r="R523" s="6" t="n">
        <v>1202</v>
      </c>
      <c r="S523" t="inlineStr">
        <is>
          <t>25/26 actual</t>
        </is>
      </c>
      <c r="U523" s="6" t="n">
        <v>85.7</v>
      </c>
      <c r="V523" s="2" t="n">
        <v>14</v>
      </c>
      <c r="W523" s="7">
        <f>IF(N(U523)&lt;=0,0,MIN(Assumptions!$B$15,N(R523)/N(U523)))</f>
        <v/>
      </c>
      <c r="X523" s="6" t="n"/>
      <c r="Y523" s="3" t="n">
        <v>0.0461</v>
      </c>
      <c r="Z523" t="inlineStr">
        <is>
          <t>adjusted xGOT</t>
        </is>
      </c>
      <c r="AA523" s="3" t="n">
        <v>1</v>
      </c>
      <c r="AB523" s="3" t="n">
        <v>1.009</v>
      </c>
      <c r="AC523" s="3" t="n">
        <v>0.8</v>
      </c>
      <c r="AD523" s="3" t="n">
        <v>0</v>
      </c>
      <c r="AE523" s="3" t="n">
        <v>8.502000000000001</v>
      </c>
      <c r="AF523" s="3" t="n">
        <v>0</v>
      </c>
      <c r="AG523" s="3" t="n">
        <v>0</v>
      </c>
      <c r="AH523" s="3" t="n">
        <v>27</v>
      </c>
      <c r="AI523" s="3" t="n"/>
      <c r="AJ523" s="3" t="n"/>
      <c r="AK523" s="3" t="n"/>
      <c r="AL523" s="6" t="n">
        <v>0</v>
      </c>
      <c r="AM523" s="3" t="n">
        <v>0</v>
      </c>
      <c r="AN523" s="3" t="n">
        <v>0</v>
      </c>
      <c r="AO523" s="3" t="n">
        <v>0</v>
      </c>
      <c r="AP523" s="3">
        <f>N(X523)*N(BI523)</f>
        <v/>
      </c>
      <c r="AQ523" s="3" t="n">
        <v>0</v>
      </c>
      <c r="AR523" s="3" t="n">
        <v>0</v>
      </c>
      <c r="AS523" s="3" t="n">
        <v>0</v>
      </c>
      <c r="AT523" s="3" t="n">
        <v>0</v>
      </c>
      <c r="AU523" s="3">
        <f>SUM(AN523:AT523)</f>
        <v/>
      </c>
      <c r="AV523" s="7">
        <f>IF(OR(N(W523)&lt;=0,N(BG523)=0),0,N(W523)*IF(N(R523)/N(W523)&gt;=60,N(BG523),1))</f>
        <v/>
      </c>
      <c r="AW523" s="7">
        <f>N(W523)*N(AF523)*N(BH523)</f>
        <v/>
      </c>
      <c r="AX523" s="7">
        <f>N(AL523)*(Assumptions!$B$13*N(BJ523)-(1-Assumptions!$B$13)*Assumptions!$B$14)+N(AM523)</f>
        <v/>
      </c>
      <c r="AY523" s="7">
        <f>N(AU523)*N(R523)/90+N(AV523)+N(AW523)+N(AX523)</f>
        <v/>
      </c>
      <c r="AZ523" s="3">
        <f>IF(N(R523)&lt;=0,0,(N(AY523)-N(AX523))*90/N(R523))</f>
        <v/>
      </c>
      <c r="BA523" s="7">
        <f>IFERROR(AY523-VLOOKUP($E523,Assumptions!$A$40:$C$43,3,FALSE),"")</f>
        <v/>
      </c>
      <c r="BB523" s="3">
        <f>IFERROR(BA523/H523,"")</f>
        <v/>
      </c>
      <c r="BC523">
        <f>IF(AND($G523=TRUE,$E523="GKP"),AY523,"")</f>
        <v/>
      </c>
      <c r="BD523">
        <f>IF(AND($G523=TRUE,$E523="DEF"),AY523,"")</f>
        <v/>
      </c>
      <c r="BE523">
        <f>IF(AND($G523=TRUE,$E523="MID"),AY523,"")</f>
        <v/>
      </c>
      <c r="BF523">
        <f>IF(AND($G523=TRUE,$E523="FWD"),AY523,"")</f>
        <v/>
      </c>
      <c r="BG523" t="n">
        <v>0</v>
      </c>
      <c r="BH523" t="n">
        <v>0</v>
      </c>
      <c r="BI523" t="n">
        <v>0</v>
      </c>
      <c r="BJ523" t="n">
        <v>0</v>
      </c>
    </row>
    <row r="524">
      <c r="A524" t="inlineStr">
        <is>
          <t>Cédric Kipré</t>
        </is>
      </c>
      <c r="B524" t="inlineStr">
        <is>
          <t>IPS</t>
        </is>
      </c>
      <c r="D524" t="b">
        <v>0</v>
      </c>
      <c r="E524" t="inlineStr">
        <is>
          <t>DEF</t>
        </is>
      </c>
      <c r="G524" t="b">
        <v>1</v>
      </c>
      <c r="H524" s="2" t="n">
        <v>4</v>
      </c>
      <c r="I524" t="inlineStr">
        <is>
          <t>a</t>
        </is>
      </c>
      <c r="K524" s="2" t="n"/>
      <c r="M524" s="3" t="n">
        <v>193</v>
      </c>
      <c r="N524" s="8" t="n">
        <v>193</v>
      </c>
      <c r="O524" s="8" t="n">
        <v>0</v>
      </c>
      <c r="Q524" t="inlineStr">
        <is>
          <t>flat</t>
        </is>
      </c>
      <c r="R524" s="6" t="n">
        <v>193</v>
      </c>
      <c r="S524" t="inlineStr">
        <is>
          <t>Solio</t>
        </is>
      </c>
      <c r="U524" s="6" t="n">
        <v>85</v>
      </c>
      <c r="V524" s="2" t="n"/>
      <c r="W524" s="7">
        <f>IF(N(U524)&lt;=0,0,MIN(Assumptions!$B$15,N(R524)/N(U524)))</f>
        <v/>
      </c>
      <c r="X524" s="6" t="n">
        <v>0.17</v>
      </c>
      <c r="Y524" s="3" t="n"/>
      <c r="Z524" t="inlineStr"/>
      <c r="AA524" s="3" t="n">
        <v>1</v>
      </c>
      <c r="AB524" s="3" t="n"/>
      <c r="AC524" s="3" t="n"/>
      <c r="AD524" s="3" t="n"/>
      <c r="AE524" s="3" t="n"/>
      <c r="AF524" s="3" t="n">
        <v>0</v>
      </c>
      <c r="AG524" s="3" t="n"/>
      <c r="AH524" s="3" t="n"/>
      <c r="AI524" s="3" t="n">
        <v>3.5741</v>
      </c>
      <c r="AJ524" s="3" t="n">
        <v>1.8319</v>
      </c>
      <c r="AK524" s="3" t="n">
        <v>-0.2045226422080557</v>
      </c>
      <c r="AL524" s="6" t="n">
        <v>0</v>
      </c>
      <c r="AM524" s="3" t="n">
        <v>0</v>
      </c>
      <c r="AN524" s="3" t="n">
        <v>0</v>
      </c>
      <c r="AO524" s="3" t="n">
        <v>0</v>
      </c>
      <c r="AP524" s="3">
        <f>N(X524)*N(BI524)</f>
        <v/>
      </c>
      <c r="AQ524" s="3" t="n">
        <v>0</v>
      </c>
      <c r="AR524" s="3" t="n">
        <v>0</v>
      </c>
      <c r="AS524" s="3" t="n">
        <v>-0.6723587286814016</v>
      </c>
      <c r="AT524" s="3" t="n">
        <v>-0.2045226422080557</v>
      </c>
      <c r="AU524" s="3">
        <f>SUM(AN524:AT524)</f>
        <v/>
      </c>
      <c r="AV524" s="7">
        <f>IF(OR(N(W524)&lt;=0,N(BG524)=0),0,N(W524)*IF(N(R524)/N(W524)&gt;=60,N(BG524),1))</f>
        <v/>
      </c>
      <c r="AW524" s="7">
        <f>N(W524)*N(AF524)*N(BH524)</f>
        <v/>
      </c>
      <c r="AX524" s="7">
        <f>N(AL524)*(Assumptions!$B$13*N(BJ524)-(1-Assumptions!$B$13)*Assumptions!$B$14)+N(AM524)</f>
        <v/>
      </c>
      <c r="AY524" s="7">
        <f>N(AU524)*N(R524)/90+N(AV524)+N(AW524)+N(AX524)</f>
        <v/>
      </c>
      <c r="AZ524" s="3">
        <f>IF(N(R524)&lt;=0,0,(N(AY524)-N(AX524))*90/N(R524))</f>
        <v/>
      </c>
      <c r="BA524" s="7">
        <f>IFERROR(AY524-VLOOKUP($E524,Assumptions!$A$40:$C$43,3,FALSE),"")</f>
        <v/>
      </c>
      <c r="BB524" s="3">
        <f>IFERROR(BA524/H524,"")</f>
        <v/>
      </c>
      <c r="BC524">
        <f>IF(AND($G524=TRUE,$E524="GKP"),AY524,"")</f>
        <v/>
      </c>
      <c r="BD524">
        <f>IF(AND($G524=TRUE,$E524="DEF"),AY524,"")</f>
        <v/>
      </c>
      <c r="BE524">
        <f>IF(AND($G524=TRUE,$E524="MID"),AY524,"")</f>
        <v/>
      </c>
      <c r="BF524">
        <f>IF(AND($G524=TRUE,$E524="FWD"),AY524,"")</f>
        <v/>
      </c>
      <c r="BG524" t="n">
        <v>2</v>
      </c>
      <c r="BH524" t="n">
        <v>2</v>
      </c>
      <c r="BI524" t="n">
        <v>4</v>
      </c>
      <c r="BJ524" t="n">
        <v>6</v>
      </c>
    </row>
    <row r="525">
      <c r="A525" t="inlineStr">
        <is>
          <t>Hwang Hee-Chan</t>
        </is>
      </c>
      <c r="C525" t="inlineStr">
        <is>
          <t>WOL</t>
        </is>
      </c>
      <c r="D525" t="b">
        <v>0</v>
      </c>
      <c r="F525" t="inlineStr">
        <is>
          <t>MID</t>
        </is>
      </c>
      <c r="G525" t="b">
        <v>0</v>
      </c>
      <c r="H525" s="2" t="n"/>
      <c r="K525" s="2" t="n">
        <v>1452</v>
      </c>
      <c r="M525" s="3" t="n"/>
      <c r="N525" s="8" t="n">
        <v>1452</v>
      </c>
      <c r="O525" s="8" t="n">
        <v>0</v>
      </c>
      <c r="R525" s="6" t="n">
        <v>1452</v>
      </c>
      <c r="S525" t="inlineStr">
        <is>
          <t>25/26 actual</t>
        </is>
      </c>
      <c r="U525" s="6" t="n">
        <v>75.40000000000001</v>
      </c>
      <c r="V525" s="2" t="n">
        <v>18</v>
      </c>
      <c r="W525" s="7">
        <f>IF(N(U525)&lt;=0,0,MIN(Assumptions!$B$15,N(R525)/N(U525)))</f>
        <v/>
      </c>
      <c r="X525" s="6" t="n"/>
      <c r="Y525" s="3" t="n">
        <v>0.1012</v>
      </c>
      <c r="Z525" t="inlineStr">
        <is>
          <t>adjusted xGOT</t>
        </is>
      </c>
      <c r="AA525" s="3" t="n">
        <v>0.714</v>
      </c>
      <c r="AB525" s="3" t="n">
        <v>0.965</v>
      </c>
      <c r="AC525" s="3" t="n">
        <v>13.7</v>
      </c>
      <c r="AD525" s="3" t="n">
        <v>0.1166</v>
      </c>
      <c r="AE525" s="3" t="n">
        <v>6.862</v>
      </c>
      <c r="AF525" s="3" t="n">
        <v>0</v>
      </c>
      <c r="AG525" s="3" t="n">
        <v>0</v>
      </c>
      <c r="AH525" s="3" t="n">
        <v>41</v>
      </c>
      <c r="AI525" s="3" t="n"/>
      <c r="AJ525" s="3" t="n"/>
      <c r="AK525" s="3" t="n"/>
      <c r="AL525" s="6" t="n">
        <v>0</v>
      </c>
      <c r="AM525" s="3" t="n">
        <v>0</v>
      </c>
      <c r="AN525" s="3" t="n">
        <v>0</v>
      </c>
      <c r="AO525" s="3" t="n">
        <v>0</v>
      </c>
      <c r="AP525" s="3">
        <f>N(X525)*N(BI525)</f>
        <v/>
      </c>
      <c r="AQ525" s="3" t="n">
        <v>0</v>
      </c>
      <c r="AR525" s="3" t="n">
        <v>0</v>
      </c>
      <c r="AS525" s="3" t="n">
        <v>0</v>
      </c>
      <c r="AT525" s="3" t="n">
        <v>0</v>
      </c>
      <c r="AU525" s="3">
        <f>SUM(AN525:AT525)</f>
        <v/>
      </c>
      <c r="AV525" s="7">
        <f>IF(OR(N(W525)&lt;=0,N(BG525)=0),0,N(W525)*IF(N(R525)/N(W525)&gt;=60,N(BG525),1))</f>
        <v/>
      </c>
      <c r="AW525" s="7">
        <f>N(W525)*N(AF525)*N(BH525)</f>
        <v/>
      </c>
      <c r="AX525" s="7">
        <f>N(AL525)*(Assumptions!$B$13*N(BJ525)-(1-Assumptions!$B$13)*Assumptions!$B$14)+N(AM525)</f>
        <v/>
      </c>
      <c r="AY525" s="7">
        <f>N(AU525)*N(R525)/90+N(AV525)+N(AW525)+N(AX525)</f>
        <v/>
      </c>
      <c r="AZ525" s="3">
        <f>IF(N(R525)&lt;=0,0,(N(AY525)-N(AX525))*90/N(R525))</f>
        <v/>
      </c>
      <c r="BA525" s="7">
        <f>IFERROR(AY525-VLOOKUP($E525,Assumptions!$A$40:$C$43,3,FALSE),"")</f>
        <v/>
      </c>
      <c r="BB525" s="3">
        <f>IFERROR(BA525/H525,"")</f>
        <v/>
      </c>
      <c r="BC525">
        <f>IF(AND($G525=TRUE,$E525="GKP"),AY525,"")</f>
        <v/>
      </c>
      <c r="BD525">
        <f>IF(AND($G525=TRUE,$E525="DEF"),AY525,"")</f>
        <v/>
      </c>
      <c r="BE525">
        <f>IF(AND($G525=TRUE,$E525="MID"),AY525,"")</f>
        <v/>
      </c>
      <c r="BF525">
        <f>IF(AND($G525=TRUE,$E525="FWD"),AY525,"")</f>
        <v/>
      </c>
      <c r="BG525" t="n">
        <v>0</v>
      </c>
      <c r="BH525" t="n">
        <v>0</v>
      </c>
      <c r="BI525" t="n">
        <v>0</v>
      </c>
      <c r="BJ525" t="n">
        <v>0</v>
      </c>
    </row>
    <row r="526">
      <c r="A526" t="inlineStr">
        <is>
          <t>Lewie Coyle</t>
        </is>
      </c>
      <c r="B526" t="inlineStr">
        <is>
          <t>HUL</t>
        </is>
      </c>
      <c r="D526" t="b">
        <v>0</v>
      </c>
      <c r="E526" t="inlineStr">
        <is>
          <t>DEF</t>
        </is>
      </c>
      <c r="G526" t="b">
        <v>1</v>
      </c>
      <c r="H526" s="2" t="n">
        <v>4</v>
      </c>
      <c r="I526" t="inlineStr">
        <is>
          <t>a</t>
        </is>
      </c>
      <c r="K526" s="2" t="n"/>
      <c r="M526" s="3" t="n">
        <v>2833</v>
      </c>
      <c r="N526" s="8" t="n">
        <v>2833</v>
      </c>
      <c r="O526" s="8" t="n">
        <v>0</v>
      </c>
      <c r="Q526" t="inlineStr">
        <is>
          <t>flat</t>
        </is>
      </c>
      <c r="R526" s="6" t="n">
        <v>2833</v>
      </c>
      <c r="S526" t="inlineStr">
        <is>
          <t>Solio</t>
        </is>
      </c>
      <c r="U526" s="6" t="n">
        <v>85</v>
      </c>
      <c r="V526" s="2" t="n"/>
      <c r="W526" s="7">
        <f>IF(N(U526)&lt;=0,0,MIN(Assumptions!$B$15,N(R526)/N(U526)))</f>
        <v/>
      </c>
      <c r="X526" s="6" t="n">
        <v>0.143</v>
      </c>
      <c r="Y526" s="3" t="n"/>
      <c r="Z526" t="inlineStr"/>
      <c r="AA526" s="3" t="n">
        <v>1</v>
      </c>
      <c r="AB526" s="3" t="n"/>
      <c r="AC526" s="3" t="n"/>
      <c r="AD526" s="3" t="n"/>
      <c r="AE526" s="3" t="n"/>
      <c r="AF526" s="3" t="n">
        <v>0</v>
      </c>
      <c r="AG526" s="3" t="n"/>
      <c r="AH526" s="3" t="n"/>
      <c r="AI526" s="3" t="n">
        <v>3.9421</v>
      </c>
      <c r="AJ526" s="3" t="n">
        <v>1.99</v>
      </c>
      <c r="AK526" s="3" t="n">
        <v>-0.2045226422080557</v>
      </c>
      <c r="AL526" s="6" t="n">
        <v>0</v>
      </c>
      <c r="AM526" s="3" t="n">
        <v>0</v>
      </c>
      <c r="AN526" s="3" t="n">
        <v>0</v>
      </c>
      <c r="AO526" s="3" t="n">
        <v>0</v>
      </c>
      <c r="AP526" s="3">
        <f>N(X526)*N(BI526)</f>
        <v/>
      </c>
      <c r="AQ526" s="3" t="n">
        <v>0</v>
      </c>
      <c r="AR526" s="3" t="n">
        <v>0</v>
      </c>
      <c r="AS526" s="3" t="n">
        <v>-0.7496714098286652</v>
      </c>
      <c r="AT526" s="3" t="n">
        <v>-0.2045226422080557</v>
      </c>
      <c r="AU526" s="3">
        <f>SUM(AN526:AT526)</f>
        <v/>
      </c>
      <c r="AV526" s="7">
        <f>IF(OR(N(W526)&lt;=0,N(BG526)=0),0,N(W526)*IF(N(R526)/N(W526)&gt;=60,N(BG526),1))</f>
        <v/>
      </c>
      <c r="AW526" s="7">
        <f>N(W526)*N(AF526)*N(BH526)</f>
        <v/>
      </c>
      <c r="AX526" s="7">
        <f>N(AL526)*(Assumptions!$B$13*N(BJ526)-(1-Assumptions!$B$13)*Assumptions!$B$14)+N(AM526)</f>
        <v/>
      </c>
      <c r="AY526" s="7">
        <f>N(AU526)*N(R526)/90+N(AV526)+N(AW526)+N(AX526)</f>
        <v/>
      </c>
      <c r="AZ526" s="3">
        <f>IF(N(R526)&lt;=0,0,(N(AY526)-N(AX526))*90/N(R526))</f>
        <v/>
      </c>
      <c r="BA526" s="7">
        <f>IFERROR(AY526-VLOOKUP($E526,Assumptions!$A$40:$C$43,3,FALSE),"")</f>
        <v/>
      </c>
      <c r="BB526" s="3">
        <f>IFERROR(BA526/H526,"")</f>
        <v/>
      </c>
      <c r="BC526">
        <f>IF(AND($G526=TRUE,$E526="GKP"),AY526,"")</f>
        <v/>
      </c>
      <c r="BD526">
        <f>IF(AND($G526=TRUE,$E526="DEF"),AY526,"")</f>
        <v/>
      </c>
      <c r="BE526">
        <f>IF(AND($G526=TRUE,$E526="MID"),AY526,"")</f>
        <v/>
      </c>
      <c r="BF526">
        <f>IF(AND($G526=TRUE,$E526="FWD"),AY526,"")</f>
        <v/>
      </c>
      <c r="BG526" t="n">
        <v>2</v>
      </c>
      <c r="BH526" t="n">
        <v>2</v>
      </c>
      <c r="BI526" t="n">
        <v>4</v>
      </c>
      <c r="BJ526" t="n">
        <v>6</v>
      </c>
    </row>
    <row r="527">
      <c r="A527" t="inlineStr">
        <is>
          <t>Gustavo Hamer</t>
        </is>
      </c>
      <c r="B527" t="inlineStr">
        <is>
          <t>COV</t>
        </is>
      </c>
      <c r="D527" t="b">
        <v>0</v>
      </c>
      <c r="E527" t="inlineStr">
        <is>
          <t>MID</t>
        </is>
      </c>
      <c r="G527" t="b">
        <v>1</v>
      </c>
      <c r="H527" s="2" t="n">
        <v>5.5</v>
      </c>
      <c r="I527" t="inlineStr">
        <is>
          <t>a</t>
        </is>
      </c>
      <c r="K527" s="2" t="n"/>
      <c r="M527" s="3" t="n">
        <v>1476</v>
      </c>
      <c r="N527" s="8" t="n">
        <v>1476</v>
      </c>
      <c r="O527" s="8" t="n">
        <v>0</v>
      </c>
      <c r="Q527" t="inlineStr">
        <is>
          <t>flat</t>
        </is>
      </c>
      <c r="R527" s="6" t="n">
        <v>1476</v>
      </c>
      <c r="S527" t="inlineStr">
        <is>
          <t>Solio</t>
        </is>
      </c>
      <c r="U527" s="6" t="n">
        <v>85</v>
      </c>
      <c r="V527" s="2" t="n"/>
      <c r="W527" s="7">
        <f>IF(N(U527)&lt;=0,0,MIN(Assumptions!$B$15,N(R527)/N(U527)))</f>
        <v/>
      </c>
      <c r="X527" s="6" t="n">
        <v>0.17</v>
      </c>
      <c r="Y527" s="3" t="n"/>
      <c r="Z527" t="inlineStr"/>
      <c r="AA527" s="3" t="n">
        <v>1</v>
      </c>
      <c r="AB527" s="3" t="n"/>
      <c r="AC527" s="3" t="n"/>
      <c r="AD527" s="3" t="n"/>
      <c r="AE527" s="3" t="n"/>
      <c r="AF527" s="3" t="n">
        <v>0</v>
      </c>
      <c r="AG527" s="3" t="n"/>
      <c r="AH527" s="3" t="n"/>
      <c r="AI527" s="3" t="n">
        <v>3.6194</v>
      </c>
      <c r="AJ527" s="3" t="n">
        <v>1.8271</v>
      </c>
      <c r="AK527" s="3" t="n">
        <v>-0.2514028985066805</v>
      </c>
      <c r="AL527" s="6" t="n">
        <v>0</v>
      </c>
      <c r="AM527" s="3" t="n">
        <v>0</v>
      </c>
      <c r="AN527" s="3" t="n">
        <v>0</v>
      </c>
      <c r="AO527" s="3" t="n">
        <v>0</v>
      </c>
      <c r="AP527" s="3">
        <f>N(X527)*N(BI527)</f>
        <v/>
      </c>
      <c r="AQ527" s="3" t="n">
        <v>0</v>
      </c>
      <c r="AR527" s="3" t="n">
        <v>0</v>
      </c>
      <c r="AS527" s="3" t="n">
        <v>-0</v>
      </c>
      <c r="AT527" s="3" t="n">
        <v>-0.2514028985066805</v>
      </c>
      <c r="AU527" s="3">
        <f>SUM(AN527:AT527)</f>
        <v/>
      </c>
      <c r="AV527" s="7">
        <f>IF(OR(N(W527)&lt;=0,N(BG527)=0),0,N(W527)*IF(N(R527)/N(W527)&gt;=60,N(BG527),1))</f>
        <v/>
      </c>
      <c r="AW527" s="7">
        <f>N(W527)*N(AF527)*N(BH527)</f>
        <v/>
      </c>
      <c r="AX527" s="7">
        <f>N(AL527)*(Assumptions!$B$13*N(BJ527)-(1-Assumptions!$B$13)*Assumptions!$B$14)+N(AM527)</f>
        <v/>
      </c>
      <c r="AY527" s="7">
        <f>N(AU527)*N(R527)/90+N(AV527)+N(AW527)+N(AX527)</f>
        <v/>
      </c>
      <c r="AZ527" s="3">
        <f>IF(N(R527)&lt;=0,0,(N(AY527)-N(AX527))*90/N(R527))</f>
        <v/>
      </c>
      <c r="BA527" s="7">
        <f>IFERROR(AY527-VLOOKUP($E527,Assumptions!$A$40:$C$43,3,FALSE),"")</f>
        <v/>
      </c>
      <c r="BB527" s="3">
        <f>IFERROR(BA527/H527,"")</f>
        <v/>
      </c>
      <c r="BC527">
        <f>IF(AND($G527=TRUE,$E527="GKP"),AY527,"")</f>
        <v/>
      </c>
      <c r="BD527">
        <f>IF(AND($G527=TRUE,$E527="DEF"),AY527,"")</f>
        <v/>
      </c>
      <c r="BE527">
        <f>IF(AND($G527=TRUE,$E527="MID"),AY527,"")</f>
        <v/>
      </c>
      <c r="BF527">
        <f>IF(AND($G527=TRUE,$E527="FWD"),AY527,"")</f>
        <v/>
      </c>
      <c r="BG527" t="n">
        <v>2</v>
      </c>
      <c r="BH527" t="n">
        <v>2</v>
      </c>
      <c r="BI527" t="n">
        <v>1</v>
      </c>
      <c r="BJ527" t="n">
        <v>5</v>
      </c>
    </row>
    <row r="528">
      <c r="A528" t="inlineStr">
        <is>
          <t>Guido Rodríguez</t>
        </is>
      </c>
      <c r="C528" t="inlineStr">
        <is>
          <t>WHU</t>
        </is>
      </c>
      <c r="D528" t="b">
        <v>0</v>
      </c>
      <c r="F528" t="inlineStr">
        <is>
          <t>MID</t>
        </is>
      </c>
      <c r="G528" t="b">
        <v>0</v>
      </c>
      <c r="H528" s="2" t="n"/>
      <c r="K528" s="2" t="n">
        <v>177</v>
      </c>
      <c r="M528" s="3" t="n"/>
      <c r="N528" s="8" t="n">
        <v>177</v>
      </c>
      <c r="O528" s="8" t="n">
        <v>0</v>
      </c>
      <c r="R528" s="6" t="n">
        <v>177</v>
      </c>
      <c r="S528" t="inlineStr">
        <is>
          <t>25/26 actual</t>
        </is>
      </c>
      <c r="U528" s="6" t="n">
        <v>77.8</v>
      </c>
      <c r="V528" s="2" t="n">
        <v>2</v>
      </c>
      <c r="W528" s="7">
        <f>IF(N(U528)&lt;=0,0,MIN(Assumptions!$B$15,N(R528)/N(U528)))</f>
        <v/>
      </c>
      <c r="X528" s="6" t="n"/>
      <c r="Y528" s="3" t="n">
        <v>0.0147</v>
      </c>
      <c r="Z528" t="inlineStr">
        <is>
          <t>adjusted xGOT</t>
        </is>
      </c>
      <c r="AA528" s="3" t="n">
        <v>1</v>
      </c>
      <c r="AB528" s="3" t="n">
        <v>0.97</v>
      </c>
      <c r="AC528" s="3" t="n">
        <v>0.2</v>
      </c>
      <c r="AD528" s="3" t="n">
        <v>0</v>
      </c>
      <c r="AE528" s="3" t="n">
        <v>8.407999999999999</v>
      </c>
      <c r="AF528" s="3" t="n">
        <v>0</v>
      </c>
      <c r="AG528" s="3" t="n">
        <v>0</v>
      </c>
      <c r="AH528" s="3" t="n">
        <v>8</v>
      </c>
      <c r="AI528" s="3" t="n"/>
      <c r="AJ528" s="3" t="n"/>
      <c r="AK528" s="3" t="n"/>
      <c r="AL528" s="6" t="n">
        <v>0</v>
      </c>
      <c r="AM528" s="3" t="n">
        <v>0</v>
      </c>
      <c r="AN528" s="3" t="n">
        <v>0</v>
      </c>
      <c r="AO528" s="3" t="n">
        <v>0</v>
      </c>
      <c r="AP528" s="3">
        <f>N(X528)*N(BI528)</f>
        <v/>
      </c>
      <c r="AQ528" s="3" t="n">
        <v>0</v>
      </c>
      <c r="AR528" s="3" t="n">
        <v>0</v>
      </c>
      <c r="AS528" s="3" t="n">
        <v>0</v>
      </c>
      <c r="AT528" s="3" t="n">
        <v>0</v>
      </c>
      <c r="AU528" s="3">
        <f>SUM(AN528:AT528)</f>
        <v/>
      </c>
      <c r="AV528" s="7">
        <f>IF(OR(N(W528)&lt;=0,N(BG528)=0),0,N(W528)*IF(N(R528)/N(W528)&gt;=60,N(BG528),1))</f>
        <v/>
      </c>
      <c r="AW528" s="7">
        <f>N(W528)*N(AF528)*N(BH528)</f>
        <v/>
      </c>
      <c r="AX528" s="7">
        <f>N(AL528)*(Assumptions!$B$13*N(BJ528)-(1-Assumptions!$B$13)*Assumptions!$B$14)+N(AM528)</f>
        <v/>
      </c>
      <c r="AY528" s="7">
        <f>N(AU528)*N(R528)/90+N(AV528)+N(AW528)+N(AX528)</f>
        <v/>
      </c>
      <c r="AZ528" s="3">
        <f>IF(N(R528)&lt;=0,0,(N(AY528)-N(AX528))*90/N(R528))</f>
        <v/>
      </c>
      <c r="BA528" s="7">
        <f>IFERROR(AY528-VLOOKUP($E528,Assumptions!$A$40:$C$43,3,FALSE),"")</f>
        <v/>
      </c>
      <c r="BB528" s="3">
        <f>IFERROR(BA528/H528,"")</f>
        <v/>
      </c>
      <c r="BC528">
        <f>IF(AND($G528=TRUE,$E528="GKP"),AY528,"")</f>
        <v/>
      </c>
      <c r="BD528">
        <f>IF(AND($G528=TRUE,$E528="DEF"),AY528,"")</f>
        <v/>
      </c>
      <c r="BE528">
        <f>IF(AND($G528=TRUE,$E528="MID"),AY528,"")</f>
        <v/>
      </c>
      <c r="BF528">
        <f>IF(AND($G528=TRUE,$E528="FWD"),AY528,"")</f>
        <v/>
      </c>
      <c r="BG528" t="n">
        <v>0</v>
      </c>
      <c r="BH528" t="n">
        <v>0</v>
      </c>
      <c r="BI528" t="n">
        <v>0</v>
      </c>
      <c r="BJ528" t="n">
        <v>0</v>
      </c>
    </row>
    <row r="529">
      <c r="A529" t="inlineStr">
        <is>
          <t>Odsonne Édouard</t>
        </is>
      </c>
      <c r="C529" t="inlineStr">
        <is>
          <t>CRY</t>
        </is>
      </c>
      <c r="D529" t="b">
        <v>0</v>
      </c>
      <c r="F529" t="inlineStr">
        <is>
          <t>FWD</t>
        </is>
      </c>
      <c r="G529" t="b">
        <v>0</v>
      </c>
      <c r="H529" s="2" t="n"/>
      <c r="K529" s="2" t="n">
        <v>2</v>
      </c>
      <c r="M529" s="3" t="n"/>
      <c r="N529" s="8" t="n">
        <v>2</v>
      </c>
      <c r="O529" s="8" t="n">
        <v>0</v>
      </c>
      <c r="R529" s="6" t="n">
        <v>2</v>
      </c>
      <c r="S529" t="inlineStr">
        <is>
          <t>25/26 actual</t>
        </is>
      </c>
      <c r="U529" s="6" t="n">
        <v>78.5</v>
      </c>
      <c r="V529" s="2" t="n">
        <v>0</v>
      </c>
      <c r="W529" s="7">
        <f>IF(N(U529)&lt;=0,0,MIN(Assumptions!$B$15,N(R529)/N(U529)))</f>
        <v/>
      </c>
      <c r="X529" s="6" t="n"/>
      <c r="Y529" s="3" t="n">
        <v>0</v>
      </c>
      <c r="Z529" t="inlineStr">
        <is>
          <t>adjusted xGOT</t>
        </is>
      </c>
      <c r="AA529" s="3" t="n">
        <v>1</v>
      </c>
      <c r="AB529" s="3" t="n">
        <v>1.124</v>
      </c>
      <c r="AC529" s="3" t="n">
        <v>10.9</v>
      </c>
      <c r="AD529" s="3" t="n"/>
      <c r="AE529" s="3" t="n">
        <v>4.904</v>
      </c>
      <c r="AF529" s="3" t="n">
        <v>0</v>
      </c>
      <c r="AG529" s="3" t="n">
        <v>0</v>
      </c>
      <c r="AH529" s="3" t="n">
        <v>1</v>
      </c>
      <c r="AI529" s="3" t="n"/>
      <c r="AJ529" s="3" t="n"/>
      <c r="AK529" s="3" t="n"/>
      <c r="AL529" s="6" t="n">
        <v>0</v>
      </c>
      <c r="AM529" s="3" t="n">
        <v>0</v>
      </c>
      <c r="AN529" s="3" t="n">
        <v>0</v>
      </c>
      <c r="AO529" s="3" t="n">
        <v>0</v>
      </c>
      <c r="AP529" s="3">
        <f>N(X529)*N(BI529)</f>
        <v/>
      </c>
      <c r="AQ529" s="3" t="n">
        <v>0</v>
      </c>
      <c r="AR529" s="3" t="n">
        <v>0</v>
      </c>
      <c r="AS529" s="3" t="n">
        <v>0</v>
      </c>
      <c r="AT529" s="3" t="n">
        <v>0</v>
      </c>
      <c r="AU529" s="3">
        <f>SUM(AN529:AT529)</f>
        <v/>
      </c>
      <c r="AV529" s="7">
        <f>IF(OR(N(W529)&lt;=0,N(BG529)=0),0,N(W529)*IF(N(R529)/N(W529)&gt;=60,N(BG529),1))</f>
        <v/>
      </c>
      <c r="AW529" s="7">
        <f>N(W529)*N(AF529)*N(BH529)</f>
        <v/>
      </c>
      <c r="AX529" s="7">
        <f>N(AL529)*(Assumptions!$B$13*N(BJ529)-(1-Assumptions!$B$13)*Assumptions!$B$14)+N(AM529)</f>
        <v/>
      </c>
      <c r="AY529" s="7">
        <f>N(AU529)*N(R529)/90+N(AV529)+N(AW529)+N(AX529)</f>
        <v/>
      </c>
      <c r="AZ529" s="3">
        <f>IF(N(R529)&lt;=0,0,(N(AY529)-N(AX529))*90/N(R529))</f>
        <v/>
      </c>
      <c r="BA529" s="7">
        <f>IFERROR(AY529-VLOOKUP($E529,Assumptions!$A$40:$C$43,3,FALSE),"")</f>
        <v/>
      </c>
      <c r="BB529" s="3">
        <f>IFERROR(BA529/H529,"")</f>
        <v/>
      </c>
      <c r="BC529">
        <f>IF(AND($G529=TRUE,$E529="GKP"),AY529,"")</f>
        <v/>
      </c>
      <c r="BD529">
        <f>IF(AND($G529=TRUE,$E529="DEF"),AY529,"")</f>
        <v/>
      </c>
      <c r="BE529">
        <f>IF(AND($G529=TRUE,$E529="MID"),AY529,"")</f>
        <v/>
      </c>
      <c r="BF529">
        <f>IF(AND($G529=TRUE,$E529="FWD"),AY529,"")</f>
        <v/>
      </c>
      <c r="BG529" t="n">
        <v>0</v>
      </c>
      <c r="BH529" t="n">
        <v>0</v>
      </c>
      <c r="BI529" t="n">
        <v>0</v>
      </c>
      <c r="BJ529" t="n">
        <v>0</v>
      </c>
    </row>
    <row r="530">
      <c r="A530" t="inlineStr">
        <is>
          <t>Xaver Schlager</t>
        </is>
      </c>
      <c r="B530" t="inlineStr">
        <is>
          <t>NFO</t>
        </is>
      </c>
      <c r="D530" t="b">
        <v>0</v>
      </c>
      <c r="E530" t="inlineStr">
        <is>
          <t>MID</t>
        </is>
      </c>
      <c r="G530" t="b">
        <v>1</v>
      </c>
      <c r="H530" s="2" t="n">
        <v>5</v>
      </c>
      <c r="I530" t="inlineStr">
        <is>
          <t>a</t>
        </is>
      </c>
      <c r="K530" s="2" t="n"/>
      <c r="M530" s="3" t="n">
        <v>2257</v>
      </c>
      <c r="N530" s="4" t="n">
        <v>2100</v>
      </c>
      <c r="O530" s="4" t="n">
        <v>-157</v>
      </c>
      <c r="P530" s="5" t="inlineStr">
        <is>
          <t>medium</t>
        </is>
      </c>
      <c r="Q530" t="inlineStr">
        <is>
          <t>flat</t>
        </is>
      </c>
      <c r="R530" s="6" t="n">
        <v>2100</v>
      </c>
      <c r="S530" t="inlineStr">
        <is>
          <t>research</t>
        </is>
      </c>
      <c r="T530" s="5" t="inlineStr">
        <is>
          <t>Free signing from RB Leipzig on 23 July 2026 with no Premier League record, holding the one slot that all sources treat as contested. Started vs Leverkusen, so the role is real, but Yates, Dominguez and McAtee are all realistic alternatives.</t>
        </is>
      </c>
      <c r="U530" s="6" t="n">
        <v>85</v>
      </c>
      <c r="V530" s="2" t="n"/>
      <c r="W530" s="7">
        <f>IF(N(U530)&lt;=0,0,MIN(Assumptions!$B$15,N(R530)/N(U530)))</f>
        <v/>
      </c>
      <c r="X530" s="6" t="n">
        <v>0.224</v>
      </c>
      <c r="Y530" s="3" t="n"/>
      <c r="Z530" t="inlineStr"/>
      <c r="AA530" s="3" t="n">
        <v>1</v>
      </c>
      <c r="AB530" s="3" t="n"/>
      <c r="AC530" s="3" t="n"/>
      <c r="AD530" s="3" t="n"/>
      <c r="AE530" s="3" t="n"/>
      <c r="AF530" s="3" t="n">
        <v>0</v>
      </c>
      <c r="AG530" s="3" t="n"/>
      <c r="AH530" s="3" t="n"/>
      <c r="AI530" s="3" t="n">
        <v>3.1134</v>
      </c>
      <c r="AJ530" s="3" t="n">
        <v>1.5588</v>
      </c>
      <c r="AK530" s="3" t="n">
        <v>-0.2160434166173144</v>
      </c>
      <c r="AL530" s="6" t="n">
        <v>0</v>
      </c>
      <c r="AM530" s="3" t="n">
        <v>0</v>
      </c>
      <c r="AN530" s="3" t="n">
        <v>0</v>
      </c>
      <c r="AO530" s="3" t="n">
        <v>0</v>
      </c>
      <c r="AP530" s="3">
        <f>N(X530)*N(BI530)</f>
        <v/>
      </c>
      <c r="AQ530" s="3" t="n">
        <v>0</v>
      </c>
      <c r="AR530" s="3" t="n">
        <v>0</v>
      </c>
      <c r="AS530" s="3" t="n">
        <v>-0</v>
      </c>
      <c r="AT530" s="3" t="n">
        <v>-0.2160434166173144</v>
      </c>
      <c r="AU530" s="3">
        <f>SUM(AN530:AT530)</f>
        <v/>
      </c>
      <c r="AV530" s="7">
        <f>IF(OR(N(W530)&lt;=0,N(BG530)=0),0,N(W530)*IF(N(R530)/N(W530)&gt;=60,N(BG530),1))</f>
        <v/>
      </c>
      <c r="AW530" s="7">
        <f>N(W530)*N(AF530)*N(BH530)</f>
        <v/>
      </c>
      <c r="AX530" s="7">
        <f>N(AL530)*(Assumptions!$B$13*N(BJ530)-(1-Assumptions!$B$13)*Assumptions!$B$14)+N(AM530)</f>
        <v/>
      </c>
      <c r="AY530" s="7">
        <f>N(AU530)*N(R530)/90+N(AV530)+N(AW530)+N(AX530)</f>
        <v/>
      </c>
      <c r="AZ530" s="3">
        <f>IF(N(R530)&lt;=0,0,(N(AY530)-N(AX530))*90/N(R530))</f>
        <v/>
      </c>
      <c r="BA530" s="7">
        <f>IFERROR(AY530-VLOOKUP($E530,Assumptions!$A$40:$C$43,3,FALSE),"")</f>
        <v/>
      </c>
      <c r="BB530" s="3">
        <f>IFERROR(BA530/H530,"")</f>
        <v/>
      </c>
      <c r="BC530">
        <f>IF(AND($G530=TRUE,$E530="GKP"),AY530,"")</f>
        <v/>
      </c>
      <c r="BD530">
        <f>IF(AND($G530=TRUE,$E530="DEF"),AY530,"")</f>
        <v/>
      </c>
      <c r="BE530">
        <f>IF(AND($G530=TRUE,$E530="MID"),AY530,"")</f>
        <v/>
      </c>
      <c r="BF530">
        <f>IF(AND($G530=TRUE,$E530="FWD"),AY530,"")</f>
        <v/>
      </c>
      <c r="BG530" t="n">
        <v>2</v>
      </c>
      <c r="BH530" t="n">
        <v>2</v>
      </c>
      <c r="BI530" t="n">
        <v>1</v>
      </c>
      <c r="BJ530" t="n">
        <v>5</v>
      </c>
    </row>
    <row r="531">
      <c r="A531" t="inlineStr">
        <is>
          <t>Donyell Malen</t>
        </is>
      </c>
      <c r="C531" t="inlineStr">
        <is>
          <t>AVL</t>
        </is>
      </c>
      <c r="D531" t="b">
        <v>0</v>
      </c>
      <c r="F531" t="inlineStr">
        <is>
          <t>MID</t>
        </is>
      </c>
      <c r="G531" t="b">
        <v>0</v>
      </c>
      <c r="H531" s="2" t="n"/>
      <c r="K531" s="2" t="n">
        <v>645</v>
      </c>
      <c r="M531" s="3" t="n"/>
      <c r="N531" s="8" t="n">
        <v>645</v>
      </c>
      <c r="O531" s="8" t="n">
        <v>0</v>
      </c>
      <c r="R531" s="6" t="n">
        <v>645</v>
      </c>
      <c r="S531" t="inlineStr">
        <is>
          <t>25/26 actual</t>
        </is>
      </c>
      <c r="U531" s="6" t="n">
        <v>77.2</v>
      </c>
      <c r="V531" s="2" t="n">
        <v>5</v>
      </c>
      <c r="W531" s="7">
        <f>IF(N(U531)&lt;=0,0,MIN(Assumptions!$B$15,N(R531)/N(U531)))</f>
        <v/>
      </c>
      <c r="X531" s="6" t="n"/>
      <c r="Y531" s="3" t="n">
        <v>0.5671</v>
      </c>
      <c r="Z531" t="inlineStr">
        <is>
          <t>adjusted xGOT</t>
        </is>
      </c>
      <c r="AA531" s="3" t="n">
        <v>1</v>
      </c>
      <c r="AB531" s="3" t="n">
        <v>1.008</v>
      </c>
      <c r="AC531" s="3" t="n">
        <v>6.2</v>
      </c>
      <c r="AD531" s="3" t="n">
        <v>0.0515</v>
      </c>
      <c r="AE531" s="3" t="n">
        <v>5.6</v>
      </c>
      <c r="AF531" s="3" t="n">
        <v>0</v>
      </c>
      <c r="AG531" s="3" t="n">
        <v>0.4186</v>
      </c>
      <c r="AH531" s="3" t="n">
        <v>25</v>
      </c>
      <c r="AI531" s="3" t="n"/>
      <c r="AJ531" s="3" t="n"/>
      <c r="AK531" s="3" t="n"/>
      <c r="AL531" s="6" t="n">
        <v>0</v>
      </c>
      <c r="AM531" s="3" t="n">
        <v>0</v>
      </c>
      <c r="AN531" s="3" t="n">
        <v>0</v>
      </c>
      <c r="AO531" s="3" t="n">
        <v>0</v>
      </c>
      <c r="AP531" s="3">
        <f>N(X531)*N(BI531)</f>
        <v/>
      </c>
      <c r="AQ531" s="3" t="n">
        <v>0</v>
      </c>
      <c r="AR531" s="3" t="n">
        <v>0</v>
      </c>
      <c r="AS531" s="3" t="n">
        <v>0</v>
      </c>
      <c r="AT531" s="3" t="n">
        <v>0</v>
      </c>
      <c r="AU531" s="3">
        <f>SUM(AN531:AT531)</f>
        <v/>
      </c>
      <c r="AV531" s="7">
        <f>IF(OR(N(W531)&lt;=0,N(BG531)=0),0,N(W531)*IF(N(R531)/N(W531)&gt;=60,N(BG531),1))</f>
        <v/>
      </c>
      <c r="AW531" s="7">
        <f>N(W531)*N(AF531)*N(BH531)</f>
        <v/>
      </c>
      <c r="AX531" s="7">
        <f>N(AL531)*(Assumptions!$B$13*N(BJ531)-(1-Assumptions!$B$13)*Assumptions!$B$14)+N(AM531)</f>
        <v/>
      </c>
      <c r="AY531" s="7">
        <f>N(AU531)*N(R531)/90+N(AV531)+N(AW531)+N(AX531)</f>
        <v/>
      </c>
      <c r="AZ531" s="3">
        <f>IF(N(R531)&lt;=0,0,(N(AY531)-N(AX531))*90/N(R531))</f>
        <v/>
      </c>
      <c r="BA531" s="7">
        <f>IFERROR(AY531-VLOOKUP($E531,Assumptions!$A$40:$C$43,3,FALSE),"")</f>
        <v/>
      </c>
      <c r="BB531" s="3">
        <f>IFERROR(BA531/H531,"")</f>
        <v/>
      </c>
      <c r="BC531">
        <f>IF(AND($G531=TRUE,$E531="GKP"),AY531,"")</f>
        <v/>
      </c>
      <c r="BD531">
        <f>IF(AND($G531=TRUE,$E531="DEF"),AY531,"")</f>
        <v/>
      </c>
      <c r="BE531">
        <f>IF(AND($G531=TRUE,$E531="MID"),AY531,"")</f>
        <v/>
      </c>
      <c r="BF531">
        <f>IF(AND($G531=TRUE,$E531="FWD"),AY531,"")</f>
        <v/>
      </c>
      <c r="BG531" t="n">
        <v>0</v>
      </c>
      <c r="BH531" t="n">
        <v>0</v>
      </c>
      <c r="BI531" t="n">
        <v>0</v>
      </c>
      <c r="BJ531" t="n">
        <v>0</v>
      </c>
    </row>
    <row r="532">
      <c r="A532" t="inlineStr">
        <is>
          <t>Ibrahima Konaté</t>
        </is>
      </c>
      <c r="C532" t="inlineStr">
        <is>
          <t>LIV</t>
        </is>
      </c>
      <c r="D532" t="b">
        <v>0</v>
      </c>
      <c r="F532" t="inlineStr">
        <is>
          <t>DEF</t>
        </is>
      </c>
      <c r="G532" t="b">
        <v>0</v>
      </c>
      <c r="H532" s="2" t="n"/>
      <c r="K532" s="2" t="n">
        <v>3100</v>
      </c>
      <c r="M532" s="3" t="n"/>
      <c r="N532" s="8" t="n">
        <v>3100</v>
      </c>
      <c r="O532" s="8" t="n">
        <v>0</v>
      </c>
      <c r="R532" s="6" t="n">
        <v>3100</v>
      </c>
      <c r="S532" t="inlineStr">
        <is>
          <t>25/26 actual</t>
        </is>
      </c>
      <c r="U532" s="6" t="n">
        <v>85.8</v>
      </c>
      <c r="V532" s="2" t="n">
        <v>36</v>
      </c>
      <c r="W532" s="7">
        <f>IF(N(U532)&lt;=0,0,MIN(Assumptions!$B$15,N(R532)/N(U532)))</f>
        <v/>
      </c>
      <c r="X532" s="6" t="n"/>
      <c r="Y532" s="3" t="n">
        <v>0.0295</v>
      </c>
      <c r="Z532" t="inlineStr">
        <is>
          <t>adjusted xGOT</t>
        </is>
      </c>
      <c r="AA532" s="3" t="n">
        <v>1</v>
      </c>
      <c r="AB532" s="3" t="n">
        <v>0.853</v>
      </c>
      <c r="AC532" s="3" t="n">
        <v>4.9</v>
      </c>
      <c r="AD532" s="3" t="n">
        <v>0.0211</v>
      </c>
      <c r="AE532" s="3" t="n">
        <v>8.374000000000001</v>
      </c>
      <c r="AF532" s="3" t="n">
        <v>0</v>
      </c>
      <c r="AG532" s="3" t="n">
        <v>0.1742</v>
      </c>
      <c r="AH532" s="3" t="n">
        <v>70</v>
      </c>
      <c r="AI532" s="3" t="n"/>
      <c r="AJ532" s="3" t="n"/>
      <c r="AK532" s="3" t="n"/>
      <c r="AL532" s="6" t="n">
        <v>0</v>
      </c>
      <c r="AM532" s="3" t="n">
        <v>0</v>
      </c>
      <c r="AN532" s="3" t="n">
        <v>0</v>
      </c>
      <c r="AO532" s="3" t="n">
        <v>0</v>
      </c>
      <c r="AP532" s="3">
        <f>N(X532)*N(BI532)</f>
        <v/>
      </c>
      <c r="AQ532" s="3" t="n">
        <v>0</v>
      </c>
      <c r="AR532" s="3" t="n">
        <v>0</v>
      </c>
      <c r="AS532" s="3" t="n">
        <v>0</v>
      </c>
      <c r="AT532" s="3" t="n">
        <v>0</v>
      </c>
      <c r="AU532" s="3">
        <f>SUM(AN532:AT532)</f>
        <v/>
      </c>
      <c r="AV532" s="7">
        <f>IF(OR(N(W532)&lt;=0,N(BG532)=0),0,N(W532)*IF(N(R532)/N(W532)&gt;=60,N(BG532),1))</f>
        <v/>
      </c>
      <c r="AW532" s="7">
        <f>N(W532)*N(AF532)*N(BH532)</f>
        <v/>
      </c>
      <c r="AX532" s="7">
        <f>N(AL532)*(Assumptions!$B$13*N(BJ532)-(1-Assumptions!$B$13)*Assumptions!$B$14)+N(AM532)</f>
        <v/>
      </c>
      <c r="AY532" s="7">
        <f>N(AU532)*N(R532)/90+N(AV532)+N(AW532)+N(AX532)</f>
        <v/>
      </c>
      <c r="AZ532" s="3">
        <f>IF(N(R532)&lt;=0,0,(N(AY532)-N(AX532))*90/N(R532))</f>
        <v/>
      </c>
      <c r="BA532" s="7">
        <f>IFERROR(AY532-VLOOKUP($E532,Assumptions!$A$40:$C$43,3,FALSE),"")</f>
        <v/>
      </c>
      <c r="BB532" s="3">
        <f>IFERROR(BA532/H532,"")</f>
        <v/>
      </c>
      <c r="BC532">
        <f>IF(AND($G532=TRUE,$E532="GKP"),AY532,"")</f>
        <v/>
      </c>
      <c r="BD532">
        <f>IF(AND($G532=TRUE,$E532="DEF"),AY532,"")</f>
        <v/>
      </c>
      <c r="BE532">
        <f>IF(AND($G532=TRUE,$E532="MID"),AY532,"")</f>
        <v/>
      </c>
      <c r="BF532">
        <f>IF(AND($G532=TRUE,$E532="FWD"),AY532,"")</f>
        <v/>
      </c>
      <c r="BG532" t="n">
        <v>0</v>
      </c>
      <c r="BH532" t="n">
        <v>0</v>
      </c>
      <c r="BI532" t="n">
        <v>0</v>
      </c>
      <c r="BJ532" t="n">
        <v>0</v>
      </c>
    </row>
    <row r="533">
      <c r="A533" t="inlineStr">
        <is>
          <t>Joel Latibeaudiere</t>
        </is>
      </c>
      <c r="B533" t="inlineStr">
        <is>
          <t>COV</t>
        </is>
      </c>
      <c r="D533" t="b">
        <v>0</v>
      </c>
      <c r="E533" t="inlineStr">
        <is>
          <t>DEF</t>
        </is>
      </c>
      <c r="G533" t="b">
        <v>1</v>
      </c>
      <c r="H533" s="2" t="n">
        <v>4</v>
      </c>
      <c r="I533" t="inlineStr">
        <is>
          <t>a</t>
        </is>
      </c>
      <c r="K533" s="2" t="n"/>
      <c r="M533" s="3" t="n">
        <v>30</v>
      </c>
      <c r="N533" s="8" t="n">
        <v>30</v>
      </c>
      <c r="O533" s="8" t="n">
        <v>0</v>
      </c>
      <c r="Q533" t="inlineStr">
        <is>
          <t>flat</t>
        </is>
      </c>
      <c r="R533" s="6" t="n">
        <v>30</v>
      </c>
      <c r="S533" t="inlineStr">
        <is>
          <t>Solio</t>
        </is>
      </c>
      <c r="U533" s="6" t="n">
        <v>85</v>
      </c>
      <c r="V533" s="2" t="n"/>
      <c r="W533" s="7">
        <f>IF(N(U533)&lt;=0,0,MIN(Assumptions!$B$15,N(R533)/N(U533)))</f>
        <v/>
      </c>
      <c r="X533" s="6" t="n">
        <v>0.17</v>
      </c>
      <c r="Y533" s="3" t="n"/>
      <c r="Z533" t="inlineStr"/>
      <c r="AA533" s="3" t="n">
        <v>1</v>
      </c>
      <c r="AB533" s="3" t="n"/>
      <c r="AC533" s="3" t="n"/>
      <c r="AD533" s="3" t="n"/>
      <c r="AE533" s="3" t="n"/>
      <c r="AF533" s="3" t="n">
        <v>0</v>
      </c>
      <c r="AG533" s="3" t="n"/>
      <c r="AH533" s="3" t="n"/>
      <c r="AI533" s="3" t="n">
        <v>3.6194</v>
      </c>
      <c r="AJ533" s="3" t="n">
        <v>1.8271</v>
      </c>
      <c r="AK533" s="3" t="n">
        <v>-0.2045226422080557</v>
      </c>
      <c r="AL533" s="6" t="n">
        <v>0</v>
      </c>
      <c r="AM533" s="3" t="n">
        <v>0</v>
      </c>
      <c r="AN533" s="3" t="n">
        <v>0</v>
      </c>
      <c r="AO533" s="3" t="n">
        <v>0</v>
      </c>
      <c r="AP533" s="3">
        <f>N(X533)*N(BI533)</f>
        <v/>
      </c>
      <c r="AQ533" s="3" t="n">
        <v>0</v>
      </c>
      <c r="AR533" s="3" t="n">
        <v>0</v>
      </c>
      <c r="AS533" s="3" t="n">
        <v>-0.670020548738316</v>
      </c>
      <c r="AT533" s="3" t="n">
        <v>-0.2045226422080557</v>
      </c>
      <c r="AU533" s="3">
        <f>SUM(AN533:AT533)</f>
        <v/>
      </c>
      <c r="AV533" s="7">
        <f>IF(OR(N(W533)&lt;=0,N(BG533)=0),0,N(W533)*IF(N(R533)/N(W533)&gt;=60,N(BG533),1))</f>
        <v/>
      </c>
      <c r="AW533" s="7">
        <f>N(W533)*N(AF533)*N(BH533)</f>
        <v/>
      </c>
      <c r="AX533" s="7">
        <f>N(AL533)*(Assumptions!$B$13*N(BJ533)-(1-Assumptions!$B$13)*Assumptions!$B$14)+N(AM533)</f>
        <v/>
      </c>
      <c r="AY533" s="7">
        <f>N(AU533)*N(R533)/90+N(AV533)+N(AW533)+N(AX533)</f>
        <v/>
      </c>
      <c r="AZ533" s="3">
        <f>IF(N(R533)&lt;=0,0,(N(AY533)-N(AX533))*90/N(R533))</f>
        <v/>
      </c>
      <c r="BA533" s="7">
        <f>IFERROR(AY533-VLOOKUP($E533,Assumptions!$A$40:$C$43,3,FALSE),"")</f>
        <v/>
      </c>
      <c r="BB533" s="3">
        <f>IFERROR(BA533/H533,"")</f>
        <v/>
      </c>
      <c r="BC533">
        <f>IF(AND($G533=TRUE,$E533="GKP"),AY533,"")</f>
        <v/>
      </c>
      <c r="BD533">
        <f>IF(AND($G533=TRUE,$E533="DEF"),AY533,"")</f>
        <v/>
      </c>
      <c r="BE533">
        <f>IF(AND($G533=TRUE,$E533="MID"),AY533,"")</f>
        <v/>
      </c>
      <c r="BF533">
        <f>IF(AND($G533=TRUE,$E533="FWD"),AY533,"")</f>
        <v/>
      </c>
      <c r="BG533" t="n">
        <v>2</v>
      </c>
      <c r="BH533" t="n">
        <v>2</v>
      </c>
      <c r="BI533" t="n">
        <v>4</v>
      </c>
      <c r="BJ533" t="n">
        <v>6</v>
      </c>
    </row>
    <row r="534">
      <c r="A534" t="inlineStr">
        <is>
          <t>Oleksandr Zinchenko</t>
        </is>
      </c>
      <c r="C534" t="inlineStr">
        <is>
          <t>NFO</t>
        </is>
      </c>
      <c r="D534" t="b">
        <v>0</v>
      </c>
      <c r="F534" t="inlineStr">
        <is>
          <t>DEF</t>
        </is>
      </c>
      <c r="G534" t="b">
        <v>0</v>
      </c>
      <c r="H534" s="2" t="n"/>
      <c r="K534" s="2" t="n">
        <v>353</v>
      </c>
      <c r="M534" s="3" t="n"/>
      <c r="N534" s="8" t="n">
        <v>353</v>
      </c>
      <c r="O534" s="8" t="n">
        <v>0</v>
      </c>
      <c r="R534" s="6" t="n">
        <v>353</v>
      </c>
      <c r="S534" t="inlineStr">
        <is>
          <t>25/26 actual</t>
        </is>
      </c>
      <c r="U534" s="6" t="n">
        <v>85.59999999999999</v>
      </c>
      <c r="V534" s="2" t="n">
        <v>4</v>
      </c>
      <c r="W534" s="7">
        <f>IF(N(U534)&lt;=0,0,MIN(Assumptions!$B$15,N(R534)/N(U534)))</f>
        <v/>
      </c>
      <c r="X534" s="6" t="n"/>
      <c r="Y534" s="3" t="n">
        <v>0.0178</v>
      </c>
      <c r="Z534" t="inlineStr">
        <is>
          <t>adjusted xGOT</t>
        </is>
      </c>
      <c r="AA534" s="3" t="n">
        <v>1</v>
      </c>
      <c r="AB534" s="3" t="n">
        <v>0.996</v>
      </c>
      <c r="AC534" s="3" t="n">
        <v>2.6</v>
      </c>
      <c r="AD534" s="3" t="n">
        <v>0.1149</v>
      </c>
      <c r="AE534" s="3" t="n">
        <v>7.176</v>
      </c>
      <c r="AF534" s="3" t="n">
        <v>0</v>
      </c>
      <c r="AG534" s="3" t="n">
        <v>0</v>
      </c>
      <c r="AH534" s="3" t="n">
        <v>9</v>
      </c>
      <c r="AI534" s="3" t="n"/>
      <c r="AJ534" s="3" t="n"/>
      <c r="AK534" s="3" t="n"/>
      <c r="AL534" s="6" t="n">
        <v>0</v>
      </c>
      <c r="AM534" s="3" t="n">
        <v>0</v>
      </c>
      <c r="AN534" s="3" t="n">
        <v>0</v>
      </c>
      <c r="AO534" s="3" t="n">
        <v>0</v>
      </c>
      <c r="AP534" s="3">
        <f>N(X534)*N(BI534)</f>
        <v/>
      </c>
      <c r="AQ534" s="3" t="n">
        <v>0</v>
      </c>
      <c r="AR534" s="3" t="n">
        <v>0</v>
      </c>
      <c r="AS534" s="3" t="n">
        <v>0</v>
      </c>
      <c r="AT534" s="3" t="n">
        <v>0</v>
      </c>
      <c r="AU534" s="3">
        <f>SUM(AN534:AT534)</f>
        <v/>
      </c>
      <c r="AV534" s="7">
        <f>IF(OR(N(W534)&lt;=0,N(BG534)=0),0,N(W534)*IF(N(R534)/N(W534)&gt;=60,N(BG534),1))</f>
        <v/>
      </c>
      <c r="AW534" s="7">
        <f>N(W534)*N(AF534)*N(BH534)</f>
        <v/>
      </c>
      <c r="AX534" s="7">
        <f>N(AL534)*(Assumptions!$B$13*N(BJ534)-(1-Assumptions!$B$13)*Assumptions!$B$14)+N(AM534)</f>
        <v/>
      </c>
      <c r="AY534" s="7">
        <f>N(AU534)*N(R534)/90+N(AV534)+N(AW534)+N(AX534)</f>
        <v/>
      </c>
      <c r="AZ534" s="3">
        <f>IF(N(R534)&lt;=0,0,(N(AY534)-N(AX534))*90/N(R534))</f>
        <v/>
      </c>
      <c r="BA534" s="7">
        <f>IFERROR(AY534-VLOOKUP($E534,Assumptions!$A$40:$C$43,3,FALSE),"")</f>
        <v/>
      </c>
      <c r="BB534" s="3">
        <f>IFERROR(BA534/H534,"")</f>
        <v/>
      </c>
      <c r="BC534">
        <f>IF(AND($G534=TRUE,$E534="GKP"),AY534,"")</f>
        <v/>
      </c>
      <c r="BD534">
        <f>IF(AND($G534=TRUE,$E534="DEF"),AY534,"")</f>
        <v/>
      </c>
      <c r="BE534">
        <f>IF(AND($G534=TRUE,$E534="MID"),AY534,"")</f>
        <v/>
      </c>
      <c r="BF534">
        <f>IF(AND($G534=TRUE,$E534="FWD"),AY534,"")</f>
        <v/>
      </c>
      <c r="BG534" t="n">
        <v>0</v>
      </c>
      <c r="BH534" t="n">
        <v>0</v>
      </c>
      <c r="BI534" t="n">
        <v>0</v>
      </c>
      <c r="BJ534" t="n">
        <v>0</v>
      </c>
    </row>
    <row r="535">
      <c r="A535" t="inlineStr">
        <is>
          <t>Abdülkadir Ömür</t>
        </is>
      </c>
      <c r="B535" t="inlineStr">
        <is>
          <t>HUL</t>
        </is>
      </c>
      <c r="D535" t="b">
        <v>0</v>
      </c>
      <c r="E535" t="inlineStr">
        <is>
          <t>MID</t>
        </is>
      </c>
      <c r="G535" t="b">
        <v>1</v>
      </c>
      <c r="H535" s="2" t="n">
        <v>5</v>
      </c>
      <c r="I535" t="inlineStr">
        <is>
          <t>a</t>
        </is>
      </c>
      <c r="K535" s="2" t="n"/>
      <c r="M535" s="3" t="n">
        <v>675</v>
      </c>
      <c r="N535" s="8" t="n">
        <v>675</v>
      </c>
      <c r="O535" s="8" t="n">
        <v>0</v>
      </c>
      <c r="Q535" t="inlineStr">
        <is>
          <t>flat</t>
        </is>
      </c>
      <c r="R535" s="6" t="n">
        <v>675</v>
      </c>
      <c r="S535" t="inlineStr">
        <is>
          <t>Solio</t>
        </is>
      </c>
      <c r="U535" s="6" t="n">
        <v>85</v>
      </c>
      <c r="V535" s="2" t="n"/>
      <c r="W535" s="7">
        <f>IF(N(U535)&lt;=0,0,MIN(Assumptions!$B$15,N(R535)/N(U535)))</f>
        <v/>
      </c>
      <c r="X535" s="6" t="n">
        <v>0.143</v>
      </c>
      <c r="Y535" s="3" t="n"/>
      <c r="Z535" t="inlineStr"/>
      <c r="AA535" s="3" t="n">
        <v>1</v>
      </c>
      <c r="AB535" s="3" t="n"/>
      <c r="AC535" s="3" t="n"/>
      <c r="AD535" s="3" t="n"/>
      <c r="AE535" s="3" t="n"/>
      <c r="AF535" s="3" t="n">
        <v>0</v>
      </c>
      <c r="AG535" s="3" t="n"/>
      <c r="AH535" s="3" t="n"/>
      <c r="AI535" s="3" t="n">
        <v>3.9421</v>
      </c>
      <c r="AJ535" s="3" t="n">
        <v>1.99</v>
      </c>
      <c r="AK535" s="3" t="n">
        <v>-0.2160434166173144</v>
      </c>
      <c r="AL535" s="6" t="n">
        <v>0</v>
      </c>
      <c r="AM535" s="3" t="n">
        <v>0</v>
      </c>
      <c r="AN535" s="3" t="n">
        <v>0</v>
      </c>
      <c r="AO535" s="3" t="n">
        <v>0</v>
      </c>
      <c r="AP535" s="3">
        <f>N(X535)*N(BI535)</f>
        <v/>
      </c>
      <c r="AQ535" s="3" t="n">
        <v>0</v>
      </c>
      <c r="AR535" s="3" t="n">
        <v>0</v>
      </c>
      <c r="AS535" s="3" t="n">
        <v>-0</v>
      </c>
      <c r="AT535" s="3" t="n">
        <v>-0.2160434166173144</v>
      </c>
      <c r="AU535" s="3">
        <f>SUM(AN535:AT535)</f>
        <v/>
      </c>
      <c r="AV535" s="7">
        <f>IF(OR(N(W535)&lt;=0,N(BG535)=0),0,N(W535)*IF(N(R535)/N(W535)&gt;=60,N(BG535),1))</f>
        <v/>
      </c>
      <c r="AW535" s="7">
        <f>N(W535)*N(AF535)*N(BH535)</f>
        <v/>
      </c>
      <c r="AX535" s="7">
        <f>N(AL535)*(Assumptions!$B$13*N(BJ535)-(1-Assumptions!$B$13)*Assumptions!$B$14)+N(AM535)</f>
        <v/>
      </c>
      <c r="AY535" s="7">
        <f>N(AU535)*N(R535)/90+N(AV535)+N(AW535)+N(AX535)</f>
        <v/>
      </c>
      <c r="AZ535" s="3">
        <f>IF(N(R535)&lt;=0,0,(N(AY535)-N(AX535))*90/N(R535))</f>
        <v/>
      </c>
      <c r="BA535" s="7">
        <f>IFERROR(AY535-VLOOKUP($E535,Assumptions!$A$40:$C$43,3,FALSE),"")</f>
        <v/>
      </c>
      <c r="BB535" s="3">
        <f>IFERROR(BA535/H535,"")</f>
        <v/>
      </c>
      <c r="BC535">
        <f>IF(AND($G535=TRUE,$E535="GKP"),AY535,"")</f>
        <v/>
      </c>
      <c r="BD535">
        <f>IF(AND($G535=TRUE,$E535="DEF"),AY535,"")</f>
        <v/>
      </c>
      <c r="BE535">
        <f>IF(AND($G535=TRUE,$E535="MID"),AY535,"")</f>
        <v/>
      </c>
      <c r="BF535">
        <f>IF(AND($G535=TRUE,$E535="FWD"),AY535,"")</f>
        <v/>
      </c>
      <c r="BG535" t="n">
        <v>2</v>
      </c>
      <c r="BH535" t="n">
        <v>2</v>
      </c>
      <c r="BI535" t="n">
        <v>1</v>
      </c>
      <c r="BJ535" t="n">
        <v>5</v>
      </c>
    </row>
    <row r="536">
      <c r="A536" t="inlineStr">
        <is>
          <t>Joe Worrall</t>
        </is>
      </c>
      <c r="C536" t="inlineStr">
        <is>
          <t>BUR</t>
        </is>
      </c>
      <c r="D536" t="b">
        <v>0</v>
      </c>
      <c r="F536" t="inlineStr">
        <is>
          <t>DEF</t>
        </is>
      </c>
      <c r="G536" t="b">
        <v>0</v>
      </c>
      <c r="H536" s="2" t="n"/>
      <c r="K536" s="2" t="n">
        <v>497</v>
      </c>
      <c r="M536" s="3" t="n"/>
      <c r="N536" s="8" t="n">
        <v>497</v>
      </c>
      <c r="O536" s="8" t="n">
        <v>0</v>
      </c>
      <c r="R536" s="6" t="n">
        <v>497</v>
      </c>
      <c r="S536" t="inlineStr">
        <is>
          <t>25/26 actual</t>
        </is>
      </c>
      <c r="U536" s="6" t="n">
        <v>84.7</v>
      </c>
      <c r="V536" s="2" t="n">
        <v>5</v>
      </c>
      <c r="W536" s="7">
        <f>IF(N(U536)&lt;=0,0,MIN(Assumptions!$B$15,N(R536)/N(U536)))</f>
        <v/>
      </c>
      <c r="X536" s="6" t="n"/>
      <c r="Y536" s="3" t="n">
        <v>0.0141</v>
      </c>
      <c r="Z536" t="inlineStr">
        <is>
          <t>adjusted xGOT</t>
        </is>
      </c>
      <c r="AA536" s="3" t="n">
        <v>1</v>
      </c>
      <c r="AB536" s="3" t="n">
        <v>0.974</v>
      </c>
      <c r="AC536" s="3" t="n">
        <v>1</v>
      </c>
      <c r="AD536" s="3" t="n">
        <v>0</v>
      </c>
      <c r="AE536" s="3" t="n">
        <v>10.175</v>
      </c>
      <c r="AF536" s="3" t="n">
        <v>0</v>
      </c>
      <c r="AG536" s="3" t="n">
        <v>0</v>
      </c>
      <c r="AH536" s="3" t="n">
        <v>15</v>
      </c>
      <c r="AI536" s="3" t="n"/>
      <c r="AJ536" s="3" t="n"/>
      <c r="AK536" s="3" t="n"/>
      <c r="AL536" s="6" t="n">
        <v>0</v>
      </c>
      <c r="AM536" s="3" t="n">
        <v>0</v>
      </c>
      <c r="AN536" s="3" t="n">
        <v>0</v>
      </c>
      <c r="AO536" s="3" t="n">
        <v>0</v>
      </c>
      <c r="AP536" s="3">
        <f>N(X536)*N(BI536)</f>
        <v/>
      </c>
      <c r="AQ536" s="3" t="n">
        <v>0</v>
      </c>
      <c r="AR536" s="3" t="n">
        <v>0</v>
      </c>
      <c r="AS536" s="3" t="n">
        <v>0</v>
      </c>
      <c r="AT536" s="3" t="n">
        <v>0</v>
      </c>
      <c r="AU536" s="3">
        <f>SUM(AN536:AT536)</f>
        <v/>
      </c>
      <c r="AV536" s="7">
        <f>IF(OR(N(W536)&lt;=0,N(BG536)=0),0,N(W536)*IF(N(R536)/N(W536)&gt;=60,N(BG536),1))</f>
        <v/>
      </c>
      <c r="AW536" s="7">
        <f>N(W536)*N(AF536)*N(BH536)</f>
        <v/>
      </c>
      <c r="AX536" s="7">
        <f>N(AL536)*(Assumptions!$B$13*N(BJ536)-(1-Assumptions!$B$13)*Assumptions!$B$14)+N(AM536)</f>
        <v/>
      </c>
      <c r="AY536" s="7">
        <f>N(AU536)*N(R536)/90+N(AV536)+N(AW536)+N(AX536)</f>
        <v/>
      </c>
      <c r="AZ536" s="3">
        <f>IF(N(R536)&lt;=0,0,(N(AY536)-N(AX536))*90/N(R536))</f>
        <v/>
      </c>
      <c r="BA536" s="7">
        <f>IFERROR(AY536-VLOOKUP($E536,Assumptions!$A$40:$C$43,3,FALSE),"")</f>
        <v/>
      </c>
      <c r="BB536" s="3">
        <f>IFERROR(BA536/H536,"")</f>
        <v/>
      </c>
      <c r="BC536">
        <f>IF(AND($G536=TRUE,$E536="GKP"),AY536,"")</f>
        <v/>
      </c>
      <c r="BD536">
        <f>IF(AND($G536=TRUE,$E536="DEF"),AY536,"")</f>
        <v/>
      </c>
      <c r="BE536">
        <f>IF(AND($G536=TRUE,$E536="MID"),AY536,"")</f>
        <v/>
      </c>
      <c r="BF536">
        <f>IF(AND($G536=TRUE,$E536="FWD"),AY536,"")</f>
        <v/>
      </c>
      <c r="BG536" t="n">
        <v>0</v>
      </c>
      <c r="BH536" t="n">
        <v>0</v>
      </c>
      <c r="BI536" t="n">
        <v>0</v>
      </c>
      <c r="BJ536" t="n">
        <v>0</v>
      </c>
    </row>
    <row r="537">
      <c r="A537" t="inlineStr">
        <is>
          <t>Angel Gomes</t>
        </is>
      </c>
      <c r="C537" t="inlineStr">
        <is>
          <t>WOL</t>
        </is>
      </c>
      <c r="D537" t="b">
        <v>0</v>
      </c>
      <c r="F537" t="inlineStr">
        <is>
          <t>MID</t>
        </is>
      </c>
      <c r="G537" t="b">
        <v>0</v>
      </c>
      <c r="H537" s="2" t="n"/>
      <c r="K537" s="2" t="n">
        <v>464</v>
      </c>
      <c r="M537" s="3" t="n"/>
      <c r="N537" s="8" t="n">
        <v>464</v>
      </c>
      <c r="O537" s="8" t="n">
        <v>0</v>
      </c>
      <c r="R537" s="6" t="n">
        <v>464</v>
      </c>
      <c r="S537" t="inlineStr">
        <is>
          <t>25/26 actual</t>
        </is>
      </c>
      <c r="U537" s="6" t="n">
        <v>70.5</v>
      </c>
      <c r="V537" s="2" t="n">
        <v>7</v>
      </c>
      <c r="W537" s="7">
        <f>IF(N(U537)&lt;=0,0,MIN(Assumptions!$B$15,N(R537)/N(U537)))</f>
        <v/>
      </c>
      <c r="X537" s="6" t="n"/>
      <c r="Y537" s="3" t="n">
        <v>0.0481</v>
      </c>
      <c r="Z537" t="inlineStr">
        <is>
          <t>adjusted xGOT</t>
        </is>
      </c>
      <c r="AA537" s="3" t="n">
        <v>1</v>
      </c>
      <c r="AB537" s="3" t="n">
        <v>0.994</v>
      </c>
      <c r="AC537" s="3" t="n">
        <v>0.2</v>
      </c>
      <c r="AD537" s="3" t="n">
        <v>0.058</v>
      </c>
      <c r="AE537" s="3" t="n">
        <v>7.77</v>
      </c>
      <c r="AF537" s="3" t="n">
        <v>0</v>
      </c>
      <c r="AG537" s="3" t="n">
        <v>0</v>
      </c>
      <c r="AH537" s="3" t="n">
        <v>16</v>
      </c>
      <c r="AI537" s="3" t="n"/>
      <c r="AJ537" s="3" t="n"/>
      <c r="AK537" s="3" t="n"/>
      <c r="AL537" s="6" t="n">
        <v>0</v>
      </c>
      <c r="AM537" s="3" t="n">
        <v>0</v>
      </c>
      <c r="AN537" s="3" t="n">
        <v>0</v>
      </c>
      <c r="AO537" s="3" t="n">
        <v>0</v>
      </c>
      <c r="AP537" s="3">
        <f>N(X537)*N(BI537)</f>
        <v/>
      </c>
      <c r="AQ537" s="3" t="n">
        <v>0</v>
      </c>
      <c r="AR537" s="3" t="n">
        <v>0</v>
      </c>
      <c r="AS537" s="3" t="n">
        <v>0</v>
      </c>
      <c r="AT537" s="3" t="n">
        <v>0</v>
      </c>
      <c r="AU537" s="3">
        <f>SUM(AN537:AT537)</f>
        <v/>
      </c>
      <c r="AV537" s="7">
        <f>IF(OR(N(W537)&lt;=0,N(BG537)=0),0,N(W537)*IF(N(R537)/N(W537)&gt;=60,N(BG537),1))</f>
        <v/>
      </c>
      <c r="AW537" s="7">
        <f>N(W537)*N(AF537)*N(BH537)</f>
        <v/>
      </c>
      <c r="AX537" s="7">
        <f>N(AL537)*(Assumptions!$B$13*N(BJ537)-(1-Assumptions!$B$13)*Assumptions!$B$14)+N(AM537)</f>
        <v/>
      </c>
      <c r="AY537" s="7">
        <f>N(AU537)*N(R537)/90+N(AV537)+N(AW537)+N(AX537)</f>
        <v/>
      </c>
      <c r="AZ537" s="3">
        <f>IF(N(R537)&lt;=0,0,(N(AY537)-N(AX537))*90/N(R537))</f>
        <v/>
      </c>
      <c r="BA537" s="7">
        <f>IFERROR(AY537-VLOOKUP($E537,Assumptions!$A$40:$C$43,3,FALSE),"")</f>
        <v/>
      </c>
      <c r="BB537" s="3">
        <f>IFERROR(BA537/H537,"")</f>
        <v/>
      </c>
      <c r="BC537">
        <f>IF(AND($G537=TRUE,$E537="GKP"),AY537,"")</f>
        <v/>
      </c>
      <c r="BD537">
        <f>IF(AND($G537=TRUE,$E537="DEF"),AY537,"")</f>
        <v/>
      </c>
      <c r="BE537">
        <f>IF(AND($G537=TRUE,$E537="MID"),AY537,"")</f>
        <v/>
      </c>
      <c r="BF537">
        <f>IF(AND($G537=TRUE,$E537="FWD"),AY537,"")</f>
        <v/>
      </c>
      <c r="BG537" t="n">
        <v>0</v>
      </c>
      <c r="BH537" t="n">
        <v>0</v>
      </c>
      <c r="BI537" t="n">
        <v>0</v>
      </c>
      <c r="BJ537" t="n">
        <v>0</v>
      </c>
    </row>
    <row r="538">
      <c r="A538" t="inlineStr">
        <is>
          <t>Jadon Sancho</t>
        </is>
      </c>
      <c r="C538" t="inlineStr">
        <is>
          <t>AVL</t>
        </is>
      </c>
      <c r="D538" t="b">
        <v>0</v>
      </c>
      <c r="F538" t="inlineStr">
        <is>
          <t>MID</t>
        </is>
      </c>
      <c r="G538" t="b">
        <v>0</v>
      </c>
      <c r="H538" s="2" t="n"/>
      <c r="K538" s="2" t="n">
        <v>873</v>
      </c>
      <c r="M538" s="3" t="n"/>
      <c r="N538" s="8" t="n">
        <v>873</v>
      </c>
      <c r="O538" s="8" t="n">
        <v>0</v>
      </c>
      <c r="R538" s="6" t="n">
        <v>873</v>
      </c>
      <c r="S538" t="inlineStr">
        <is>
          <t>25/26 actual</t>
        </is>
      </c>
      <c r="U538" s="6" t="n">
        <v>73.8</v>
      </c>
      <c r="V538" s="2" t="n">
        <v>9</v>
      </c>
      <c r="W538" s="7">
        <f>IF(N(U538)&lt;=0,0,MIN(Assumptions!$B$15,N(R538)/N(U538)))</f>
        <v/>
      </c>
      <c r="X538" s="6" t="n"/>
      <c r="Y538" s="3" t="n">
        <v>0.0677</v>
      </c>
      <c r="Z538" t="inlineStr">
        <is>
          <t>adjusted xGOT</t>
        </is>
      </c>
      <c r="AA538" s="3" t="n">
        <v>1</v>
      </c>
      <c r="AB538" s="3" t="n">
        <v>1.077</v>
      </c>
      <c r="AC538" s="3" t="n">
        <v>6.8</v>
      </c>
      <c r="AD538" s="3" t="n">
        <v>0.2115</v>
      </c>
      <c r="AE538" s="3" t="n">
        <v>6.403</v>
      </c>
      <c r="AF538" s="3" t="n">
        <v>0</v>
      </c>
      <c r="AG538" s="3" t="n">
        <v>0</v>
      </c>
      <c r="AH538" s="3" t="n">
        <v>29</v>
      </c>
      <c r="AI538" s="3" t="n"/>
      <c r="AJ538" s="3" t="n"/>
      <c r="AK538" s="3" t="n"/>
      <c r="AL538" s="6" t="n">
        <v>0</v>
      </c>
      <c r="AM538" s="3" t="n">
        <v>0</v>
      </c>
      <c r="AN538" s="3" t="n">
        <v>0</v>
      </c>
      <c r="AO538" s="3" t="n">
        <v>0</v>
      </c>
      <c r="AP538" s="3">
        <f>N(X538)*N(BI538)</f>
        <v/>
      </c>
      <c r="AQ538" s="3" t="n">
        <v>0</v>
      </c>
      <c r="AR538" s="3" t="n">
        <v>0</v>
      </c>
      <c r="AS538" s="3" t="n">
        <v>0</v>
      </c>
      <c r="AT538" s="3" t="n">
        <v>0</v>
      </c>
      <c r="AU538" s="3">
        <f>SUM(AN538:AT538)</f>
        <v/>
      </c>
      <c r="AV538" s="7">
        <f>IF(OR(N(W538)&lt;=0,N(BG538)=0),0,N(W538)*IF(N(R538)/N(W538)&gt;=60,N(BG538),1))</f>
        <v/>
      </c>
      <c r="AW538" s="7">
        <f>N(W538)*N(AF538)*N(BH538)</f>
        <v/>
      </c>
      <c r="AX538" s="7">
        <f>N(AL538)*(Assumptions!$B$13*N(BJ538)-(1-Assumptions!$B$13)*Assumptions!$B$14)+N(AM538)</f>
        <v/>
      </c>
      <c r="AY538" s="7">
        <f>N(AU538)*N(R538)/90+N(AV538)+N(AW538)+N(AX538)</f>
        <v/>
      </c>
      <c r="AZ538" s="3">
        <f>IF(N(R538)&lt;=0,0,(N(AY538)-N(AX538))*90/N(R538))</f>
        <v/>
      </c>
      <c r="BA538" s="7">
        <f>IFERROR(AY538-VLOOKUP($E538,Assumptions!$A$40:$C$43,3,FALSE),"")</f>
        <v/>
      </c>
      <c r="BB538" s="3">
        <f>IFERROR(BA538/H538,"")</f>
        <v/>
      </c>
      <c r="BC538">
        <f>IF(AND($G538=TRUE,$E538="GKP"),AY538,"")</f>
        <v/>
      </c>
      <c r="BD538">
        <f>IF(AND($G538=TRUE,$E538="DEF"),AY538,"")</f>
        <v/>
      </c>
      <c r="BE538">
        <f>IF(AND($G538=TRUE,$E538="MID"),AY538,"")</f>
        <v/>
      </c>
      <c r="BF538">
        <f>IF(AND($G538=TRUE,$E538="FWD"),AY538,"")</f>
        <v/>
      </c>
      <c r="BG538" t="n">
        <v>0</v>
      </c>
      <c r="BH538" t="n">
        <v>0</v>
      </c>
      <c r="BI538" t="n">
        <v>0</v>
      </c>
      <c r="BJ538" t="n">
        <v>0</v>
      </c>
    </row>
    <row r="539">
      <c r="A539" t="inlineStr">
        <is>
          <t>Nayef Aguerd</t>
        </is>
      </c>
      <c r="C539" t="inlineStr">
        <is>
          <t>WHU</t>
        </is>
      </c>
      <c r="D539" t="b">
        <v>0</v>
      </c>
      <c r="F539" t="inlineStr">
        <is>
          <t>DEF</t>
        </is>
      </c>
      <c r="G539" t="b">
        <v>0</v>
      </c>
      <c r="H539" s="2" t="n"/>
      <c r="K539" s="2" t="n">
        <v>180</v>
      </c>
      <c r="M539" s="3" t="n"/>
      <c r="N539" s="8" t="n">
        <v>180</v>
      </c>
      <c r="O539" s="8" t="n">
        <v>0</v>
      </c>
      <c r="R539" s="6" t="n">
        <v>180</v>
      </c>
      <c r="S539" t="inlineStr">
        <is>
          <t>25/26 actual</t>
        </is>
      </c>
      <c r="U539" s="6" t="n">
        <v>86.2</v>
      </c>
      <c r="V539" s="2" t="n">
        <v>2</v>
      </c>
      <c r="W539" s="7">
        <f>IF(N(U539)&lt;=0,0,MIN(Assumptions!$B$15,N(R539)/N(U539)))</f>
        <v/>
      </c>
      <c r="X539" s="6" t="n"/>
      <c r="Y539" s="3" t="n">
        <v>0.0455</v>
      </c>
      <c r="Z539" t="inlineStr">
        <is>
          <t>adjusted xGOT</t>
        </is>
      </c>
      <c r="AA539" s="3" t="n">
        <v>1</v>
      </c>
      <c r="AB539" s="3" t="n">
        <v>0.906</v>
      </c>
      <c r="AC539" s="3" t="n">
        <v>3.7</v>
      </c>
      <c r="AD539" s="3" t="n">
        <v>0</v>
      </c>
      <c r="AE539" s="3" t="n">
        <v>7.648</v>
      </c>
      <c r="AF539" s="3" t="n">
        <v>0</v>
      </c>
      <c r="AG539" s="3" t="n">
        <v>0</v>
      </c>
      <c r="AH539" s="3" t="n">
        <v>4</v>
      </c>
      <c r="AI539" s="3" t="n"/>
      <c r="AJ539" s="3" t="n"/>
      <c r="AK539" s="3" t="n"/>
      <c r="AL539" s="6" t="n">
        <v>0</v>
      </c>
      <c r="AM539" s="3" t="n">
        <v>0</v>
      </c>
      <c r="AN539" s="3" t="n">
        <v>0</v>
      </c>
      <c r="AO539" s="3" t="n">
        <v>0</v>
      </c>
      <c r="AP539" s="3">
        <f>N(X539)*N(BI539)</f>
        <v/>
      </c>
      <c r="AQ539" s="3" t="n">
        <v>0</v>
      </c>
      <c r="AR539" s="3" t="n">
        <v>0</v>
      </c>
      <c r="AS539" s="3" t="n">
        <v>0</v>
      </c>
      <c r="AT539" s="3" t="n">
        <v>0</v>
      </c>
      <c r="AU539" s="3">
        <f>SUM(AN539:AT539)</f>
        <v/>
      </c>
      <c r="AV539" s="7">
        <f>IF(OR(N(W539)&lt;=0,N(BG539)=0),0,N(W539)*IF(N(R539)/N(W539)&gt;=60,N(BG539),1))</f>
        <v/>
      </c>
      <c r="AW539" s="7">
        <f>N(W539)*N(AF539)*N(BH539)</f>
        <v/>
      </c>
      <c r="AX539" s="7">
        <f>N(AL539)*(Assumptions!$B$13*N(BJ539)-(1-Assumptions!$B$13)*Assumptions!$B$14)+N(AM539)</f>
        <v/>
      </c>
      <c r="AY539" s="7">
        <f>N(AU539)*N(R539)/90+N(AV539)+N(AW539)+N(AX539)</f>
        <v/>
      </c>
      <c r="AZ539" s="3">
        <f>IF(N(R539)&lt;=0,0,(N(AY539)-N(AX539))*90/N(R539))</f>
        <v/>
      </c>
      <c r="BA539" s="7">
        <f>IFERROR(AY539-VLOOKUP($E539,Assumptions!$A$40:$C$43,3,FALSE),"")</f>
        <v/>
      </c>
      <c r="BB539" s="3">
        <f>IFERROR(BA539/H539,"")</f>
        <v/>
      </c>
      <c r="BC539">
        <f>IF(AND($G539=TRUE,$E539="GKP"),AY539,"")</f>
        <v/>
      </c>
      <c r="BD539">
        <f>IF(AND($G539=TRUE,$E539="DEF"),AY539,"")</f>
        <v/>
      </c>
      <c r="BE539">
        <f>IF(AND($G539=TRUE,$E539="MID"),AY539,"")</f>
        <v/>
      </c>
      <c r="BF539">
        <f>IF(AND($G539=TRUE,$E539="FWD"),AY539,"")</f>
        <v/>
      </c>
      <c r="BG539" t="n">
        <v>0</v>
      </c>
      <c r="BH539" t="n">
        <v>0</v>
      </c>
      <c r="BI539" t="n">
        <v>0</v>
      </c>
      <c r="BJ539" t="n">
        <v>0</v>
      </c>
    </row>
    <row r="540">
      <c r="A540" t="inlineStr">
        <is>
          <t>David Akintola</t>
        </is>
      </c>
      <c r="B540" t="inlineStr">
        <is>
          <t>HUL</t>
        </is>
      </c>
      <c r="D540" t="b">
        <v>0</v>
      </c>
      <c r="E540" t="inlineStr">
        <is>
          <t>MID</t>
        </is>
      </c>
      <c r="G540" t="b">
        <v>1</v>
      </c>
      <c r="H540" s="2" t="n">
        <v>5</v>
      </c>
      <c r="I540" t="inlineStr">
        <is>
          <t>a</t>
        </is>
      </c>
      <c r="K540" s="2" t="n"/>
      <c r="M540" s="3" t="n">
        <v>281</v>
      </c>
      <c r="N540" s="8" t="n">
        <v>281</v>
      </c>
      <c r="O540" s="8" t="n">
        <v>0</v>
      </c>
      <c r="Q540" t="inlineStr">
        <is>
          <t>flat</t>
        </is>
      </c>
      <c r="R540" s="6" t="n">
        <v>281</v>
      </c>
      <c r="S540" t="inlineStr">
        <is>
          <t>Solio</t>
        </is>
      </c>
      <c r="U540" s="6" t="n">
        <v>85</v>
      </c>
      <c r="V540" s="2" t="n"/>
      <c r="W540" s="7">
        <f>IF(N(U540)&lt;=0,0,MIN(Assumptions!$B$15,N(R540)/N(U540)))</f>
        <v/>
      </c>
      <c r="X540" s="6" t="n">
        <v>0.143</v>
      </c>
      <c r="Y540" s="3" t="n"/>
      <c r="Z540" t="inlineStr"/>
      <c r="AA540" s="3" t="n">
        <v>1</v>
      </c>
      <c r="AB540" s="3" t="n"/>
      <c r="AC540" s="3" t="n"/>
      <c r="AD540" s="3" t="n"/>
      <c r="AE540" s="3" t="n"/>
      <c r="AF540" s="3" t="n">
        <v>0</v>
      </c>
      <c r="AG540" s="3" t="n"/>
      <c r="AH540" s="3" t="n"/>
      <c r="AI540" s="3" t="n">
        <v>3.9421</v>
      </c>
      <c r="AJ540" s="3" t="n">
        <v>1.99</v>
      </c>
      <c r="AK540" s="3" t="n">
        <v>-0.2160434166173144</v>
      </c>
      <c r="AL540" s="6" t="n">
        <v>0</v>
      </c>
      <c r="AM540" s="3" t="n">
        <v>0</v>
      </c>
      <c r="AN540" s="3" t="n">
        <v>0</v>
      </c>
      <c r="AO540" s="3" t="n">
        <v>0</v>
      </c>
      <c r="AP540" s="3">
        <f>N(X540)*N(BI540)</f>
        <v/>
      </c>
      <c r="AQ540" s="3" t="n">
        <v>0</v>
      </c>
      <c r="AR540" s="3" t="n">
        <v>0</v>
      </c>
      <c r="AS540" s="3" t="n">
        <v>-0</v>
      </c>
      <c r="AT540" s="3" t="n">
        <v>-0.2160434166173144</v>
      </c>
      <c r="AU540" s="3">
        <f>SUM(AN540:AT540)</f>
        <v/>
      </c>
      <c r="AV540" s="7">
        <f>IF(OR(N(W540)&lt;=0,N(BG540)=0),0,N(W540)*IF(N(R540)/N(W540)&gt;=60,N(BG540),1))</f>
        <v/>
      </c>
      <c r="AW540" s="7">
        <f>N(W540)*N(AF540)*N(BH540)</f>
        <v/>
      </c>
      <c r="AX540" s="7">
        <f>N(AL540)*(Assumptions!$B$13*N(BJ540)-(1-Assumptions!$B$13)*Assumptions!$B$14)+N(AM540)</f>
        <v/>
      </c>
      <c r="AY540" s="7">
        <f>N(AU540)*N(R540)/90+N(AV540)+N(AW540)+N(AX540)</f>
        <v/>
      </c>
      <c r="AZ540" s="3">
        <f>IF(N(R540)&lt;=0,0,(N(AY540)-N(AX540))*90/N(R540))</f>
        <v/>
      </c>
      <c r="BA540" s="7">
        <f>IFERROR(AY540-VLOOKUP($E540,Assumptions!$A$40:$C$43,3,FALSE),"")</f>
        <v/>
      </c>
      <c r="BB540" s="3">
        <f>IFERROR(BA540/H540,"")</f>
        <v/>
      </c>
      <c r="BC540">
        <f>IF(AND($G540=TRUE,$E540="GKP"),AY540,"")</f>
        <v/>
      </c>
      <c r="BD540">
        <f>IF(AND($G540=TRUE,$E540="DEF"),AY540,"")</f>
        <v/>
      </c>
      <c r="BE540">
        <f>IF(AND($G540=TRUE,$E540="MID"),AY540,"")</f>
        <v/>
      </c>
      <c r="BF540">
        <f>IF(AND($G540=TRUE,$E540="FWD"),AY540,"")</f>
        <v/>
      </c>
      <c r="BG540" t="n">
        <v>2</v>
      </c>
      <c r="BH540" t="n">
        <v>2</v>
      </c>
      <c r="BI540" t="n">
        <v>1</v>
      </c>
      <c r="BJ540" t="n">
        <v>5</v>
      </c>
    </row>
    <row r="541">
      <c r="A541" t="inlineStr">
        <is>
          <t>Maximilian Kilman</t>
        </is>
      </c>
      <c r="C541" t="inlineStr">
        <is>
          <t>WHU</t>
        </is>
      </c>
      <c r="D541" t="b">
        <v>0</v>
      </c>
      <c r="F541" t="inlineStr">
        <is>
          <t>DEF</t>
        </is>
      </c>
      <c r="G541" t="b">
        <v>0</v>
      </c>
      <c r="H541" s="2" t="n"/>
      <c r="K541" s="2" t="n">
        <v>1559</v>
      </c>
      <c r="M541" s="3" t="n"/>
      <c r="N541" s="8" t="n">
        <v>1559</v>
      </c>
      <c r="O541" s="8" t="n">
        <v>0</v>
      </c>
      <c r="R541" s="6" t="n">
        <v>1559</v>
      </c>
      <c r="S541" t="inlineStr">
        <is>
          <t>25/26 actual</t>
        </is>
      </c>
      <c r="U541" s="6" t="n">
        <v>88.3</v>
      </c>
      <c r="V541" s="2" t="n">
        <v>17</v>
      </c>
      <c r="W541" s="7">
        <f>IF(N(U541)&lt;=0,0,MIN(Assumptions!$B$15,N(R541)/N(U541)))</f>
        <v/>
      </c>
      <c r="X541" s="6" t="n"/>
      <c r="Y541" s="3" t="n">
        <v>0.0277</v>
      </c>
      <c r="Z541" t="inlineStr">
        <is>
          <t>adjusted xGOT</t>
        </is>
      </c>
      <c r="AA541" s="3" t="n">
        <v>1</v>
      </c>
      <c r="AB541" s="3" t="n">
        <v>0.856</v>
      </c>
      <c r="AC541" s="3" t="n">
        <v>5.2</v>
      </c>
      <c r="AD541" s="3" t="n">
        <v>0.012</v>
      </c>
      <c r="AE541" s="3" t="n">
        <v>8.746</v>
      </c>
      <c r="AF541" s="3" t="n">
        <v>0</v>
      </c>
      <c r="AG541" s="3" t="n">
        <v>0</v>
      </c>
      <c r="AH541" s="3" t="n">
        <v>38</v>
      </c>
      <c r="AI541" s="3" t="n"/>
      <c r="AJ541" s="3" t="n"/>
      <c r="AK541" s="3" t="n"/>
      <c r="AL541" s="6" t="n">
        <v>0</v>
      </c>
      <c r="AM541" s="3" t="n">
        <v>0</v>
      </c>
      <c r="AN541" s="3" t="n">
        <v>0</v>
      </c>
      <c r="AO541" s="3" t="n">
        <v>0</v>
      </c>
      <c r="AP541" s="3">
        <f>N(X541)*N(BI541)</f>
        <v/>
      </c>
      <c r="AQ541" s="3" t="n">
        <v>0</v>
      </c>
      <c r="AR541" s="3" t="n">
        <v>0</v>
      </c>
      <c r="AS541" s="3" t="n">
        <v>0</v>
      </c>
      <c r="AT541" s="3" t="n">
        <v>0</v>
      </c>
      <c r="AU541" s="3">
        <f>SUM(AN541:AT541)</f>
        <v/>
      </c>
      <c r="AV541" s="7">
        <f>IF(OR(N(W541)&lt;=0,N(BG541)=0),0,N(W541)*IF(N(R541)/N(W541)&gt;=60,N(BG541),1))</f>
        <v/>
      </c>
      <c r="AW541" s="7">
        <f>N(W541)*N(AF541)*N(BH541)</f>
        <v/>
      </c>
      <c r="AX541" s="7">
        <f>N(AL541)*(Assumptions!$B$13*N(BJ541)-(1-Assumptions!$B$13)*Assumptions!$B$14)+N(AM541)</f>
        <v/>
      </c>
      <c r="AY541" s="7">
        <f>N(AU541)*N(R541)/90+N(AV541)+N(AW541)+N(AX541)</f>
        <v/>
      </c>
      <c r="AZ541" s="3">
        <f>IF(N(R541)&lt;=0,0,(N(AY541)-N(AX541))*90/N(R541))</f>
        <v/>
      </c>
      <c r="BA541" s="7">
        <f>IFERROR(AY541-VLOOKUP($E541,Assumptions!$A$40:$C$43,3,FALSE),"")</f>
        <v/>
      </c>
      <c r="BB541" s="3">
        <f>IFERROR(BA541/H541,"")</f>
        <v/>
      </c>
      <c r="BC541">
        <f>IF(AND($G541=TRUE,$E541="GKP"),AY541,"")</f>
        <v/>
      </c>
      <c r="BD541">
        <f>IF(AND($G541=TRUE,$E541="DEF"),AY541,"")</f>
        <v/>
      </c>
      <c r="BE541">
        <f>IF(AND($G541=TRUE,$E541="MID"),AY541,"")</f>
        <v/>
      </c>
      <c r="BF541">
        <f>IF(AND($G541=TRUE,$E541="FWD"),AY541,"")</f>
        <v/>
      </c>
      <c r="BG541" t="n">
        <v>0</v>
      </c>
      <c r="BH541" t="n">
        <v>0</v>
      </c>
      <c r="BI541" t="n">
        <v>0</v>
      </c>
      <c r="BJ541" t="n">
        <v>0</v>
      </c>
    </row>
    <row r="542">
      <c r="A542" t="inlineStr">
        <is>
          <t>Aaron Wan-Bissaka</t>
        </is>
      </c>
      <c r="C542" t="inlineStr">
        <is>
          <t>WHU</t>
        </is>
      </c>
      <c r="D542" t="b">
        <v>0</v>
      </c>
      <c r="F542" t="inlineStr">
        <is>
          <t>DEF</t>
        </is>
      </c>
      <c r="G542" t="b">
        <v>0</v>
      </c>
      <c r="H542" s="2" t="n"/>
      <c r="K542" s="2" t="n">
        <v>2084</v>
      </c>
      <c r="M542" s="3" t="n"/>
      <c r="N542" s="8" t="n">
        <v>2084</v>
      </c>
      <c r="O542" s="8" t="n">
        <v>0</v>
      </c>
      <c r="R542" s="6" t="n">
        <v>2084</v>
      </c>
      <c r="S542" t="inlineStr">
        <is>
          <t>25/26 actual</t>
        </is>
      </c>
      <c r="U542" s="6" t="n">
        <v>86.8</v>
      </c>
      <c r="V542" s="2" t="n">
        <v>23</v>
      </c>
      <c r="W542" s="7">
        <f>IF(N(U542)&lt;=0,0,MIN(Assumptions!$B$15,N(R542)/N(U542)))</f>
        <v/>
      </c>
      <c r="X542" s="6" t="n"/>
      <c r="Y542" s="3" t="n">
        <v>0</v>
      </c>
      <c r="Z542" t="inlineStr">
        <is>
          <t>adjusted xGOT</t>
        </is>
      </c>
      <c r="AA542" s="3" t="n">
        <v>1</v>
      </c>
      <c r="AB542" s="3" t="n">
        <v>0.878</v>
      </c>
      <c r="AC542" s="3" t="n">
        <v>2.5</v>
      </c>
      <c r="AD542" s="3" t="n">
        <v>0.0617</v>
      </c>
      <c r="AE542" s="3" t="n">
        <v>7.569</v>
      </c>
      <c r="AF542" s="3" t="n">
        <v>0</v>
      </c>
      <c r="AG542" s="3" t="n">
        <v>0</v>
      </c>
      <c r="AH542" s="3" t="n">
        <v>48</v>
      </c>
      <c r="AI542" s="3" t="n"/>
      <c r="AJ542" s="3" t="n"/>
      <c r="AK542" s="3" t="n"/>
      <c r="AL542" s="6" t="n">
        <v>0</v>
      </c>
      <c r="AM542" s="3" t="n">
        <v>0</v>
      </c>
      <c r="AN542" s="3" t="n">
        <v>0</v>
      </c>
      <c r="AO542" s="3" t="n">
        <v>0</v>
      </c>
      <c r="AP542" s="3">
        <f>N(X542)*N(BI542)</f>
        <v/>
      </c>
      <c r="AQ542" s="3" t="n">
        <v>0</v>
      </c>
      <c r="AR542" s="3" t="n">
        <v>0</v>
      </c>
      <c r="AS542" s="3" t="n">
        <v>0</v>
      </c>
      <c r="AT542" s="3" t="n">
        <v>0</v>
      </c>
      <c r="AU542" s="3">
        <f>SUM(AN542:AT542)</f>
        <v/>
      </c>
      <c r="AV542" s="7">
        <f>IF(OR(N(W542)&lt;=0,N(BG542)=0),0,N(W542)*IF(N(R542)/N(W542)&gt;=60,N(BG542),1))</f>
        <v/>
      </c>
      <c r="AW542" s="7">
        <f>N(W542)*N(AF542)*N(BH542)</f>
        <v/>
      </c>
      <c r="AX542" s="7">
        <f>N(AL542)*(Assumptions!$B$13*N(BJ542)-(1-Assumptions!$B$13)*Assumptions!$B$14)+N(AM542)</f>
        <v/>
      </c>
      <c r="AY542" s="7">
        <f>N(AU542)*N(R542)/90+N(AV542)+N(AW542)+N(AX542)</f>
        <v/>
      </c>
      <c r="AZ542" s="3">
        <f>IF(N(R542)&lt;=0,0,(N(AY542)-N(AX542))*90/N(R542))</f>
        <v/>
      </c>
      <c r="BA542" s="7">
        <f>IFERROR(AY542-VLOOKUP($E542,Assumptions!$A$40:$C$43,3,FALSE),"")</f>
        <v/>
      </c>
      <c r="BB542" s="3">
        <f>IFERROR(BA542/H542,"")</f>
        <v/>
      </c>
      <c r="BC542">
        <f>IF(AND($G542=TRUE,$E542="GKP"),AY542,"")</f>
        <v/>
      </c>
      <c r="BD542">
        <f>IF(AND($G542=TRUE,$E542="DEF"),AY542,"")</f>
        <v/>
      </c>
      <c r="BE542">
        <f>IF(AND($G542=TRUE,$E542="MID"),AY542,"")</f>
        <v/>
      </c>
      <c r="BF542">
        <f>IF(AND($G542=TRUE,$E542="FWD"),AY542,"")</f>
        <v/>
      </c>
      <c r="BG542" t="n">
        <v>0</v>
      </c>
      <c r="BH542" t="n">
        <v>0</v>
      </c>
      <c r="BI542" t="n">
        <v>0</v>
      </c>
      <c r="BJ542" t="n">
        <v>0</v>
      </c>
    </row>
    <row r="543">
      <c r="A543" t="inlineStr">
        <is>
          <t>Tomás Soucek</t>
        </is>
      </c>
      <c r="C543" t="inlineStr">
        <is>
          <t>WHU</t>
        </is>
      </c>
      <c r="D543" t="b">
        <v>0</v>
      </c>
      <c r="F543" t="inlineStr">
        <is>
          <t>MID</t>
        </is>
      </c>
      <c r="G543" t="b">
        <v>0</v>
      </c>
      <c r="H543" s="2" t="n"/>
      <c r="K543" s="2" t="n">
        <v>2198</v>
      </c>
      <c r="M543" s="3" t="n"/>
      <c r="N543" s="8" t="n">
        <v>2198</v>
      </c>
      <c r="O543" s="8" t="n">
        <v>0</v>
      </c>
      <c r="R543" s="6" t="n">
        <v>2198</v>
      </c>
      <c r="S543" t="inlineStr">
        <is>
          <t>25/26 actual</t>
        </is>
      </c>
      <c r="U543" s="6" t="n">
        <v>83</v>
      </c>
      <c r="V543" s="2" t="n">
        <v>23</v>
      </c>
      <c r="W543" s="7">
        <f>IF(N(U543)&lt;=0,0,MIN(Assumptions!$B$15,N(R543)/N(U543)))</f>
        <v/>
      </c>
      <c r="X543" s="6" t="n"/>
      <c r="Y543" s="3" t="n">
        <v>0.2578</v>
      </c>
      <c r="Z543" t="inlineStr">
        <is>
          <t>adjusted xGOT</t>
        </is>
      </c>
      <c r="AA543" s="3" t="n">
        <v>1</v>
      </c>
      <c r="AB543" s="3" t="n">
        <v>1.099</v>
      </c>
      <c r="AC543" s="3" t="n">
        <v>23</v>
      </c>
      <c r="AD543" s="3" t="n">
        <v>0.0336</v>
      </c>
      <c r="AE543" s="3" t="n">
        <v>9.050000000000001</v>
      </c>
      <c r="AF543" s="3" t="n">
        <v>0</v>
      </c>
      <c r="AG543" s="3" t="n">
        <v>0.3685</v>
      </c>
      <c r="AH543" s="3" t="n">
        <v>58</v>
      </c>
      <c r="AI543" s="3" t="n"/>
      <c r="AJ543" s="3" t="n"/>
      <c r="AK543" s="3" t="n"/>
      <c r="AL543" s="6" t="n">
        <v>0</v>
      </c>
      <c r="AM543" s="3" t="n">
        <v>0</v>
      </c>
      <c r="AN543" s="3" t="n">
        <v>0</v>
      </c>
      <c r="AO543" s="3" t="n">
        <v>0</v>
      </c>
      <c r="AP543" s="3">
        <f>N(X543)*N(BI543)</f>
        <v/>
      </c>
      <c r="AQ543" s="3" t="n">
        <v>0</v>
      </c>
      <c r="AR543" s="3" t="n">
        <v>0</v>
      </c>
      <c r="AS543" s="3" t="n">
        <v>0</v>
      </c>
      <c r="AT543" s="3" t="n">
        <v>0</v>
      </c>
      <c r="AU543" s="3">
        <f>SUM(AN543:AT543)</f>
        <v/>
      </c>
      <c r="AV543" s="7">
        <f>IF(OR(N(W543)&lt;=0,N(BG543)=0),0,N(W543)*IF(N(R543)/N(W543)&gt;=60,N(BG543),1))</f>
        <v/>
      </c>
      <c r="AW543" s="7">
        <f>N(W543)*N(AF543)*N(BH543)</f>
        <v/>
      </c>
      <c r="AX543" s="7">
        <f>N(AL543)*(Assumptions!$B$13*N(BJ543)-(1-Assumptions!$B$13)*Assumptions!$B$14)+N(AM543)</f>
        <v/>
      </c>
      <c r="AY543" s="7">
        <f>N(AU543)*N(R543)/90+N(AV543)+N(AW543)+N(AX543)</f>
        <v/>
      </c>
      <c r="AZ543" s="3">
        <f>IF(N(R543)&lt;=0,0,(N(AY543)-N(AX543))*90/N(R543))</f>
        <v/>
      </c>
      <c r="BA543" s="7">
        <f>IFERROR(AY543-VLOOKUP($E543,Assumptions!$A$40:$C$43,3,FALSE),"")</f>
        <v/>
      </c>
      <c r="BB543" s="3">
        <f>IFERROR(BA543/H543,"")</f>
        <v/>
      </c>
      <c r="BC543">
        <f>IF(AND($G543=TRUE,$E543="GKP"),AY543,"")</f>
        <v/>
      </c>
      <c r="BD543">
        <f>IF(AND($G543=TRUE,$E543="DEF"),AY543,"")</f>
        <v/>
      </c>
      <c r="BE543">
        <f>IF(AND($G543=TRUE,$E543="MID"),AY543,"")</f>
        <v/>
      </c>
      <c r="BF543">
        <f>IF(AND($G543=TRUE,$E543="FWD"),AY543,"")</f>
        <v/>
      </c>
      <c r="BG543" t="n">
        <v>0</v>
      </c>
      <c r="BH543" t="n">
        <v>0</v>
      </c>
      <c r="BI543" t="n">
        <v>0</v>
      </c>
      <c r="BJ543" t="n">
        <v>0</v>
      </c>
    </row>
    <row r="544">
      <c r="A544" t="inlineStr">
        <is>
          <t>Dara O'Shea</t>
        </is>
      </c>
      <c r="B544" t="inlineStr">
        <is>
          <t>IPS</t>
        </is>
      </c>
      <c r="D544" t="b">
        <v>0</v>
      </c>
      <c r="E544" t="inlineStr">
        <is>
          <t>DEF</t>
        </is>
      </c>
      <c r="G544" t="b">
        <v>1</v>
      </c>
      <c r="H544" s="2" t="n">
        <v>4</v>
      </c>
      <c r="I544" t="inlineStr">
        <is>
          <t>a</t>
        </is>
      </c>
      <c r="K544" s="2" t="n"/>
      <c r="M544" s="3" t="n">
        <v>3232</v>
      </c>
      <c r="N544" s="8" t="n">
        <v>3232</v>
      </c>
      <c r="O544" s="8" t="n">
        <v>0</v>
      </c>
      <c r="Q544" t="inlineStr">
        <is>
          <t>flat</t>
        </is>
      </c>
      <c r="R544" s="6" t="n">
        <v>3232</v>
      </c>
      <c r="S544" t="inlineStr">
        <is>
          <t>Solio</t>
        </is>
      </c>
      <c r="U544" s="6" t="n">
        <v>85</v>
      </c>
      <c r="V544" s="2" t="n"/>
      <c r="W544" s="7">
        <f>IF(N(U544)&lt;=0,0,MIN(Assumptions!$B$15,N(R544)/N(U544)))</f>
        <v/>
      </c>
      <c r="X544" s="6" t="n">
        <v>0.17</v>
      </c>
      <c r="Y544" s="3" t="n"/>
      <c r="Z544" t="inlineStr"/>
      <c r="AA544" s="3" t="n">
        <v>1</v>
      </c>
      <c r="AB544" s="3" t="n"/>
      <c r="AC544" s="3" t="n"/>
      <c r="AD544" s="3" t="n"/>
      <c r="AE544" s="3" t="n"/>
      <c r="AF544" s="3" t="n">
        <v>0</v>
      </c>
      <c r="AG544" s="3" t="n"/>
      <c r="AH544" s="3" t="n"/>
      <c r="AI544" s="3" t="n">
        <v>3.5741</v>
      </c>
      <c r="AJ544" s="3" t="n">
        <v>1.8319</v>
      </c>
      <c r="AK544" s="3" t="n">
        <v>-0.1930079917092188</v>
      </c>
      <c r="AL544" s="6" t="n">
        <v>0</v>
      </c>
      <c r="AM544" s="3" t="n">
        <v>0</v>
      </c>
      <c r="AN544" s="3" t="n">
        <v>0</v>
      </c>
      <c r="AO544" s="3" t="n">
        <v>0</v>
      </c>
      <c r="AP544" s="3">
        <f>N(X544)*N(BI544)</f>
        <v/>
      </c>
      <c r="AQ544" s="3" t="n">
        <v>0</v>
      </c>
      <c r="AR544" s="3" t="n">
        <v>0</v>
      </c>
      <c r="AS544" s="3" t="n">
        <v>-0.6723587286814016</v>
      </c>
      <c r="AT544" s="3" t="n">
        <v>-0.1930079917092188</v>
      </c>
      <c r="AU544" s="3">
        <f>SUM(AN544:AT544)</f>
        <v/>
      </c>
      <c r="AV544" s="7">
        <f>IF(OR(N(W544)&lt;=0,N(BG544)=0),0,N(W544)*IF(N(R544)/N(W544)&gt;=60,N(BG544),1))</f>
        <v/>
      </c>
      <c r="AW544" s="7">
        <f>N(W544)*N(AF544)*N(BH544)</f>
        <v/>
      </c>
      <c r="AX544" s="7">
        <f>N(AL544)*(Assumptions!$B$13*N(BJ544)-(1-Assumptions!$B$13)*Assumptions!$B$14)+N(AM544)</f>
        <v/>
      </c>
      <c r="AY544" s="7">
        <f>N(AU544)*N(R544)/90+N(AV544)+N(AW544)+N(AX544)</f>
        <v/>
      </c>
      <c r="AZ544" s="3">
        <f>IF(N(R544)&lt;=0,0,(N(AY544)-N(AX544))*90/N(R544))</f>
        <v/>
      </c>
      <c r="BA544" s="7">
        <f>IFERROR(AY544-VLOOKUP($E544,Assumptions!$A$40:$C$43,3,FALSE),"")</f>
        <v/>
      </c>
      <c r="BB544" s="3">
        <f>IFERROR(BA544/H544,"")</f>
        <v/>
      </c>
      <c r="BC544">
        <f>IF(AND($G544=TRUE,$E544="GKP"),AY544,"")</f>
        <v/>
      </c>
      <c r="BD544">
        <f>IF(AND($G544=TRUE,$E544="DEF"),AY544,"")</f>
        <v/>
      </c>
      <c r="BE544">
        <f>IF(AND($G544=TRUE,$E544="MID"),AY544,"")</f>
        <v/>
      </c>
      <c r="BF544">
        <f>IF(AND($G544=TRUE,$E544="FWD"),AY544,"")</f>
        <v/>
      </c>
      <c r="BG544" t="n">
        <v>2</v>
      </c>
      <c r="BH544" t="n">
        <v>2</v>
      </c>
      <c r="BI544" t="n">
        <v>4</v>
      </c>
      <c r="BJ544" t="n">
        <v>6</v>
      </c>
    </row>
    <row r="545">
      <c r="A545" t="inlineStr">
        <is>
          <t>Samuel Chukwueze</t>
        </is>
      </c>
      <c r="C545" t="inlineStr">
        <is>
          <t>FUL</t>
        </is>
      </c>
      <c r="D545" t="b">
        <v>0</v>
      </c>
      <c r="F545" t="inlineStr">
        <is>
          <t>MID</t>
        </is>
      </c>
      <c r="G545" t="b">
        <v>0</v>
      </c>
      <c r="H545" s="2" t="n"/>
      <c r="K545" s="2" t="n">
        <v>1075</v>
      </c>
      <c r="M545" s="3" t="n"/>
      <c r="N545" s="8" t="n">
        <v>1075</v>
      </c>
      <c r="O545" s="8" t="n">
        <v>0</v>
      </c>
      <c r="R545" s="6" t="n">
        <v>1075</v>
      </c>
      <c r="S545" t="inlineStr">
        <is>
          <t>25/26 actual</t>
        </is>
      </c>
      <c r="U545" s="6" t="n">
        <v>77.3</v>
      </c>
      <c r="V545" s="2" t="n">
        <v>10</v>
      </c>
      <c r="W545" s="7">
        <f>IF(N(U545)&lt;=0,0,MIN(Assumptions!$B$15,N(R545)/N(U545)))</f>
        <v/>
      </c>
      <c r="X545" s="6" t="n"/>
      <c r="Y545" s="3" t="n">
        <v>0.1932</v>
      </c>
      <c r="Z545" t="inlineStr">
        <is>
          <t>adjusted xGOT</t>
        </is>
      </c>
      <c r="AA545" s="3" t="n">
        <v>1</v>
      </c>
      <c r="AB545" s="3" t="n">
        <v>1.099</v>
      </c>
      <c r="AC545" s="3" t="n">
        <v>2.1</v>
      </c>
      <c r="AD545" s="3" t="n">
        <v>0.2374</v>
      </c>
      <c r="AE545" s="3" t="n">
        <v>7.535</v>
      </c>
      <c r="AF545" s="3" t="n">
        <v>0</v>
      </c>
      <c r="AG545" s="3" t="n">
        <v>0.1674</v>
      </c>
      <c r="AH545" s="3" t="n">
        <v>32</v>
      </c>
      <c r="AI545" s="3" t="n"/>
      <c r="AJ545" s="3" t="n"/>
      <c r="AK545" s="3" t="n"/>
      <c r="AL545" s="6" t="n">
        <v>0</v>
      </c>
      <c r="AM545" s="3" t="n">
        <v>0</v>
      </c>
      <c r="AN545" s="3" t="n">
        <v>0</v>
      </c>
      <c r="AO545" s="3" t="n">
        <v>0</v>
      </c>
      <c r="AP545" s="3">
        <f>N(X545)*N(BI545)</f>
        <v/>
      </c>
      <c r="AQ545" s="3" t="n">
        <v>0</v>
      </c>
      <c r="AR545" s="3" t="n">
        <v>0</v>
      </c>
      <c r="AS545" s="3" t="n">
        <v>0</v>
      </c>
      <c r="AT545" s="3" t="n">
        <v>0</v>
      </c>
      <c r="AU545" s="3">
        <f>SUM(AN545:AT545)</f>
        <v/>
      </c>
      <c r="AV545" s="7">
        <f>IF(OR(N(W545)&lt;=0,N(BG545)=0),0,N(W545)*IF(N(R545)/N(W545)&gt;=60,N(BG545),1))</f>
        <v/>
      </c>
      <c r="AW545" s="7">
        <f>N(W545)*N(AF545)*N(BH545)</f>
        <v/>
      </c>
      <c r="AX545" s="7">
        <f>N(AL545)*(Assumptions!$B$13*N(BJ545)-(1-Assumptions!$B$13)*Assumptions!$B$14)+N(AM545)</f>
        <v/>
      </c>
      <c r="AY545" s="7">
        <f>N(AU545)*N(R545)/90+N(AV545)+N(AW545)+N(AX545)</f>
        <v/>
      </c>
      <c r="AZ545" s="3">
        <f>IF(N(R545)&lt;=0,0,(N(AY545)-N(AX545))*90/N(R545))</f>
        <v/>
      </c>
      <c r="BA545" s="7">
        <f>IFERROR(AY545-VLOOKUP($E545,Assumptions!$A$40:$C$43,3,FALSE),"")</f>
        <v/>
      </c>
      <c r="BB545" s="3">
        <f>IFERROR(BA545/H545,"")</f>
        <v/>
      </c>
      <c r="BC545">
        <f>IF(AND($G545=TRUE,$E545="GKP"),AY545,"")</f>
        <v/>
      </c>
      <c r="BD545">
        <f>IF(AND($G545=TRUE,$E545="DEF"),AY545,"")</f>
        <v/>
      </c>
      <c r="BE545">
        <f>IF(AND($G545=TRUE,$E545="MID"),AY545,"")</f>
        <v/>
      </c>
      <c r="BF545">
        <f>IF(AND($G545=TRUE,$E545="FWD"),AY545,"")</f>
        <v/>
      </c>
      <c r="BG545" t="n">
        <v>0</v>
      </c>
      <c r="BH545" t="n">
        <v>0</v>
      </c>
      <c r="BI545" t="n">
        <v>0</v>
      </c>
      <c r="BJ545" t="n">
        <v>0</v>
      </c>
    </row>
    <row r="546">
      <c r="A546" t="inlineStr">
        <is>
          <t>Ellis Simms</t>
        </is>
      </c>
      <c r="B546" t="inlineStr">
        <is>
          <t>COV</t>
        </is>
      </c>
      <c r="D546" t="b">
        <v>0</v>
      </c>
      <c r="E546" t="inlineStr">
        <is>
          <t>FWD</t>
        </is>
      </c>
      <c r="G546" t="b">
        <v>1</v>
      </c>
      <c r="H546" s="2" t="n">
        <v>5</v>
      </c>
      <c r="I546" t="inlineStr">
        <is>
          <t>a</t>
        </is>
      </c>
      <c r="K546" s="2" t="n"/>
      <c r="M546" s="3" t="n">
        <v>744</v>
      </c>
      <c r="N546" s="8" t="n">
        <v>744</v>
      </c>
      <c r="O546" s="8" t="n">
        <v>0</v>
      </c>
      <c r="Q546" t="inlineStr">
        <is>
          <t>fade (losing his place)</t>
        </is>
      </c>
      <c r="R546" s="6" t="n">
        <v>744</v>
      </c>
      <c r="S546" t="inlineStr">
        <is>
          <t>Solio</t>
        </is>
      </c>
      <c r="U546" s="6" t="n">
        <v>85</v>
      </c>
      <c r="V546" s="2" t="n"/>
      <c r="W546" s="7">
        <f>IF(N(U546)&lt;=0,0,MIN(Assumptions!$B$15,N(R546)/N(U546)))</f>
        <v/>
      </c>
      <c r="X546" s="6" t="n">
        <v>0.17</v>
      </c>
      <c r="Y546" s="3" t="n"/>
      <c r="Z546" t="inlineStr"/>
      <c r="AA546" s="3" t="n">
        <v>1</v>
      </c>
      <c r="AB546" s="3" t="n"/>
      <c r="AC546" s="3" t="n"/>
      <c r="AD546" s="3" t="n"/>
      <c r="AE546" s="3" t="n"/>
      <c r="AF546" s="3" t="n">
        <v>0</v>
      </c>
      <c r="AG546" s="3" t="n"/>
      <c r="AH546" s="3" t="n"/>
      <c r="AI546" s="3" t="n">
        <v>3.6194</v>
      </c>
      <c r="AJ546" s="3" t="n">
        <v>1.8271</v>
      </c>
      <c r="AK546" s="3" t="n">
        <v>-0.174691292596322</v>
      </c>
      <c r="AL546" s="6" t="n">
        <v>0</v>
      </c>
      <c r="AM546" s="3" t="n">
        <v>0</v>
      </c>
      <c r="AN546" s="3" t="n">
        <v>0</v>
      </c>
      <c r="AO546" s="3" t="n">
        <v>0</v>
      </c>
      <c r="AP546" s="3">
        <f>N(X546)*N(BI546)</f>
        <v/>
      </c>
      <c r="AQ546" s="3" t="n">
        <v>0</v>
      </c>
      <c r="AR546" s="3" t="n">
        <v>0</v>
      </c>
      <c r="AS546" s="3" t="n">
        <v>-0</v>
      </c>
      <c r="AT546" s="3" t="n">
        <v>-0.174691292596322</v>
      </c>
      <c r="AU546" s="3">
        <f>SUM(AN546:AT546)</f>
        <v/>
      </c>
      <c r="AV546" s="7">
        <f>IF(OR(N(W546)&lt;=0,N(BG546)=0),0,N(W546)*IF(N(R546)/N(W546)&gt;=60,N(BG546),1))</f>
        <v/>
      </c>
      <c r="AW546" s="7">
        <f>N(W546)*N(AF546)*N(BH546)</f>
        <v/>
      </c>
      <c r="AX546" s="7">
        <f>N(AL546)*(Assumptions!$B$13*N(BJ546)-(1-Assumptions!$B$13)*Assumptions!$B$14)+N(AM546)</f>
        <v/>
      </c>
      <c r="AY546" s="7">
        <f>N(AU546)*N(R546)/90+N(AV546)+N(AW546)+N(AX546)</f>
        <v/>
      </c>
      <c r="AZ546" s="3">
        <f>IF(N(R546)&lt;=0,0,(N(AY546)-N(AX546))*90/N(R546))</f>
        <v/>
      </c>
      <c r="BA546" s="7">
        <f>IFERROR(AY546-VLOOKUP($E546,Assumptions!$A$40:$C$43,3,FALSE),"")</f>
        <v/>
      </c>
      <c r="BB546" s="3">
        <f>IFERROR(BA546/H546,"")</f>
        <v/>
      </c>
      <c r="BC546">
        <f>IF(AND($G546=TRUE,$E546="GKP"),AY546,"")</f>
        <v/>
      </c>
      <c r="BD546">
        <f>IF(AND($G546=TRUE,$E546="DEF"),AY546,"")</f>
        <v/>
      </c>
      <c r="BE546">
        <f>IF(AND($G546=TRUE,$E546="MID"),AY546,"")</f>
        <v/>
      </c>
      <c r="BF546">
        <f>IF(AND($G546=TRUE,$E546="FWD"),AY546,"")</f>
        <v/>
      </c>
      <c r="BG546" t="n">
        <v>2</v>
      </c>
      <c r="BH546" t="n">
        <v>2</v>
      </c>
      <c r="BI546" t="n">
        <v>0</v>
      </c>
      <c r="BJ546" t="n">
        <v>4</v>
      </c>
    </row>
    <row r="547">
      <c r="A547" t="inlineStr">
        <is>
          <t>Luke Woolfenden</t>
        </is>
      </c>
      <c r="B547" t="inlineStr">
        <is>
          <t>COV</t>
        </is>
      </c>
      <c r="D547" t="b">
        <v>0</v>
      </c>
      <c r="E547" t="inlineStr">
        <is>
          <t>DEF</t>
        </is>
      </c>
      <c r="G547" t="b">
        <v>1</v>
      </c>
      <c r="H547" s="2" t="n">
        <v>4</v>
      </c>
      <c r="I547" t="inlineStr">
        <is>
          <t>a</t>
        </is>
      </c>
      <c r="K547" s="2" t="n"/>
      <c r="M547" s="3" t="n">
        <v>270</v>
      </c>
      <c r="N547" s="8" t="n">
        <v>270</v>
      </c>
      <c r="O547" s="8" t="n">
        <v>0</v>
      </c>
      <c r="Q547" t="inlineStr">
        <is>
          <t>flat</t>
        </is>
      </c>
      <c r="R547" s="6" t="n">
        <v>270</v>
      </c>
      <c r="S547" t="inlineStr">
        <is>
          <t>Solio</t>
        </is>
      </c>
      <c r="U547" s="6" t="n">
        <v>85</v>
      </c>
      <c r="V547" s="2" t="n"/>
      <c r="W547" s="7">
        <f>IF(N(U547)&lt;=0,0,MIN(Assumptions!$B$15,N(R547)/N(U547)))</f>
        <v/>
      </c>
      <c r="X547" s="6" t="n">
        <v>0.17</v>
      </c>
      <c r="Y547" s="3" t="n"/>
      <c r="Z547" t="inlineStr"/>
      <c r="AA547" s="3" t="n">
        <v>1</v>
      </c>
      <c r="AB547" s="3" t="n"/>
      <c r="AC547" s="3" t="n"/>
      <c r="AD547" s="3" t="n"/>
      <c r="AE547" s="3" t="n"/>
      <c r="AF547" s="3" t="n">
        <v>0</v>
      </c>
      <c r="AG547" s="3" t="n"/>
      <c r="AH547" s="3" t="n"/>
      <c r="AI547" s="3" t="n">
        <v>3.6194</v>
      </c>
      <c r="AJ547" s="3" t="n">
        <v>1.8271</v>
      </c>
      <c r="AK547" s="3" t="n">
        <v>-0.1940389217566572</v>
      </c>
      <c r="AL547" s="6" t="n">
        <v>0</v>
      </c>
      <c r="AM547" s="3" t="n">
        <v>0</v>
      </c>
      <c r="AN547" s="3" t="n">
        <v>0</v>
      </c>
      <c r="AO547" s="3" t="n">
        <v>0</v>
      </c>
      <c r="AP547" s="3">
        <f>N(X547)*N(BI547)</f>
        <v/>
      </c>
      <c r="AQ547" s="3" t="n">
        <v>0</v>
      </c>
      <c r="AR547" s="3" t="n">
        <v>0</v>
      </c>
      <c r="AS547" s="3" t="n">
        <v>-0.670020548738316</v>
      </c>
      <c r="AT547" s="3" t="n">
        <v>-0.1940389217566572</v>
      </c>
      <c r="AU547" s="3">
        <f>SUM(AN547:AT547)</f>
        <v/>
      </c>
      <c r="AV547" s="7">
        <f>IF(OR(N(W547)&lt;=0,N(BG547)=0),0,N(W547)*IF(N(R547)/N(W547)&gt;=60,N(BG547),1))</f>
        <v/>
      </c>
      <c r="AW547" s="7">
        <f>N(W547)*N(AF547)*N(BH547)</f>
        <v/>
      </c>
      <c r="AX547" s="7">
        <f>N(AL547)*(Assumptions!$B$13*N(BJ547)-(1-Assumptions!$B$13)*Assumptions!$B$14)+N(AM547)</f>
        <v/>
      </c>
      <c r="AY547" s="7">
        <f>N(AU547)*N(R547)/90+N(AV547)+N(AW547)+N(AX547)</f>
        <v/>
      </c>
      <c r="AZ547" s="3">
        <f>IF(N(R547)&lt;=0,0,(N(AY547)-N(AX547))*90/N(R547))</f>
        <v/>
      </c>
      <c r="BA547" s="7">
        <f>IFERROR(AY547-VLOOKUP($E547,Assumptions!$A$40:$C$43,3,FALSE),"")</f>
        <v/>
      </c>
      <c r="BB547" s="3">
        <f>IFERROR(BA547/H547,"")</f>
        <v/>
      </c>
      <c r="BC547">
        <f>IF(AND($G547=TRUE,$E547="GKP"),AY547,"")</f>
        <v/>
      </c>
      <c r="BD547">
        <f>IF(AND($G547=TRUE,$E547="DEF"),AY547,"")</f>
        <v/>
      </c>
      <c r="BE547">
        <f>IF(AND($G547=TRUE,$E547="MID"),AY547,"")</f>
        <v/>
      </c>
      <c r="BF547">
        <f>IF(AND($G547=TRUE,$E547="FWD"),AY547,"")</f>
        <v/>
      </c>
      <c r="BG547" t="n">
        <v>2</v>
      </c>
      <c r="BH547" t="n">
        <v>2</v>
      </c>
      <c r="BI547" t="n">
        <v>4</v>
      </c>
      <c r="BJ547" t="n">
        <v>6</v>
      </c>
    </row>
    <row r="548">
      <c r="A548" t="inlineStr">
        <is>
          <t>Ben Johnson</t>
        </is>
      </c>
      <c r="B548" t="inlineStr">
        <is>
          <t>IPS</t>
        </is>
      </c>
      <c r="D548" t="b">
        <v>0</v>
      </c>
      <c r="E548" t="inlineStr">
        <is>
          <t>DEF</t>
        </is>
      </c>
      <c r="G548" t="b">
        <v>1</v>
      </c>
      <c r="H548" s="2" t="n">
        <v>4</v>
      </c>
      <c r="I548" t="inlineStr">
        <is>
          <t>a</t>
        </is>
      </c>
      <c r="K548" s="2" t="n"/>
      <c r="M548" s="3" t="n">
        <v>382</v>
      </c>
      <c r="N548" s="8" t="n">
        <v>382</v>
      </c>
      <c r="O548" s="8" t="n">
        <v>0</v>
      </c>
      <c r="Q548" t="inlineStr">
        <is>
          <t>flat</t>
        </is>
      </c>
      <c r="R548" s="6" t="n">
        <v>382</v>
      </c>
      <c r="S548" t="inlineStr">
        <is>
          <t>Solio</t>
        </is>
      </c>
      <c r="U548" s="6" t="n">
        <v>85</v>
      </c>
      <c r="V548" s="2" t="n"/>
      <c r="W548" s="7">
        <f>IF(N(U548)&lt;=0,0,MIN(Assumptions!$B$15,N(R548)/N(U548)))</f>
        <v/>
      </c>
      <c r="X548" s="6" t="n">
        <v>0.17</v>
      </c>
      <c r="Y548" s="3" t="n"/>
      <c r="Z548" t="inlineStr"/>
      <c r="AA548" s="3" t="n">
        <v>1</v>
      </c>
      <c r="AB548" s="3" t="n"/>
      <c r="AC548" s="3" t="n"/>
      <c r="AD548" s="3" t="n"/>
      <c r="AE548" s="3" t="n"/>
      <c r="AF548" s="3" t="n">
        <v>0</v>
      </c>
      <c r="AG548" s="3" t="n"/>
      <c r="AH548" s="3" t="n"/>
      <c r="AI548" s="3" t="n">
        <v>3.5741</v>
      </c>
      <c r="AJ548" s="3" t="n">
        <v>1.8319</v>
      </c>
      <c r="AK548" s="3" t="n">
        <v>-0.2087847133313149</v>
      </c>
      <c r="AL548" s="6" t="n">
        <v>0</v>
      </c>
      <c r="AM548" s="3" t="n">
        <v>0</v>
      </c>
      <c r="AN548" s="3" t="n">
        <v>0</v>
      </c>
      <c r="AO548" s="3" t="n">
        <v>0</v>
      </c>
      <c r="AP548" s="3">
        <f>N(X548)*N(BI548)</f>
        <v/>
      </c>
      <c r="AQ548" s="3" t="n">
        <v>0</v>
      </c>
      <c r="AR548" s="3" t="n">
        <v>0</v>
      </c>
      <c r="AS548" s="3" t="n">
        <v>-0.6723587286814016</v>
      </c>
      <c r="AT548" s="3" t="n">
        <v>-0.2087847133313149</v>
      </c>
      <c r="AU548" s="3">
        <f>SUM(AN548:AT548)</f>
        <v/>
      </c>
      <c r="AV548" s="7">
        <f>IF(OR(N(W548)&lt;=0,N(BG548)=0),0,N(W548)*IF(N(R548)/N(W548)&gt;=60,N(BG548),1))</f>
        <v/>
      </c>
      <c r="AW548" s="7">
        <f>N(W548)*N(AF548)*N(BH548)</f>
        <v/>
      </c>
      <c r="AX548" s="7">
        <f>N(AL548)*(Assumptions!$B$13*N(BJ548)-(1-Assumptions!$B$13)*Assumptions!$B$14)+N(AM548)</f>
        <v/>
      </c>
      <c r="AY548" s="7">
        <f>N(AU548)*N(R548)/90+N(AV548)+N(AW548)+N(AX548)</f>
        <v/>
      </c>
      <c r="AZ548" s="3">
        <f>IF(N(R548)&lt;=0,0,(N(AY548)-N(AX548))*90/N(R548))</f>
        <v/>
      </c>
      <c r="BA548" s="7">
        <f>IFERROR(AY548-VLOOKUP($E548,Assumptions!$A$40:$C$43,3,FALSE),"")</f>
        <v/>
      </c>
      <c r="BB548" s="3">
        <f>IFERROR(BA548/H548,"")</f>
        <v/>
      </c>
      <c r="BC548">
        <f>IF(AND($G548=TRUE,$E548="GKP"),AY548,"")</f>
        <v/>
      </c>
      <c r="BD548">
        <f>IF(AND($G548=TRUE,$E548="DEF"),AY548,"")</f>
        <v/>
      </c>
      <c r="BE548">
        <f>IF(AND($G548=TRUE,$E548="MID"),AY548,"")</f>
        <v/>
      </c>
      <c r="BF548">
        <f>IF(AND($G548=TRUE,$E548="FWD"),AY548,"")</f>
        <v/>
      </c>
      <c r="BG548" t="n">
        <v>2</v>
      </c>
      <c r="BH548" t="n">
        <v>2</v>
      </c>
      <c r="BI548" t="n">
        <v>4</v>
      </c>
      <c r="BJ548" t="n">
        <v>6</v>
      </c>
    </row>
    <row r="549">
      <c r="A549" t="inlineStr">
        <is>
          <t>George Hirst</t>
        </is>
      </c>
      <c r="B549" t="inlineStr">
        <is>
          <t>IPS</t>
        </is>
      </c>
      <c r="D549" t="b">
        <v>0</v>
      </c>
      <c r="E549" t="inlineStr">
        <is>
          <t>FWD</t>
        </is>
      </c>
      <c r="G549" t="b">
        <v>1</v>
      </c>
      <c r="H549" s="2" t="n">
        <v>5</v>
      </c>
      <c r="I549" t="inlineStr">
        <is>
          <t>a</t>
        </is>
      </c>
      <c r="K549" s="2" t="n"/>
      <c r="M549" s="3" t="n">
        <v>448</v>
      </c>
      <c r="N549" s="8" t="n">
        <v>448</v>
      </c>
      <c r="O549" s="8" t="n">
        <v>0</v>
      </c>
      <c r="Q549" t="inlineStr">
        <is>
          <t>flat</t>
        </is>
      </c>
      <c r="R549" s="6" t="n">
        <v>448</v>
      </c>
      <c r="S549" t="inlineStr">
        <is>
          <t>Solio</t>
        </is>
      </c>
      <c r="U549" s="6" t="n">
        <v>85</v>
      </c>
      <c r="V549" s="2" t="n"/>
      <c r="W549" s="7">
        <f>IF(N(U549)&lt;=0,0,MIN(Assumptions!$B$15,N(R549)/N(U549)))</f>
        <v/>
      </c>
      <c r="X549" s="6" t="n">
        <v>0.17</v>
      </c>
      <c r="Y549" s="3" t="n"/>
      <c r="Z549" t="inlineStr"/>
      <c r="AA549" s="3" t="n">
        <v>1</v>
      </c>
      <c r="AB549" s="3" t="n"/>
      <c r="AC549" s="3" t="n"/>
      <c r="AD549" s="3" t="n"/>
      <c r="AE549" s="3" t="n"/>
      <c r="AF549" s="3" t="n">
        <v>0</v>
      </c>
      <c r="AG549" s="3" t="n"/>
      <c r="AH549" s="3" t="n"/>
      <c r="AI549" s="3" t="n">
        <v>3.5741</v>
      </c>
      <c r="AJ549" s="3" t="n">
        <v>1.8319</v>
      </c>
      <c r="AK549" s="3" t="n">
        <v>-0.2288203642589416</v>
      </c>
      <c r="AL549" s="6" t="n">
        <v>0.092526340607123</v>
      </c>
      <c r="AM549" s="3" t="n">
        <v>0</v>
      </c>
      <c r="AN549" s="3" t="n">
        <v>0</v>
      </c>
      <c r="AO549" s="3" t="n">
        <v>0</v>
      </c>
      <c r="AP549" s="3">
        <f>N(X549)*N(BI549)</f>
        <v/>
      </c>
      <c r="AQ549" s="3" t="n">
        <v>0</v>
      </c>
      <c r="AR549" s="3" t="n">
        <v>0</v>
      </c>
      <c r="AS549" s="3" t="n">
        <v>-0</v>
      </c>
      <c r="AT549" s="3" t="n">
        <v>-0.2288203642589416</v>
      </c>
      <c r="AU549" s="3">
        <f>SUM(AN549:AT549)</f>
        <v/>
      </c>
      <c r="AV549" s="7">
        <f>IF(OR(N(W549)&lt;=0,N(BG549)=0),0,N(W549)*IF(N(R549)/N(W549)&gt;=60,N(BG549),1))</f>
        <v/>
      </c>
      <c r="AW549" s="7">
        <f>N(W549)*N(AF549)*N(BH549)</f>
        <v/>
      </c>
      <c r="AX549" s="7">
        <f>N(AL549)*(Assumptions!$B$13*N(BJ549)-(1-Assumptions!$B$13)*Assumptions!$B$14)+N(AM549)</f>
        <v/>
      </c>
      <c r="AY549" s="7">
        <f>N(AU549)*N(R549)/90+N(AV549)+N(AW549)+N(AX549)</f>
        <v/>
      </c>
      <c r="AZ549" s="3">
        <f>IF(N(R549)&lt;=0,0,(N(AY549)-N(AX549))*90/N(R549))</f>
        <v/>
      </c>
      <c r="BA549" s="7">
        <f>IFERROR(AY549-VLOOKUP($E549,Assumptions!$A$40:$C$43,3,FALSE),"")</f>
        <v/>
      </c>
      <c r="BB549" s="3">
        <f>IFERROR(BA549/H549,"")</f>
        <v/>
      </c>
      <c r="BC549">
        <f>IF(AND($G549=TRUE,$E549="GKP"),AY549,"")</f>
        <v/>
      </c>
      <c r="BD549">
        <f>IF(AND($G549=TRUE,$E549="DEF"),AY549,"")</f>
        <v/>
      </c>
      <c r="BE549">
        <f>IF(AND($G549=TRUE,$E549="MID"),AY549,"")</f>
        <v/>
      </c>
      <c r="BF549">
        <f>IF(AND($G549=TRUE,$E549="FWD"),AY549,"")</f>
        <v/>
      </c>
      <c r="BG549" t="n">
        <v>2</v>
      </c>
      <c r="BH549" t="n">
        <v>2</v>
      </c>
      <c r="BI549" t="n">
        <v>0</v>
      </c>
      <c r="BJ549" t="n">
        <v>4</v>
      </c>
    </row>
    <row r="550">
      <c r="A550" t="inlineStr">
        <is>
          <t>Tyrell Malacia</t>
        </is>
      </c>
      <c r="C550" t="inlineStr">
        <is>
          <t>MUN</t>
        </is>
      </c>
      <c r="D550" t="b">
        <v>0</v>
      </c>
      <c r="F550" t="inlineStr">
        <is>
          <t>DEF</t>
        </is>
      </c>
      <c r="G550" t="b">
        <v>0</v>
      </c>
      <c r="H550" s="2" t="n"/>
      <c r="K550" s="2" t="n">
        <v>15</v>
      </c>
      <c r="M550" s="3" t="n"/>
      <c r="N550" s="8" t="n">
        <v>15</v>
      </c>
      <c r="O550" s="8" t="n">
        <v>0</v>
      </c>
      <c r="R550" s="6" t="n">
        <v>15</v>
      </c>
      <c r="S550" t="inlineStr">
        <is>
          <t>25/26 actual</t>
        </is>
      </c>
      <c r="U550" s="6" t="n">
        <v>85.5</v>
      </c>
      <c r="V550" s="2" t="n">
        <v>0</v>
      </c>
      <c r="W550" s="7">
        <f>IF(N(U550)&lt;=0,0,MIN(Assumptions!$B$15,N(R550)/N(U550)))</f>
        <v/>
      </c>
      <c r="X550" s="6" t="n"/>
      <c r="Y550" s="3" t="n">
        <v>0</v>
      </c>
      <c r="Z550" t="inlineStr">
        <is>
          <t>adjusted xGOT</t>
        </is>
      </c>
      <c r="AA550" s="3" t="n">
        <v>1</v>
      </c>
      <c r="AB550" s="3" t="n">
        <v>0.984</v>
      </c>
      <c r="AC550" s="3" t="n">
        <v>0.2</v>
      </c>
      <c r="AD550" s="3" t="n"/>
      <c r="AE550" s="3" t="n">
        <v>8.018000000000001</v>
      </c>
      <c r="AF550" s="3" t="n">
        <v>0</v>
      </c>
      <c r="AG550" s="3" t="n">
        <v>0</v>
      </c>
      <c r="AH550" s="3" t="n">
        <v>3</v>
      </c>
      <c r="AI550" s="3" t="n"/>
      <c r="AJ550" s="3" t="n"/>
      <c r="AK550" s="3" t="n"/>
      <c r="AL550" s="6" t="n">
        <v>0</v>
      </c>
      <c r="AM550" s="3" t="n">
        <v>0</v>
      </c>
      <c r="AN550" s="3" t="n">
        <v>0</v>
      </c>
      <c r="AO550" s="3" t="n">
        <v>0</v>
      </c>
      <c r="AP550" s="3">
        <f>N(X550)*N(BI550)</f>
        <v/>
      </c>
      <c r="AQ550" s="3" t="n">
        <v>0</v>
      </c>
      <c r="AR550" s="3" t="n">
        <v>0</v>
      </c>
      <c r="AS550" s="3" t="n">
        <v>0</v>
      </c>
      <c r="AT550" s="3" t="n">
        <v>0</v>
      </c>
      <c r="AU550" s="3">
        <f>SUM(AN550:AT550)</f>
        <v/>
      </c>
      <c r="AV550" s="7">
        <f>IF(OR(N(W550)&lt;=0,N(BG550)=0),0,N(W550)*IF(N(R550)/N(W550)&gt;=60,N(BG550),1))</f>
        <v/>
      </c>
      <c r="AW550" s="7">
        <f>N(W550)*N(AF550)*N(BH550)</f>
        <v/>
      </c>
      <c r="AX550" s="7">
        <f>N(AL550)*(Assumptions!$B$13*N(BJ550)-(1-Assumptions!$B$13)*Assumptions!$B$14)+N(AM550)</f>
        <v/>
      </c>
      <c r="AY550" s="7">
        <f>N(AU550)*N(R550)/90+N(AV550)+N(AW550)+N(AX550)</f>
        <v/>
      </c>
      <c r="AZ550" s="3">
        <f>IF(N(R550)&lt;=0,0,(N(AY550)-N(AX550))*90/N(R550))</f>
        <v/>
      </c>
      <c r="BA550" s="7">
        <f>IFERROR(AY550-VLOOKUP($E550,Assumptions!$A$40:$C$43,3,FALSE),"")</f>
        <v/>
      </c>
      <c r="BB550" s="3">
        <f>IFERROR(BA550/H550,"")</f>
        <v/>
      </c>
      <c r="BC550">
        <f>IF(AND($G550=TRUE,$E550="GKP"),AY550,"")</f>
        <v/>
      </c>
      <c r="BD550">
        <f>IF(AND($G550=TRUE,$E550="DEF"),AY550,"")</f>
        <v/>
      </c>
      <c r="BE550">
        <f>IF(AND($G550=TRUE,$E550="MID"),AY550,"")</f>
        <v/>
      </c>
      <c r="BF550">
        <f>IF(AND($G550=TRUE,$E550="FWD"),AY550,"")</f>
        <v/>
      </c>
      <c r="BG550" t="n">
        <v>0</v>
      </c>
      <c r="BH550" t="n">
        <v>0</v>
      </c>
      <c r="BI550" t="n">
        <v>0</v>
      </c>
      <c r="BJ550" t="n">
        <v>0</v>
      </c>
    </row>
    <row r="551">
      <c r="A551" t="inlineStr">
        <is>
          <t>Dan Neil</t>
        </is>
      </c>
      <c r="C551" t="inlineStr">
        <is>
          <t>SUN</t>
        </is>
      </c>
      <c r="D551" t="b">
        <v>0</v>
      </c>
      <c r="F551" t="inlineStr">
        <is>
          <t>MID</t>
        </is>
      </c>
      <c r="G551" t="b">
        <v>0</v>
      </c>
      <c r="H551" s="2" t="n"/>
      <c r="K551" s="2" t="n">
        <v>13</v>
      </c>
      <c r="M551" s="3" t="n"/>
      <c r="N551" s="8" t="n">
        <v>13</v>
      </c>
      <c r="O551" s="8" t="n">
        <v>0</v>
      </c>
      <c r="R551" s="6" t="n">
        <v>13</v>
      </c>
      <c r="S551" t="inlineStr">
        <is>
          <t>25/26 actual</t>
        </is>
      </c>
      <c r="U551" s="6" t="n">
        <v>80.09999999999999</v>
      </c>
      <c r="V551" s="2" t="n">
        <v>0</v>
      </c>
      <c r="W551" s="7">
        <f>IF(N(U551)&lt;=0,0,MIN(Assumptions!$B$15,N(R551)/N(U551)))</f>
        <v/>
      </c>
      <c r="X551" s="6" t="n"/>
      <c r="Y551" s="3" t="n">
        <v>0</v>
      </c>
      <c r="Z551" t="inlineStr">
        <is>
          <t>blended xG</t>
        </is>
      </c>
      <c r="AA551" s="3" t="n">
        <v>1</v>
      </c>
      <c r="AB551" s="3" t="n">
        <v>1</v>
      </c>
      <c r="AC551" s="3" t="n">
        <v>0</v>
      </c>
      <c r="AD551" s="3" t="n">
        <v>0</v>
      </c>
      <c r="AE551" s="3" t="n">
        <v>8.67</v>
      </c>
      <c r="AF551" s="3" t="n">
        <v>0</v>
      </c>
      <c r="AG551" s="3" t="n">
        <v>0</v>
      </c>
      <c r="AH551" s="3" t="n">
        <v>3</v>
      </c>
      <c r="AI551" s="3" t="n"/>
      <c r="AJ551" s="3" t="n"/>
      <c r="AK551" s="3" t="n"/>
      <c r="AL551" s="6" t="n">
        <v>0</v>
      </c>
      <c r="AM551" s="3" t="n">
        <v>0</v>
      </c>
      <c r="AN551" s="3" t="n">
        <v>0</v>
      </c>
      <c r="AO551" s="3" t="n">
        <v>0</v>
      </c>
      <c r="AP551" s="3">
        <f>N(X551)*N(BI551)</f>
        <v/>
      </c>
      <c r="AQ551" s="3" t="n">
        <v>0</v>
      </c>
      <c r="AR551" s="3" t="n">
        <v>0</v>
      </c>
      <c r="AS551" s="3" t="n">
        <v>0</v>
      </c>
      <c r="AT551" s="3" t="n">
        <v>0</v>
      </c>
      <c r="AU551" s="3">
        <f>SUM(AN551:AT551)</f>
        <v/>
      </c>
      <c r="AV551" s="7">
        <f>IF(OR(N(W551)&lt;=0,N(BG551)=0),0,N(W551)*IF(N(R551)/N(W551)&gt;=60,N(BG551),1))</f>
        <v/>
      </c>
      <c r="AW551" s="7">
        <f>N(W551)*N(AF551)*N(BH551)</f>
        <v/>
      </c>
      <c r="AX551" s="7">
        <f>N(AL551)*(Assumptions!$B$13*N(BJ551)-(1-Assumptions!$B$13)*Assumptions!$B$14)+N(AM551)</f>
        <v/>
      </c>
      <c r="AY551" s="7">
        <f>N(AU551)*N(R551)/90+N(AV551)+N(AW551)+N(AX551)</f>
        <v/>
      </c>
      <c r="AZ551" s="3">
        <f>IF(N(R551)&lt;=0,0,(N(AY551)-N(AX551))*90/N(R551))</f>
        <v/>
      </c>
      <c r="BA551" s="7">
        <f>IFERROR(AY551-VLOOKUP($E551,Assumptions!$A$40:$C$43,3,FALSE),"")</f>
        <v/>
      </c>
      <c r="BB551" s="3">
        <f>IFERROR(BA551/H551,"")</f>
        <v/>
      </c>
      <c r="BC551">
        <f>IF(AND($G551=TRUE,$E551="GKP"),AY551,"")</f>
        <v/>
      </c>
      <c r="BD551">
        <f>IF(AND($G551=TRUE,$E551="DEF"),AY551,"")</f>
        <v/>
      </c>
      <c r="BE551">
        <f>IF(AND($G551=TRUE,$E551="MID"),AY551,"")</f>
        <v/>
      </c>
      <c r="BF551">
        <f>IF(AND($G551=TRUE,$E551="FWD"),AY551,"")</f>
        <v/>
      </c>
      <c r="BG551" t="n">
        <v>0</v>
      </c>
      <c r="BH551" t="n">
        <v>0</v>
      </c>
      <c r="BI551" t="n">
        <v>0</v>
      </c>
      <c r="BJ551" t="n">
        <v>0</v>
      </c>
    </row>
    <row r="552">
      <c r="A552" t="inlineStr">
        <is>
          <t>Takehiro Tomiyasu</t>
        </is>
      </c>
      <c r="B552" t="inlineStr">
        <is>
          <t>CRY</t>
        </is>
      </c>
      <c r="D552" t="b">
        <v>0</v>
      </c>
      <c r="E552" t="inlineStr">
        <is>
          <t>DEF</t>
        </is>
      </c>
      <c r="G552" t="b">
        <v>1</v>
      </c>
      <c r="H552" s="2" t="n">
        <v>4.5</v>
      </c>
      <c r="I552" t="inlineStr">
        <is>
          <t>a</t>
        </is>
      </c>
      <c r="K552" s="2" t="n"/>
      <c r="M552" s="3" t="n">
        <v>2822</v>
      </c>
      <c r="N552" s="4" t="n">
        <v>1300</v>
      </c>
      <c r="O552" s="4" t="n">
        <v>-1522</v>
      </c>
      <c r="P552" s="5" t="inlineStr">
        <is>
          <t>high</t>
        </is>
      </c>
      <c r="Q552" t="inlineStr">
        <is>
          <t>flat</t>
        </is>
      </c>
      <c r="R552" s="6" t="n">
        <v>1300</v>
      </c>
      <c r="S552" t="inlineStr">
        <is>
          <t>research</t>
        </is>
      </c>
      <c r="T552" s="5" t="inlineStr">
        <is>
          <t>Solio projects roughly 31 full matches for a player signed on a free on 7 August after a trial in the Como Cup. His entire recent workload is eight Ajax appearances plus three World Cup games; he had not played between October 2024 and February 2026 because of a knee injury, and the reporting states Palace wanted to be sure about his fitness before signing. In the final friendly at Freiburg he did not start, coming on to replace Chadi Riad. Both the availability risk and the current pecking order point well below 2822.</t>
        </is>
      </c>
      <c r="U552" s="6" t="n">
        <v>85</v>
      </c>
      <c r="V552" s="2" t="n"/>
      <c r="W552" s="7">
        <f>IF(N(U552)&lt;=0,0,MIN(Assumptions!$B$15,N(R552)/N(U552)))</f>
        <v/>
      </c>
      <c r="X552" s="6" t="n">
        <v>0.216</v>
      </c>
      <c r="Y552" s="3" t="n"/>
      <c r="Z552" t="inlineStr"/>
      <c r="AA552" s="3" t="n">
        <v>1</v>
      </c>
      <c r="AB552" s="3" t="n"/>
      <c r="AC552" s="3" t="n"/>
      <c r="AD552" s="3" t="n"/>
      <c r="AE552" s="3" t="n"/>
      <c r="AF552" s="3" t="n">
        <v>0</v>
      </c>
      <c r="AG552" s="3" t="n"/>
      <c r="AH552" s="3" t="n"/>
      <c r="AI552" s="3" t="n">
        <v>3.2035</v>
      </c>
      <c r="AJ552" s="3" t="n">
        <v>1.5923</v>
      </c>
      <c r="AK552" s="3" t="n">
        <v>-0.1601682920894244</v>
      </c>
      <c r="AL552" s="6" t="n">
        <v>0</v>
      </c>
      <c r="AM552" s="3" t="n">
        <v>0</v>
      </c>
      <c r="AN552" s="3" t="n">
        <v>0</v>
      </c>
      <c r="AO552" s="3" t="n">
        <v>0</v>
      </c>
      <c r="AP552" s="3">
        <f>N(X552)*N(BI552)</f>
        <v/>
      </c>
      <c r="AQ552" s="3" t="n">
        <v>0</v>
      </c>
      <c r="AR552" s="3" t="n">
        <v>0</v>
      </c>
      <c r="AS552" s="3" t="n">
        <v>-0.5564987001023466</v>
      </c>
      <c r="AT552" s="3" t="n">
        <v>-0.1601682920894244</v>
      </c>
      <c r="AU552" s="3">
        <f>SUM(AN552:AT552)</f>
        <v/>
      </c>
      <c r="AV552" s="7">
        <f>IF(OR(N(W552)&lt;=0,N(BG552)=0),0,N(W552)*IF(N(R552)/N(W552)&gt;=60,N(BG552),1))</f>
        <v/>
      </c>
      <c r="AW552" s="7">
        <f>N(W552)*N(AF552)*N(BH552)</f>
        <v/>
      </c>
      <c r="AX552" s="7">
        <f>N(AL552)*(Assumptions!$B$13*N(BJ552)-(1-Assumptions!$B$13)*Assumptions!$B$14)+N(AM552)</f>
        <v/>
      </c>
      <c r="AY552" s="7">
        <f>N(AU552)*N(R552)/90+N(AV552)+N(AW552)+N(AX552)</f>
        <v/>
      </c>
      <c r="AZ552" s="3">
        <f>IF(N(R552)&lt;=0,0,(N(AY552)-N(AX552))*90/N(R552))</f>
        <v/>
      </c>
      <c r="BA552" s="7">
        <f>IFERROR(AY552-VLOOKUP($E552,Assumptions!$A$40:$C$43,3,FALSE),"")</f>
        <v/>
      </c>
      <c r="BB552" s="3">
        <f>IFERROR(BA552/H552,"")</f>
        <v/>
      </c>
      <c r="BC552">
        <f>IF(AND($G552=TRUE,$E552="GKP"),AY552,"")</f>
        <v/>
      </c>
      <c r="BD552">
        <f>IF(AND($G552=TRUE,$E552="DEF"),AY552,"")</f>
        <v/>
      </c>
      <c r="BE552">
        <f>IF(AND($G552=TRUE,$E552="MID"),AY552,"")</f>
        <v/>
      </c>
      <c r="BF552">
        <f>IF(AND($G552=TRUE,$E552="FWD"),AY552,"")</f>
        <v/>
      </c>
      <c r="BG552" t="n">
        <v>2</v>
      </c>
      <c r="BH552" t="n">
        <v>2</v>
      </c>
      <c r="BI552" t="n">
        <v>4</v>
      </c>
      <c r="BJ552" t="n">
        <v>6</v>
      </c>
    </row>
    <row r="553">
      <c r="A553" t="inlineStr">
        <is>
          <t>Lucas Paquetá</t>
        </is>
      </c>
      <c r="C553" t="inlineStr">
        <is>
          <t>WHU</t>
        </is>
      </c>
      <c r="D553" t="b">
        <v>0</v>
      </c>
      <c r="F553" t="inlineStr">
        <is>
          <t>MID</t>
        </is>
      </c>
      <c r="G553" t="b">
        <v>0</v>
      </c>
      <c r="H553" s="2" t="n"/>
      <c r="K553" s="2" t="n">
        <v>1521</v>
      </c>
      <c r="M553" s="3" t="n"/>
      <c r="N553" s="8" t="n">
        <v>1521</v>
      </c>
      <c r="O553" s="8" t="n">
        <v>0</v>
      </c>
      <c r="R553" s="6" t="n">
        <v>1521</v>
      </c>
      <c r="S553" t="inlineStr">
        <is>
          <t>25/26 actual</t>
        </is>
      </c>
      <c r="U553" s="6" t="n">
        <v>82.59999999999999</v>
      </c>
      <c r="V553" s="2" t="n">
        <v>17</v>
      </c>
      <c r="W553" s="7">
        <f>IF(N(U553)&lt;=0,0,MIN(Assumptions!$B$15,N(R553)/N(U553)))</f>
        <v/>
      </c>
      <c r="X553" s="6" t="n"/>
      <c r="Y553" s="3" t="n">
        <v>0.0554</v>
      </c>
      <c r="Z553" t="inlineStr">
        <is>
          <t>adjusted xGOT</t>
        </is>
      </c>
      <c r="AA553" s="3" t="n">
        <v>0.376</v>
      </c>
      <c r="AB553" s="3" t="n">
        <v>0.872</v>
      </c>
      <c r="AC553" s="3" t="n">
        <v>17.8</v>
      </c>
      <c r="AD553" s="3" t="n">
        <v>0.1782</v>
      </c>
      <c r="AE553" s="3" t="n">
        <v>8.65</v>
      </c>
      <c r="AF553" s="3" t="n">
        <v>0</v>
      </c>
      <c r="AG553" s="3" t="n">
        <v>0.4734</v>
      </c>
      <c r="AH553" s="3" t="n">
        <v>36</v>
      </c>
      <c r="AI553" s="3" t="n"/>
      <c r="AJ553" s="3" t="n"/>
      <c r="AK553" s="3" t="n"/>
      <c r="AL553" s="6" t="n">
        <v>0</v>
      </c>
      <c r="AM553" s="3" t="n">
        <v>0</v>
      </c>
      <c r="AN553" s="3" t="n">
        <v>0</v>
      </c>
      <c r="AO553" s="3" t="n">
        <v>0</v>
      </c>
      <c r="AP553" s="3">
        <f>N(X553)*N(BI553)</f>
        <v/>
      </c>
      <c r="AQ553" s="3" t="n">
        <v>0</v>
      </c>
      <c r="AR553" s="3" t="n">
        <v>0</v>
      </c>
      <c r="AS553" s="3" t="n">
        <v>0</v>
      </c>
      <c r="AT553" s="3" t="n">
        <v>0</v>
      </c>
      <c r="AU553" s="3">
        <f>SUM(AN553:AT553)</f>
        <v/>
      </c>
      <c r="AV553" s="7">
        <f>IF(OR(N(W553)&lt;=0,N(BG553)=0),0,N(W553)*IF(N(R553)/N(W553)&gt;=60,N(BG553),1))</f>
        <v/>
      </c>
      <c r="AW553" s="7">
        <f>N(W553)*N(AF553)*N(BH553)</f>
        <v/>
      </c>
      <c r="AX553" s="7">
        <f>N(AL553)*(Assumptions!$B$13*N(BJ553)-(1-Assumptions!$B$13)*Assumptions!$B$14)+N(AM553)</f>
        <v/>
      </c>
      <c r="AY553" s="7">
        <f>N(AU553)*N(R553)/90+N(AV553)+N(AW553)+N(AX553)</f>
        <v/>
      </c>
      <c r="AZ553" s="3">
        <f>IF(N(R553)&lt;=0,0,(N(AY553)-N(AX553))*90/N(R553))</f>
        <v/>
      </c>
      <c r="BA553" s="7">
        <f>IFERROR(AY553-VLOOKUP($E553,Assumptions!$A$40:$C$43,3,FALSE),"")</f>
        <v/>
      </c>
      <c r="BB553" s="3">
        <f>IFERROR(BA553/H553,"")</f>
        <v/>
      </c>
      <c r="BC553">
        <f>IF(AND($G553=TRUE,$E553="GKP"),AY553,"")</f>
        <v/>
      </c>
      <c r="BD553">
        <f>IF(AND($G553=TRUE,$E553="DEF"),AY553,"")</f>
        <v/>
      </c>
      <c r="BE553">
        <f>IF(AND($G553=TRUE,$E553="MID"),AY553,"")</f>
        <v/>
      </c>
      <c r="BF553">
        <f>IF(AND($G553=TRUE,$E553="FWD"),AY553,"")</f>
        <v/>
      </c>
      <c r="BG553" t="n">
        <v>0</v>
      </c>
      <c r="BH553" t="n">
        <v>0</v>
      </c>
      <c r="BI553" t="n">
        <v>0</v>
      </c>
      <c r="BJ553" t="n">
        <v>0</v>
      </c>
    </row>
    <row r="554">
      <c r="A554" t="inlineStr">
        <is>
          <t>Aaron Ramsdale</t>
        </is>
      </c>
      <c r="C554" t="inlineStr">
        <is>
          <t>NEW</t>
        </is>
      </c>
      <c r="D554" t="b">
        <v>0</v>
      </c>
      <c r="F554" t="inlineStr">
        <is>
          <t>GKP</t>
        </is>
      </c>
      <c r="G554" t="b">
        <v>0</v>
      </c>
      <c r="H554" s="2" t="n"/>
      <c r="K554" s="2" t="n">
        <v>1003</v>
      </c>
      <c r="M554" s="3" t="n"/>
      <c r="N554" s="8" t="n">
        <v>1003</v>
      </c>
      <c r="O554" s="8" t="n">
        <v>0</v>
      </c>
      <c r="R554" s="6" t="n">
        <v>1003</v>
      </c>
      <c r="S554" t="inlineStr">
        <is>
          <t>25/26 actual</t>
        </is>
      </c>
      <c r="U554" s="6" t="n">
        <v>89.90000000000001</v>
      </c>
      <c r="V554" s="2" t="n">
        <v>11</v>
      </c>
      <c r="W554" s="7">
        <f>IF(N(U554)&lt;=0,0,MIN(Assumptions!$B$15,N(R554)/N(U554)))</f>
        <v/>
      </c>
      <c r="X554" s="6" t="n"/>
      <c r="Y554" s="3" t="n">
        <v>0</v>
      </c>
      <c r="Z554" t="inlineStr">
        <is>
          <t>blended xG</t>
        </is>
      </c>
      <c r="AA554" s="3" t="n">
        <v>1</v>
      </c>
      <c r="AB554" s="3" t="n">
        <v>1</v>
      </c>
      <c r="AC554" s="3" t="n">
        <v>0</v>
      </c>
      <c r="AD554" s="3" t="n">
        <v>0.0064</v>
      </c>
      <c r="AE554" s="3" t="n">
        <v>0</v>
      </c>
      <c r="AF554" s="3" t="n">
        <v>0</v>
      </c>
      <c r="AG554" s="3" t="n">
        <v>0.0897</v>
      </c>
      <c r="AH554" s="3" t="n">
        <v>23</v>
      </c>
      <c r="AI554" s="3" t="n"/>
      <c r="AJ554" s="3" t="n"/>
      <c r="AK554" s="3" t="n"/>
      <c r="AL554" s="6" t="n">
        <v>0</v>
      </c>
      <c r="AM554" s="3" t="n">
        <v>0</v>
      </c>
      <c r="AN554" s="3" t="n">
        <v>0</v>
      </c>
      <c r="AO554" s="3" t="n">
        <v>0</v>
      </c>
      <c r="AP554" s="3">
        <f>N(X554)*N(BI554)</f>
        <v/>
      </c>
      <c r="AQ554" s="3" t="n">
        <v>0</v>
      </c>
      <c r="AR554" s="3" t="n">
        <v>0</v>
      </c>
      <c r="AS554" s="3" t="n">
        <v>0</v>
      </c>
      <c r="AT554" s="3" t="n">
        <v>0</v>
      </c>
      <c r="AU554" s="3">
        <f>SUM(AN554:AT554)</f>
        <v/>
      </c>
      <c r="AV554" s="7">
        <f>IF(OR(N(W554)&lt;=0,N(BG554)=0),0,N(W554)*IF(N(R554)/N(W554)&gt;=60,N(BG554),1))</f>
        <v/>
      </c>
      <c r="AW554" s="7">
        <f>N(W554)*N(AF554)*N(BH554)</f>
        <v/>
      </c>
      <c r="AX554" s="7">
        <f>N(AL554)*(Assumptions!$B$13*N(BJ554)-(1-Assumptions!$B$13)*Assumptions!$B$14)+N(AM554)</f>
        <v/>
      </c>
      <c r="AY554" s="7">
        <f>N(AU554)*N(R554)/90+N(AV554)+N(AW554)+N(AX554)</f>
        <v/>
      </c>
      <c r="AZ554" s="3">
        <f>IF(N(R554)&lt;=0,0,(N(AY554)-N(AX554))*90/N(R554))</f>
        <v/>
      </c>
      <c r="BA554" s="7">
        <f>IFERROR(AY554-VLOOKUP($E554,Assumptions!$A$40:$C$43,3,FALSE),"")</f>
        <v/>
      </c>
      <c r="BB554" s="3">
        <f>IFERROR(BA554/H554,"")</f>
        <v/>
      </c>
      <c r="BC554">
        <f>IF(AND($G554=TRUE,$E554="GKP"),AY554,"")</f>
        <v/>
      </c>
      <c r="BD554">
        <f>IF(AND($G554=TRUE,$E554="DEF"),AY554,"")</f>
        <v/>
      </c>
      <c r="BE554">
        <f>IF(AND($G554=TRUE,$E554="MID"),AY554,"")</f>
        <v/>
      </c>
      <c r="BF554">
        <f>IF(AND($G554=TRUE,$E554="FWD"),AY554,"")</f>
        <v/>
      </c>
      <c r="BG554" t="n">
        <v>0</v>
      </c>
      <c r="BH554" t="n">
        <v>0</v>
      </c>
      <c r="BI554" t="n">
        <v>0</v>
      </c>
      <c r="BJ554" t="n">
        <v>0</v>
      </c>
    </row>
    <row r="555">
      <c r="A555" t="inlineStr">
        <is>
          <t>Victor Torp</t>
        </is>
      </c>
      <c r="B555" t="inlineStr">
        <is>
          <t>COV</t>
        </is>
      </c>
      <c r="D555" t="b">
        <v>0</v>
      </c>
      <c r="E555" t="inlineStr">
        <is>
          <t>MID</t>
        </is>
      </c>
      <c r="G555" t="b">
        <v>1</v>
      </c>
      <c r="H555" s="2" t="n">
        <v>5.5</v>
      </c>
      <c r="I555" t="inlineStr">
        <is>
          <t>a</t>
        </is>
      </c>
      <c r="K555" s="2" t="n"/>
      <c r="M555" s="3" t="n">
        <v>724</v>
      </c>
      <c r="N555" s="8" t="n">
        <v>724</v>
      </c>
      <c r="O555" s="8" t="n">
        <v>0</v>
      </c>
      <c r="Q555" t="inlineStr">
        <is>
          <t>flat</t>
        </is>
      </c>
      <c r="R555" s="6" t="n">
        <v>724</v>
      </c>
      <c r="S555" t="inlineStr">
        <is>
          <t>Solio</t>
        </is>
      </c>
      <c r="U555" s="6" t="n">
        <v>85</v>
      </c>
      <c r="V555" s="2" t="n"/>
      <c r="W555" s="7">
        <f>IF(N(U555)&lt;=0,0,MIN(Assumptions!$B$15,N(R555)/N(U555)))</f>
        <v/>
      </c>
      <c r="X555" s="6" t="n">
        <v>0.17</v>
      </c>
      <c r="Y555" s="3" t="n"/>
      <c r="Z555" t="inlineStr"/>
      <c r="AA555" s="3" t="n">
        <v>1</v>
      </c>
      <c r="AB555" s="3" t="n"/>
      <c r="AC555" s="3" t="n"/>
      <c r="AD555" s="3" t="n"/>
      <c r="AE555" s="3" t="n"/>
      <c r="AF555" s="3" t="n">
        <v>0</v>
      </c>
      <c r="AG555" s="3" t="n"/>
      <c r="AH555" s="3" t="n"/>
      <c r="AI555" s="3" t="n">
        <v>3.6194</v>
      </c>
      <c r="AJ555" s="3" t="n">
        <v>1.8271</v>
      </c>
      <c r="AK555" s="3" t="n">
        <v>-0.2160434166173144</v>
      </c>
      <c r="AL555" s="6" t="n">
        <v>0.1579568010773154</v>
      </c>
      <c r="AM555" s="3" t="n">
        <v>0</v>
      </c>
      <c r="AN555" s="3" t="n">
        <v>0</v>
      </c>
      <c r="AO555" s="3" t="n">
        <v>0</v>
      </c>
      <c r="AP555" s="3">
        <f>N(X555)*N(BI555)</f>
        <v/>
      </c>
      <c r="AQ555" s="3" t="n">
        <v>0</v>
      </c>
      <c r="AR555" s="3" t="n">
        <v>0</v>
      </c>
      <c r="AS555" s="3" t="n">
        <v>-0</v>
      </c>
      <c r="AT555" s="3" t="n">
        <v>-0.2160434166173144</v>
      </c>
      <c r="AU555" s="3">
        <f>SUM(AN555:AT555)</f>
        <v/>
      </c>
      <c r="AV555" s="7">
        <f>IF(OR(N(W555)&lt;=0,N(BG555)=0),0,N(W555)*IF(N(R555)/N(W555)&gt;=60,N(BG555),1))</f>
        <v/>
      </c>
      <c r="AW555" s="7">
        <f>N(W555)*N(AF555)*N(BH555)</f>
        <v/>
      </c>
      <c r="AX555" s="7">
        <f>N(AL555)*(Assumptions!$B$13*N(BJ555)-(1-Assumptions!$B$13)*Assumptions!$B$14)+N(AM555)</f>
        <v/>
      </c>
      <c r="AY555" s="7">
        <f>N(AU555)*N(R555)/90+N(AV555)+N(AW555)+N(AX555)</f>
        <v/>
      </c>
      <c r="AZ555" s="3">
        <f>IF(N(R555)&lt;=0,0,(N(AY555)-N(AX555))*90/N(R555))</f>
        <v/>
      </c>
      <c r="BA555" s="7">
        <f>IFERROR(AY555-VLOOKUP($E555,Assumptions!$A$40:$C$43,3,FALSE),"")</f>
        <v/>
      </c>
      <c r="BB555" s="3">
        <f>IFERROR(BA555/H555,"")</f>
        <v/>
      </c>
      <c r="BC555">
        <f>IF(AND($G555=TRUE,$E555="GKP"),AY555,"")</f>
        <v/>
      </c>
      <c r="BD555">
        <f>IF(AND($G555=TRUE,$E555="DEF"),AY555,"")</f>
        <v/>
      </c>
      <c r="BE555">
        <f>IF(AND($G555=TRUE,$E555="MID"),AY555,"")</f>
        <v/>
      </c>
      <c r="BF555">
        <f>IF(AND($G555=TRUE,$E555="FWD"),AY555,"")</f>
        <v/>
      </c>
      <c r="BG555" t="n">
        <v>2</v>
      </c>
      <c r="BH555" t="n">
        <v>2</v>
      </c>
      <c r="BI555" t="n">
        <v>1</v>
      </c>
      <c r="BJ555" t="n">
        <v>5</v>
      </c>
    </row>
    <row r="556">
      <c r="A556" t="inlineStr">
        <is>
          <t>Yves Bissouma</t>
        </is>
      </c>
      <c r="C556" t="inlineStr">
        <is>
          <t>TOT</t>
        </is>
      </c>
      <c r="D556" t="b">
        <v>0</v>
      </c>
      <c r="F556" t="inlineStr">
        <is>
          <t>MID</t>
        </is>
      </c>
      <c r="G556" t="b">
        <v>0</v>
      </c>
      <c r="H556" s="2" t="n"/>
      <c r="K556" s="2" t="n">
        <v>605</v>
      </c>
      <c r="M556" s="3" t="n"/>
      <c r="N556" s="8" t="n">
        <v>605</v>
      </c>
      <c r="O556" s="8" t="n">
        <v>0</v>
      </c>
      <c r="R556" s="6" t="n">
        <v>605</v>
      </c>
      <c r="S556" t="inlineStr">
        <is>
          <t>25/26 actual</t>
        </is>
      </c>
      <c r="U556" s="6" t="n">
        <v>75.09999999999999</v>
      </c>
      <c r="V556" s="2" t="n">
        <v>7</v>
      </c>
      <c r="W556" s="7">
        <f>IF(N(U556)&lt;=0,0,MIN(Assumptions!$B$15,N(R556)/N(U556)))</f>
        <v/>
      </c>
      <c r="X556" s="6" t="n"/>
      <c r="Y556" s="3" t="n">
        <v>0.0533</v>
      </c>
      <c r="Z556" t="inlineStr">
        <is>
          <t>adjusted xGOT</t>
        </is>
      </c>
      <c r="AA556" s="3" t="n">
        <v>1</v>
      </c>
      <c r="AB556" s="3" t="n">
        <v>0.995</v>
      </c>
      <c r="AC556" s="3" t="n">
        <v>2.3</v>
      </c>
      <c r="AD556" s="3" t="n">
        <v>0</v>
      </c>
      <c r="AE556" s="3" t="n">
        <v>9.724</v>
      </c>
      <c r="AF556" s="3" t="n">
        <v>0</v>
      </c>
      <c r="AG556" s="3" t="n">
        <v>0</v>
      </c>
      <c r="AH556" s="3" t="n">
        <v>16</v>
      </c>
      <c r="AI556" s="3" t="n"/>
      <c r="AJ556" s="3" t="n"/>
      <c r="AK556" s="3" t="n"/>
      <c r="AL556" s="6" t="n">
        <v>0</v>
      </c>
      <c r="AM556" s="3" t="n">
        <v>0</v>
      </c>
      <c r="AN556" s="3" t="n">
        <v>0</v>
      </c>
      <c r="AO556" s="3" t="n">
        <v>0</v>
      </c>
      <c r="AP556" s="3">
        <f>N(X556)*N(BI556)</f>
        <v/>
      </c>
      <c r="AQ556" s="3" t="n">
        <v>0</v>
      </c>
      <c r="AR556" s="3" t="n">
        <v>0</v>
      </c>
      <c r="AS556" s="3" t="n">
        <v>0</v>
      </c>
      <c r="AT556" s="3" t="n">
        <v>0</v>
      </c>
      <c r="AU556" s="3">
        <f>SUM(AN556:AT556)</f>
        <v/>
      </c>
      <c r="AV556" s="7">
        <f>IF(OR(N(W556)&lt;=0,N(BG556)=0),0,N(W556)*IF(N(R556)/N(W556)&gt;=60,N(BG556),1))</f>
        <v/>
      </c>
      <c r="AW556" s="7">
        <f>N(W556)*N(AF556)*N(BH556)</f>
        <v/>
      </c>
      <c r="AX556" s="7">
        <f>N(AL556)*(Assumptions!$B$13*N(BJ556)-(1-Assumptions!$B$13)*Assumptions!$B$14)+N(AM556)</f>
        <v/>
      </c>
      <c r="AY556" s="7">
        <f>N(AU556)*N(R556)/90+N(AV556)+N(AW556)+N(AX556)</f>
        <v/>
      </c>
      <c r="AZ556" s="3">
        <f>IF(N(R556)&lt;=0,0,(N(AY556)-N(AX556))*90/N(R556))</f>
        <v/>
      </c>
      <c r="BA556" s="7">
        <f>IFERROR(AY556-VLOOKUP($E556,Assumptions!$A$40:$C$43,3,FALSE),"")</f>
        <v/>
      </c>
      <c r="BB556" s="3">
        <f>IFERROR(BA556/H556,"")</f>
        <v/>
      </c>
      <c r="BC556">
        <f>IF(AND($G556=TRUE,$E556="GKP"),AY556,"")</f>
        <v/>
      </c>
      <c r="BD556">
        <f>IF(AND($G556=TRUE,$E556="DEF"),AY556,"")</f>
        <v/>
      </c>
      <c r="BE556">
        <f>IF(AND($G556=TRUE,$E556="MID"),AY556,"")</f>
        <v/>
      </c>
      <c r="BF556">
        <f>IF(AND($G556=TRUE,$E556="FWD"),AY556,"")</f>
        <v/>
      </c>
      <c r="BG556" t="n">
        <v>0</v>
      </c>
      <c r="BH556" t="n">
        <v>0</v>
      </c>
      <c r="BI556" t="n">
        <v>0</v>
      </c>
      <c r="BJ556" t="n">
        <v>0</v>
      </c>
    </row>
    <row r="557">
      <c r="A557" t="inlineStr">
        <is>
          <t>Chiedozie Ogbene</t>
        </is>
      </c>
      <c r="B557" t="inlineStr">
        <is>
          <t>IPS</t>
        </is>
      </c>
      <c r="D557" t="b">
        <v>0</v>
      </c>
      <c r="E557" t="inlineStr">
        <is>
          <t>MID</t>
        </is>
      </c>
      <c r="G557" t="b">
        <v>1</v>
      </c>
      <c r="H557" s="2" t="n">
        <v>5</v>
      </c>
      <c r="I557" t="inlineStr">
        <is>
          <t>a</t>
        </is>
      </c>
      <c r="K557" s="2" t="n"/>
      <c r="M557" s="3" t="n">
        <v>0</v>
      </c>
      <c r="N557" s="8" t="n">
        <v>0</v>
      </c>
      <c r="O557" s="8" t="n">
        <v>0</v>
      </c>
      <c r="Q557" t="inlineStr">
        <is>
          <t>flat</t>
        </is>
      </c>
      <c r="R557" s="6" t="n">
        <v>0</v>
      </c>
      <c r="S557" t="inlineStr">
        <is>
          <t>Solio</t>
        </is>
      </c>
      <c r="U557" s="6" t="n">
        <v>85</v>
      </c>
      <c r="V557" s="2" t="n"/>
      <c r="W557" s="7">
        <f>IF(N(U557)&lt;=0,0,MIN(Assumptions!$B$15,N(R557)/N(U557)))</f>
        <v/>
      </c>
      <c r="X557" s="6" t="n">
        <v>0.17</v>
      </c>
      <c r="Y557" s="3" t="n"/>
      <c r="Z557" t="inlineStr"/>
      <c r="AA557" s="3" t="n">
        <v>1</v>
      </c>
      <c r="AB557" s="3" t="n"/>
      <c r="AC557" s="3" t="n"/>
      <c r="AD557" s="3" t="n"/>
      <c r="AE557" s="3" t="n"/>
      <c r="AF557" s="3" t="n">
        <v>0</v>
      </c>
      <c r="AG557" s="3" t="n"/>
      <c r="AH557" s="3" t="n"/>
      <c r="AI557" s="3" t="n">
        <v>3.5741</v>
      </c>
      <c r="AJ557" s="3" t="n">
        <v>1.8319</v>
      </c>
      <c r="AK557" s="3" t="n">
        <v>-0.1525827731981517</v>
      </c>
      <c r="AL557" s="6" t="n">
        <v>0</v>
      </c>
      <c r="AM557" s="3" t="n">
        <v>0</v>
      </c>
      <c r="AN557" s="3" t="n">
        <v>0</v>
      </c>
      <c r="AO557" s="3" t="n">
        <v>0</v>
      </c>
      <c r="AP557" s="3">
        <f>N(X557)*N(BI557)</f>
        <v/>
      </c>
      <c r="AQ557" s="3" t="n">
        <v>0</v>
      </c>
      <c r="AR557" s="3" t="n">
        <v>0</v>
      </c>
      <c r="AS557" s="3" t="n">
        <v>-0</v>
      </c>
      <c r="AT557" s="3" t="n">
        <v>-0.1525827731981517</v>
      </c>
      <c r="AU557" s="3">
        <f>SUM(AN557:AT557)</f>
        <v/>
      </c>
      <c r="AV557" s="7">
        <f>IF(OR(N(W557)&lt;=0,N(BG557)=0),0,N(W557)*IF(N(R557)/N(W557)&gt;=60,N(BG557),1))</f>
        <v/>
      </c>
      <c r="AW557" s="7">
        <f>N(W557)*N(AF557)*N(BH557)</f>
        <v/>
      </c>
      <c r="AX557" s="7">
        <f>N(AL557)*(Assumptions!$B$13*N(BJ557)-(1-Assumptions!$B$13)*Assumptions!$B$14)+N(AM557)</f>
        <v/>
      </c>
      <c r="AY557" s="7">
        <f>N(AU557)*N(R557)/90+N(AV557)+N(AW557)+N(AX557)</f>
        <v/>
      </c>
      <c r="AZ557" s="3">
        <f>IF(N(R557)&lt;=0,0,(N(AY557)-N(AX557))*90/N(R557))</f>
        <v/>
      </c>
      <c r="BA557" s="7">
        <f>IFERROR(AY557-VLOOKUP($E557,Assumptions!$A$40:$C$43,3,FALSE),"")</f>
        <v/>
      </c>
      <c r="BB557" s="3">
        <f>IFERROR(BA557/H557,"")</f>
        <v/>
      </c>
      <c r="BC557">
        <f>IF(AND($G557=TRUE,$E557="GKP"),AY557,"")</f>
        <v/>
      </c>
      <c r="BD557">
        <f>IF(AND($G557=TRUE,$E557="DEF"),AY557,"")</f>
        <v/>
      </c>
      <c r="BE557">
        <f>IF(AND($G557=TRUE,$E557="MID"),AY557,"")</f>
        <v/>
      </c>
      <c r="BF557">
        <f>IF(AND($G557=TRUE,$E557="FWD"),AY557,"")</f>
        <v/>
      </c>
      <c r="BG557" t="n">
        <v>2</v>
      </c>
      <c r="BH557" t="n">
        <v>2</v>
      </c>
      <c r="BI557" t="n">
        <v>1</v>
      </c>
      <c r="BJ557" t="n">
        <v>5</v>
      </c>
    </row>
    <row r="558">
      <c r="A558" t="inlineStr">
        <is>
          <t>Andy Irving</t>
        </is>
      </c>
      <c r="C558" t="inlineStr">
        <is>
          <t>WHU</t>
        </is>
      </c>
      <c r="D558" t="b">
        <v>0</v>
      </c>
      <c r="F558" t="inlineStr">
        <is>
          <t>MID</t>
        </is>
      </c>
      <c r="G558" t="b">
        <v>0</v>
      </c>
      <c r="H558" s="2" t="n"/>
      <c r="K558" s="2" t="n">
        <v>157</v>
      </c>
      <c r="M558" s="3" t="n"/>
      <c r="N558" s="8" t="n">
        <v>157</v>
      </c>
      <c r="O558" s="8" t="n">
        <v>0</v>
      </c>
      <c r="R558" s="6" t="n">
        <v>157</v>
      </c>
      <c r="S558" t="inlineStr">
        <is>
          <t>25/26 actual</t>
        </is>
      </c>
      <c r="U558" s="6" t="n">
        <v>77.09999999999999</v>
      </c>
      <c r="V558" s="2" t="n">
        <v>2</v>
      </c>
      <c r="W558" s="7">
        <f>IF(N(U558)&lt;=0,0,MIN(Assumptions!$B$15,N(R558)/N(U558)))</f>
        <v/>
      </c>
      <c r="X558" s="6" t="n"/>
      <c r="Y558" s="3" t="n">
        <v>0</v>
      </c>
      <c r="Z558" t="inlineStr">
        <is>
          <t>adjusted xGOT</t>
        </is>
      </c>
      <c r="AA558" s="3" t="n">
        <v>1</v>
      </c>
      <c r="AB558" s="3" t="n">
        <v>0.996</v>
      </c>
      <c r="AC558" s="3" t="n">
        <v>0.1</v>
      </c>
      <c r="AD558" s="3" t="n">
        <v>0.1159</v>
      </c>
      <c r="AE558" s="3" t="n">
        <v>9.31</v>
      </c>
      <c r="AF558" s="3" t="n">
        <v>0</v>
      </c>
      <c r="AG558" s="3" t="n">
        <v>0</v>
      </c>
      <c r="AH558" s="3" t="n">
        <v>9</v>
      </c>
      <c r="AI558" s="3" t="n"/>
      <c r="AJ558" s="3" t="n"/>
      <c r="AK558" s="3" t="n"/>
      <c r="AL558" s="6" t="n">
        <v>0</v>
      </c>
      <c r="AM558" s="3" t="n">
        <v>0</v>
      </c>
      <c r="AN558" s="3" t="n">
        <v>0</v>
      </c>
      <c r="AO558" s="3" t="n">
        <v>0</v>
      </c>
      <c r="AP558" s="3">
        <f>N(X558)*N(BI558)</f>
        <v/>
      </c>
      <c r="AQ558" s="3" t="n">
        <v>0</v>
      </c>
      <c r="AR558" s="3" t="n">
        <v>0</v>
      </c>
      <c r="AS558" s="3" t="n">
        <v>0</v>
      </c>
      <c r="AT558" s="3" t="n">
        <v>0</v>
      </c>
      <c r="AU558" s="3">
        <f>SUM(AN558:AT558)</f>
        <v/>
      </c>
      <c r="AV558" s="7">
        <f>IF(OR(N(W558)&lt;=0,N(BG558)=0),0,N(W558)*IF(N(R558)/N(W558)&gt;=60,N(BG558),1))</f>
        <v/>
      </c>
      <c r="AW558" s="7">
        <f>N(W558)*N(AF558)*N(BH558)</f>
        <v/>
      </c>
      <c r="AX558" s="7">
        <f>N(AL558)*(Assumptions!$B$13*N(BJ558)-(1-Assumptions!$B$13)*Assumptions!$B$14)+N(AM558)</f>
        <v/>
      </c>
      <c r="AY558" s="7">
        <f>N(AU558)*N(R558)/90+N(AV558)+N(AW558)+N(AX558)</f>
        <v/>
      </c>
      <c r="AZ558" s="3">
        <f>IF(N(R558)&lt;=0,0,(N(AY558)-N(AX558))*90/N(R558))</f>
        <v/>
      </c>
      <c r="BA558" s="7">
        <f>IFERROR(AY558-VLOOKUP($E558,Assumptions!$A$40:$C$43,3,FALSE),"")</f>
        <v/>
      </c>
      <c r="BB558" s="3">
        <f>IFERROR(BA558/H558,"")</f>
        <v/>
      </c>
      <c r="BC558">
        <f>IF(AND($G558=TRUE,$E558="GKP"),AY558,"")</f>
        <v/>
      </c>
      <c r="BD558">
        <f>IF(AND($G558=TRUE,$E558="DEF"),AY558,"")</f>
        <v/>
      </c>
      <c r="BE558">
        <f>IF(AND($G558=TRUE,$E558="MID"),AY558,"")</f>
        <v/>
      </c>
      <c r="BF558">
        <f>IF(AND($G558=TRUE,$E558="FWD"),AY558,"")</f>
        <v/>
      </c>
      <c r="BG558" t="n">
        <v>0</v>
      </c>
      <c r="BH558" t="n">
        <v>0</v>
      </c>
      <c r="BI558" t="n">
        <v>0</v>
      </c>
      <c r="BJ558" t="n">
        <v>0</v>
      </c>
    </row>
    <row r="559">
      <c r="A559" t="inlineStr">
        <is>
          <t>Douglas Luiz</t>
        </is>
      </c>
      <c r="C559" t="inlineStr">
        <is>
          <t>AVL</t>
        </is>
      </c>
      <c r="D559" t="b">
        <v>0</v>
      </c>
      <c r="F559" t="inlineStr">
        <is>
          <t>MID</t>
        </is>
      </c>
      <c r="G559" t="b">
        <v>0</v>
      </c>
      <c r="H559" s="2" t="n"/>
      <c r="K559" s="2" t="n">
        <v>923</v>
      </c>
      <c r="M559" s="3" t="n"/>
      <c r="N559" s="8" t="n">
        <v>923</v>
      </c>
      <c r="O559" s="8" t="n">
        <v>0</v>
      </c>
      <c r="R559" s="6" t="n">
        <v>923</v>
      </c>
      <c r="S559" t="inlineStr">
        <is>
          <t>25/26 actual</t>
        </is>
      </c>
      <c r="U559" s="6" t="n">
        <v>72.09999999999999</v>
      </c>
      <c r="V559" s="2" t="n">
        <v>12</v>
      </c>
      <c r="W559" s="7">
        <f>IF(N(U559)&lt;=0,0,MIN(Assumptions!$B$15,N(R559)/N(U559)))</f>
        <v/>
      </c>
      <c r="X559" s="6" t="n"/>
      <c r="Y559" s="3" t="n">
        <v>0.0626</v>
      </c>
      <c r="Z559" t="inlineStr">
        <is>
          <t>adjusted xGOT</t>
        </is>
      </c>
      <c r="AA559" s="3" t="n">
        <v>1</v>
      </c>
      <c r="AB559" s="3" t="n">
        <v>1.21</v>
      </c>
      <c r="AC559" s="3" t="n">
        <v>10</v>
      </c>
      <c r="AD559" s="3" t="n">
        <v>0.1778</v>
      </c>
      <c r="AE559" s="3" t="n">
        <v>9.569000000000001</v>
      </c>
      <c r="AF559" s="3" t="n">
        <v>0</v>
      </c>
      <c r="AG559" s="3" t="n">
        <v>0.0975</v>
      </c>
      <c r="AH559" s="3" t="n">
        <v>29</v>
      </c>
      <c r="AI559" s="3" t="n"/>
      <c r="AJ559" s="3" t="n"/>
      <c r="AK559" s="3" t="n"/>
      <c r="AL559" s="6" t="n">
        <v>0</v>
      </c>
      <c r="AM559" s="3" t="n">
        <v>0</v>
      </c>
      <c r="AN559" s="3" t="n">
        <v>0</v>
      </c>
      <c r="AO559" s="3" t="n">
        <v>0</v>
      </c>
      <c r="AP559" s="3">
        <f>N(X559)*N(BI559)</f>
        <v/>
      </c>
      <c r="AQ559" s="3" t="n">
        <v>0</v>
      </c>
      <c r="AR559" s="3" t="n">
        <v>0</v>
      </c>
      <c r="AS559" s="3" t="n">
        <v>0</v>
      </c>
      <c r="AT559" s="3" t="n">
        <v>0</v>
      </c>
      <c r="AU559" s="3">
        <f>SUM(AN559:AT559)</f>
        <v/>
      </c>
      <c r="AV559" s="7">
        <f>IF(OR(N(W559)&lt;=0,N(BG559)=0),0,N(W559)*IF(N(R559)/N(W559)&gt;=60,N(BG559),1))</f>
        <v/>
      </c>
      <c r="AW559" s="7">
        <f>N(W559)*N(AF559)*N(BH559)</f>
        <v/>
      </c>
      <c r="AX559" s="7">
        <f>N(AL559)*(Assumptions!$B$13*N(BJ559)-(1-Assumptions!$B$13)*Assumptions!$B$14)+N(AM559)</f>
        <v/>
      </c>
      <c r="AY559" s="7">
        <f>N(AU559)*N(R559)/90+N(AV559)+N(AW559)+N(AX559)</f>
        <v/>
      </c>
      <c r="AZ559" s="3">
        <f>IF(N(R559)&lt;=0,0,(N(AY559)-N(AX559))*90/N(R559))</f>
        <v/>
      </c>
      <c r="BA559" s="7">
        <f>IFERROR(AY559-VLOOKUP($E559,Assumptions!$A$40:$C$43,3,FALSE),"")</f>
        <v/>
      </c>
      <c r="BB559" s="3">
        <f>IFERROR(BA559/H559,"")</f>
        <v/>
      </c>
      <c r="BC559">
        <f>IF(AND($G559=TRUE,$E559="GKP"),AY559,"")</f>
        <v/>
      </c>
      <c r="BD559">
        <f>IF(AND($G559=TRUE,$E559="DEF"),AY559,"")</f>
        <v/>
      </c>
      <c r="BE559">
        <f>IF(AND($G559=TRUE,$E559="MID"),AY559,"")</f>
        <v/>
      </c>
      <c r="BF559">
        <f>IF(AND($G559=TRUE,$E559="FWD"),AY559,"")</f>
        <v/>
      </c>
      <c r="BG559" t="n">
        <v>0</v>
      </c>
      <c r="BH559" t="n">
        <v>0</v>
      </c>
      <c r="BI559" t="n">
        <v>0</v>
      </c>
      <c r="BJ559" t="n">
        <v>0</v>
      </c>
    </row>
    <row r="560">
      <c r="A560" t="inlineStr">
        <is>
          <t>Jhon Arias</t>
        </is>
      </c>
      <c r="C560" t="inlineStr">
        <is>
          <t>WOL</t>
        </is>
      </c>
      <c r="D560" t="b">
        <v>0</v>
      </c>
      <c r="F560" t="inlineStr">
        <is>
          <t>MID</t>
        </is>
      </c>
      <c r="G560" t="b">
        <v>0</v>
      </c>
      <c r="H560" s="2" t="n"/>
      <c r="K560" s="2" t="n">
        <v>1121</v>
      </c>
      <c r="M560" s="3" t="n"/>
      <c r="N560" s="8" t="n">
        <v>1121</v>
      </c>
      <c r="O560" s="8" t="n">
        <v>0</v>
      </c>
      <c r="R560" s="6" t="n">
        <v>1121</v>
      </c>
      <c r="S560" t="inlineStr">
        <is>
          <t>25/26 actual</t>
        </is>
      </c>
      <c r="U560" s="6" t="n">
        <v>74.7</v>
      </c>
      <c r="V560" s="2" t="n">
        <v>14</v>
      </c>
      <c r="W560" s="7">
        <f>IF(N(U560)&lt;=0,0,MIN(Assumptions!$B$15,N(R560)/N(U560)))</f>
        <v/>
      </c>
      <c r="X560" s="6" t="n"/>
      <c r="Y560" s="3" t="n">
        <v>0.2099</v>
      </c>
      <c r="Z560" t="inlineStr">
        <is>
          <t>adjusted xGOT</t>
        </is>
      </c>
      <c r="AA560" s="3" t="n">
        <v>1</v>
      </c>
      <c r="AB560" s="3" t="n">
        <v>0.773</v>
      </c>
      <c r="AC560" s="3" t="n">
        <v>3.4</v>
      </c>
      <c r="AD560" s="3" t="n">
        <v>0.07199999999999999</v>
      </c>
      <c r="AE560" s="3" t="n">
        <v>9.486000000000001</v>
      </c>
      <c r="AF560" s="3" t="n">
        <v>0</v>
      </c>
      <c r="AG560" s="3" t="n">
        <v>0.2409</v>
      </c>
      <c r="AH560" s="3" t="n">
        <v>33</v>
      </c>
      <c r="AI560" s="3" t="n"/>
      <c r="AJ560" s="3" t="n"/>
      <c r="AK560" s="3" t="n"/>
      <c r="AL560" s="6" t="n">
        <v>0</v>
      </c>
      <c r="AM560" s="3" t="n">
        <v>0</v>
      </c>
      <c r="AN560" s="3" t="n">
        <v>0</v>
      </c>
      <c r="AO560" s="3" t="n">
        <v>0</v>
      </c>
      <c r="AP560" s="3">
        <f>N(X560)*N(BI560)</f>
        <v/>
      </c>
      <c r="AQ560" s="3" t="n">
        <v>0</v>
      </c>
      <c r="AR560" s="3" t="n">
        <v>0</v>
      </c>
      <c r="AS560" s="3" t="n">
        <v>0</v>
      </c>
      <c r="AT560" s="3" t="n">
        <v>0</v>
      </c>
      <c r="AU560" s="3">
        <f>SUM(AN560:AT560)</f>
        <v/>
      </c>
      <c r="AV560" s="7">
        <f>IF(OR(N(W560)&lt;=0,N(BG560)=0),0,N(W560)*IF(N(R560)/N(W560)&gt;=60,N(BG560),1))</f>
        <v/>
      </c>
      <c r="AW560" s="7">
        <f>N(W560)*N(AF560)*N(BH560)</f>
        <v/>
      </c>
      <c r="AX560" s="7">
        <f>N(AL560)*(Assumptions!$B$13*N(BJ560)-(1-Assumptions!$B$13)*Assumptions!$B$14)+N(AM560)</f>
        <v/>
      </c>
      <c r="AY560" s="7">
        <f>N(AU560)*N(R560)/90+N(AV560)+N(AW560)+N(AX560)</f>
        <v/>
      </c>
      <c r="AZ560" s="3">
        <f>IF(N(R560)&lt;=0,0,(N(AY560)-N(AX560))*90/N(R560))</f>
        <v/>
      </c>
      <c r="BA560" s="7">
        <f>IFERROR(AY560-VLOOKUP($E560,Assumptions!$A$40:$C$43,3,FALSE),"")</f>
        <v/>
      </c>
      <c r="BB560" s="3">
        <f>IFERROR(BA560/H560,"")</f>
        <v/>
      </c>
      <c r="BC560">
        <f>IF(AND($G560=TRUE,$E560="GKP"),AY560,"")</f>
        <v/>
      </c>
      <c r="BD560">
        <f>IF(AND($G560=TRUE,$E560="DEF"),AY560,"")</f>
        <v/>
      </c>
      <c r="BE560">
        <f>IF(AND($G560=TRUE,$E560="MID"),AY560,"")</f>
        <v/>
      </c>
      <c r="BF560">
        <f>IF(AND($G560=TRUE,$E560="FWD"),AY560,"")</f>
        <v/>
      </c>
      <c r="BG560" t="n">
        <v>0</v>
      </c>
      <c r="BH560" t="n">
        <v>0</v>
      </c>
      <c r="BI560" t="n">
        <v>0</v>
      </c>
      <c r="BJ560" t="n">
        <v>0</v>
      </c>
    </row>
    <row r="561">
      <c r="A561" t="inlineStr">
        <is>
          <t>Brandon Thomas-Asante</t>
        </is>
      </c>
      <c r="B561" t="inlineStr">
        <is>
          <t>COV</t>
        </is>
      </c>
      <c r="D561" t="b">
        <v>0</v>
      </c>
      <c r="E561" t="inlineStr">
        <is>
          <t>FWD</t>
        </is>
      </c>
      <c r="G561" t="b">
        <v>1</v>
      </c>
      <c r="H561" s="2" t="n">
        <v>5</v>
      </c>
      <c r="I561" t="inlineStr">
        <is>
          <t>a</t>
        </is>
      </c>
      <c r="K561" s="2" t="n"/>
      <c r="M561" s="3" t="n">
        <v>1282</v>
      </c>
      <c r="N561" s="8" t="n">
        <v>1282</v>
      </c>
      <c r="O561" s="8" t="n">
        <v>0</v>
      </c>
      <c r="Q561" t="inlineStr">
        <is>
          <t>flat</t>
        </is>
      </c>
      <c r="R561" s="6" t="n">
        <v>1282</v>
      </c>
      <c r="S561" t="inlineStr">
        <is>
          <t>Solio</t>
        </is>
      </c>
      <c r="U561" s="6" t="n">
        <v>85</v>
      </c>
      <c r="V561" s="2" t="n"/>
      <c r="W561" s="7">
        <f>IF(N(U561)&lt;=0,0,MIN(Assumptions!$B$15,N(R561)/N(U561)))</f>
        <v/>
      </c>
      <c r="X561" s="6" t="n">
        <v>0.17</v>
      </c>
      <c r="Y561" s="3" t="n"/>
      <c r="Z561" t="inlineStr"/>
      <c r="AA561" s="3" t="n">
        <v>1</v>
      </c>
      <c r="AB561" s="3" t="n"/>
      <c r="AC561" s="3" t="n"/>
      <c r="AD561" s="3" t="n"/>
      <c r="AE561" s="3" t="n"/>
      <c r="AF561" s="3" t="n">
        <v>0</v>
      </c>
      <c r="AG561" s="3" t="n"/>
      <c r="AH561" s="3" t="n"/>
      <c r="AI561" s="3" t="n">
        <v>3.6194</v>
      </c>
      <c r="AJ561" s="3" t="n">
        <v>1.8271</v>
      </c>
      <c r="AK561" s="3" t="n">
        <v>-0.174691292596322</v>
      </c>
      <c r="AL561" s="6" t="n">
        <v>0.0484811937834495</v>
      </c>
      <c r="AM561" s="3" t="n">
        <v>0</v>
      </c>
      <c r="AN561" s="3" t="n">
        <v>0</v>
      </c>
      <c r="AO561" s="3" t="n">
        <v>0</v>
      </c>
      <c r="AP561" s="3">
        <f>N(X561)*N(BI561)</f>
        <v/>
      </c>
      <c r="AQ561" s="3" t="n">
        <v>0</v>
      </c>
      <c r="AR561" s="3" t="n">
        <v>0</v>
      </c>
      <c r="AS561" s="3" t="n">
        <v>-0</v>
      </c>
      <c r="AT561" s="3" t="n">
        <v>-0.174691292596322</v>
      </c>
      <c r="AU561" s="3">
        <f>SUM(AN561:AT561)</f>
        <v/>
      </c>
      <c r="AV561" s="7">
        <f>IF(OR(N(W561)&lt;=0,N(BG561)=0),0,N(W561)*IF(N(R561)/N(W561)&gt;=60,N(BG561),1))</f>
        <v/>
      </c>
      <c r="AW561" s="7">
        <f>N(W561)*N(AF561)*N(BH561)</f>
        <v/>
      </c>
      <c r="AX561" s="7">
        <f>N(AL561)*(Assumptions!$B$13*N(BJ561)-(1-Assumptions!$B$13)*Assumptions!$B$14)+N(AM561)</f>
        <v/>
      </c>
      <c r="AY561" s="7">
        <f>N(AU561)*N(R561)/90+N(AV561)+N(AW561)+N(AX561)</f>
        <v/>
      </c>
      <c r="AZ561" s="3">
        <f>IF(N(R561)&lt;=0,0,(N(AY561)-N(AX561))*90/N(R561))</f>
        <v/>
      </c>
      <c r="BA561" s="7">
        <f>IFERROR(AY561-VLOOKUP($E561,Assumptions!$A$40:$C$43,3,FALSE),"")</f>
        <v/>
      </c>
      <c r="BB561" s="3">
        <f>IFERROR(BA561/H561,"")</f>
        <v/>
      </c>
      <c r="BC561">
        <f>IF(AND($G561=TRUE,$E561="GKP"),AY561,"")</f>
        <v/>
      </c>
      <c r="BD561">
        <f>IF(AND($G561=TRUE,$E561="DEF"),AY561,"")</f>
        <v/>
      </c>
      <c r="BE561">
        <f>IF(AND($G561=TRUE,$E561="MID"),AY561,"")</f>
        <v/>
      </c>
      <c r="BF561">
        <f>IF(AND($G561=TRUE,$E561="FWD"),AY561,"")</f>
        <v/>
      </c>
      <c r="BG561" t="n">
        <v>2</v>
      </c>
      <c r="BH561" t="n">
        <v>2</v>
      </c>
      <c r="BI561" t="n">
        <v>0</v>
      </c>
      <c r="BJ561" t="n">
        <v>4</v>
      </c>
    </row>
    <row r="562">
      <c r="A562" t="inlineStr">
        <is>
          <t>Jean-Ricner Bellegarde</t>
        </is>
      </c>
      <c r="C562" t="inlineStr">
        <is>
          <t>WOL</t>
        </is>
      </c>
      <c r="D562" t="b">
        <v>0</v>
      </c>
      <c r="F562" t="inlineStr">
        <is>
          <t>MID</t>
        </is>
      </c>
      <c r="G562" t="b">
        <v>0</v>
      </c>
      <c r="H562" s="2" t="n"/>
      <c r="K562" s="2" t="n">
        <v>1251</v>
      </c>
      <c r="M562" s="3" t="n"/>
      <c r="N562" s="8" t="n">
        <v>1251</v>
      </c>
      <c r="O562" s="8" t="n">
        <v>0</v>
      </c>
      <c r="R562" s="6" t="n">
        <v>1251</v>
      </c>
      <c r="S562" t="inlineStr">
        <is>
          <t>25/26 actual</t>
        </is>
      </c>
      <c r="U562" s="6" t="n">
        <v>72.8</v>
      </c>
      <c r="V562" s="2" t="n">
        <v>15</v>
      </c>
      <c r="W562" s="7">
        <f>IF(N(U562)&lt;=0,0,MIN(Assumptions!$B$15,N(R562)/N(U562)))</f>
        <v/>
      </c>
      <c r="X562" s="6" t="n"/>
      <c r="Y562" s="3" t="n">
        <v>0.07580000000000001</v>
      </c>
      <c r="Z562" t="inlineStr">
        <is>
          <t>adjusted xGOT</t>
        </is>
      </c>
      <c r="AA562" s="3" t="n">
        <v>1</v>
      </c>
      <c r="AB562" s="3" t="n">
        <v>1.013</v>
      </c>
      <c r="AC562" s="3" t="n">
        <v>3.8</v>
      </c>
      <c r="AD562" s="3" t="n">
        <v>0.08749999999999999</v>
      </c>
      <c r="AE562" s="3" t="n">
        <v>7.976</v>
      </c>
      <c r="AF562" s="3" t="n">
        <v>0</v>
      </c>
      <c r="AG562" s="3" t="n">
        <v>0</v>
      </c>
      <c r="AH562" s="3" t="n">
        <v>38</v>
      </c>
      <c r="AI562" s="3" t="n"/>
      <c r="AJ562" s="3" t="n"/>
      <c r="AK562" s="3" t="n"/>
      <c r="AL562" s="6" t="n">
        <v>0</v>
      </c>
      <c r="AM562" s="3" t="n">
        <v>0</v>
      </c>
      <c r="AN562" s="3" t="n">
        <v>0</v>
      </c>
      <c r="AO562" s="3" t="n">
        <v>0</v>
      </c>
      <c r="AP562" s="3">
        <f>N(X562)*N(BI562)</f>
        <v/>
      </c>
      <c r="AQ562" s="3" t="n">
        <v>0</v>
      </c>
      <c r="AR562" s="3" t="n">
        <v>0</v>
      </c>
      <c r="AS562" s="3" t="n">
        <v>0</v>
      </c>
      <c r="AT562" s="3" t="n">
        <v>0</v>
      </c>
      <c r="AU562" s="3">
        <f>SUM(AN562:AT562)</f>
        <v/>
      </c>
      <c r="AV562" s="7">
        <f>IF(OR(N(W562)&lt;=0,N(BG562)=0),0,N(W562)*IF(N(R562)/N(W562)&gt;=60,N(BG562),1))</f>
        <v/>
      </c>
      <c r="AW562" s="7">
        <f>N(W562)*N(AF562)*N(BH562)</f>
        <v/>
      </c>
      <c r="AX562" s="7">
        <f>N(AL562)*(Assumptions!$B$13*N(BJ562)-(1-Assumptions!$B$13)*Assumptions!$B$14)+N(AM562)</f>
        <v/>
      </c>
      <c r="AY562" s="7">
        <f>N(AU562)*N(R562)/90+N(AV562)+N(AW562)+N(AX562)</f>
        <v/>
      </c>
      <c r="AZ562" s="3">
        <f>IF(N(R562)&lt;=0,0,(N(AY562)-N(AX562))*90/N(R562))</f>
        <v/>
      </c>
      <c r="BA562" s="7">
        <f>IFERROR(AY562-VLOOKUP($E562,Assumptions!$A$40:$C$43,3,FALSE),"")</f>
        <v/>
      </c>
      <c r="BB562" s="3">
        <f>IFERROR(BA562/H562,"")</f>
        <v/>
      </c>
      <c r="BC562">
        <f>IF(AND($G562=TRUE,$E562="GKP"),AY562,"")</f>
        <v/>
      </c>
      <c r="BD562">
        <f>IF(AND($G562=TRUE,$E562="DEF"),AY562,"")</f>
        <v/>
      </c>
      <c r="BE562">
        <f>IF(AND($G562=TRUE,$E562="MID"),AY562,"")</f>
        <v/>
      </c>
      <c r="BF562">
        <f>IF(AND($G562=TRUE,$E562="FWD"),AY562,"")</f>
        <v/>
      </c>
      <c r="BG562" t="n">
        <v>0</v>
      </c>
      <c r="BH562" t="n">
        <v>0</v>
      </c>
      <c r="BI562" t="n">
        <v>0</v>
      </c>
      <c r="BJ562" t="n">
        <v>0</v>
      </c>
    </row>
    <row r="563">
      <c r="A563" t="inlineStr">
        <is>
          <t>Santiago Bueno</t>
        </is>
      </c>
      <c r="C563" t="inlineStr">
        <is>
          <t>WOL</t>
        </is>
      </c>
      <c r="D563" t="b">
        <v>0</v>
      </c>
      <c r="F563" t="inlineStr">
        <is>
          <t>DEF</t>
        </is>
      </c>
      <c r="G563" t="b">
        <v>0</v>
      </c>
      <c r="H563" s="2" t="n"/>
      <c r="K563" s="2" t="n">
        <v>2553</v>
      </c>
      <c r="M563" s="3" t="n"/>
      <c r="N563" s="8" t="n">
        <v>2553</v>
      </c>
      <c r="O563" s="8" t="n">
        <v>0</v>
      </c>
      <c r="R563" s="6" t="n">
        <v>2553</v>
      </c>
      <c r="S563" t="inlineStr">
        <is>
          <t>25/26 actual</t>
        </is>
      </c>
      <c r="U563" s="6" t="n">
        <v>88.8</v>
      </c>
      <c r="V563" s="2" t="n">
        <v>28</v>
      </c>
      <c r="W563" s="7">
        <f>IF(N(U563)&lt;=0,0,MIN(Assumptions!$B$15,N(R563)/N(U563)))</f>
        <v/>
      </c>
      <c r="X563" s="6" t="n"/>
      <c r="Y563" s="3" t="n">
        <v>0.0876</v>
      </c>
      <c r="Z563" t="inlineStr">
        <is>
          <t>adjusted xGOT</t>
        </is>
      </c>
      <c r="AA563" s="3" t="n">
        <v>1</v>
      </c>
      <c r="AB563" s="3" t="n">
        <v>1.09</v>
      </c>
      <c r="AC563" s="3" t="n">
        <v>2.7</v>
      </c>
      <c r="AD563" s="3" t="n">
        <v>0.0318</v>
      </c>
      <c r="AE563" s="3" t="n">
        <v>7.632</v>
      </c>
      <c r="AF563" s="3" t="n">
        <v>0</v>
      </c>
      <c r="AG563" s="3" t="n">
        <v>0.141</v>
      </c>
      <c r="AH563" s="3" t="n">
        <v>57</v>
      </c>
      <c r="AI563" s="3" t="n"/>
      <c r="AJ563" s="3" t="n"/>
      <c r="AK563" s="3" t="n"/>
      <c r="AL563" s="6" t="n">
        <v>0</v>
      </c>
      <c r="AM563" s="3" t="n">
        <v>0</v>
      </c>
      <c r="AN563" s="3" t="n">
        <v>0</v>
      </c>
      <c r="AO563" s="3" t="n">
        <v>0</v>
      </c>
      <c r="AP563" s="3">
        <f>N(X563)*N(BI563)</f>
        <v/>
      </c>
      <c r="AQ563" s="3" t="n">
        <v>0</v>
      </c>
      <c r="AR563" s="3" t="n">
        <v>0</v>
      </c>
      <c r="AS563" s="3" t="n">
        <v>0</v>
      </c>
      <c r="AT563" s="3" t="n">
        <v>0</v>
      </c>
      <c r="AU563" s="3">
        <f>SUM(AN563:AT563)</f>
        <v/>
      </c>
      <c r="AV563" s="7">
        <f>IF(OR(N(W563)&lt;=0,N(BG563)=0),0,N(W563)*IF(N(R563)/N(W563)&gt;=60,N(BG563),1))</f>
        <v/>
      </c>
      <c r="AW563" s="7">
        <f>N(W563)*N(AF563)*N(BH563)</f>
        <v/>
      </c>
      <c r="AX563" s="7">
        <f>N(AL563)*(Assumptions!$B$13*N(BJ563)-(1-Assumptions!$B$13)*Assumptions!$B$14)+N(AM563)</f>
        <v/>
      </c>
      <c r="AY563" s="7">
        <f>N(AU563)*N(R563)/90+N(AV563)+N(AW563)+N(AX563)</f>
        <v/>
      </c>
      <c r="AZ563" s="3">
        <f>IF(N(R563)&lt;=0,0,(N(AY563)-N(AX563))*90/N(R563))</f>
        <v/>
      </c>
      <c r="BA563" s="7">
        <f>IFERROR(AY563-VLOOKUP($E563,Assumptions!$A$40:$C$43,3,FALSE),"")</f>
        <v/>
      </c>
      <c r="BB563" s="3">
        <f>IFERROR(BA563/H563,"")</f>
        <v/>
      </c>
      <c r="BC563">
        <f>IF(AND($G563=TRUE,$E563="GKP"),AY563,"")</f>
        <v/>
      </c>
      <c r="BD563">
        <f>IF(AND($G563=TRUE,$E563="DEF"),AY563,"")</f>
        <v/>
      </c>
      <c r="BE563">
        <f>IF(AND($G563=TRUE,$E563="MID"),AY563,"")</f>
        <v/>
      </c>
      <c r="BF563">
        <f>IF(AND($G563=TRUE,$E563="FWD"),AY563,"")</f>
        <v/>
      </c>
      <c r="BG563" t="n">
        <v>0</v>
      </c>
      <c r="BH563" t="n">
        <v>0</v>
      </c>
      <c r="BI563" t="n">
        <v>0</v>
      </c>
      <c r="BJ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s="8" t="n">
        <v>1317</v>
      </c>
      <c r="O564" s="8" t="n">
        <v>0</v>
      </c>
      <c r="Q564" t="inlineStr">
        <is>
          <t>flat</t>
        </is>
      </c>
      <c r="R564" s="6" t="n">
        <v>1317</v>
      </c>
      <c r="S564" t="inlineStr">
        <is>
          <t>Solio</t>
        </is>
      </c>
      <c r="U564" s="6" t="n">
        <v>85</v>
      </c>
      <c r="V564" s="2" t="n"/>
      <c r="W564" s="7">
        <f>IF(N(U564)&lt;=0,0,MIN(Assumptions!$B$15,N(R564)/N(U564)))</f>
        <v/>
      </c>
      <c r="X564" s="6" t="n">
        <v>0.17</v>
      </c>
      <c r="Y564" s="3" t="n"/>
      <c r="Z564" t="inlineStr"/>
      <c r="AA564" s="3" t="n">
        <v>1</v>
      </c>
      <c r="AB564" s="3" t="n"/>
      <c r="AC564" s="3" t="n"/>
      <c r="AD564" s="3" t="n"/>
      <c r="AE564" s="3" t="n"/>
      <c r="AF564" s="3" t="n">
        <v>0</v>
      </c>
      <c r="AG564" s="3" t="n"/>
      <c r="AH564" s="3" t="n"/>
      <c r="AI564" s="3" t="n">
        <v>3.5741</v>
      </c>
      <c r="AJ564" s="3" t="n">
        <v>1.8319</v>
      </c>
      <c r="AK564" s="3" t="n">
        <v>-0.2756958479817338</v>
      </c>
      <c r="AL564" s="6" t="n">
        <v>0</v>
      </c>
      <c r="AM564" s="3" t="n">
        <v>0</v>
      </c>
      <c r="AN564" s="3" t="n">
        <v>0</v>
      </c>
      <c r="AO564" s="3" t="n">
        <v>0</v>
      </c>
      <c r="AP564" s="3">
        <f>N(X564)*N(BI564)</f>
        <v/>
      </c>
      <c r="AQ564" s="3" t="n">
        <v>0</v>
      </c>
      <c r="AR564" s="3" t="n">
        <v>0</v>
      </c>
      <c r="AS564" s="3" t="n">
        <v>-0</v>
      </c>
      <c r="AT564" s="3" t="n">
        <v>-0.2756958479817338</v>
      </c>
      <c r="AU564" s="3">
        <f>SUM(AN564:AT564)</f>
        <v/>
      </c>
      <c r="AV564" s="7">
        <f>IF(OR(N(W564)&lt;=0,N(BG564)=0),0,N(W564)*IF(N(R564)/N(W564)&gt;=60,N(BG564),1))</f>
        <v/>
      </c>
      <c r="AW564" s="7">
        <f>N(W564)*N(AF564)*N(BH564)</f>
        <v/>
      </c>
      <c r="AX564" s="7">
        <f>N(AL564)*(Assumptions!$B$13*N(BJ564)-(1-Assumptions!$B$13)*Assumptions!$B$14)+N(AM564)</f>
        <v/>
      </c>
      <c r="AY564" s="7">
        <f>N(AU564)*N(R564)/90+N(AV564)+N(AW564)+N(AX564)</f>
        <v/>
      </c>
      <c r="AZ564" s="3">
        <f>IF(N(R564)&lt;=0,0,(N(AY564)-N(AX564))*90/N(R564))</f>
        <v/>
      </c>
      <c r="BA564" s="7">
        <f>IFERROR(AY564-VLOOKUP($E564,Assumptions!$A$40:$C$43,3,FALSE),"")</f>
        <v/>
      </c>
      <c r="BB564" s="3">
        <f>IFERROR(BA564/H564,"")</f>
        <v/>
      </c>
      <c r="BC564">
        <f>IF(AND($G564=TRUE,$E564="GKP"),AY564,"")</f>
        <v/>
      </c>
      <c r="BD564">
        <f>IF(AND($G564=TRUE,$E564="DEF"),AY564,"")</f>
        <v/>
      </c>
      <c r="BE564">
        <f>IF(AND($G564=TRUE,$E564="MID"),AY564,"")</f>
        <v/>
      </c>
      <c r="BF564">
        <f>IF(AND($G564=TRUE,$E564="FWD"),AY564,"")</f>
        <v/>
      </c>
      <c r="BG564" t="n">
        <v>2</v>
      </c>
      <c r="BH564" t="n">
        <v>2</v>
      </c>
      <c r="BI564" t="n">
        <v>1</v>
      </c>
      <c r="BJ564" t="n">
        <v>5</v>
      </c>
    </row>
    <row r="565">
      <c r="A565" t="inlineStr">
        <is>
          <t>Ryan Giles</t>
        </is>
      </c>
      <c r="B565" t="inlineStr">
        <is>
          <t>HUL</t>
        </is>
      </c>
      <c r="D565" t="b">
        <v>0</v>
      </c>
      <c r="E565" t="inlineStr">
        <is>
          <t>DEF</t>
        </is>
      </c>
      <c r="G565" t="b">
        <v>1</v>
      </c>
      <c r="H565" s="2" t="n">
        <v>4</v>
      </c>
      <c r="I565" t="inlineStr">
        <is>
          <t>a</t>
        </is>
      </c>
      <c r="K565" s="2" t="n"/>
      <c r="M565" s="3" t="n">
        <v>2787</v>
      </c>
      <c r="N565" s="8" t="n">
        <v>2787</v>
      </c>
      <c r="O565" s="8" t="n">
        <v>0</v>
      </c>
      <c r="Q565" t="inlineStr">
        <is>
          <t>flat</t>
        </is>
      </c>
      <c r="R565" s="6" t="n">
        <v>2787</v>
      </c>
      <c r="S565" t="inlineStr">
        <is>
          <t>Solio</t>
        </is>
      </c>
      <c r="U565" s="6" t="n">
        <v>85</v>
      </c>
      <c r="V565" s="2" t="n"/>
      <c r="W565" s="7">
        <f>IF(N(U565)&lt;=0,0,MIN(Assumptions!$B$15,N(R565)/N(U565)))</f>
        <v/>
      </c>
      <c r="X565" s="6" t="n">
        <v>0.143</v>
      </c>
      <c r="Y565" s="3" t="n"/>
      <c r="Z565" t="inlineStr"/>
      <c r="AA565" s="3" t="n">
        <v>1</v>
      </c>
      <c r="AB565" s="3" t="n"/>
      <c r="AC565" s="3" t="n"/>
      <c r="AD565" s="3" t="n"/>
      <c r="AE565" s="3" t="n"/>
      <c r="AF565" s="3" t="n">
        <v>0</v>
      </c>
      <c r="AG565" s="3" t="n"/>
      <c r="AH565" s="3" t="n"/>
      <c r="AI565" s="3" t="n">
        <v>3.9421</v>
      </c>
      <c r="AJ565" s="3" t="n">
        <v>1.99</v>
      </c>
      <c r="AK565" s="3" t="n">
        <v>-0.1822446652757809</v>
      </c>
      <c r="AL565" s="6" t="n">
        <v>0</v>
      </c>
      <c r="AM565" s="3" t="n">
        <v>0</v>
      </c>
      <c r="AN565" s="3" t="n">
        <v>0</v>
      </c>
      <c r="AO565" s="3" t="n">
        <v>0</v>
      </c>
      <c r="AP565" s="3">
        <f>N(X565)*N(BI565)</f>
        <v/>
      </c>
      <c r="AQ565" s="3" t="n">
        <v>0</v>
      </c>
      <c r="AR565" s="3" t="n">
        <v>0</v>
      </c>
      <c r="AS565" s="3" t="n">
        <v>-0.7496714098286652</v>
      </c>
      <c r="AT565" s="3" t="n">
        <v>-0.1822446652757809</v>
      </c>
      <c r="AU565" s="3">
        <f>SUM(AN565:AT565)</f>
        <v/>
      </c>
      <c r="AV565" s="7">
        <f>IF(OR(N(W565)&lt;=0,N(BG565)=0),0,N(W565)*IF(N(R565)/N(W565)&gt;=60,N(BG565),1))</f>
        <v/>
      </c>
      <c r="AW565" s="7">
        <f>N(W565)*N(AF565)*N(BH565)</f>
        <v/>
      </c>
      <c r="AX565" s="7">
        <f>N(AL565)*(Assumptions!$B$13*N(BJ565)-(1-Assumptions!$B$13)*Assumptions!$B$14)+N(AM565)</f>
        <v/>
      </c>
      <c r="AY565" s="7">
        <f>N(AU565)*N(R565)/90+N(AV565)+N(AW565)+N(AX565)</f>
        <v/>
      </c>
      <c r="AZ565" s="3">
        <f>IF(N(R565)&lt;=0,0,(N(AY565)-N(AX565))*90/N(R565))</f>
        <v/>
      </c>
      <c r="BA565" s="7">
        <f>IFERROR(AY565-VLOOKUP($E565,Assumptions!$A$40:$C$43,3,FALSE),"")</f>
        <v/>
      </c>
      <c r="BB565" s="3">
        <f>IFERROR(BA565/H565,"")</f>
        <v/>
      </c>
      <c r="BC565">
        <f>IF(AND($G565=TRUE,$E565="GKP"),AY565,"")</f>
        <v/>
      </c>
      <c r="BD565">
        <f>IF(AND($G565=TRUE,$E565="DEF"),AY565,"")</f>
        <v/>
      </c>
      <c r="BE565">
        <f>IF(AND($G565=TRUE,$E565="MID"),AY565,"")</f>
        <v/>
      </c>
      <c r="BF565">
        <f>IF(AND($G565=TRUE,$E565="FWD"),AY565,"")</f>
        <v/>
      </c>
      <c r="BG565" t="n">
        <v>2</v>
      </c>
      <c r="BH565" t="n">
        <v>2</v>
      </c>
      <c r="BI565" t="n">
        <v>4</v>
      </c>
      <c r="BJ565" t="n">
        <v>6</v>
      </c>
    </row>
    <row r="566">
      <c r="A566" t="inlineStr">
        <is>
          <t>Anis Mehmeti</t>
        </is>
      </c>
      <c r="B566" t="inlineStr">
        <is>
          <t>IPS</t>
        </is>
      </c>
      <c r="D566" t="b">
        <v>0</v>
      </c>
      <c r="E566" t="inlineStr">
        <is>
          <t>MID</t>
        </is>
      </c>
      <c r="G566" t="b">
        <v>1</v>
      </c>
      <c r="H566" s="2" t="n">
        <v>5</v>
      </c>
      <c r="I566" t="inlineStr">
        <is>
          <t>a</t>
        </is>
      </c>
      <c r="K566" s="2" t="n"/>
      <c r="M566" s="3" t="n">
        <v>1146</v>
      </c>
      <c r="N566" s="8" t="n">
        <v>1146</v>
      </c>
      <c r="O566" s="8" t="n">
        <v>0</v>
      </c>
      <c r="Q566" t="inlineStr">
        <is>
          <t>flat</t>
        </is>
      </c>
      <c r="R566" s="6" t="n">
        <v>1146</v>
      </c>
      <c r="S566" t="inlineStr">
        <is>
          <t>Solio</t>
        </is>
      </c>
      <c r="U566" s="6" t="n">
        <v>85</v>
      </c>
      <c r="V566" s="2" t="n"/>
      <c r="W566" s="7">
        <f>IF(N(U566)&lt;=0,0,MIN(Assumptions!$B$15,N(R566)/N(U566)))</f>
        <v/>
      </c>
      <c r="X566" s="6" t="n">
        <v>0.17</v>
      </c>
      <c r="Y566" s="3" t="n"/>
      <c r="Z566" t="inlineStr"/>
      <c r="AA566" s="3" t="n">
        <v>1</v>
      </c>
      <c r="AB566" s="3" t="n"/>
      <c r="AC566" s="3" t="n"/>
      <c r="AD566" s="3" t="n"/>
      <c r="AE566" s="3" t="n"/>
      <c r="AF566" s="3" t="n">
        <v>0</v>
      </c>
      <c r="AG566" s="3" t="n"/>
      <c r="AH566" s="3" t="n"/>
      <c r="AI566" s="3" t="n">
        <v>3.5741</v>
      </c>
      <c r="AJ566" s="3" t="n">
        <v>1.8319</v>
      </c>
      <c r="AK566" s="3" t="n">
        <v>-0.2160434166173144</v>
      </c>
      <c r="AL566" s="6" t="n">
        <v>0</v>
      </c>
      <c r="AM566" s="3" t="n">
        <v>0</v>
      </c>
      <c r="AN566" s="3" t="n">
        <v>0</v>
      </c>
      <c r="AO566" s="3" t="n">
        <v>0</v>
      </c>
      <c r="AP566" s="3">
        <f>N(X566)*N(BI566)</f>
        <v/>
      </c>
      <c r="AQ566" s="3" t="n">
        <v>0</v>
      </c>
      <c r="AR566" s="3" t="n">
        <v>0</v>
      </c>
      <c r="AS566" s="3" t="n">
        <v>-0</v>
      </c>
      <c r="AT566" s="3" t="n">
        <v>-0.2160434166173144</v>
      </c>
      <c r="AU566" s="3">
        <f>SUM(AN566:AT566)</f>
        <v/>
      </c>
      <c r="AV566" s="7">
        <f>IF(OR(N(W566)&lt;=0,N(BG566)=0),0,N(W566)*IF(N(R566)/N(W566)&gt;=60,N(BG566),1))</f>
        <v/>
      </c>
      <c r="AW566" s="7">
        <f>N(W566)*N(AF566)*N(BH566)</f>
        <v/>
      </c>
      <c r="AX566" s="7">
        <f>N(AL566)*(Assumptions!$B$13*N(BJ566)-(1-Assumptions!$B$13)*Assumptions!$B$14)+N(AM566)</f>
        <v/>
      </c>
      <c r="AY566" s="7">
        <f>N(AU566)*N(R566)/90+N(AV566)+N(AW566)+N(AX566)</f>
        <v/>
      </c>
      <c r="AZ566" s="3">
        <f>IF(N(R566)&lt;=0,0,(N(AY566)-N(AX566))*90/N(R566))</f>
        <v/>
      </c>
      <c r="BA566" s="7">
        <f>IFERROR(AY566-VLOOKUP($E566,Assumptions!$A$40:$C$43,3,FALSE),"")</f>
        <v/>
      </c>
      <c r="BB566" s="3">
        <f>IFERROR(BA566/H566,"")</f>
        <v/>
      </c>
      <c r="BC566">
        <f>IF(AND($G566=TRUE,$E566="GKP"),AY566,"")</f>
        <v/>
      </c>
      <c r="BD566">
        <f>IF(AND($G566=TRUE,$E566="DEF"),AY566,"")</f>
        <v/>
      </c>
      <c r="BE566">
        <f>IF(AND($G566=TRUE,$E566="MID"),AY566,"")</f>
        <v/>
      </c>
      <c r="BF566">
        <f>IF(AND($G566=TRUE,$E566="FWD"),AY566,"")</f>
        <v/>
      </c>
      <c r="BG566" t="n">
        <v>2</v>
      </c>
      <c r="BH566" t="n">
        <v>2</v>
      </c>
      <c r="BI566" t="n">
        <v>1</v>
      </c>
      <c r="BJ566" t="n">
        <v>5</v>
      </c>
    </row>
    <row r="567">
      <c r="A567" t="inlineStr">
        <is>
          <t>Anthony Gordon</t>
        </is>
      </c>
      <c r="C567" t="inlineStr">
        <is>
          <t>NEW</t>
        </is>
      </c>
      <c r="D567" t="b">
        <v>0</v>
      </c>
      <c r="F567" t="inlineStr">
        <is>
          <t>MID</t>
        </is>
      </c>
      <c r="G567" t="b">
        <v>0</v>
      </c>
      <c r="H567" s="2" t="n"/>
      <c r="K567" s="2" t="n">
        <v>1814</v>
      </c>
      <c r="M567" s="3" t="n"/>
      <c r="N567" s="8" t="n">
        <v>1814</v>
      </c>
      <c r="O567" s="8" t="n">
        <v>0</v>
      </c>
      <c r="R567" s="6" t="n">
        <v>1814</v>
      </c>
      <c r="S567" t="inlineStr">
        <is>
          <t>25/26 actual</t>
        </is>
      </c>
      <c r="U567" s="6" t="n">
        <v>76.59999999999999</v>
      </c>
      <c r="V567" s="2" t="n">
        <v>23</v>
      </c>
      <c r="W567" s="7">
        <f>IF(N(U567)&lt;=0,0,MIN(Assumptions!$B$15,N(R567)/N(U567)))</f>
        <v/>
      </c>
      <c r="X567" s="6" t="n"/>
      <c r="Y567" s="3" t="n">
        <v>0.2923</v>
      </c>
      <c r="Z567" t="inlineStr">
        <is>
          <t>adjusted xGOT</t>
        </is>
      </c>
      <c r="AA567" s="3" t="n">
        <v>0.739</v>
      </c>
      <c r="AB567" s="3" t="n">
        <v>0.909</v>
      </c>
      <c r="AC567" s="3" t="n">
        <v>31.7</v>
      </c>
      <c r="AD567" s="3" t="n">
        <v>0.1843</v>
      </c>
      <c r="AE567" s="3" t="n">
        <v>5.705</v>
      </c>
      <c r="AF567" s="3" t="n">
        <v>0</v>
      </c>
      <c r="AG567" s="3" t="n">
        <v>0.4465</v>
      </c>
      <c r="AH567" s="3" t="n">
        <v>47</v>
      </c>
      <c r="AI567" s="3" t="n"/>
      <c r="AJ567" s="3" t="n"/>
      <c r="AK567" s="3" t="n"/>
      <c r="AL567" s="6" t="n">
        <v>0</v>
      </c>
      <c r="AM567" s="3" t="n">
        <v>0</v>
      </c>
      <c r="AN567" s="3" t="n">
        <v>0</v>
      </c>
      <c r="AO567" s="3" t="n">
        <v>0</v>
      </c>
      <c r="AP567" s="3">
        <f>N(X567)*N(BI567)</f>
        <v/>
      </c>
      <c r="AQ567" s="3" t="n">
        <v>0</v>
      </c>
      <c r="AR567" s="3" t="n">
        <v>0</v>
      </c>
      <c r="AS567" s="3" t="n">
        <v>0</v>
      </c>
      <c r="AT567" s="3" t="n">
        <v>0</v>
      </c>
      <c r="AU567" s="3">
        <f>SUM(AN567:AT567)</f>
        <v/>
      </c>
      <c r="AV567" s="7">
        <f>IF(OR(N(W567)&lt;=0,N(BG567)=0),0,N(W567)*IF(N(R567)/N(W567)&gt;=60,N(BG567),1))</f>
        <v/>
      </c>
      <c r="AW567" s="7">
        <f>N(W567)*N(AF567)*N(BH567)</f>
        <v/>
      </c>
      <c r="AX567" s="7">
        <f>N(AL567)*(Assumptions!$B$13*N(BJ567)-(1-Assumptions!$B$13)*Assumptions!$B$14)+N(AM567)</f>
        <v/>
      </c>
      <c r="AY567" s="7">
        <f>N(AU567)*N(R567)/90+N(AV567)+N(AW567)+N(AX567)</f>
        <v/>
      </c>
      <c r="AZ567" s="3">
        <f>IF(N(R567)&lt;=0,0,(N(AY567)-N(AX567))*90/N(R567))</f>
        <v/>
      </c>
      <c r="BA567" s="7">
        <f>IFERROR(AY567-VLOOKUP($E567,Assumptions!$A$40:$C$43,3,FALSE),"")</f>
        <v/>
      </c>
      <c r="BB567" s="3">
        <f>IFERROR(BA567/H567,"")</f>
        <v/>
      </c>
      <c r="BC567">
        <f>IF(AND($G567=TRUE,$E567="GKP"),AY567,"")</f>
        <v/>
      </c>
      <c r="BD567">
        <f>IF(AND($G567=TRUE,$E567="DEF"),AY567,"")</f>
        <v/>
      </c>
      <c r="BE567">
        <f>IF(AND($G567=TRUE,$E567="MID"),AY567,"")</f>
        <v/>
      </c>
      <c r="BF567">
        <f>IF(AND($G567=TRUE,$E567="FWD"),AY567,"")</f>
        <v/>
      </c>
      <c r="BG567" t="n">
        <v>0</v>
      </c>
      <c r="BH567" t="n">
        <v>0</v>
      </c>
      <c r="BI567" t="n">
        <v>0</v>
      </c>
      <c r="BJ567" t="n">
        <v>0</v>
      </c>
    </row>
    <row r="568">
      <c r="A568" t="inlineStr">
        <is>
          <t>Liam Millar</t>
        </is>
      </c>
      <c r="B568" t="inlineStr">
        <is>
          <t>HUL</t>
        </is>
      </c>
      <c r="D568" t="b">
        <v>0</v>
      </c>
      <c r="E568" t="inlineStr">
        <is>
          <t>MID</t>
        </is>
      </c>
      <c r="G568" t="b">
        <v>1</v>
      </c>
      <c r="H568" s="2" t="n">
        <v>5</v>
      </c>
      <c r="I568" t="inlineStr">
        <is>
          <t>a</t>
        </is>
      </c>
      <c r="K568" s="2" t="n"/>
      <c r="M568" s="3" t="n">
        <v>1978</v>
      </c>
      <c r="N568" s="8" t="n">
        <v>1978</v>
      </c>
      <c r="O568" s="8" t="n">
        <v>0</v>
      </c>
      <c r="Q568" t="inlineStr">
        <is>
          <t>flat</t>
        </is>
      </c>
      <c r="R568" s="6" t="n">
        <v>1978</v>
      </c>
      <c r="S568" t="inlineStr">
        <is>
          <t>Solio</t>
        </is>
      </c>
      <c r="U568" s="6" t="n">
        <v>85</v>
      </c>
      <c r="V568" s="2" t="n"/>
      <c r="W568" s="7">
        <f>IF(N(U568)&lt;=0,0,MIN(Assumptions!$B$15,N(R568)/N(U568)))</f>
        <v/>
      </c>
      <c r="X568" s="6" t="n">
        <v>0.143</v>
      </c>
      <c r="Y568" s="3" t="n"/>
      <c r="Z568" t="inlineStr"/>
      <c r="AA568" s="3" t="n">
        <v>1</v>
      </c>
      <c r="AB568" s="3" t="n"/>
      <c r="AC568" s="3" t="n"/>
      <c r="AD568" s="3" t="n"/>
      <c r="AE568" s="3" t="n"/>
      <c r="AF568" s="3" t="n">
        <v>0</v>
      </c>
      <c r="AG568" s="3" t="n"/>
      <c r="AH568" s="3" t="n"/>
      <c r="AI568" s="3" t="n">
        <v>3.9421</v>
      </c>
      <c r="AJ568" s="3" t="n">
        <v>1.99</v>
      </c>
      <c r="AK568" s="3" t="n">
        <v>-0.2160434166173144</v>
      </c>
      <c r="AL568" s="6" t="n">
        <v>0</v>
      </c>
      <c r="AM568" s="3" t="n">
        <v>0</v>
      </c>
      <c r="AN568" s="3" t="n">
        <v>0</v>
      </c>
      <c r="AO568" s="3" t="n">
        <v>0</v>
      </c>
      <c r="AP568" s="3">
        <f>N(X568)*N(BI568)</f>
        <v/>
      </c>
      <c r="AQ568" s="3" t="n">
        <v>0</v>
      </c>
      <c r="AR568" s="3" t="n">
        <v>0</v>
      </c>
      <c r="AS568" s="3" t="n">
        <v>-0</v>
      </c>
      <c r="AT568" s="3" t="n">
        <v>-0.2160434166173144</v>
      </c>
      <c r="AU568" s="3">
        <f>SUM(AN568:AT568)</f>
        <v/>
      </c>
      <c r="AV568" s="7">
        <f>IF(OR(N(W568)&lt;=0,N(BG568)=0),0,N(W568)*IF(N(R568)/N(W568)&gt;=60,N(BG568),1))</f>
        <v/>
      </c>
      <c r="AW568" s="7">
        <f>N(W568)*N(AF568)*N(BH568)</f>
        <v/>
      </c>
      <c r="AX568" s="7">
        <f>N(AL568)*(Assumptions!$B$13*N(BJ568)-(1-Assumptions!$B$13)*Assumptions!$B$14)+N(AM568)</f>
        <v/>
      </c>
      <c r="AY568" s="7">
        <f>N(AU568)*N(R568)/90+N(AV568)+N(AW568)+N(AX568)</f>
        <v/>
      </c>
      <c r="AZ568" s="3">
        <f>IF(N(R568)&lt;=0,0,(N(AY568)-N(AX568))*90/N(R568))</f>
        <v/>
      </c>
      <c r="BA568" s="7">
        <f>IFERROR(AY568-VLOOKUP($E568,Assumptions!$A$40:$C$43,3,FALSE),"")</f>
        <v/>
      </c>
      <c r="BB568" s="3">
        <f>IFERROR(BA568/H568,"")</f>
        <v/>
      </c>
      <c r="BC568">
        <f>IF(AND($G568=TRUE,$E568="GKP"),AY568,"")</f>
        <v/>
      </c>
      <c r="BD568">
        <f>IF(AND($G568=TRUE,$E568="DEF"),AY568,"")</f>
        <v/>
      </c>
      <c r="BE568">
        <f>IF(AND($G568=TRUE,$E568="MID"),AY568,"")</f>
        <v/>
      </c>
      <c r="BF568">
        <f>IF(AND($G568=TRUE,$E568="FWD"),AY568,"")</f>
        <v/>
      </c>
      <c r="BG568" t="n">
        <v>2</v>
      </c>
      <c r="BH568" t="n">
        <v>2</v>
      </c>
      <c r="BI568" t="n">
        <v>1</v>
      </c>
      <c r="BJ568" t="n">
        <v>5</v>
      </c>
    </row>
    <row r="569">
      <c r="A569" t="inlineStr">
        <is>
          <t>Konstantinos Mavropanos</t>
        </is>
      </c>
      <c r="C569" t="inlineStr">
        <is>
          <t>WHU</t>
        </is>
      </c>
      <c r="D569" t="b">
        <v>0</v>
      </c>
      <c r="F569" t="inlineStr">
        <is>
          <t>DEF</t>
        </is>
      </c>
      <c r="G569" t="b">
        <v>0</v>
      </c>
      <c r="H569" s="2" t="n"/>
      <c r="K569" s="2" t="n">
        <v>2528</v>
      </c>
      <c r="M569" s="3" t="n"/>
      <c r="N569" s="8" t="n">
        <v>2528</v>
      </c>
      <c r="O569" s="8" t="n">
        <v>0</v>
      </c>
      <c r="R569" s="6" t="n">
        <v>2528</v>
      </c>
      <c r="S569" t="inlineStr">
        <is>
          <t>25/26 actual</t>
        </is>
      </c>
      <c r="U569" s="6" t="n">
        <v>88.8</v>
      </c>
      <c r="V569" s="2" t="n">
        <v>27</v>
      </c>
      <c r="W569" s="7">
        <f>IF(N(U569)&lt;=0,0,MIN(Assumptions!$B$15,N(R569)/N(U569)))</f>
        <v/>
      </c>
      <c r="X569" s="6" t="n"/>
      <c r="Y569" s="3" t="n">
        <v>0.09080000000000001</v>
      </c>
      <c r="Z569" t="inlineStr">
        <is>
          <t>adjusted xGOT</t>
        </is>
      </c>
      <c r="AA569" s="3" t="n">
        <v>1</v>
      </c>
      <c r="AB569" s="3" t="n">
        <v>1.032</v>
      </c>
      <c r="AC569" s="3" t="n">
        <v>5.3</v>
      </c>
      <c r="AD569" s="3" t="n">
        <v>0.0174</v>
      </c>
      <c r="AE569" s="3" t="n">
        <v>10.364</v>
      </c>
      <c r="AF569" s="3" t="n">
        <v>0</v>
      </c>
      <c r="AG569" s="3" t="n">
        <v>0.178</v>
      </c>
      <c r="AH569" s="3" t="n">
        <v>58</v>
      </c>
      <c r="AI569" s="3" t="n"/>
      <c r="AJ569" s="3" t="n"/>
      <c r="AK569" s="3" t="n"/>
      <c r="AL569" s="6" t="n">
        <v>0</v>
      </c>
      <c r="AM569" s="3" t="n">
        <v>0</v>
      </c>
      <c r="AN569" s="3" t="n">
        <v>0</v>
      </c>
      <c r="AO569" s="3" t="n">
        <v>0</v>
      </c>
      <c r="AP569" s="3">
        <f>N(X569)*N(BI569)</f>
        <v/>
      </c>
      <c r="AQ569" s="3" t="n">
        <v>0</v>
      </c>
      <c r="AR569" s="3" t="n">
        <v>0</v>
      </c>
      <c r="AS569" s="3" t="n">
        <v>0</v>
      </c>
      <c r="AT569" s="3" t="n">
        <v>0</v>
      </c>
      <c r="AU569" s="3">
        <f>SUM(AN569:AT569)</f>
        <v/>
      </c>
      <c r="AV569" s="7">
        <f>IF(OR(N(W569)&lt;=0,N(BG569)=0),0,N(W569)*IF(N(R569)/N(W569)&gt;=60,N(BG569),1))</f>
        <v/>
      </c>
      <c r="AW569" s="7">
        <f>N(W569)*N(AF569)*N(BH569)</f>
        <v/>
      </c>
      <c r="AX569" s="7">
        <f>N(AL569)*(Assumptions!$B$13*N(BJ569)-(1-Assumptions!$B$13)*Assumptions!$B$14)+N(AM569)</f>
        <v/>
      </c>
      <c r="AY569" s="7">
        <f>N(AU569)*N(R569)/90+N(AV569)+N(AW569)+N(AX569)</f>
        <v/>
      </c>
      <c r="AZ569" s="3">
        <f>IF(N(R569)&lt;=0,0,(N(AY569)-N(AX569))*90/N(R569))</f>
        <v/>
      </c>
      <c r="BA569" s="7">
        <f>IFERROR(AY569-VLOOKUP($E569,Assumptions!$A$40:$C$43,3,FALSE),"")</f>
        <v/>
      </c>
      <c r="BB569" s="3">
        <f>IFERROR(BA569/H569,"")</f>
        <v/>
      </c>
      <c r="BC569">
        <f>IF(AND($G569=TRUE,$E569="GKP"),AY569,"")</f>
        <v/>
      </c>
      <c r="BD569">
        <f>IF(AND($G569=TRUE,$E569="DEF"),AY569,"")</f>
        <v/>
      </c>
      <c r="BE569">
        <f>IF(AND($G569=TRUE,$E569="MID"),AY569,"")</f>
        <v/>
      </c>
      <c r="BF569">
        <f>IF(AND($G569=TRUE,$E569="FWD"),AY569,"")</f>
        <v/>
      </c>
      <c r="BG569" t="n">
        <v>0</v>
      </c>
      <c r="BH569" t="n">
        <v>0</v>
      </c>
      <c r="BI569" t="n">
        <v>0</v>
      </c>
      <c r="BJ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s="8" t="n">
        <v>800</v>
      </c>
      <c r="O570" s="8" t="n">
        <v>0</v>
      </c>
      <c r="Q570" t="inlineStr">
        <is>
          <t>flat</t>
        </is>
      </c>
      <c r="R570" s="6" t="n">
        <v>800</v>
      </c>
      <c r="S570" t="inlineStr">
        <is>
          <t>Solio</t>
        </is>
      </c>
      <c r="U570" s="6" t="n">
        <v>85</v>
      </c>
      <c r="V570" s="2" t="n"/>
      <c r="W570" s="7">
        <f>IF(N(U570)&lt;=0,0,MIN(Assumptions!$B$15,N(R570)/N(U570)))</f>
        <v/>
      </c>
      <c r="X570" s="6" t="n">
        <v>0.17</v>
      </c>
      <c r="Y570" s="3" t="n"/>
      <c r="Z570" t="inlineStr"/>
      <c r="AA570" s="3" t="n">
        <v>1</v>
      </c>
      <c r="AB570" s="3" t="n"/>
      <c r="AC570" s="3" t="n"/>
      <c r="AD570" s="3" t="n"/>
      <c r="AE570" s="3" t="n"/>
      <c r="AF570" s="3" t="n">
        <v>0</v>
      </c>
      <c r="AG570" s="3" t="n"/>
      <c r="AH570" s="3" t="n"/>
      <c r="AI570" s="3" t="n">
        <v>3.5741</v>
      </c>
      <c r="AJ570" s="3" t="n">
        <v>1.8319</v>
      </c>
      <c r="AK570" s="3" t="n">
        <v>-0.2160434166173144</v>
      </c>
      <c r="AL570" s="6" t="n">
        <v>0</v>
      </c>
      <c r="AM570" s="3" t="n">
        <v>0</v>
      </c>
      <c r="AN570" s="3" t="n">
        <v>0</v>
      </c>
      <c r="AO570" s="3" t="n">
        <v>0</v>
      </c>
      <c r="AP570" s="3">
        <f>N(X570)*N(BI570)</f>
        <v/>
      </c>
      <c r="AQ570" s="3" t="n">
        <v>0</v>
      </c>
      <c r="AR570" s="3" t="n">
        <v>0</v>
      </c>
      <c r="AS570" s="3" t="n">
        <v>-0</v>
      </c>
      <c r="AT570" s="3" t="n">
        <v>-0.2160434166173144</v>
      </c>
      <c r="AU570" s="3">
        <f>SUM(AN570:AT570)</f>
        <v/>
      </c>
      <c r="AV570" s="7">
        <f>IF(OR(N(W570)&lt;=0,N(BG570)=0),0,N(W570)*IF(N(R570)/N(W570)&gt;=60,N(BG570),1))</f>
        <v/>
      </c>
      <c r="AW570" s="7">
        <f>N(W570)*N(AF570)*N(BH570)</f>
        <v/>
      </c>
      <c r="AX570" s="7">
        <f>N(AL570)*(Assumptions!$B$13*N(BJ570)-(1-Assumptions!$B$13)*Assumptions!$B$14)+N(AM570)</f>
        <v/>
      </c>
      <c r="AY570" s="7">
        <f>N(AU570)*N(R570)/90+N(AV570)+N(AW570)+N(AX570)</f>
        <v/>
      </c>
      <c r="AZ570" s="3">
        <f>IF(N(R570)&lt;=0,0,(N(AY570)-N(AX570))*90/N(R570))</f>
        <v/>
      </c>
      <c r="BA570" s="7">
        <f>IFERROR(AY570-VLOOKUP($E570,Assumptions!$A$40:$C$43,3,FALSE),"")</f>
        <v/>
      </c>
      <c r="BB570" s="3">
        <f>IFERROR(BA570/H570,"")</f>
        <v/>
      </c>
      <c r="BC570">
        <f>IF(AND($G570=TRUE,$E570="GKP"),AY570,"")</f>
        <v/>
      </c>
      <c r="BD570">
        <f>IF(AND($G570=TRUE,$E570="DEF"),AY570,"")</f>
        <v/>
      </c>
      <c r="BE570">
        <f>IF(AND($G570=TRUE,$E570="MID"),AY570,"")</f>
        <v/>
      </c>
      <c r="BF570">
        <f>IF(AND($G570=TRUE,$E570="FWD"),AY570,"")</f>
        <v/>
      </c>
      <c r="BG570" t="n">
        <v>2</v>
      </c>
      <c r="BH570" t="n">
        <v>2</v>
      </c>
      <c r="BI570" t="n">
        <v>1</v>
      </c>
      <c r="BJ570" t="n">
        <v>5</v>
      </c>
    </row>
    <row r="571">
      <c r="A571" t="inlineStr">
        <is>
          <t>Ephron Mason-Clark</t>
        </is>
      </c>
      <c r="B571" t="inlineStr">
        <is>
          <t>COV</t>
        </is>
      </c>
      <c r="D571" t="b">
        <v>0</v>
      </c>
      <c r="E571" t="inlineStr">
        <is>
          <t>MID</t>
        </is>
      </c>
      <c r="G571" t="b">
        <v>1</v>
      </c>
      <c r="H571" s="2" t="n">
        <v>5.5</v>
      </c>
      <c r="I571" t="inlineStr">
        <is>
          <t>a</t>
        </is>
      </c>
      <c r="K571" s="2" t="n"/>
      <c r="M571" s="3" t="n">
        <v>2440</v>
      </c>
      <c r="N571" s="8" t="n">
        <v>2440</v>
      </c>
      <c r="O571" s="8" t="n">
        <v>0</v>
      </c>
      <c r="Q571" t="inlineStr">
        <is>
          <t>flat</t>
        </is>
      </c>
      <c r="R571" s="6" t="n">
        <v>2440</v>
      </c>
      <c r="S571" t="inlineStr">
        <is>
          <t>Solio</t>
        </is>
      </c>
      <c r="U571" s="6" t="n">
        <v>85</v>
      </c>
      <c r="V571" s="2" t="n"/>
      <c r="W571" s="7">
        <f>IF(N(U571)&lt;=0,0,MIN(Assumptions!$B$15,N(R571)/N(U571)))</f>
        <v/>
      </c>
      <c r="X571" s="6" t="n">
        <v>0.17</v>
      </c>
      <c r="Y571" s="3" t="n"/>
      <c r="Z571" t="inlineStr"/>
      <c r="AA571" s="3" t="n">
        <v>1</v>
      </c>
      <c r="AB571" s="3" t="n"/>
      <c r="AC571" s="3" t="n"/>
      <c r="AD571" s="3" t="n"/>
      <c r="AE571" s="3" t="n"/>
      <c r="AF571" s="3" t="n">
        <v>0</v>
      </c>
      <c r="AG571" s="3" t="n"/>
      <c r="AH571" s="3" t="n"/>
      <c r="AI571" s="3" t="n">
        <v>3.6194</v>
      </c>
      <c r="AJ571" s="3" t="n">
        <v>1.8271</v>
      </c>
      <c r="AK571" s="3" t="n">
        <v>-0.2160434166173144</v>
      </c>
      <c r="AL571" s="6" t="n">
        <v>0</v>
      </c>
      <c r="AM571" s="3" t="n">
        <v>0</v>
      </c>
      <c r="AN571" s="3" t="n">
        <v>0</v>
      </c>
      <c r="AO571" s="3" t="n">
        <v>0</v>
      </c>
      <c r="AP571" s="3">
        <f>N(X571)*N(BI571)</f>
        <v/>
      </c>
      <c r="AQ571" s="3" t="n">
        <v>0</v>
      </c>
      <c r="AR571" s="3" t="n">
        <v>0</v>
      </c>
      <c r="AS571" s="3" t="n">
        <v>-0</v>
      </c>
      <c r="AT571" s="3" t="n">
        <v>-0.2160434166173144</v>
      </c>
      <c r="AU571" s="3">
        <f>SUM(AN571:AT571)</f>
        <v/>
      </c>
      <c r="AV571" s="7">
        <f>IF(OR(N(W571)&lt;=0,N(BG571)=0),0,N(W571)*IF(N(R571)/N(W571)&gt;=60,N(BG571),1))</f>
        <v/>
      </c>
      <c r="AW571" s="7">
        <f>N(W571)*N(AF571)*N(BH571)</f>
        <v/>
      </c>
      <c r="AX571" s="7">
        <f>N(AL571)*(Assumptions!$B$13*N(BJ571)-(1-Assumptions!$B$13)*Assumptions!$B$14)+N(AM571)</f>
        <v/>
      </c>
      <c r="AY571" s="7">
        <f>N(AU571)*N(R571)/90+N(AV571)+N(AW571)+N(AX571)</f>
        <v/>
      </c>
      <c r="AZ571" s="3">
        <f>IF(N(R571)&lt;=0,0,(N(AY571)-N(AX571))*90/N(R571))</f>
        <v/>
      </c>
      <c r="BA571" s="7">
        <f>IFERROR(AY571-VLOOKUP($E571,Assumptions!$A$40:$C$43,3,FALSE),"")</f>
        <v/>
      </c>
      <c r="BB571" s="3">
        <f>IFERROR(BA571/H571,"")</f>
        <v/>
      </c>
      <c r="BC571">
        <f>IF(AND($G571=TRUE,$E571="GKP"),AY571,"")</f>
        <v/>
      </c>
      <c r="BD571">
        <f>IF(AND($G571=TRUE,$E571="DEF"),AY571,"")</f>
        <v/>
      </c>
      <c r="BE571">
        <f>IF(AND($G571=TRUE,$E571="MID"),AY571,"")</f>
        <v/>
      </c>
      <c r="BF571">
        <f>IF(AND($G571=TRUE,$E571="FWD"),AY571,"")</f>
        <v/>
      </c>
      <c r="BG571" t="n">
        <v>2</v>
      </c>
      <c r="BH571" t="n">
        <v>2</v>
      </c>
      <c r="BI571" t="n">
        <v>1</v>
      </c>
      <c r="BJ571" t="n">
        <v>5</v>
      </c>
    </row>
    <row r="572">
      <c r="A572" t="inlineStr">
        <is>
          <t>Oscar Mingueza</t>
        </is>
      </c>
      <c r="B572" t="inlineStr">
        <is>
          <t>CRY</t>
        </is>
      </c>
      <c r="D572" t="b">
        <v>0</v>
      </c>
      <c r="E572" t="inlineStr">
        <is>
          <t>DEF</t>
        </is>
      </c>
      <c r="G572" t="b">
        <v>1</v>
      </c>
      <c r="H572" s="2" t="n">
        <v>4.5</v>
      </c>
      <c r="I572" t="inlineStr">
        <is>
          <t>a</t>
        </is>
      </c>
      <c r="K572" s="2" t="n"/>
      <c r="M572" s="3" t="n">
        <v>1197</v>
      </c>
      <c r="N572" s="4" t="n">
        <v>1600</v>
      </c>
      <c r="O572" s="4" t="n">
        <v>403</v>
      </c>
      <c r="P572" s="5" t="inlineStr">
        <is>
          <t>medium</t>
        </is>
      </c>
      <c r="Q572" t="inlineStr">
        <is>
          <t>flat</t>
        </is>
      </c>
      <c r="R572" s="6" t="n">
        <v>1600</v>
      </c>
      <c r="S572" t="inlineStr">
        <is>
          <t>research</t>
        </is>
      </c>
      <c r="T572" s="5" t="inlineStr">
        <is>
          <t>Signed on a free from Celta Vigo on 9 July and started both bookend pre-season friendlies, at Swindon in July and at Freiburg on 15 August, playing right wing-back and also being used in the back three. That versatility plus Lacroix's departure makes him a heavier-usage squad player than Solio's 1197, though Khalaili's arrival on 15 August caps how far this can go.</t>
        </is>
      </c>
      <c r="U572" s="6" t="n">
        <v>85</v>
      </c>
      <c r="V572" s="2" t="n"/>
      <c r="W572" s="7">
        <f>IF(N(U572)&lt;=0,0,MIN(Assumptions!$B$15,N(R572)/N(U572)))</f>
        <v/>
      </c>
      <c r="X572" s="6" t="n">
        <v>0.216</v>
      </c>
      <c r="Y572" s="3" t="n"/>
      <c r="Z572" t="inlineStr"/>
      <c r="AA572" s="3" t="n">
        <v>1</v>
      </c>
      <c r="AB572" s="3" t="n"/>
      <c r="AC572" s="3" t="n"/>
      <c r="AD572" s="3" t="n"/>
      <c r="AE572" s="3" t="n"/>
      <c r="AF572" s="3" t="n">
        <v>0</v>
      </c>
      <c r="AG572" s="3" t="n"/>
      <c r="AH572" s="3" t="n"/>
      <c r="AI572" s="3" t="n">
        <v>3.2035</v>
      </c>
      <c r="AJ572" s="3" t="n">
        <v>1.5923</v>
      </c>
      <c r="AK572" s="3" t="n">
        <v>-0.2045226422080557</v>
      </c>
      <c r="AL572" s="6" t="n">
        <v>0</v>
      </c>
      <c r="AM572" s="3" t="n">
        <v>0</v>
      </c>
      <c r="AN572" s="3" t="n">
        <v>0</v>
      </c>
      <c r="AO572" s="3" t="n">
        <v>0</v>
      </c>
      <c r="AP572" s="3">
        <f>N(X572)*N(BI572)</f>
        <v/>
      </c>
      <c r="AQ572" s="3" t="n">
        <v>0</v>
      </c>
      <c r="AR572" s="3" t="n">
        <v>0</v>
      </c>
      <c r="AS572" s="3" t="n">
        <v>-0.5564987001023466</v>
      </c>
      <c r="AT572" s="3" t="n">
        <v>-0.2045226422080557</v>
      </c>
      <c r="AU572" s="3">
        <f>SUM(AN572:AT572)</f>
        <v/>
      </c>
      <c r="AV572" s="7">
        <f>IF(OR(N(W572)&lt;=0,N(BG572)=0),0,N(W572)*IF(N(R572)/N(W572)&gt;=60,N(BG572),1))</f>
        <v/>
      </c>
      <c r="AW572" s="7">
        <f>N(W572)*N(AF572)*N(BH572)</f>
        <v/>
      </c>
      <c r="AX572" s="7">
        <f>N(AL572)*(Assumptions!$B$13*N(BJ572)-(1-Assumptions!$B$13)*Assumptions!$B$14)+N(AM572)</f>
        <v/>
      </c>
      <c r="AY572" s="7">
        <f>N(AU572)*N(R572)/90+N(AV572)+N(AW572)+N(AX572)</f>
        <v/>
      </c>
      <c r="AZ572" s="3">
        <f>IF(N(R572)&lt;=0,0,(N(AY572)-N(AX572))*90/N(R572))</f>
        <v/>
      </c>
      <c r="BA572" s="7">
        <f>IFERROR(AY572-VLOOKUP($E572,Assumptions!$A$40:$C$43,3,FALSE),"")</f>
        <v/>
      </c>
      <c r="BB572" s="3">
        <f>IFERROR(BA572/H572,"")</f>
        <v/>
      </c>
      <c r="BC572">
        <f>IF(AND($G572=TRUE,$E572="GKP"),AY572,"")</f>
        <v/>
      </c>
      <c r="BD572">
        <f>IF(AND($G572=TRUE,$E572="DEF"),AY572,"")</f>
        <v/>
      </c>
      <c r="BE572">
        <f>IF(AND($G572=TRUE,$E572="MID"),AY572,"")</f>
        <v/>
      </c>
      <c r="BF572">
        <f>IF(AND($G572=TRUE,$E572="FWD"),AY572,"")</f>
        <v/>
      </c>
      <c r="BG572" t="n">
        <v>2</v>
      </c>
      <c r="BH572" t="n">
        <v>2</v>
      </c>
      <c r="BI572" t="n">
        <v>4</v>
      </c>
      <c r="BJ572" t="n">
        <v>6</v>
      </c>
    </row>
    <row r="573">
      <c r="A573" t="inlineStr">
        <is>
          <t>Regan Slater</t>
        </is>
      </c>
      <c r="B573" t="inlineStr">
        <is>
          <t>HUL</t>
        </is>
      </c>
      <c r="D573" t="b">
        <v>0</v>
      </c>
      <c r="E573" t="inlineStr">
        <is>
          <t>MID</t>
        </is>
      </c>
      <c r="G573" t="b">
        <v>1</v>
      </c>
      <c r="H573" s="2" t="n">
        <v>4.5</v>
      </c>
      <c r="I573" t="inlineStr">
        <is>
          <t>a</t>
        </is>
      </c>
      <c r="K573" s="2" t="n"/>
      <c r="M573" s="3" t="n">
        <v>2770</v>
      </c>
      <c r="N573" s="8" t="n">
        <v>2770</v>
      </c>
      <c r="O573" s="8" t="n">
        <v>0</v>
      </c>
      <c r="Q573" t="inlineStr">
        <is>
          <t>flat</t>
        </is>
      </c>
      <c r="R573" s="6" t="n">
        <v>2770</v>
      </c>
      <c r="S573" t="inlineStr">
        <is>
          <t>Solio</t>
        </is>
      </c>
      <c r="U573" s="6" t="n">
        <v>85</v>
      </c>
      <c r="V573" s="2" t="n"/>
      <c r="W573" s="7">
        <f>IF(N(U573)&lt;=0,0,MIN(Assumptions!$B$15,N(R573)/N(U573)))</f>
        <v/>
      </c>
      <c r="X573" s="6" t="n">
        <v>0.143</v>
      </c>
      <c r="Y573" s="3" t="n"/>
      <c r="Z573" t="inlineStr"/>
      <c r="AA573" s="3" t="n">
        <v>1</v>
      </c>
      <c r="AB573" s="3" t="n"/>
      <c r="AC573" s="3" t="n"/>
      <c r="AD573" s="3" t="n"/>
      <c r="AE573" s="3" t="n"/>
      <c r="AF573" s="3" t="n">
        <v>0</v>
      </c>
      <c r="AG573" s="3" t="n"/>
      <c r="AH573" s="3" t="n"/>
      <c r="AI573" s="3" t="n">
        <v>3.9421</v>
      </c>
      <c r="AJ573" s="3" t="n">
        <v>1.99</v>
      </c>
      <c r="AK573" s="3" t="n">
        <v>-0.2160434166173144</v>
      </c>
      <c r="AL573" s="6" t="n">
        <v>0</v>
      </c>
      <c r="AM573" s="3" t="n">
        <v>0</v>
      </c>
      <c r="AN573" s="3" t="n">
        <v>0</v>
      </c>
      <c r="AO573" s="3" t="n">
        <v>0</v>
      </c>
      <c r="AP573" s="3">
        <f>N(X573)*N(BI573)</f>
        <v/>
      </c>
      <c r="AQ573" s="3" t="n">
        <v>0</v>
      </c>
      <c r="AR573" s="3" t="n">
        <v>0</v>
      </c>
      <c r="AS573" s="3" t="n">
        <v>-0</v>
      </c>
      <c r="AT573" s="3" t="n">
        <v>-0.2160434166173144</v>
      </c>
      <c r="AU573" s="3">
        <f>SUM(AN573:AT573)</f>
        <v/>
      </c>
      <c r="AV573" s="7">
        <f>IF(OR(N(W573)&lt;=0,N(BG573)=0),0,N(W573)*IF(N(R573)/N(W573)&gt;=60,N(BG573),1))</f>
        <v/>
      </c>
      <c r="AW573" s="7">
        <f>N(W573)*N(AF573)*N(BH573)</f>
        <v/>
      </c>
      <c r="AX573" s="7">
        <f>N(AL573)*(Assumptions!$B$13*N(BJ573)-(1-Assumptions!$B$13)*Assumptions!$B$14)+N(AM573)</f>
        <v/>
      </c>
      <c r="AY573" s="7">
        <f>N(AU573)*N(R573)/90+N(AV573)+N(AW573)+N(AX573)</f>
        <v/>
      </c>
      <c r="AZ573" s="3">
        <f>IF(N(R573)&lt;=0,0,(N(AY573)-N(AX573))*90/N(R573))</f>
        <v/>
      </c>
      <c r="BA573" s="7">
        <f>IFERROR(AY573-VLOOKUP($E573,Assumptions!$A$40:$C$43,3,FALSE),"")</f>
        <v/>
      </c>
      <c r="BB573" s="3">
        <f>IFERROR(BA573/H573,"")</f>
        <v/>
      </c>
      <c r="BC573">
        <f>IF(AND($G573=TRUE,$E573="GKP"),AY573,"")</f>
        <v/>
      </c>
      <c r="BD573">
        <f>IF(AND($G573=TRUE,$E573="DEF"),AY573,"")</f>
        <v/>
      </c>
      <c r="BE573">
        <f>IF(AND($G573=TRUE,$E573="MID"),AY573,"")</f>
        <v/>
      </c>
      <c r="BF573">
        <f>IF(AND($G573=TRUE,$E573="FWD"),AY573,"")</f>
        <v/>
      </c>
      <c r="BG573" t="n">
        <v>2</v>
      </c>
      <c r="BH573" t="n">
        <v>2</v>
      </c>
      <c r="BI573" t="n">
        <v>1</v>
      </c>
      <c r="BJ573" t="n">
        <v>5</v>
      </c>
    </row>
    <row r="574">
      <c r="A574" t="inlineStr">
        <is>
          <t>Hayden Hackney</t>
        </is>
      </c>
      <c r="B574" t="inlineStr">
        <is>
          <t>EVE</t>
        </is>
      </c>
      <c r="D574" t="b">
        <v>0</v>
      </c>
      <c r="E574" t="inlineStr">
        <is>
          <t>MID</t>
        </is>
      </c>
      <c r="G574" t="b">
        <v>1</v>
      </c>
      <c r="H574" s="2" t="n">
        <v>5.5</v>
      </c>
      <c r="I574" t="inlineStr">
        <is>
          <t>a</t>
        </is>
      </c>
      <c r="K574" s="2" t="n"/>
      <c r="M574" s="3" t="n">
        <v>1053</v>
      </c>
      <c r="N574" s="4" t="n">
        <v>1900</v>
      </c>
      <c r="O574" s="4" t="n">
        <v>847</v>
      </c>
      <c r="P574" s="5" t="inlineStr">
        <is>
          <t>medium</t>
        </is>
      </c>
      <c r="Q574" t="inlineStr">
        <is>
          <t>fade (losing his place)</t>
        </is>
      </c>
      <c r="R574" s="6" t="n">
        <v>1900</v>
      </c>
      <c r="S574" t="inlineStr">
        <is>
          <t>research</t>
        </is>
      </c>
      <c r="T574" s="5" t="inlineStr">
        <is>
          <t>The mirror image of the Nørgaard cut. Everton's biggest cash outlay of the summer at GBP 16.5m rising to about GBP 25m, and Read Everton's injury tracker on 14 August says he is 'being worked into regular rotation'. He started central midfield in both of the last two friendlies - alongside Dewsbury-Hall against Newcastle on 12 August and in the three against Lille on 15 August - while Garner was out and Nørgaard was not in the squad. Solio's 1,053 is a fringe number for a player who has started the run-in to the season.</t>
        </is>
      </c>
      <c r="U574" s="6" t="n">
        <v>85</v>
      </c>
      <c r="V574" s="2" t="n"/>
      <c r="W574" s="7">
        <f>IF(N(U574)&lt;=0,0,MIN(Assumptions!$B$15,N(R574)/N(U574)))</f>
        <v/>
      </c>
      <c r="X574" s="6" t="n">
        <v>0.231</v>
      </c>
      <c r="Y574" s="3" t="n"/>
      <c r="Z574" t="inlineStr"/>
      <c r="AA574" s="3" t="n">
        <v>1</v>
      </c>
      <c r="AB574" s="3" t="n"/>
      <c r="AC574" s="3" t="n"/>
      <c r="AD574" s="3" t="n"/>
      <c r="AE574" s="3" t="n"/>
      <c r="AF574" s="3" t="n">
        <v>0</v>
      </c>
      <c r="AG574" s="3" t="n"/>
      <c r="AH574" s="3" t="n"/>
      <c r="AI574" s="3" t="n">
        <v>3.0311</v>
      </c>
      <c r="AJ574" s="3" t="n">
        <v>1.5252</v>
      </c>
      <c r="AK574" s="3" t="n">
        <v>-0.2160434166173144</v>
      </c>
      <c r="AL574" s="6" t="n">
        <v>0</v>
      </c>
      <c r="AM574" s="3" t="n">
        <v>0</v>
      </c>
      <c r="AN574" s="3" t="n">
        <v>0</v>
      </c>
      <c r="AO574" s="3" t="n">
        <v>0</v>
      </c>
      <c r="AP574" s="3">
        <f>N(X574)*N(BI574)</f>
        <v/>
      </c>
      <c r="AQ574" s="3" t="n">
        <v>0</v>
      </c>
      <c r="AR574" s="3" t="n">
        <v>0</v>
      </c>
      <c r="AS574" s="3" t="n">
        <v>-0</v>
      </c>
      <c r="AT574" s="3" t="n">
        <v>-0.2160434166173144</v>
      </c>
      <c r="AU574" s="3">
        <f>SUM(AN574:AT574)</f>
        <v/>
      </c>
      <c r="AV574" s="7">
        <f>IF(OR(N(W574)&lt;=0,N(BG574)=0),0,N(W574)*IF(N(R574)/N(W574)&gt;=60,N(BG574),1))</f>
        <v/>
      </c>
      <c r="AW574" s="7">
        <f>N(W574)*N(AF574)*N(BH574)</f>
        <v/>
      </c>
      <c r="AX574" s="7">
        <f>N(AL574)*(Assumptions!$B$13*N(BJ574)-(1-Assumptions!$B$13)*Assumptions!$B$14)+N(AM574)</f>
        <v/>
      </c>
      <c r="AY574" s="7">
        <f>N(AU574)*N(R574)/90+N(AV574)+N(AW574)+N(AX574)</f>
        <v/>
      </c>
      <c r="AZ574" s="3">
        <f>IF(N(R574)&lt;=0,0,(N(AY574)-N(AX574))*90/N(R574))</f>
        <v/>
      </c>
      <c r="BA574" s="7">
        <f>IFERROR(AY574-VLOOKUP($E574,Assumptions!$A$40:$C$43,3,FALSE),"")</f>
        <v/>
      </c>
      <c r="BB574" s="3">
        <f>IFERROR(BA574/H574,"")</f>
        <v/>
      </c>
      <c r="BC574">
        <f>IF(AND($G574=TRUE,$E574="GKP"),AY574,"")</f>
        <v/>
      </c>
      <c r="BD574">
        <f>IF(AND($G574=TRUE,$E574="DEF"),AY574,"")</f>
        <v/>
      </c>
      <c r="BE574">
        <f>IF(AND($G574=TRUE,$E574="MID"),AY574,"")</f>
        <v/>
      </c>
      <c r="BF574">
        <f>IF(AND($G574=TRUE,$E574="FWD"),AY574,"")</f>
        <v/>
      </c>
      <c r="BG574" t="n">
        <v>2</v>
      </c>
      <c r="BH574" t="n">
        <v>2</v>
      </c>
      <c r="BI574" t="n">
        <v>1</v>
      </c>
      <c r="BJ574" t="n">
        <v>5</v>
      </c>
    </row>
    <row r="575">
      <c r="A575" t="inlineStr">
        <is>
          <t>Valentín Castellanos</t>
        </is>
      </c>
      <c r="C575" t="inlineStr">
        <is>
          <t>WHU</t>
        </is>
      </c>
      <c r="D575" t="b">
        <v>0</v>
      </c>
      <c r="F575" t="inlineStr">
        <is>
          <t>FWD</t>
        </is>
      </c>
      <c r="G575" t="b">
        <v>0</v>
      </c>
      <c r="H575" s="2" t="n"/>
      <c r="K575" s="2" t="n">
        <v>1395</v>
      </c>
      <c r="M575" s="3" t="n"/>
      <c r="N575" s="8" t="n">
        <v>1395</v>
      </c>
      <c r="O575" s="8" t="n">
        <v>0</v>
      </c>
      <c r="R575" s="6" t="n">
        <v>1395</v>
      </c>
      <c r="S575" t="inlineStr">
        <is>
          <t>25/26 actual</t>
        </is>
      </c>
      <c r="U575" s="6" t="n">
        <v>78</v>
      </c>
      <c r="V575" s="2" t="n">
        <v>17</v>
      </c>
      <c r="W575" s="7">
        <f>IF(N(U575)&lt;=0,0,MIN(Assumptions!$B$15,N(R575)/N(U575)))</f>
        <v/>
      </c>
      <c r="X575" s="6" t="n"/>
      <c r="Y575" s="3" t="n">
        <v>0.3858</v>
      </c>
      <c r="Z575" t="inlineStr">
        <is>
          <t>adjusted xGOT</t>
        </is>
      </c>
      <c r="AA575" s="3" t="n">
        <v>1</v>
      </c>
      <c r="AB575" s="3" t="n">
        <v>1.04</v>
      </c>
      <c r="AC575" s="3" t="n">
        <v>5.8</v>
      </c>
      <c r="AD575" s="3" t="n">
        <v>0.0482</v>
      </c>
      <c r="AE575" s="3" t="n">
        <v>4.677</v>
      </c>
      <c r="AF575" s="3" t="n">
        <v>0</v>
      </c>
      <c r="AG575" s="3" t="n">
        <v>0.3226</v>
      </c>
      <c r="AH575" s="3" t="n">
        <v>35</v>
      </c>
      <c r="AI575" s="3" t="n"/>
      <c r="AJ575" s="3" t="n"/>
      <c r="AK575" s="3" t="n"/>
      <c r="AL575" s="6" t="n">
        <v>0</v>
      </c>
      <c r="AM575" s="3" t="n">
        <v>0</v>
      </c>
      <c r="AN575" s="3" t="n">
        <v>0</v>
      </c>
      <c r="AO575" s="3" t="n">
        <v>0</v>
      </c>
      <c r="AP575" s="3">
        <f>N(X575)*N(BI575)</f>
        <v/>
      </c>
      <c r="AQ575" s="3" t="n">
        <v>0</v>
      </c>
      <c r="AR575" s="3" t="n">
        <v>0</v>
      </c>
      <c r="AS575" s="3" t="n">
        <v>0</v>
      </c>
      <c r="AT575" s="3" t="n">
        <v>0</v>
      </c>
      <c r="AU575" s="3">
        <f>SUM(AN575:AT575)</f>
        <v/>
      </c>
      <c r="AV575" s="7">
        <f>IF(OR(N(W575)&lt;=0,N(BG575)=0),0,N(W575)*IF(N(R575)/N(W575)&gt;=60,N(BG575),1))</f>
        <v/>
      </c>
      <c r="AW575" s="7">
        <f>N(W575)*N(AF575)*N(BH575)</f>
        <v/>
      </c>
      <c r="AX575" s="7">
        <f>N(AL575)*(Assumptions!$B$13*N(BJ575)-(1-Assumptions!$B$13)*Assumptions!$B$14)+N(AM575)</f>
        <v/>
      </c>
      <c r="AY575" s="7">
        <f>N(AU575)*N(R575)/90+N(AV575)+N(AW575)+N(AX575)</f>
        <v/>
      </c>
      <c r="AZ575" s="3">
        <f>IF(N(R575)&lt;=0,0,(N(AY575)-N(AX575))*90/N(R575))</f>
        <v/>
      </c>
      <c r="BA575" s="7">
        <f>IFERROR(AY575-VLOOKUP($E575,Assumptions!$A$40:$C$43,3,FALSE),"")</f>
        <v/>
      </c>
      <c r="BB575" s="3">
        <f>IFERROR(BA575/H575,"")</f>
        <v/>
      </c>
      <c r="BC575">
        <f>IF(AND($G575=TRUE,$E575="GKP"),AY575,"")</f>
        <v/>
      </c>
      <c r="BD575">
        <f>IF(AND($G575=TRUE,$E575="DEF"),AY575,"")</f>
        <v/>
      </c>
      <c r="BE575">
        <f>IF(AND($G575=TRUE,$E575="MID"),AY575,"")</f>
        <v/>
      </c>
      <c r="BF575">
        <f>IF(AND($G575=TRUE,$E575="FWD"),AY575,"")</f>
        <v/>
      </c>
      <c r="BG575" t="n">
        <v>0</v>
      </c>
      <c r="BH575" t="n">
        <v>0</v>
      </c>
      <c r="BI575" t="n">
        <v>0</v>
      </c>
      <c r="BJ575" t="n">
        <v>0</v>
      </c>
    </row>
    <row r="576">
      <c r="A576" t="inlineStr">
        <is>
          <t>Randal Kolo Muani</t>
        </is>
      </c>
      <c r="C576" t="inlineStr">
        <is>
          <t>TOT</t>
        </is>
      </c>
      <c r="D576" t="b">
        <v>0</v>
      </c>
      <c r="F576" t="inlineStr">
        <is>
          <t>FWD</t>
        </is>
      </c>
      <c r="G576" t="b">
        <v>0</v>
      </c>
      <c r="H576" s="2" t="n"/>
      <c r="K576" s="2" t="n">
        <v>1670</v>
      </c>
      <c r="M576" s="3" t="n"/>
      <c r="N576" s="8" t="n">
        <v>1670</v>
      </c>
      <c r="O576" s="8" t="n">
        <v>0</v>
      </c>
      <c r="R576" s="6" t="n">
        <v>1670</v>
      </c>
      <c r="S576" t="inlineStr">
        <is>
          <t>25/26 actual</t>
        </is>
      </c>
      <c r="U576" s="6" t="n">
        <v>71.8</v>
      </c>
      <c r="V576" s="2" t="n">
        <v>21</v>
      </c>
      <c r="W576" s="7">
        <f>IF(N(U576)&lt;=0,0,MIN(Assumptions!$B$15,N(R576)/N(U576)))</f>
        <v/>
      </c>
      <c r="X576" s="6" t="n"/>
      <c r="Y576" s="3" t="n">
        <v>0.1097</v>
      </c>
      <c r="Z576" t="inlineStr">
        <is>
          <t>adjusted xGOT</t>
        </is>
      </c>
      <c r="AA576" s="3" t="n">
        <v>1</v>
      </c>
      <c r="AB576" s="3" t="n">
        <v>0.983</v>
      </c>
      <c r="AC576" s="3" t="n">
        <v>2.1</v>
      </c>
      <c r="AD576" s="3" t="n">
        <v>0.09959999999999999</v>
      </c>
      <c r="AE576" s="3" t="n">
        <v>5.773</v>
      </c>
      <c r="AF576" s="3" t="n">
        <v>0</v>
      </c>
      <c r="AG576" s="3" t="n">
        <v>0.0539</v>
      </c>
      <c r="AH576" s="3" t="n">
        <v>47</v>
      </c>
      <c r="AI576" s="3" t="n"/>
      <c r="AJ576" s="3" t="n"/>
      <c r="AK576" s="3" t="n"/>
      <c r="AL576" s="6" t="n">
        <v>0</v>
      </c>
      <c r="AM576" s="3" t="n">
        <v>0</v>
      </c>
      <c r="AN576" s="3" t="n">
        <v>0</v>
      </c>
      <c r="AO576" s="3" t="n">
        <v>0</v>
      </c>
      <c r="AP576" s="3">
        <f>N(X576)*N(BI576)</f>
        <v/>
      </c>
      <c r="AQ576" s="3" t="n">
        <v>0</v>
      </c>
      <c r="AR576" s="3" t="n">
        <v>0</v>
      </c>
      <c r="AS576" s="3" t="n">
        <v>0</v>
      </c>
      <c r="AT576" s="3" t="n">
        <v>0</v>
      </c>
      <c r="AU576" s="3">
        <f>SUM(AN576:AT576)</f>
        <v/>
      </c>
      <c r="AV576" s="7">
        <f>IF(OR(N(W576)&lt;=0,N(BG576)=0),0,N(W576)*IF(N(R576)/N(W576)&gt;=60,N(BG576),1))</f>
        <v/>
      </c>
      <c r="AW576" s="7">
        <f>N(W576)*N(AF576)*N(BH576)</f>
        <v/>
      </c>
      <c r="AX576" s="7">
        <f>N(AL576)*(Assumptions!$B$13*N(BJ576)-(1-Assumptions!$B$13)*Assumptions!$B$14)+N(AM576)</f>
        <v/>
      </c>
      <c r="AY576" s="7">
        <f>N(AU576)*N(R576)/90+N(AV576)+N(AW576)+N(AX576)</f>
        <v/>
      </c>
      <c r="AZ576" s="3">
        <f>IF(N(R576)&lt;=0,0,(N(AY576)-N(AX576))*90/N(R576))</f>
        <v/>
      </c>
      <c r="BA576" s="7">
        <f>IFERROR(AY576-VLOOKUP($E576,Assumptions!$A$40:$C$43,3,FALSE),"")</f>
        <v/>
      </c>
      <c r="BB576" s="3">
        <f>IFERROR(BA576/H576,"")</f>
        <v/>
      </c>
      <c r="BC576">
        <f>IF(AND($G576=TRUE,$E576="GKP"),AY576,"")</f>
        <v/>
      </c>
      <c r="BD576">
        <f>IF(AND($G576=TRUE,$E576="DEF"),AY576,"")</f>
        <v/>
      </c>
      <c r="BE576">
        <f>IF(AND($G576=TRUE,$E576="MID"),AY576,"")</f>
        <v/>
      </c>
      <c r="BF576">
        <f>IF(AND($G576=TRUE,$E576="FWD"),AY576,"")</f>
        <v/>
      </c>
      <c r="BG576" t="n">
        <v>0</v>
      </c>
      <c r="BH576" t="n">
        <v>0</v>
      </c>
      <c r="BI576" t="n">
        <v>0</v>
      </c>
      <c r="BJ576" t="n">
        <v>0</v>
      </c>
    </row>
    <row r="577">
      <c r="A577" t="inlineStr">
        <is>
          <t>Lutsharel Geertruida</t>
        </is>
      </c>
      <c r="C577" t="inlineStr">
        <is>
          <t>SUN</t>
        </is>
      </c>
      <c r="D577" t="b">
        <v>0</v>
      </c>
      <c r="F577" t="inlineStr">
        <is>
          <t>DEF</t>
        </is>
      </c>
      <c r="G577" t="b">
        <v>0</v>
      </c>
      <c r="H577" s="2" t="n"/>
      <c r="K577" s="2" t="n">
        <v>1685</v>
      </c>
      <c r="M577" s="3" t="n"/>
      <c r="N577" s="8" t="n">
        <v>1685</v>
      </c>
      <c r="O577" s="8" t="n">
        <v>0</v>
      </c>
      <c r="R577" s="6" t="n">
        <v>1685</v>
      </c>
      <c r="S577" t="inlineStr">
        <is>
          <t>25/26 actual</t>
        </is>
      </c>
      <c r="U577" s="6" t="n">
        <v>86.40000000000001</v>
      </c>
      <c r="V577" s="2" t="n">
        <v>17</v>
      </c>
      <c r="W577" s="7">
        <f>IF(N(U577)&lt;=0,0,MIN(Assumptions!$B$15,N(R577)/N(U577)))</f>
        <v/>
      </c>
      <c r="X577" s="6" t="n"/>
      <c r="Y577" s="3" t="n">
        <v>0.0422</v>
      </c>
      <c r="Z577" t="inlineStr">
        <is>
          <t>adjusted xGOT</t>
        </is>
      </c>
      <c r="AA577" s="3" t="n">
        <v>1</v>
      </c>
      <c r="AB577" s="3" t="n">
        <v>1.001</v>
      </c>
      <c r="AC577" s="3" t="n">
        <v>0.8</v>
      </c>
      <c r="AD577" s="3" t="n">
        <v>0.0413</v>
      </c>
      <c r="AE577" s="3" t="n">
        <v>6.54</v>
      </c>
      <c r="AF577" s="3" t="n">
        <v>0</v>
      </c>
      <c r="AG577" s="3" t="n">
        <v>0</v>
      </c>
      <c r="AH577" s="3" t="n">
        <v>45</v>
      </c>
      <c r="AI577" s="3" t="n"/>
      <c r="AJ577" s="3" t="n"/>
      <c r="AK577" s="3" t="n"/>
      <c r="AL577" s="6" t="n">
        <v>0</v>
      </c>
      <c r="AM577" s="3" t="n">
        <v>0</v>
      </c>
      <c r="AN577" s="3" t="n">
        <v>0</v>
      </c>
      <c r="AO577" s="3" t="n">
        <v>0</v>
      </c>
      <c r="AP577" s="3">
        <f>N(X577)*N(BI577)</f>
        <v/>
      </c>
      <c r="AQ577" s="3" t="n">
        <v>0</v>
      </c>
      <c r="AR577" s="3" t="n">
        <v>0</v>
      </c>
      <c r="AS577" s="3" t="n">
        <v>0</v>
      </c>
      <c r="AT577" s="3" t="n">
        <v>0</v>
      </c>
      <c r="AU577" s="3">
        <f>SUM(AN577:AT577)</f>
        <v/>
      </c>
      <c r="AV577" s="7">
        <f>IF(OR(N(W577)&lt;=0,N(BG577)=0),0,N(W577)*IF(N(R577)/N(W577)&gt;=60,N(BG577),1))</f>
        <v/>
      </c>
      <c r="AW577" s="7">
        <f>N(W577)*N(AF577)*N(BH577)</f>
        <v/>
      </c>
      <c r="AX577" s="7">
        <f>N(AL577)*(Assumptions!$B$13*N(BJ577)-(1-Assumptions!$B$13)*Assumptions!$B$14)+N(AM577)</f>
        <v/>
      </c>
      <c r="AY577" s="7">
        <f>N(AU577)*N(R577)/90+N(AV577)+N(AW577)+N(AX577)</f>
        <v/>
      </c>
      <c r="AZ577" s="3">
        <f>IF(N(R577)&lt;=0,0,(N(AY577)-N(AX577))*90/N(R577))</f>
        <v/>
      </c>
      <c r="BA577" s="7">
        <f>IFERROR(AY577-VLOOKUP($E577,Assumptions!$A$40:$C$43,3,FALSE),"")</f>
        <v/>
      </c>
      <c r="BB577" s="3">
        <f>IFERROR(BA577/H577,"")</f>
        <v/>
      </c>
      <c r="BC577">
        <f>IF(AND($G577=TRUE,$E577="GKP"),AY577,"")</f>
        <v/>
      </c>
      <c r="BD577">
        <f>IF(AND($G577=TRUE,$E577="DEF"),AY577,"")</f>
        <v/>
      </c>
      <c r="BE577">
        <f>IF(AND($G577=TRUE,$E577="MID"),AY577,"")</f>
        <v/>
      </c>
      <c r="BF577">
        <f>IF(AND($G577=TRUE,$E577="FWD"),AY577,"")</f>
        <v/>
      </c>
      <c r="BG577" t="n">
        <v>0</v>
      </c>
      <c r="BH577" t="n">
        <v>0</v>
      </c>
      <c r="BI577" t="n">
        <v>0</v>
      </c>
      <c r="BJ577" t="n">
        <v>0</v>
      </c>
    </row>
    <row r="578">
      <c r="A578" t="inlineStr">
        <is>
          <t>Hamed Traoré</t>
        </is>
      </c>
      <c r="C578" t="inlineStr">
        <is>
          <t>BOU</t>
        </is>
      </c>
      <c r="D578" t="b">
        <v>0</v>
      </c>
      <c r="F578" t="inlineStr">
        <is>
          <t>MID</t>
        </is>
      </c>
      <c r="G578" t="b">
        <v>0</v>
      </c>
      <c r="H578" s="2" t="n"/>
      <c r="K578" s="2" t="n">
        <v>16</v>
      </c>
      <c r="M578" s="3" t="n"/>
      <c r="N578" s="8" t="n">
        <v>16</v>
      </c>
      <c r="O578" s="8" t="n">
        <v>0</v>
      </c>
      <c r="R578" s="6" t="n">
        <v>16</v>
      </c>
      <c r="S578" t="inlineStr">
        <is>
          <t>25/26 actual</t>
        </is>
      </c>
      <c r="U578" s="6" t="n">
        <v>80.09999999999999</v>
      </c>
      <c r="V578" s="2" t="n">
        <v>0</v>
      </c>
      <c r="W578" s="7">
        <f>IF(N(U578)&lt;=0,0,MIN(Assumptions!$B$15,N(R578)/N(U578)))</f>
        <v/>
      </c>
      <c r="X578" s="6" t="n"/>
      <c r="Y578" s="3" t="n">
        <v>0</v>
      </c>
      <c r="Z578" t="inlineStr">
        <is>
          <t>adjusted xGOT</t>
        </is>
      </c>
      <c r="AA578" s="3" t="n">
        <v>1</v>
      </c>
      <c r="AB578" s="3" t="n">
        <v>0.869</v>
      </c>
      <c r="AC578" s="3" t="n">
        <v>1.2</v>
      </c>
      <c r="AD578" s="3" t="n">
        <v>0.5377</v>
      </c>
      <c r="AE578" s="3" t="n">
        <v>8.880000000000001</v>
      </c>
      <c r="AF578" s="3" t="n">
        <v>0</v>
      </c>
      <c r="AG578" s="3" t="n">
        <v>0</v>
      </c>
      <c r="AH578" s="3" t="n">
        <v>1</v>
      </c>
      <c r="AI578" s="3" t="n"/>
      <c r="AJ578" s="3" t="n"/>
      <c r="AK578" s="3" t="n"/>
      <c r="AL578" s="6" t="n">
        <v>0</v>
      </c>
      <c r="AM578" s="3" t="n">
        <v>0</v>
      </c>
      <c r="AN578" s="3" t="n">
        <v>0</v>
      </c>
      <c r="AO578" s="3" t="n">
        <v>0</v>
      </c>
      <c r="AP578" s="3">
        <f>N(X578)*N(BI578)</f>
        <v/>
      </c>
      <c r="AQ578" s="3" t="n">
        <v>0</v>
      </c>
      <c r="AR578" s="3" t="n">
        <v>0</v>
      </c>
      <c r="AS578" s="3" t="n">
        <v>0</v>
      </c>
      <c r="AT578" s="3" t="n">
        <v>0</v>
      </c>
      <c r="AU578" s="3">
        <f>SUM(AN578:AT578)</f>
        <v/>
      </c>
      <c r="AV578" s="7">
        <f>IF(OR(N(W578)&lt;=0,N(BG578)=0),0,N(W578)*IF(N(R578)/N(W578)&gt;=60,N(BG578),1))</f>
        <v/>
      </c>
      <c r="AW578" s="7">
        <f>N(W578)*N(AF578)*N(BH578)</f>
        <v/>
      </c>
      <c r="AX578" s="7">
        <f>N(AL578)*(Assumptions!$B$13*N(BJ578)-(1-Assumptions!$B$13)*Assumptions!$B$14)+N(AM578)</f>
        <v/>
      </c>
      <c r="AY578" s="7">
        <f>N(AU578)*N(R578)/90+N(AV578)+N(AW578)+N(AX578)</f>
        <v/>
      </c>
      <c r="AZ578" s="3">
        <f>IF(N(R578)&lt;=0,0,(N(AY578)-N(AX578))*90/N(R578))</f>
        <v/>
      </c>
      <c r="BA578" s="7">
        <f>IFERROR(AY578-VLOOKUP($E578,Assumptions!$A$40:$C$43,3,FALSE),"")</f>
        <v/>
      </c>
      <c r="BB578" s="3">
        <f>IFERROR(BA578/H578,"")</f>
        <v/>
      </c>
      <c r="BC578">
        <f>IF(AND($G578=TRUE,$E578="GKP"),AY578,"")</f>
        <v/>
      </c>
      <c r="BD578">
        <f>IF(AND($G578=TRUE,$E578="DEF"),AY578,"")</f>
        <v/>
      </c>
      <c r="BE578">
        <f>IF(AND($G578=TRUE,$E578="MID"),AY578,"")</f>
        <v/>
      </c>
      <c r="BF578">
        <f>IF(AND($G578=TRUE,$E578="FWD"),AY578,"")</f>
        <v/>
      </c>
      <c r="BG578" t="n">
        <v>0</v>
      </c>
      <c r="BH578" t="n">
        <v>0</v>
      </c>
      <c r="BI578" t="n">
        <v>0</v>
      </c>
      <c r="BJ578" t="n">
        <v>0</v>
      </c>
    </row>
    <row r="579">
      <c r="A579" t="inlineStr">
        <is>
          <t>Sasa Kalajdzic</t>
        </is>
      </c>
      <c r="C579" t="inlineStr">
        <is>
          <t>WOL</t>
        </is>
      </c>
      <c r="D579" t="b">
        <v>0</v>
      </c>
      <c r="F579" t="inlineStr">
        <is>
          <t>FWD</t>
        </is>
      </c>
      <c r="G579" t="b">
        <v>0</v>
      </c>
      <c r="H579" s="2" t="n"/>
      <c r="K579" s="2" t="n">
        <v>14</v>
      </c>
      <c r="M579" s="3" t="n"/>
      <c r="N579" s="8" t="n">
        <v>14</v>
      </c>
      <c r="O579" s="8" t="n">
        <v>0</v>
      </c>
      <c r="R579" s="6" t="n">
        <v>14</v>
      </c>
      <c r="S579" t="inlineStr">
        <is>
          <t>25/26 actual</t>
        </is>
      </c>
      <c r="U579" s="6" t="n">
        <v>78.5</v>
      </c>
      <c r="V579" s="2" t="n">
        <v>0</v>
      </c>
      <c r="W579" s="7">
        <f>IF(N(U579)&lt;=0,0,MIN(Assumptions!$B$15,N(R579)/N(U579)))</f>
        <v/>
      </c>
      <c r="X579" s="6" t="n"/>
      <c r="Y579" s="3" t="n">
        <v>0</v>
      </c>
      <c r="Z579" t="inlineStr">
        <is>
          <t>adjusted xGOT</t>
        </is>
      </c>
      <c r="AA579" s="3" t="n">
        <v>1</v>
      </c>
      <c r="AB579" s="3" t="n">
        <v>1.034</v>
      </c>
      <c r="AC579" s="3" t="n">
        <v>1.3</v>
      </c>
      <c r="AD579" s="3" t="n">
        <v>0</v>
      </c>
      <c r="AE579" s="3" t="n">
        <v>4.947</v>
      </c>
      <c r="AF579" s="3" t="n">
        <v>0</v>
      </c>
      <c r="AG579" s="3" t="n">
        <v>0</v>
      </c>
      <c r="AH579" s="3" t="n">
        <v>1</v>
      </c>
      <c r="AI579" s="3" t="n"/>
      <c r="AJ579" s="3" t="n"/>
      <c r="AK579" s="3" t="n"/>
      <c r="AL579" s="6" t="n">
        <v>0</v>
      </c>
      <c r="AM579" s="3" t="n">
        <v>0</v>
      </c>
      <c r="AN579" s="3" t="n">
        <v>0</v>
      </c>
      <c r="AO579" s="3" t="n">
        <v>0</v>
      </c>
      <c r="AP579" s="3">
        <f>N(X579)*N(BI579)</f>
        <v/>
      </c>
      <c r="AQ579" s="3" t="n">
        <v>0</v>
      </c>
      <c r="AR579" s="3" t="n">
        <v>0</v>
      </c>
      <c r="AS579" s="3" t="n">
        <v>0</v>
      </c>
      <c r="AT579" s="3" t="n">
        <v>0</v>
      </c>
      <c r="AU579" s="3">
        <f>SUM(AN579:AT579)</f>
        <v/>
      </c>
      <c r="AV579" s="7">
        <f>IF(OR(N(W579)&lt;=0,N(BG579)=0),0,N(W579)*IF(N(R579)/N(W579)&gt;=60,N(BG579),1))</f>
        <v/>
      </c>
      <c r="AW579" s="7">
        <f>N(W579)*N(AF579)*N(BH579)</f>
        <v/>
      </c>
      <c r="AX579" s="7">
        <f>N(AL579)*(Assumptions!$B$13*N(BJ579)-(1-Assumptions!$B$13)*Assumptions!$B$14)+N(AM579)</f>
        <v/>
      </c>
      <c r="AY579" s="7">
        <f>N(AU579)*N(R579)/90+N(AV579)+N(AW579)+N(AX579)</f>
        <v/>
      </c>
      <c r="AZ579" s="3">
        <f>IF(N(R579)&lt;=0,0,(N(AY579)-N(AX579))*90/N(R579))</f>
        <v/>
      </c>
      <c r="BA579" s="7">
        <f>IFERROR(AY579-VLOOKUP($E579,Assumptions!$A$40:$C$43,3,FALSE),"")</f>
        <v/>
      </c>
      <c r="BB579" s="3">
        <f>IFERROR(BA579/H579,"")</f>
        <v/>
      </c>
      <c r="BC579">
        <f>IF(AND($G579=TRUE,$E579="GKP"),AY579,"")</f>
        <v/>
      </c>
      <c r="BD579">
        <f>IF(AND($G579=TRUE,$E579="DEF"),AY579,"")</f>
        <v/>
      </c>
      <c r="BE579">
        <f>IF(AND($G579=TRUE,$E579="MID"),AY579,"")</f>
        <v/>
      </c>
      <c r="BF579">
        <f>IF(AND($G579=TRUE,$E579="FWD"),AY579,"")</f>
        <v/>
      </c>
      <c r="BG579" t="n">
        <v>0</v>
      </c>
      <c r="BH579" t="n">
        <v>0</v>
      </c>
      <c r="BI579" t="n">
        <v>0</v>
      </c>
      <c r="BJ579" t="n">
        <v>0</v>
      </c>
    </row>
    <row r="580">
      <c r="A580" t="inlineStr">
        <is>
          <t>Ladislav Krejcí</t>
        </is>
      </c>
      <c r="C580" t="inlineStr">
        <is>
          <t>WOL</t>
        </is>
      </c>
      <c r="D580" t="b">
        <v>0</v>
      </c>
      <c r="F580" t="inlineStr">
        <is>
          <t>DEF</t>
        </is>
      </c>
      <c r="G580" t="b">
        <v>0</v>
      </c>
      <c r="H580" s="2" t="n"/>
      <c r="K580" s="2" t="n">
        <v>2361</v>
      </c>
      <c r="M580" s="3" t="n"/>
      <c r="N580" s="8" t="n">
        <v>2361</v>
      </c>
      <c r="O580" s="8" t="n">
        <v>0</v>
      </c>
      <c r="R580" s="6" t="n">
        <v>2361</v>
      </c>
      <c r="S580" t="inlineStr">
        <is>
          <t>25/26 actual</t>
        </is>
      </c>
      <c r="U580" s="6" t="n">
        <v>86.2</v>
      </c>
      <c r="V580" s="2" t="n">
        <v>26</v>
      </c>
      <c r="W580" s="7">
        <f>IF(N(U580)&lt;=0,0,MIN(Assumptions!$B$15,N(R580)/N(U580)))</f>
        <v/>
      </c>
      <c r="X580" s="6" t="n"/>
      <c r="Y580" s="3" t="n">
        <v>0.0897</v>
      </c>
      <c r="Z580" t="inlineStr">
        <is>
          <t>adjusted xGOT</t>
        </is>
      </c>
      <c r="AA580" s="3" t="n">
        <v>1</v>
      </c>
      <c r="AB580" s="3" t="n">
        <v>1.056</v>
      </c>
      <c r="AC580" s="3" t="n">
        <v>2.2</v>
      </c>
      <c r="AD580" s="3" t="n">
        <v>0.0568</v>
      </c>
      <c r="AE580" s="3" t="n">
        <v>7.563</v>
      </c>
      <c r="AF580" s="3" t="n">
        <v>0</v>
      </c>
      <c r="AG580" s="3" t="n">
        <v>0</v>
      </c>
      <c r="AH580" s="3" t="n">
        <v>55</v>
      </c>
      <c r="AI580" s="3" t="n"/>
      <c r="AJ580" s="3" t="n"/>
      <c r="AK580" s="3" t="n"/>
      <c r="AL580" s="6" t="n">
        <v>0</v>
      </c>
      <c r="AM580" s="3" t="n">
        <v>0</v>
      </c>
      <c r="AN580" s="3" t="n">
        <v>0</v>
      </c>
      <c r="AO580" s="3" t="n">
        <v>0</v>
      </c>
      <c r="AP580" s="3">
        <f>N(X580)*N(BI580)</f>
        <v/>
      </c>
      <c r="AQ580" s="3" t="n">
        <v>0</v>
      </c>
      <c r="AR580" s="3" t="n">
        <v>0</v>
      </c>
      <c r="AS580" s="3" t="n">
        <v>0</v>
      </c>
      <c r="AT580" s="3" t="n">
        <v>0</v>
      </c>
      <c r="AU580" s="3">
        <f>SUM(AN580:AT580)</f>
        <v/>
      </c>
      <c r="AV580" s="7">
        <f>IF(OR(N(W580)&lt;=0,N(BG580)=0),0,N(W580)*IF(N(R580)/N(W580)&gt;=60,N(BG580),1))</f>
        <v/>
      </c>
      <c r="AW580" s="7">
        <f>N(W580)*N(AF580)*N(BH580)</f>
        <v/>
      </c>
      <c r="AX580" s="7">
        <f>N(AL580)*(Assumptions!$B$13*N(BJ580)-(1-Assumptions!$B$13)*Assumptions!$B$14)+N(AM580)</f>
        <v/>
      </c>
      <c r="AY580" s="7">
        <f>N(AU580)*N(R580)/90+N(AV580)+N(AW580)+N(AX580)</f>
        <v/>
      </c>
      <c r="AZ580" s="3">
        <f>IF(N(R580)&lt;=0,0,(N(AY580)-N(AX580))*90/N(R580))</f>
        <v/>
      </c>
      <c r="BA580" s="7">
        <f>IFERROR(AY580-VLOOKUP($E580,Assumptions!$A$40:$C$43,3,FALSE),"")</f>
        <v/>
      </c>
      <c r="BB580" s="3">
        <f>IFERROR(BA580/H580,"")</f>
        <v/>
      </c>
      <c r="BC580">
        <f>IF(AND($G580=TRUE,$E580="GKP"),AY580,"")</f>
        <v/>
      </c>
      <c r="BD580">
        <f>IF(AND($G580=TRUE,$E580="DEF"),AY580,"")</f>
        <v/>
      </c>
      <c r="BE580">
        <f>IF(AND($G580=TRUE,$E580="MID"),AY580,"")</f>
        <v/>
      </c>
      <c r="BF580">
        <f>IF(AND($G580=TRUE,$E580="FWD"),AY580,"")</f>
        <v/>
      </c>
      <c r="BG580" t="n">
        <v>0</v>
      </c>
      <c r="BH580" t="n">
        <v>0</v>
      </c>
      <c r="BI580" t="n">
        <v>0</v>
      </c>
      <c r="BJ580" t="n">
        <v>0</v>
      </c>
    </row>
    <row r="581">
      <c r="A581" t="inlineStr">
        <is>
          <t>Zian Flemming</t>
        </is>
      </c>
      <c r="C581" t="inlineStr">
        <is>
          <t>BUR</t>
        </is>
      </c>
      <c r="D581" t="b">
        <v>0</v>
      </c>
      <c r="F581" t="inlineStr">
        <is>
          <t>FWD</t>
        </is>
      </c>
      <c r="G581" t="b">
        <v>0</v>
      </c>
      <c r="H581" s="2" t="n"/>
      <c r="K581" s="2" t="n">
        <v>1776</v>
      </c>
      <c r="M581" s="3" t="n"/>
      <c r="N581" s="8" t="n">
        <v>1776</v>
      </c>
      <c r="O581" s="8" t="n">
        <v>0</v>
      </c>
      <c r="R581" s="6" t="n">
        <v>1776</v>
      </c>
      <c r="S581" t="inlineStr">
        <is>
          <t>25/26 actual</t>
        </is>
      </c>
      <c r="U581" s="6" t="n">
        <v>79.2</v>
      </c>
      <c r="V581" s="2" t="n">
        <v>21</v>
      </c>
      <c r="W581" s="7">
        <f>IF(N(U581)&lt;=0,0,MIN(Assumptions!$B$15,N(R581)/N(U581)))</f>
        <v/>
      </c>
      <c r="X581" s="6" t="n"/>
      <c r="Y581" s="3" t="n">
        <v>0.3331</v>
      </c>
      <c r="Z581" t="inlineStr">
        <is>
          <t>adjusted xGOT</t>
        </is>
      </c>
      <c r="AA581" s="3" t="n">
        <v>0.841</v>
      </c>
      <c r="AB581" s="3" t="n">
        <v>0.985</v>
      </c>
      <c r="AC581" s="3" t="n">
        <v>7.9</v>
      </c>
      <c r="AD581" s="3" t="n">
        <v>0.0347</v>
      </c>
      <c r="AE581" s="3" t="n">
        <v>4.976</v>
      </c>
      <c r="AF581" s="3" t="n">
        <v>0</v>
      </c>
      <c r="AG581" s="3" t="n">
        <v>0.5574</v>
      </c>
      <c r="AH581" s="3" t="n">
        <v>49</v>
      </c>
      <c r="AI581" s="3" t="n"/>
      <c r="AJ581" s="3" t="n"/>
      <c r="AK581" s="3" t="n"/>
      <c r="AL581" s="6" t="n">
        <v>0</v>
      </c>
      <c r="AM581" s="3" t="n">
        <v>0</v>
      </c>
      <c r="AN581" s="3" t="n">
        <v>0</v>
      </c>
      <c r="AO581" s="3" t="n">
        <v>0</v>
      </c>
      <c r="AP581" s="3">
        <f>N(X581)*N(BI581)</f>
        <v/>
      </c>
      <c r="AQ581" s="3" t="n">
        <v>0</v>
      </c>
      <c r="AR581" s="3" t="n">
        <v>0</v>
      </c>
      <c r="AS581" s="3" t="n">
        <v>0</v>
      </c>
      <c r="AT581" s="3" t="n">
        <v>0</v>
      </c>
      <c r="AU581" s="3">
        <f>SUM(AN581:AT581)</f>
        <v/>
      </c>
      <c r="AV581" s="7">
        <f>IF(OR(N(W581)&lt;=0,N(BG581)=0),0,N(W581)*IF(N(R581)/N(W581)&gt;=60,N(BG581),1))</f>
        <v/>
      </c>
      <c r="AW581" s="7">
        <f>N(W581)*N(AF581)*N(BH581)</f>
        <v/>
      </c>
      <c r="AX581" s="7">
        <f>N(AL581)*(Assumptions!$B$13*N(BJ581)-(1-Assumptions!$B$13)*Assumptions!$B$14)+N(AM581)</f>
        <v/>
      </c>
      <c r="AY581" s="7">
        <f>N(AU581)*N(R581)/90+N(AV581)+N(AW581)+N(AX581)</f>
        <v/>
      </c>
      <c r="AZ581" s="3">
        <f>IF(N(R581)&lt;=0,0,(N(AY581)-N(AX581))*90/N(R581))</f>
        <v/>
      </c>
      <c r="BA581" s="7">
        <f>IFERROR(AY581-VLOOKUP($E581,Assumptions!$A$40:$C$43,3,FALSE),"")</f>
        <v/>
      </c>
      <c r="BB581" s="3">
        <f>IFERROR(BA581/H581,"")</f>
        <v/>
      </c>
      <c r="BC581">
        <f>IF(AND($G581=TRUE,$E581="GKP"),AY581,"")</f>
        <v/>
      </c>
      <c r="BD581">
        <f>IF(AND($G581=TRUE,$E581="DEF"),AY581,"")</f>
        <v/>
      </c>
      <c r="BE581">
        <f>IF(AND($G581=TRUE,$E581="MID"),AY581,"")</f>
        <v/>
      </c>
      <c r="BF581">
        <f>IF(AND($G581=TRUE,$E581="FWD"),AY581,"")</f>
        <v/>
      </c>
      <c r="BG581" t="n">
        <v>0</v>
      </c>
      <c r="BH581" t="n">
        <v>0</v>
      </c>
      <c r="BI581" t="n">
        <v>0</v>
      </c>
      <c r="BJ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s="8" t="n">
        <v>0</v>
      </c>
      <c r="O582" s="8" t="n">
        <v>0</v>
      </c>
      <c r="Q582" t="inlineStr">
        <is>
          <t>flat</t>
        </is>
      </c>
      <c r="R582" s="6" t="n">
        <v>0</v>
      </c>
      <c r="S582" t="inlineStr">
        <is>
          <t>Solio</t>
        </is>
      </c>
      <c r="U582" s="6" t="n">
        <v>85</v>
      </c>
      <c r="V582" s="2" t="n"/>
      <c r="W582" s="7">
        <f>IF(N(U582)&lt;=0,0,MIN(Assumptions!$B$15,N(R582)/N(U582)))</f>
        <v/>
      </c>
      <c r="X582" s="6" t="n">
        <v>0.342</v>
      </c>
      <c r="Y582" s="3" t="n"/>
      <c r="Z582" t="inlineStr"/>
      <c r="AA582" s="3" t="n">
        <v>1</v>
      </c>
      <c r="AB582" s="3" t="n"/>
      <c r="AC582" s="3" t="n"/>
      <c r="AD582" s="3" t="n"/>
      <c r="AE582" s="3" t="n">
        <v>0</v>
      </c>
      <c r="AF582" s="3" t="n">
        <v>0</v>
      </c>
      <c r="AG582" s="3" t="n"/>
      <c r="AH582" s="3" t="n"/>
      <c r="AI582" s="3" t="n">
        <v>2.409</v>
      </c>
      <c r="AJ582" s="3" t="n">
        <v>1.1228</v>
      </c>
      <c r="AK582" s="3" t="n">
        <v>-0.0759869441214969</v>
      </c>
      <c r="AL582" s="6" t="n">
        <v>0</v>
      </c>
      <c r="AM582" s="3" t="n">
        <v>0</v>
      </c>
      <c r="AN582" s="3" t="n">
        <v>0</v>
      </c>
      <c r="AO582" s="3" t="n">
        <v>0</v>
      </c>
      <c r="AP582" s="3">
        <f>N(X582)*N(BI582)</f>
        <v/>
      </c>
      <c r="AQ582" s="3" t="n">
        <v>0</v>
      </c>
      <c r="AR582" s="3" t="n">
        <v>0.4697511244203511</v>
      </c>
      <c r="AS582" s="3" t="n">
        <v>-0.3378660007281162</v>
      </c>
      <c r="AT582" s="3" t="n">
        <v>-0.0759869441214969</v>
      </c>
      <c r="AU582" s="3">
        <f>SUM(AN582:AT582)</f>
        <v/>
      </c>
      <c r="AV582" s="7">
        <f>IF(OR(N(W582)&lt;=0,N(BG582)=0),0,N(W582)*IF(N(R582)/N(W582)&gt;=60,N(BG582),1))</f>
        <v/>
      </c>
      <c r="AW582" s="7">
        <f>N(W582)*N(AF582)*N(BH582)</f>
        <v/>
      </c>
      <c r="AX582" s="7">
        <f>N(AL582)*(Assumptions!$B$13*N(BJ582)-(1-Assumptions!$B$13)*Assumptions!$B$14)+N(AM582)</f>
        <v/>
      </c>
      <c r="AY582" s="7">
        <f>N(AU582)*N(R582)/90+N(AV582)+N(AW582)+N(AX582)</f>
        <v/>
      </c>
      <c r="AZ582" s="3">
        <f>IF(N(R582)&lt;=0,0,(N(AY582)-N(AX582))*90/N(R582))</f>
        <v/>
      </c>
      <c r="BA582" s="7">
        <f>IFERROR(AY582-VLOOKUP($E582,Assumptions!$A$40:$C$43,3,FALSE),"")</f>
        <v/>
      </c>
      <c r="BB582" s="3">
        <f>IFERROR(BA582/H582,"")</f>
        <v/>
      </c>
      <c r="BC582">
        <f>IF(AND($G582=TRUE,$E582="GKP"),AY582,"")</f>
        <v/>
      </c>
      <c r="BD582">
        <f>IF(AND($G582=TRUE,$E582="DEF"),AY582,"")</f>
        <v/>
      </c>
      <c r="BE582">
        <f>IF(AND($G582=TRUE,$E582="MID"),AY582,"")</f>
        <v/>
      </c>
      <c r="BF582">
        <f>IF(AND($G582=TRUE,$E582="FWD"),AY582,"")</f>
        <v/>
      </c>
      <c r="BG582" t="n">
        <v>2</v>
      </c>
      <c r="BH582" t="n">
        <v>0</v>
      </c>
      <c r="BI582" t="n">
        <v>4</v>
      </c>
      <c r="BJ582" t="n">
        <v>10</v>
      </c>
    </row>
    <row r="583">
      <c r="A583" t="inlineStr">
        <is>
          <t>Marshall Munetsi</t>
        </is>
      </c>
      <c r="C583" t="inlineStr">
        <is>
          <t>WOL</t>
        </is>
      </c>
      <c r="D583" t="b">
        <v>0</v>
      </c>
      <c r="F583" t="inlineStr">
        <is>
          <t>MID</t>
        </is>
      </c>
      <c r="G583" t="b">
        <v>0</v>
      </c>
      <c r="H583" s="2" t="n"/>
      <c r="K583" s="2" t="n">
        <v>873</v>
      </c>
      <c r="M583" s="3" t="n"/>
      <c r="N583" s="8" t="n">
        <v>873</v>
      </c>
      <c r="O583" s="8" t="n">
        <v>0</v>
      </c>
      <c r="R583" s="6" t="n">
        <v>873</v>
      </c>
      <c r="S583" t="inlineStr">
        <is>
          <t>25/26 actual</t>
        </is>
      </c>
      <c r="U583" s="6" t="n">
        <v>83.09999999999999</v>
      </c>
      <c r="V583" s="2" t="n">
        <v>9</v>
      </c>
      <c r="W583" s="7">
        <f>IF(N(U583)&lt;=0,0,MIN(Assumptions!$B$15,N(R583)/N(U583)))</f>
        <v/>
      </c>
      <c r="X583" s="6" t="n"/>
      <c r="Y583" s="3" t="n">
        <v>0.1618</v>
      </c>
      <c r="Z583" t="inlineStr">
        <is>
          <t>adjusted xGOT</t>
        </is>
      </c>
      <c r="AA583" s="3" t="n">
        <v>1</v>
      </c>
      <c r="AB583" s="3" t="n">
        <v>0.957</v>
      </c>
      <c r="AC583" s="3" t="n">
        <v>5</v>
      </c>
      <c r="AD583" s="3" t="n">
        <v>0.0393</v>
      </c>
      <c r="AE583" s="3" t="n">
        <v>8.401999999999999</v>
      </c>
      <c r="AF583" s="3" t="n">
        <v>0</v>
      </c>
      <c r="AG583" s="3" t="n">
        <v>0.1031</v>
      </c>
      <c r="AH583" s="3" t="n">
        <v>22</v>
      </c>
      <c r="AI583" s="3" t="n"/>
      <c r="AJ583" s="3" t="n"/>
      <c r="AK583" s="3" t="n"/>
      <c r="AL583" s="6" t="n">
        <v>0</v>
      </c>
      <c r="AM583" s="3" t="n">
        <v>0</v>
      </c>
      <c r="AN583" s="3" t="n">
        <v>0</v>
      </c>
      <c r="AO583" s="3" t="n">
        <v>0</v>
      </c>
      <c r="AP583" s="3">
        <f>N(X583)*N(BI583)</f>
        <v/>
      </c>
      <c r="AQ583" s="3" t="n">
        <v>0</v>
      </c>
      <c r="AR583" s="3" t="n">
        <v>0</v>
      </c>
      <c r="AS583" s="3" t="n">
        <v>0</v>
      </c>
      <c r="AT583" s="3" t="n">
        <v>0</v>
      </c>
      <c r="AU583" s="3">
        <f>SUM(AN583:AT583)</f>
        <v/>
      </c>
      <c r="AV583" s="7">
        <f>IF(OR(N(W583)&lt;=0,N(BG583)=0),0,N(W583)*IF(N(R583)/N(W583)&gt;=60,N(BG583),1))</f>
        <v/>
      </c>
      <c r="AW583" s="7">
        <f>N(W583)*N(AF583)*N(BH583)</f>
        <v/>
      </c>
      <c r="AX583" s="7">
        <f>N(AL583)*(Assumptions!$B$13*N(BJ583)-(1-Assumptions!$B$13)*Assumptions!$B$14)+N(AM583)</f>
        <v/>
      </c>
      <c r="AY583" s="7">
        <f>N(AU583)*N(R583)/90+N(AV583)+N(AW583)+N(AX583)</f>
        <v/>
      </c>
      <c r="AZ583" s="3">
        <f>IF(N(R583)&lt;=0,0,(N(AY583)-N(AX583))*90/N(R583))</f>
        <v/>
      </c>
      <c r="BA583" s="7">
        <f>IFERROR(AY583-VLOOKUP($E583,Assumptions!$A$40:$C$43,3,FALSE),"")</f>
        <v/>
      </c>
      <c r="BB583" s="3">
        <f>IFERROR(BA583/H583,"")</f>
        <v/>
      </c>
      <c r="BC583">
        <f>IF(AND($G583=TRUE,$E583="GKP"),AY583,"")</f>
        <v/>
      </c>
      <c r="BD583">
        <f>IF(AND($G583=TRUE,$E583="DEF"),AY583,"")</f>
        <v/>
      </c>
      <c r="BE583">
        <f>IF(AND($G583=TRUE,$E583="MID"),AY583,"")</f>
        <v/>
      </c>
      <c r="BF583">
        <f>IF(AND($G583=TRUE,$E583="FWD"),AY583,"")</f>
        <v/>
      </c>
      <c r="BG583" t="n">
        <v>0</v>
      </c>
      <c r="BH583" t="n">
        <v>0</v>
      </c>
      <c r="BI583" t="n">
        <v>0</v>
      </c>
      <c r="BJ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s="8" t="n">
        <v>619</v>
      </c>
      <c r="O584" s="8" t="n">
        <v>0</v>
      </c>
      <c r="Q584" t="inlineStr">
        <is>
          <t>flat</t>
        </is>
      </c>
      <c r="R584" s="6" t="n">
        <v>619</v>
      </c>
      <c r="S584" t="inlineStr">
        <is>
          <t>Solio</t>
        </is>
      </c>
      <c r="U584" s="6" t="n">
        <v>85</v>
      </c>
      <c r="V584" s="2" t="n"/>
      <c r="W584" s="7">
        <f>IF(N(U584)&lt;=0,0,MIN(Assumptions!$B$15,N(R584)/N(U584)))</f>
        <v/>
      </c>
      <c r="X584" s="6" t="n">
        <v>0.143</v>
      </c>
      <c r="Y584" s="3" t="n"/>
      <c r="Z584" t="inlineStr"/>
      <c r="AA584" s="3" t="n">
        <v>1</v>
      </c>
      <c r="AB584" s="3" t="n"/>
      <c r="AC584" s="3" t="n"/>
      <c r="AD584" s="3" t="n"/>
      <c r="AE584" s="3" t="n"/>
      <c r="AF584" s="3" t="n">
        <v>0</v>
      </c>
      <c r="AG584" s="3" t="n"/>
      <c r="AH584" s="3" t="n"/>
      <c r="AI584" s="3" t="n">
        <v>3.9421</v>
      </c>
      <c r="AJ584" s="3" t="n">
        <v>1.99</v>
      </c>
      <c r="AK584" s="3" t="n">
        <v>-0.2045226422080557</v>
      </c>
      <c r="AL584" s="6" t="n">
        <v>0</v>
      </c>
      <c r="AM584" s="3" t="n">
        <v>0</v>
      </c>
      <c r="AN584" s="3" t="n">
        <v>0</v>
      </c>
      <c r="AO584" s="3" t="n">
        <v>0</v>
      </c>
      <c r="AP584" s="3">
        <f>N(X584)*N(BI584)</f>
        <v/>
      </c>
      <c r="AQ584" s="3" t="n">
        <v>0</v>
      </c>
      <c r="AR584" s="3" t="n">
        <v>0</v>
      </c>
      <c r="AS584" s="3" t="n">
        <v>-0.7496714098286652</v>
      </c>
      <c r="AT584" s="3" t="n">
        <v>-0.2045226422080557</v>
      </c>
      <c r="AU584" s="3">
        <f>SUM(AN584:AT584)</f>
        <v/>
      </c>
      <c r="AV584" s="7">
        <f>IF(OR(N(W584)&lt;=0,N(BG584)=0),0,N(W584)*IF(N(R584)/N(W584)&gt;=60,N(BG584),1))</f>
        <v/>
      </c>
      <c r="AW584" s="7">
        <f>N(W584)*N(AF584)*N(BH584)</f>
        <v/>
      </c>
      <c r="AX584" s="7">
        <f>N(AL584)*(Assumptions!$B$13*N(BJ584)-(1-Assumptions!$B$13)*Assumptions!$B$14)+N(AM584)</f>
        <v/>
      </c>
      <c r="AY584" s="7">
        <f>N(AU584)*N(R584)/90+N(AV584)+N(AW584)+N(AX584)</f>
        <v/>
      </c>
      <c r="AZ584" s="3">
        <f>IF(N(R584)&lt;=0,0,(N(AY584)-N(AX584))*90/N(R584))</f>
        <v/>
      </c>
      <c r="BA584" s="7">
        <f>IFERROR(AY584-VLOOKUP($E584,Assumptions!$A$40:$C$43,3,FALSE),"")</f>
        <v/>
      </c>
      <c r="BB584" s="3">
        <f>IFERROR(BA584/H584,"")</f>
        <v/>
      </c>
      <c r="BC584">
        <f>IF(AND($G584=TRUE,$E584="GKP"),AY584,"")</f>
        <v/>
      </c>
      <c r="BD584">
        <f>IF(AND($G584=TRUE,$E584="DEF"),AY584,"")</f>
        <v/>
      </c>
      <c r="BE584">
        <f>IF(AND($G584=TRUE,$E584="MID"),AY584,"")</f>
        <v/>
      </c>
      <c r="BF584">
        <f>IF(AND($G584=TRUE,$E584="FWD"),AY584,"")</f>
        <v/>
      </c>
      <c r="BG584" t="n">
        <v>2</v>
      </c>
      <c r="BH584" t="n">
        <v>2</v>
      </c>
      <c r="BI584" t="n">
        <v>4</v>
      </c>
      <c r="BJ584" t="n">
        <v>6</v>
      </c>
    </row>
    <row r="585">
      <c r="A585" t="inlineStr">
        <is>
          <t>Lyle Foster</t>
        </is>
      </c>
      <c r="C585" t="inlineStr">
        <is>
          <t>BUR</t>
        </is>
      </c>
      <c r="D585" t="b">
        <v>0</v>
      </c>
      <c r="F585" t="inlineStr">
        <is>
          <t>FWD</t>
        </is>
      </c>
      <c r="G585" t="b">
        <v>0</v>
      </c>
      <c r="H585" s="2" t="n"/>
      <c r="K585" s="2" t="n">
        <v>1372</v>
      </c>
      <c r="M585" s="3" t="n"/>
      <c r="N585" s="8" t="n">
        <v>1372</v>
      </c>
      <c r="O585" s="8" t="n">
        <v>0</v>
      </c>
      <c r="R585" s="6" t="n">
        <v>1372</v>
      </c>
      <c r="S585" t="inlineStr">
        <is>
          <t>25/26 actual</t>
        </is>
      </c>
      <c r="U585" s="6" t="n">
        <v>76.59999999999999</v>
      </c>
      <c r="V585" s="2" t="n">
        <v>15</v>
      </c>
      <c r="W585" s="7">
        <f>IF(N(U585)&lt;=0,0,MIN(Assumptions!$B$15,N(R585)/N(U585)))</f>
        <v/>
      </c>
      <c r="X585" s="6" t="n"/>
      <c r="Y585" s="3" t="n">
        <v>0.2373</v>
      </c>
      <c r="Z585" t="inlineStr">
        <is>
          <t>adjusted xGOT</t>
        </is>
      </c>
      <c r="AA585" s="3" t="n">
        <v>1</v>
      </c>
      <c r="AB585" s="3" t="n">
        <v>1.123</v>
      </c>
      <c r="AC585" s="3" t="n">
        <v>7.6</v>
      </c>
      <c r="AD585" s="3" t="n">
        <v>0.0752</v>
      </c>
      <c r="AE585" s="3" t="n">
        <v>5.334</v>
      </c>
      <c r="AF585" s="3" t="n">
        <v>0</v>
      </c>
      <c r="AG585" s="3" t="n">
        <v>0.2624</v>
      </c>
      <c r="AH585" s="3" t="n">
        <v>40</v>
      </c>
      <c r="AI585" s="3" t="n"/>
      <c r="AJ585" s="3" t="n"/>
      <c r="AK585" s="3" t="n"/>
      <c r="AL585" s="6" t="n">
        <v>0</v>
      </c>
      <c r="AM585" s="3" t="n">
        <v>0</v>
      </c>
      <c r="AN585" s="3" t="n">
        <v>0</v>
      </c>
      <c r="AO585" s="3" t="n">
        <v>0</v>
      </c>
      <c r="AP585" s="3">
        <f>N(X585)*N(BI585)</f>
        <v/>
      </c>
      <c r="AQ585" s="3" t="n">
        <v>0</v>
      </c>
      <c r="AR585" s="3" t="n">
        <v>0</v>
      </c>
      <c r="AS585" s="3" t="n">
        <v>0</v>
      </c>
      <c r="AT585" s="3" t="n">
        <v>0</v>
      </c>
      <c r="AU585" s="3">
        <f>SUM(AN585:AT585)</f>
        <v/>
      </c>
      <c r="AV585" s="7">
        <f>IF(OR(N(W585)&lt;=0,N(BG585)=0),0,N(W585)*IF(N(R585)/N(W585)&gt;=60,N(BG585),1))</f>
        <v/>
      </c>
      <c r="AW585" s="7">
        <f>N(W585)*N(AF585)*N(BH585)</f>
        <v/>
      </c>
      <c r="AX585" s="7">
        <f>N(AL585)*(Assumptions!$B$13*N(BJ585)-(1-Assumptions!$B$13)*Assumptions!$B$14)+N(AM585)</f>
        <v/>
      </c>
      <c r="AY585" s="7">
        <f>N(AU585)*N(R585)/90+N(AV585)+N(AW585)+N(AX585)</f>
        <v/>
      </c>
      <c r="AZ585" s="3">
        <f>IF(N(R585)&lt;=0,0,(N(AY585)-N(AX585))*90/N(R585))</f>
        <v/>
      </c>
      <c r="BA585" s="7">
        <f>IFERROR(AY585-VLOOKUP($E585,Assumptions!$A$40:$C$43,3,FALSE),"")</f>
        <v/>
      </c>
      <c r="BB585" s="3">
        <f>IFERROR(BA585/H585,"")</f>
        <v/>
      </c>
      <c r="BC585">
        <f>IF(AND($G585=TRUE,$E585="GKP"),AY585,"")</f>
        <v/>
      </c>
      <c r="BD585">
        <f>IF(AND($G585=TRUE,$E585="DEF"),AY585,"")</f>
        <v/>
      </c>
      <c r="BE585">
        <f>IF(AND($G585=TRUE,$E585="MID"),AY585,"")</f>
        <v/>
      </c>
      <c r="BF585">
        <f>IF(AND($G585=TRUE,$E585="FWD"),AY585,"")</f>
        <v/>
      </c>
      <c r="BG585" t="n">
        <v>0</v>
      </c>
      <c r="BH585" t="n">
        <v>0</v>
      </c>
      <c r="BI585" t="n">
        <v>0</v>
      </c>
      <c r="BJ585" t="n">
        <v>0</v>
      </c>
    </row>
    <row r="586">
      <c r="A586" t="inlineStr">
        <is>
          <t>Liam Kitching</t>
        </is>
      </c>
      <c r="B586" t="inlineStr">
        <is>
          <t>COV</t>
        </is>
      </c>
      <c r="D586" t="b">
        <v>0</v>
      </c>
      <c r="E586" t="inlineStr">
        <is>
          <t>DEF</t>
        </is>
      </c>
      <c r="G586" t="b">
        <v>1</v>
      </c>
      <c r="H586" s="2" t="n">
        <v>4</v>
      </c>
      <c r="I586" t="inlineStr">
        <is>
          <t>a</t>
        </is>
      </c>
      <c r="K586" s="2" t="n"/>
      <c r="M586" s="3" t="n">
        <v>847</v>
      </c>
      <c r="N586" s="8" t="n">
        <v>847</v>
      </c>
      <c r="O586" s="8" t="n">
        <v>0</v>
      </c>
      <c r="Q586" t="inlineStr">
        <is>
          <t>flat</t>
        </is>
      </c>
      <c r="R586" s="6" t="n">
        <v>847</v>
      </c>
      <c r="S586" t="inlineStr">
        <is>
          <t>Solio</t>
        </is>
      </c>
      <c r="U586" s="6" t="n">
        <v>85</v>
      </c>
      <c r="V586" s="2" t="n"/>
      <c r="W586" s="7">
        <f>IF(N(U586)&lt;=0,0,MIN(Assumptions!$B$15,N(R586)/N(U586)))</f>
        <v/>
      </c>
      <c r="X586" s="6" t="n">
        <v>0.17</v>
      </c>
      <c r="Y586" s="3" t="n"/>
      <c r="Z586" t="inlineStr"/>
      <c r="AA586" s="3" t="n">
        <v>1</v>
      </c>
      <c r="AB586" s="3" t="n"/>
      <c r="AC586" s="3" t="n"/>
      <c r="AD586" s="3" t="n"/>
      <c r="AE586" s="3" t="n"/>
      <c r="AF586" s="3" t="n">
        <v>0</v>
      </c>
      <c r="AG586" s="3" t="n"/>
      <c r="AH586" s="3" t="n"/>
      <c r="AI586" s="3" t="n">
        <v>3.6194</v>
      </c>
      <c r="AJ586" s="3" t="n">
        <v>1.8271</v>
      </c>
      <c r="AK586" s="3" t="n">
        <v>-0.2045226422080557</v>
      </c>
      <c r="AL586" s="6" t="n">
        <v>0</v>
      </c>
      <c r="AM586" s="3" t="n">
        <v>0</v>
      </c>
      <c r="AN586" s="3" t="n">
        <v>0</v>
      </c>
      <c r="AO586" s="3" t="n">
        <v>0</v>
      </c>
      <c r="AP586" s="3">
        <f>N(X586)*N(BI586)</f>
        <v/>
      </c>
      <c r="AQ586" s="3" t="n">
        <v>0</v>
      </c>
      <c r="AR586" s="3" t="n">
        <v>0</v>
      </c>
      <c r="AS586" s="3" t="n">
        <v>-0.670020548738316</v>
      </c>
      <c r="AT586" s="3" t="n">
        <v>-0.2045226422080557</v>
      </c>
      <c r="AU586" s="3">
        <f>SUM(AN586:AT586)</f>
        <v/>
      </c>
      <c r="AV586" s="7">
        <f>IF(OR(N(W586)&lt;=0,N(BG586)=0),0,N(W586)*IF(N(R586)/N(W586)&gt;=60,N(BG586),1))</f>
        <v/>
      </c>
      <c r="AW586" s="7">
        <f>N(W586)*N(AF586)*N(BH586)</f>
        <v/>
      </c>
      <c r="AX586" s="7">
        <f>N(AL586)*(Assumptions!$B$13*N(BJ586)-(1-Assumptions!$B$13)*Assumptions!$B$14)+N(AM586)</f>
        <v/>
      </c>
      <c r="AY586" s="7">
        <f>N(AU586)*N(R586)/90+N(AV586)+N(AW586)+N(AX586)</f>
        <v/>
      </c>
      <c r="AZ586" s="3">
        <f>IF(N(R586)&lt;=0,0,(N(AY586)-N(AX586))*90/N(R586))</f>
        <v/>
      </c>
      <c r="BA586" s="7">
        <f>IFERROR(AY586-VLOOKUP($E586,Assumptions!$A$40:$C$43,3,FALSE),"")</f>
        <v/>
      </c>
      <c r="BB586" s="3">
        <f>IFERROR(BA586/H586,"")</f>
        <v/>
      </c>
      <c r="BC586">
        <f>IF(AND($G586=TRUE,$E586="GKP"),AY586,"")</f>
        <v/>
      </c>
      <c r="BD586">
        <f>IF(AND($G586=TRUE,$E586="DEF"),AY586,"")</f>
        <v/>
      </c>
      <c r="BE586">
        <f>IF(AND($G586=TRUE,$E586="MID"),AY586,"")</f>
        <v/>
      </c>
      <c r="BF586">
        <f>IF(AND($G586=TRUE,$E586="FWD"),AY586,"")</f>
        <v/>
      </c>
      <c r="BG586" t="n">
        <v>2</v>
      </c>
      <c r="BH586" t="n">
        <v>2</v>
      </c>
      <c r="BI586" t="n">
        <v>4</v>
      </c>
      <c r="BJ586" t="n">
        <v>6</v>
      </c>
    </row>
    <row r="587">
      <c r="A587" t="inlineStr">
        <is>
          <t>Mike Trésor</t>
        </is>
      </c>
      <c r="C587" t="inlineStr">
        <is>
          <t>BUR</t>
        </is>
      </c>
      <c r="D587" t="b">
        <v>0</v>
      </c>
      <c r="F587" t="inlineStr">
        <is>
          <t>MID</t>
        </is>
      </c>
      <c r="G587" t="b">
        <v>0</v>
      </c>
      <c r="H587" s="2" t="n"/>
      <c r="K587" s="2" t="n">
        <v>37</v>
      </c>
      <c r="M587" s="3" t="n"/>
      <c r="N587" s="8" t="n">
        <v>37</v>
      </c>
      <c r="O587" s="8" t="n">
        <v>0</v>
      </c>
      <c r="R587" s="6" t="n">
        <v>37</v>
      </c>
      <c r="S587" t="inlineStr">
        <is>
          <t>25/26 actual</t>
        </is>
      </c>
      <c r="U587" s="6" t="n">
        <v>80.09999999999999</v>
      </c>
      <c r="V587" s="2" t="n">
        <v>0</v>
      </c>
      <c r="W587" s="7">
        <f>IF(N(U587)&lt;=0,0,MIN(Assumptions!$B$15,N(R587)/N(U587)))</f>
        <v/>
      </c>
      <c r="X587" s="6" t="n"/>
      <c r="Y587" s="3" t="n">
        <v>0</v>
      </c>
      <c r="Z587" t="inlineStr">
        <is>
          <t>adjusted xGOT</t>
        </is>
      </c>
      <c r="AA587" s="3" t="n">
        <v>1</v>
      </c>
      <c r="AB587" s="3" t="n">
        <v>0.956</v>
      </c>
      <c r="AC587" s="3" t="n">
        <v>0.4</v>
      </c>
      <c r="AD587" s="3" t="n">
        <v>0</v>
      </c>
      <c r="AE587" s="3" t="n">
        <v>8.752000000000001</v>
      </c>
      <c r="AF587" s="3" t="n">
        <v>0</v>
      </c>
      <c r="AG587" s="3" t="n">
        <v>0</v>
      </c>
      <c r="AH587" s="3" t="n">
        <v>6</v>
      </c>
      <c r="AI587" s="3" t="n"/>
      <c r="AJ587" s="3" t="n"/>
      <c r="AK587" s="3" t="n"/>
      <c r="AL587" s="6" t="n">
        <v>0</v>
      </c>
      <c r="AM587" s="3" t="n">
        <v>0</v>
      </c>
      <c r="AN587" s="3" t="n">
        <v>0</v>
      </c>
      <c r="AO587" s="3" t="n">
        <v>0</v>
      </c>
      <c r="AP587" s="3">
        <f>N(X587)*N(BI587)</f>
        <v/>
      </c>
      <c r="AQ587" s="3" t="n">
        <v>0</v>
      </c>
      <c r="AR587" s="3" t="n">
        <v>0</v>
      </c>
      <c r="AS587" s="3" t="n">
        <v>0</v>
      </c>
      <c r="AT587" s="3" t="n">
        <v>0</v>
      </c>
      <c r="AU587" s="3">
        <f>SUM(AN587:AT587)</f>
        <v/>
      </c>
      <c r="AV587" s="7">
        <f>IF(OR(N(W587)&lt;=0,N(BG587)=0),0,N(W587)*IF(N(R587)/N(W587)&gt;=60,N(BG587),1))</f>
        <v/>
      </c>
      <c r="AW587" s="7">
        <f>N(W587)*N(AF587)*N(BH587)</f>
        <v/>
      </c>
      <c r="AX587" s="7">
        <f>N(AL587)*(Assumptions!$B$13*N(BJ587)-(1-Assumptions!$B$13)*Assumptions!$B$14)+N(AM587)</f>
        <v/>
      </c>
      <c r="AY587" s="7">
        <f>N(AU587)*N(R587)/90+N(AV587)+N(AW587)+N(AX587)</f>
        <v/>
      </c>
      <c r="AZ587" s="3">
        <f>IF(N(R587)&lt;=0,0,(N(AY587)-N(AX587))*90/N(R587))</f>
        <v/>
      </c>
      <c r="BA587" s="7">
        <f>IFERROR(AY587-VLOOKUP($E587,Assumptions!$A$40:$C$43,3,FALSE),"")</f>
        <v/>
      </c>
      <c r="BB587" s="3">
        <f>IFERROR(BA587/H587,"")</f>
        <v/>
      </c>
      <c r="BC587">
        <f>IF(AND($G587=TRUE,$E587="GKP"),AY587,"")</f>
        <v/>
      </c>
      <c r="BD587">
        <f>IF(AND($G587=TRUE,$E587="DEF"),AY587,"")</f>
        <v/>
      </c>
      <c r="BE587">
        <f>IF(AND($G587=TRUE,$E587="MID"),AY587,"")</f>
        <v/>
      </c>
      <c r="BF587">
        <f>IF(AND($G587=TRUE,$E587="FWD"),AY587,"")</f>
        <v/>
      </c>
      <c r="BG587" t="n">
        <v>0</v>
      </c>
      <c r="BH587" t="n">
        <v>0</v>
      </c>
      <c r="BI587" t="n">
        <v>0</v>
      </c>
      <c r="BJ587" t="n">
        <v>0</v>
      </c>
    </row>
    <row r="588">
      <c r="A588" t="inlineStr">
        <is>
          <t>Christos Tzolis</t>
        </is>
      </c>
      <c r="B588" t="inlineStr">
        <is>
          <t>ARS</t>
        </is>
      </c>
      <c r="D588" t="b">
        <v>0</v>
      </c>
      <c r="E588" t="inlineStr">
        <is>
          <t>MID</t>
        </is>
      </c>
      <c r="G588" t="b">
        <v>1</v>
      </c>
      <c r="H588" s="2" t="n">
        <v>6.5</v>
      </c>
      <c r="I588" t="inlineStr">
        <is>
          <t>a</t>
        </is>
      </c>
      <c r="K588" s="2" t="n"/>
      <c r="M588" s="3" t="n">
        <v>2155</v>
      </c>
      <c r="N588" s="8" t="n">
        <v>2155</v>
      </c>
      <c r="O588" s="8" t="n">
        <v>0</v>
      </c>
      <c r="Q588" t="inlineStr">
        <is>
          <t>flat</t>
        </is>
      </c>
      <c r="R588" s="6" t="n">
        <v>2155</v>
      </c>
      <c r="S588" t="inlineStr">
        <is>
          <t>Solio</t>
        </is>
      </c>
      <c r="U588" s="6" t="n">
        <v>85</v>
      </c>
      <c r="V588" s="2" t="n"/>
      <c r="W588" s="7">
        <f>IF(N(U588)&lt;=0,0,MIN(Assumptions!$B$15,N(R588)/N(U588)))</f>
        <v/>
      </c>
      <c r="X588" s="6" t="n">
        <v>0.391</v>
      </c>
      <c r="Y588" s="3" t="n"/>
      <c r="Z588" t="inlineStr"/>
      <c r="AA588" s="3" t="n">
        <v>1</v>
      </c>
      <c r="AB588" s="3" t="n"/>
      <c r="AC588" s="3" t="n"/>
      <c r="AD588" s="3" t="n"/>
      <c r="AE588" s="3" t="n"/>
      <c r="AF588" s="3" t="n">
        <v>0</v>
      </c>
      <c r="AG588" s="3" t="n"/>
      <c r="AH588" s="3" t="n"/>
      <c r="AI588" s="3" t="n">
        <v>2.067</v>
      </c>
      <c r="AJ588" s="3" t="n">
        <v>0.9838</v>
      </c>
      <c r="AK588" s="3" t="n">
        <v>-0.2160434166173144</v>
      </c>
      <c r="AL588" s="6" t="n">
        <v>0</v>
      </c>
      <c r="AM588" s="3" t="n">
        <v>0</v>
      </c>
      <c r="AN588" s="3" t="n">
        <v>0</v>
      </c>
      <c r="AO588" s="3" t="n">
        <v>0</v>
      </c>
      <c r="AP588" s="3">
        <f>N(X588)*N(BI588)</f>
        <v/>
      </c>
      <c r="AQ588" s="3" t="n">
        <v>0</v>
      </c>
      <c r="AR588" s="3" t="n">
        <v>0</v>
      </c>
      <c r="AS588" s="3" t="n">
        <v>-0</v>
      </c>
      <c r="AT588" s="3" t="n">
        <v>-0.2160434166173144</v>
      </c>
      <c r="AU588" s="3">
        <f>SUM(AN588:AT588)</f>
        <v/>
      </c>
      <c r="AV588" s="7">
        <f>IF(OR(N(W588)&lt;=0,N(BG588)=0),0,N(W588)*IF(N(R588)/N(W588)&gt;=60,N(BG588),1))</f>
        <v/>
      </c>
      <c r="AW588" s="7">
        <f>N(W588)*N(AF588)*N(BH588)</f>
        <v/>
      </c>
      <c r="AX588" s="7">
        <f>N(AL588)*(Assumptions!$B$13*N(BJ588)-(1-Assumptions!$B$13)*Assumptions!$B$14)+N(AM588)</f>
        <v/>
      </c>
      <c r="AY588" s="7">
        <f>N(AU588)*N(R588)/90+N(AV588)+N(AW588)+N(AX588)</f>
        <v/>
      </c>
      <c r="AZ588" s="3">
        <f>IF(N(R588)&lt;=0,0,(N(AY588)-N(AX588))*90/N(R588))</f>
        <v/>
      </c>
      <c r="BA588" s="7">
        <f>IFERROR(AY588-VLOOKUP($E588,Assumptions!$A$40:$C$43,3,FALSE),"")</f>
        <v/>
      </c>
      <c r="BB588" s="3">
        <f>IFERROR(BA588/H588,"")</f>
        <v/>
      </c>
      <c r="BC588">
        <f>IF(AND($G588=TRUE,$E588="GKP"),AY588,"")</f>
        <v/>
      </c>
      <c r="BD588">
        <f>IF(AND($G588=TRUE,$E588="DEF"),AY588,"")</f>
        <v/>
      </c>
      <c r="BE588">
        <f>IF(AND($G588=TRUE,$E588="MID"),AY588,"")</f>
        <v/>
      </c>
      <c r="BF588">
        <f>IF(AND($G588=TRUE,$E588="FWD"),AY588,"")</f>
        <v/>
      </c>
      <c r="BG588" t="n">
        <v>2</v>
      </c>
      <c r="BH588" t="n">
        <v>2</v>
      </c>
      <c r="BI588" t="n">
        <v>1</v>
      </c>
      <c r="BJ588" t="n">
        <v>5</v>
      </c>
    </row>
    <row r="589">
      <c r="A589" t="inlineStr">
        <is>
          <t>Josh Eccles</t>
        </is>
      </c>
      <c r="B589" t="inlineStr">
        <is>
          <t>COV</t>
        </is>
      </c>
      <c r="D589" t="b">
        <v>0</v>
      </c>
      <c r="E589" t="inlineStr">
        <is>
          <t>MID</t>
        </is>
      </c>
      <c r="G589" t="b">
        <v>1</v>
      </c>
      <c r="H589" s="2" t="n">
        <v>5</v>
      </c>
      <c r="I589" t="inlineStr">
        <is>
          <t>a</t>
        </is>
      </c>
      <c r="K589" s="2" t="n"/>
      <c r="M589" s="3" t="n">
        <v>192</v>
      </c>
      <c r="N589" s="8" t="n">
        <v>192</v>
      </c>
      <c r="O589" s="8" t="n">
        <v>0</v>
      </c>
      <c r="Q589" t="inlineStr">
        <is>
          <t>flat</t>
        </is>
      </c>
      <c r="R589" s="6" t="n">
        <v>192</v>
      </c>
      <c r="S589" t="inlineStr">
        <is>
          <t>Solio</t>
        </is>
      </c>
      <c r="U589" s="6" t="n">
        <v>85</v>
      </c>
      <c r="V589" s="2" t="n"/>
      <c r="W589" s="7">
        <f>IF(N(U589)&lt;=0,0,MIN(Assumptions!$B$15,N(R589)/N(U589)))</f>
        <v/>
      </c>
      <c r="X589" s="6" t="n">
        <v>0.17</v>
      </c>
      <c r="Y589" s="3" t="n"/>
      <c r="Z589" t="inlineStr"/>
      <c r="AA589" s="3" t="n">
        <v>1</v>
      </c>
      <c r="AB589" s="3" t="n"/>
      <c r="AC589" s="3" t="n"/>
      <c r="AD589" s="3" t="n"/>
      <c r="AE589" s="3" t="n"/>
      <c r="AF589" s="3" t="n">
        <v>0</v>
      </c>
      <c r="AG589" s="3" t="n"/>
      <c r="AH589" s="3" t="n"/>
      <c r="AI589" s="3" t="n">
        <v>3.6194</v>
      </c>
      <c r="AJ589" s="3" t="n">
        <v>1.8271</v>
      </c>
      <c r="AK589" s="3" t="n">
        <v>-0.2160434166173144</v>
      </c>
      <c r="AL589" s="6" t="n">
        <v>0</v>
      </c>
      <c r="AM589" s="3" t="n">
        <v>0</v>
      </c>
      <c r="AN589" s="3" t="n">
        <v>0</v>
      </c>
      <c r="AO589" s="3" t="n">
        <v>0</v>
      </c>
      <c r="AP589" s="3">
        <f>N(X589)*N(BI589)</f>
        <v/>
      </c>
      <c r="AQ589" s="3" t="n">
        <v>0</v>
      </c>
      <c r="AR589" s="3" t="n">
        <v>0</v>
      </c>
      <c r="AS589" s="3" t="n">
        <v>-0</v>
      </c>
      <c r="AT589" s="3" t="n">
        <v>-0.2160434166173144</v>
      </c>
      <c r="AU589" s="3">
        <f>SUM(AN589:AT589)</f>
        <v/>
      </c>
      <c r="AV589" s="7">
        <f>IF(OR(N(W589)&lt;=0,N(BG589)=0),0,N(W589)*IF(N(R589)/N(W589)&gt;=60,N(BG589),1))</f>
        <v/>
      </c>
      <c r="AW589" s="7">
        <f>N(W589)*N(AF589)*N(BH589)</f>
        <v/>
      </c>
      <c r="AX589" s="7">
        <f>N(AL589)*(Assumptions!$B$13*N(BJ589)-(1-Assumptions!$B$13)*Assumptions!$B$14)+N(AM589)</f>
        <v/>
      </c>
      <c r="AY589" s="7">
        <f>N(AU589)*N(R589)/90+N(AV589)+N(AW589)+N(AX589)</f>
        <v/>
      </c>
      <c r="AZ589" s="3">
        <f>IF(N(R589)&lt;=0,0,(N(AY589)-N(AX589))*90/N(R589))</f>
        <v/>
      </c>
      <c r="BA589" s="7">
        <f>IFERROR(AY589-VLOOKUP($E589,Assumptions!$A$40:$C$43,3,FALSE),"")</f>
        <v/>
      </c>
      <c r="BB589" s="3">
        <f>IFERROR(BA589/H589,"")</f>
        <v/>
      </c>
      <c r="BC589">
        <f>IF(AND($G589=TRUE,$E589="GKP"),AY589,"")</f>
        <v/>
      </c>
      <c r="BD589">
        <f>IF(AND($G589=TRUE,$E589="DEF"),AY589,"")</f>
        <v/>
      </c>
      <c r="BE589">
        <f>IF(AND($G589=TRUE,$E589="MID"),AY589,"")</f>
        <v/>
      </c>
      <c r="BF589">
        <f>IF(AND($G589=TRUE,$E589="FWD"),AY589,"")</f>
        <v/>
      </c>
      <c r="BG589" t="n">
        <v>2</v>
      </c>
      <c r="BH589" t="n">
        <v>2</v>
      </c>
      <c r="BI589" t="n">
        <v>1</v>
      </c>
      <c r="BJ589" t="n">
        <v>5</v>
      </c>
    </row>
    <row r="590">
      <c r="A590" t="inlineStr">
        <is>
          <t>Armando Broja</t>
        </is>
      </c>
      <c r="C590" t="inlineStr">
        <is>
          <t>BUR</t>
        </is>
      </c>
      <c r="D590" t="b">
        <v>0</v>
      </c>
      <c r="F590" t="inlineStr">
        <is>
          <t>FWD</t>
        </is>
      </c>
      <c r="G590" t="b">
        <v>0</v>
      </c>
      <c r="H590" s="2" t="n"/>
      <c r="K590" s="2" t="n">
        <v>849</v>
      </c>
      <c r="M590" s="3" t="n"/>
      <c r="N590" s="8" t="n">
        <v>849</v>
      </c>
      <c r="O590" s="8" t="n">
        <v>0</v>
      </c>
      <c r="R590" s="6" t="n">
        <v>849</v>
      </c>
      <c r="S590" t="inlineStr">
        <is>
          <t>25/26 actual</t>
        </is>
      </c>
      <c r="U590" s="6" t="n">
        <v>78.7</v>
      </c>
      <c r="V590" s="2" t="n">
        <v>8</v>
      </c>
      <c r="W590" s="7">
        <f>IF(N(U590)&lt;=0,0,MIN(Assumptions!$B$15,N(R590)/N(U590)))</f>
        <v/>
      </c>
      <c r="X590" s="6" t="n"/>
      <c r="Y590" s="3" t="n">
        <v>0.228</v>
      </c>
      <c r="Z590" t="inlineStr">
        <is>
          <t>adjusted xGOT</t>
        </is>
      </c>
      <c r="AA590" s="3" t="n">
        <v>1</v>
      </c>
      <c r="AB590" s="3" t="n">
        <v>1.005</v>
      </c>
      <c r="AC590" s="3" t="n">
        <v>5.3</v>
      </c>
      <c r="AD590" s="3" t="n">
        <v>0.0646</v>
      </c>
      <c r="AE590" s="3" t="n">
        <v>4.741</v>
      </c>
      <c r="AF590" s="3" t="n">
        <v>0</v>
      </c>
      <c r="AG590" s="3" t="n">
        <v>0.212</v>
      </c>
      <c r="AH590" s="3" t="n">
        <v>32</v>
      </c>
      <c r="AI590" s="3" t="n"/>
      <c r="AJ590" s="3" t="n"/>
      <c r="AK590" s="3" t="n"/>
      <c r="AL590" s="6" t="n">
        <v>0</v>
      </c>
      <c r="AM590" s="3" t="n">
        <v>0</v>
      </c>
      <c r="AN590" s="3" t="n">
        <v>0</v>
      </c>
      <c r="AO590" s="3" t="n">
        <v>0</v>
      </c>
      <c r="AP590" s="3">
        <f>N(X590)*N(BI590)</f>
        <v/>
      </c>
      <c r="AQ590" s="3" t="n">
        <v>0</v>
      </c>
      <c r="AR590" s="3" t="n">
        <v>0</v>
      </c>
      <c r="AS590" s="3" t="n">
        <v>0</v>
      </c>
      <c r="AT590" s="3" t="n">
        <v>0</v>
      </c>
      <c r="AU590" s="3">
        <f>SUM(AN590:AT590)</f>
        <v/>
      </c>
      <c r="AV590" s="7">
        <f>IF(OR(N(W590)&lt;=0,N(BG590)=0),0,N(W590)*IF(N(R590)/N(W590)&gt;=60,N(BG590),1))</f>
        <v/>
      </c>
      <c r="AW590" s="7">
        <f>N(W590)*N(AF590)*N(BH590)</f>
        <v/>
      </c>
      <c r="AX590" s="7">
        <f>N(AL590)*(Assumptions!$B$13*N(BJ590)-(1-Assumptions!$B$13)*Assumptions!$B$14)+N(AM590)</f>
        <v/>
      </c>
      <c r="AY590" s="7">
        <f>N(AU590)*N(R590)/90+N(AV590)+N(AW590)+N(AX590)</f>
        <v/>
      </c>
      <c r="AZ590" s="3">
        <f>IF(N(R590)&lt;=0,0,(N(AY590)-N(AX590))*90/N(R590))</f>
        <v/>
      </c>
      <c r="BA590" s="7">
        <f>IFERROR(AY590-VLOOKUP($E590,Assumptions!$A$40:$C$43,3,FALSE),"")</f>
        <v/>
      </c>
      <c r="BB590" s="3">
        <f>IFERROR(BA590/H590,"")</f>
        <v/>
      </c>
      <c r="BC590">
        <f>IF(AND($G590=TRUE,$E590="GKP"),AY590,"")</f>
        <v/>
      </c>
      <c r="BD590">
        <f>IF(AND($G590=TRUE,$E590="DEF"),AY590,"")</f>
        <v/>
      </c>
      <c r="BE590">
        <f>IF(AND($G590=TRUE,$E590="MID"),AY590,"")</f>
        <v/>
      </c>
      <c r="BF590">
        <f>IF(AND($G590=TRUE,$E590="FWD"),AY590,"")</f>
        <v/>
      </c>
      <c r="BG590" t="n">
        <v>0</v>
      </c>
      <c r="BH590" t="n">
        <v>0</v>
      </c>
      <c r="BI590" t="n">
        <v>0</v>
      </c>
      <c r="BJ590" t="n">
        <v>0</v>
      </c>
    </row>
    <row r="591">
      <c r="A591" t="inlineStr">
        <is>
          <t>Ki-Jana Hoever</t>
        </is>
      </c>
      <c r="C591" t="inlineStr">
        <is>
          <t>WOL</t>
        </is>
      </c>
      <c r="D591" t="b">
        <v>0</v>
      </c>
      <c r="F591" t="inlineStr">
        <is>
          <t>DEF</t>
        </is>
      </c>
      <c r="G591" t="b">
        <v>0</v>
      </c>
      <c r="H591" s="2" t="n"/>
      <c r="K591" s="2" t="n">
        <v>428</v>
      </c>
      <c r="M591" s="3" t="n"/>
      <c r="N591" s="8" t="n">
        <v>428</v>
      </c>
      <c r="O591" s="8" t="n">
        <v>0</v>
      </c>
      <c r="R591" s="6" t="n">
        <v>428</v>
      </c>
      <c r="S591" t="inlineStr">
        <is>
          <t>25/26 actual</t>
        </is>
      </c>
      <c r="U591" s="6" t="n">
        <v>77.90000000000001</v>
      </c>
      <c r="V591" s="2" t="n">
        <v>6</v>
      </c>
      <c r="W591" s="7">
        <f>IF(N(U591)&lt;=0,0,MIN(Assumptions!$B$15,N(R591)/N(U591)))</f>
        <v/>
      </c>
      <c r="X591" s="6" t="n"/>
      <c r="Y591" s="3" t="n">
        <v>0.0042</v>
      </c>
      <c r="Z591" t="inlineStr">
        <is>
          <t>adjusted xGOT</t>
        </is>
      </c>
      <c r="AA591" s="3" t="n">
        <v>1</v>
      </c>
      <c r="AB591" s="3" t="n">
        <v>0.998</v>
      </c>
      <c r="AC591" s="3" t="n">
        <v>0</v>
      </c>
      <c r="AD591" s="3" t="n">
        <v>0.0712</v>
      </c>
      <c r="AE591" s="3" t="n">
        <v>7.991</v>
      </c>
      <c r="AF591" s="3" t="n">
        <v>0</v>
      </c>
      <c r="AG591" s="3" t="n">
        <v>0</v>
      </c>
      <c r="AH591" s="3" t="n">
        <v>12</v>
      </c>
      <c r="AI591" s="3" t="n"/>
      <c r="AJ591" s="3" t="n"/>
      <c r="AK591" s="3" t="n"/>
      <c r="AL591" s="6" t="n">
        <v>0</v>
      </c>
      <c r="AM591" s="3" t="n">
        <v>0</v>
      </c>
      <c r="AN591" s="3" t="n">
        <v>0</v>
      </c>
      <c r="AO591" s="3" t="n">
        <v>0</v>
      </c>
      <c r="AP591" s="3">
        <f>N(X591)*N(BI591)</f>
        <v/>
      </c>
      <c r="AQ591" s="3" t="n">
        <v>0</v>
      </c>
      <c r="AR591" s="3" t="n">
        <v>0</v>
      </c>
      <c r="AS591" s="3" t="n">
        <v>0</v>
      </c>
      <c r="AT591" s="3" t="n">
        <v>0</v>
      </c>
      <c r="AU591" s="3">
        <f>SUM(AN591:AT591)</f>
        <v/>
      </c>
      <c r="AV591" s="7">
        <f>IF(OR(N(W591)&lt;=0,N(BG591)=0),0,N(W591)*IF(N(R591)/N(W591)&gt;=60,N(BG591),1))</f>
        <v/>
      </c>
      <c r="AW591" s="7">
        <f>N(W591)*N(AF591)*N(BH591)</f>
        <v/>
      </c>
      <c r="AX591" s="7">
        <f>N(AL591)*(Assumptions!$B$13*N(BJ591)-(1-Assumptions!$B$13)*Assumptions!$B$14)+N(AM591)</f>
        <v/>
      </c>
      <c r="AY591" s="7">
        <f>N(AU591)*N(R591)/90+N(AV591)+N(AW591)+N(AX591)</f>
        <v/>
      </c>
      <c r="AZ591" s="3">
        <f>IF(N(R591)&lt;=0,0,(N(AY591)-N(AX591))*90/N(R591))</f>
        <v/>
      </c>
      <c r="BA591" s="7">
        <f>IFERROR(AY591-VLOOKUP($E591,Assumptions!$A$40:$C$43,3,FALSE),"")</f>
        <v/>
      </c>
      <c r="BB591" s="3">
        <f>IFERROR(BA591/H591,"")</f>
        <v/>
      </c>
      <c r="BC591">
        <f>IF(AND($G591=TRUE,$E591="GKP"),AY591,"")</f>
        <v/>
      </c>
      <c r="BD591">
        <f>IF(AND($G591=TRUE,$E591="DEF"),AY591,"")</f>
        <v/>
      </c>
      <c r="BE591">
        <f>IF(AND($G591=TRUE,$E591="MID"),AY591,"")</f>
        <v/>
      </c>
      <c r="BF591">
        <f>IF(AND($G591=TRUE,$E591="FWD"),AY591,"")</f>
        <v/>
      </c>
      <c r="BG591" t="n">
        <v>0</v>
      </c>
      <c r="BH591" t="n">
        <v>0</v>
      </c>
      <c r="BI591" t="n">
        <v>0</v>
      </c>
      <c r="BJ591" t="n">
        <v>0</v>
      </c>
    </row>
    <row r="592">
      <c r="A592" t="inlineStr">
        <is>
          <t>Daizen Maeda</t>
        </is>
      </c>
      <c r="B592" t="inlineStr">
        <is>
          <t>IPS</t>
        </is>
      </c>
      <c r="D592" t="b">
        <v>0</v>
      </c>
      <c r="E592" t="inlineStr">
        <is>
          <t>MID</t>
        </is>
      </c>
      <c r="G592" t="b">
        <v>1</v>
      </c>
      <c r="H592" s="2" t="n">
        <v>5.5</v>
      </c>
      <c r="I592" t="inlineStr">
        <is>
          <t>a</t>
        </is>
      </c>
      <c r="K592" s="2" t="n"/>
      <c r="M592" s="3" t="n">
        <v>2502</v>
      </c>
      <c r="N592" s="8" t="n">
        <v>2502</v>
      </c>
      <c r="O592" s="8" t="n">
        <v>0</v>
      </c>
      <c r="Q592" t="inlineStr">
        <is>
          <t>flat</t>
        </is>
      </c>
      <c r="R592" s="6" t="n">
        <v>2502</v>
      </c>
      <c r="S592" t="inlineStr">
        <is>
          <t>Solio</t>
        </is>
      </c>
      <c r="U592" s="6" t="n">
        <v>85</v>
      </c>
      <c r="V592" s="2" t="n"/>
      <c r="W592" s="7">
        <f>IF(N(U592)&lt;=0,0,MIN(Assumptions!$B$15,N(R592)/N(U592)))</f>
        <v/>
      </c>
      <c r="X592" s="6" t="n">
        <v>0.17</v>
      </c>
      <c r="Y592" s="3" t="n"/>
      <c r="Z592" t="inlineStr"/>
      <c r="AA592" s="3" t="n">
        <v>1</v>
      </c>
      <c r="AB592" s="3" t="n"/>
      <c r="AC592" s="3" t="n"/>
      <c r="AD592" s="3" t="n"/>
      <c r="AE592" s="3" t="n"/>
      <c r="AF592" s="3" t="n">
        <v>0</v>
      </c>
      <c r="AG592" s="3" t="n"/>
      <c r="AH592" s="3" t="n"/>
      <c r="AI592" s="3" t="n">
        <v>3.5741</v>
      </c>
      <c r="AJ592" s="3" t="n">
        <v>1.8319</v>
      </c>
      <c r="AK592" s="3" t="n">
        <v>-0.2160434166173144</v>
      </c>
      <c r="AL592" s="6" t="n">
        <v>0</v>
      </c>
      <c r="AM592" s="3" t="n">
        <v>0</v>
      </c>
      <c r="AN592" s="3" t="n">
        <v>0</v>
      </c>
      <c r="AO592" s="3" t="n">
        <v>0</v>
      </c>
      <c r="AP592" s="3">
        <f>N(X592)*N(BI592)</f>
        <v/>
      </c>
      <c r="AQ592" s="3" t="n">
        <v>0</v>
      </c>
      <c r="AR592" s="3" t="n">
        <v>0</v>
      </c>
      <c r="AS592" s="3" t="n">
        <v>-0</v>
      </c>
      <c r="AT592" s="3" t="n">
        <v>-0.2160434166173144</v>
      </c>
      <c r="AU592" s="3">
        <f>SUM(AN592:AT592)</f>
        <v/>
      </c>
      <c r="AV592" s="7">
        <f>IF(OR(N(W592)&lt;=0,N(BG592)=0),0,N(W592)*IF(N(R592)/N(W592)&gt;=60,N(BG592),1))</f>
        <v/>
      </c>
      <c r="AW592" s="7">
        <f>N(W592)*N(AF592)*N(BH592)</f>
        <v/>
      </c>
      <c r="AX592" s="7">
        <f>N(AL592)*(Assumptions!$B$13*N(BJ592)-(1-Assumptions!$B$13)*Assumptions!$B$14)+N(AM592)</f>
        <v/>
      </c>
      <c r="AY592" s="7">
        <f>N(AU592)*N(R592)/90+N(AV592)+N(AW592)+N(AX592)</f>
        <v/>
      </c>
      <c r="AZ592" s="3">
        <f>IF(N(R592)&lt;=0,0,(N(AY592)-N(AX592))*90/N(R592))</f>
        <v/>
      </c>
      <c r="BA592" s="7">
        <f>IFERROR(AY592-VLOOKUP($E592,Assumptions!$A$40:$C$43,3,FALSE),"")</f>
        <v/>
      </c>
      <c r="BB592" s="3">
        <f>IFERROR(BA592/H592,"")</f>
        <v/>
      </c>
      <c r="BC592">
        <f>IF(AND($G592=TRUE,$E592="GKP"),AY592,"")</f>
        <v/>
      </c>
      <c r="BD592">
        <f>IF(AND($G592=TRUE,$E592="DEF"),AY592,"")</f>
        <v/>
      </c>
      <c r="BE592">
        <f>IF(AND($G592=TRUE,$E592="MID"),AY592,"")</f>
        <v/>
      </c>
      <c r="BF592">
        <f>IF(AND($G592=TRUE,$E592="FWD"),AY592,"")</f>
        <v/>
      </c>
      <c r="BG592" t="n">
        <v>2</v>
      </c>
      <c r="BH592" t="n">
        <v>2</v>
      </c>
      <c r="BI592" t="n">
        <v>1</v>
      </c>
      <c r="BJ592" t="n">
        <v>5</v>
      </c>
    </row>
    <row r="593">
      <c r="A593" t="inlineStr">
        <is>
          <t>Jack Clarke</t>
        </is>
      </c>
      <c r="B593" t="inlineStr">
        <is>
          <t>IPS</t>
        </is>
      </c>
      <c r="D593" t="b">
        <v>0</v>
      </c>
      <c r="E593" t="inlineStr">
        <is>
          <t>MID</t>
        </is>
      </c>
      <c r="G593" t="b">
        <v>1</v>
      </c>
      <c r="H593" s="2" t="n">
        <v>5.5</v>
      </c>
      <c r="I593" t="inlineStr">
        <is>
          <t>a</t>
        </is>
      </c>
      <c r="K593" s="2" t="n"/>
      <c r="M593" s="3" t="n">
        <v>1060</v>
      </c>
      <c r="N593" s="8" t="n">
        <v>1060</v>
      </c>
      <c r="O593" s="8" t="n">
        <v>0</v>
      </c>
      <c r="Q593" t="inlineStr">
        <is>
          <t>flat</t>
        </is>
      </c>
      <c r="R593" s="6" t="n">
        <v>1060</v>
      </c>
      <c r="S593" t="inlineStr">
        <is>
          <t>Solio</t>
        </is>
      </c>
      <c r="U593" s="6" t="n">
        <v>85</v>
      </c>
      <c r="V593" s="2" t="n"/>
      <c r="W593" s="7">
        <f>IF(N(U593)&lt;=0,0,MIN(Assumptions!$B$15,N(R593)/N(U593)))</f>
        <v/>
      </c>
      <c r="X593" s="6" t="n">
        <v>0.17</v>
      </c>
      <c r="Y593" s="3" t="n"/>
      <c r="Z593" t="inlineStr"/>
      <c r="AA593" s="3" t="n">
        <v>1</v>
      </c>
      <c r="AB593" s="3" t="n"/>
      <c r="AC593" s="3" t="n"/>
      <c r="AD593" s="3" t="n"/>
      <c r="AE593" s="3" t="n"/>
      <c r="AF593" s="3" t="n">
        <v>0</v>
      </c>
      <c r="AG593" s="3" t="n"/>
      <c r="AH593" s="3" t="n"/>
      <c r="AI593" s="3" t="n">
        <v>3.5741</v>
      </c>
      <c r="AJ593" s="3" t="n">
        <v>1.8319</v>
      </c>
      <c r="AK593" s="3" t="n">
        <v>-0.2015773965073861</v>
      </c>
      <c r="AL593" s="6" t="n">
        <v>1.029420555023602</v>
      </c>
      <c r="AM593" s="3" t="n">
        <v>0</v>
      </c>
      <c r="AN593" s="3" t="n">
        <v>0</v>
      </c>
      <c r="AO593" s="3" t="n">
        <v>0</v>
      </c>
      <c r="AP593" s="3">
        <f>N(X593)*N(BI593)</f>
        <v/>
      </c>
      <c r="AQ593" s="3" t="n">
        <v>0</v>
      </c>
      <c r="AR593" s="3" t="n">
        <v>0</v>
      </c>
      <c r="AS593" s="3" t="n">
        <v>-0</v>
      </c>
      <c r="AT593" s="3" t="n">
        <v>-0.2015773965073861</v>
      </c>
      <c r="AU593" s="3">
        <f>SUM(AN593:AT593)</f>
        <v/>
      </c>
      <c r="AV593" s="7">
        <f>IF(OR(N(W593)&lt;=0,N(BG593)=0),0,N(W593)*IF(N(R593)/N(W593)&gt;=60,N(BG593),1))</f>
        <v/>
      </c>
      <c r="AW593" s="7">
        <f>N(W593)*N(AF593)*N(BH593)</f>
        <v/>
      </c>
      <c r="AX593" s="7">
        <f>N(AL593)*(Assumptions!$B$13*N(BJ593)-(1-Assumptions!$B$13)*Assumptions!$B$14)+N(AM593)</f>
        <v/>
      </c>
      <c r="AY593" s="7">
        <f>N(AU593)*N(R593)/90+N(AV593)+N(AW593)+N(AX593)</f>
        <v/>
      </c>
      <c r="AZ593" s="3">
        <f>IF(N(R593)&lt;=0,0,(N(AY593)-N(AX593))*90/N(R593))</f>
        <v/>
      </c>
      <c r="BA593" s="7">
        <f>IFERROR(AY593-VLOOKUP($E593,Assumptions!$A$40:$C$43,3,FALSE),"")</f>
        <v/>
      </c>
      <c r="BB593" s="3">
        <f>IFERROR(BA593/H593,"")</f>
        <v/>
      </c>
      <c r="BC593">
        <f>IF(AND($G593=TRUE,$E593="GKP"),AY593,"")</f>
        <v/>
      </c>
      <c r="BD593">
        <f>IF(AND($G593=TRUE,$E593="DEF"),AY593,"")</f>
        <v/>
      </c>
      <c r="BE593">
        <f>IF(AND($G593=TRUE,$E593="MID"),AY593,"")</f>
        <v/>
      </c>
      <c r="BF593">
        <f>IF(AND($G593=TRUE,$E593="FWD"),AY593,"")</f>
        <v/>
      </c>
      <c r="BG593" t="n">
        <v>2</v>
      </c>
      <c r="BH593" t="n">
        <v>2</v>
      </c>
      <c r="BI593" t="n">
        <v>1</v>
      </c>
      <c r="BJ593" t="n">
        <v>5</v>
      </c>
    </row>
    <row r="594">
      <c r="A594" t="inlineStr">
        <is>
          <t>Thimothée Lo-Tutala</t>
        </is>
      </c>
      <c r="B594" t="inlineStr">
        <is>
          <t>HUL</t>
        </is>
      </c>
      <c r="D594" t="b">
        <v>0</v>
      </c>
      <c r="E594" t="inlineStr">
        <is>
          <t>GKP</t>
        </is>
      </c>
      <c r="G594" t="b">
        <v>1</v>
      </c>
      <c r="H594" s="2" t="n">
        <v>4</v>
      </c>
      <c r="I594" t="inlineStr">
        <is>
          <t>a</t>
        </is>
      </c>
      <c r="K594" s="2" t="n"/>
      <c r="M594" s="3" t="n">
        <v>0</v>
      </c>
      <c r="N594" s="8" t="n">
        <v>0</v>
      </c>
      <c r="O594" s="8" t="n">
        <v>0</v>
      </c>
      <c r="Q594" t="inlineStr">
        <is>
          <t>flat</t>
        </is>
      </c>
      <c r="R594" s="6" t="n">
        <v>0</v>
      </c>
      <c r="S594" t="inlineStr">
        <is>
          <t>Solio</t>
        </is>
      </c>
      <c r="U594" s="6" t="n">
        <v>85</v>
      </c>
      <c r="V594" s="2" t="n"/>
      <c r="W594" s="7">
        <f>IF(N(U594)&lt;=0,0,MIN(Assumptions!$B$15,N(R594)/N(U594)))</f>
        <v/>
      </c>
      <c r="X594" s="6" t="n">
        <v>0.143</v>
      </c>
      <c r="Y594" s="3" t="n"/>
      <c r="Z594" t="inlineStr"/>
      <c r="AA594" s="3" t="n">
        <v>1</v>
      </c>
      <c r="AB594" s="3" t="n"/>
      <c r="AC594" s="3" t="n"/>
      <c r="AD594" s="3" t="n"/>
      <c r="AE594" s="3" t="n">
        <v>0</v>
      </c>
      <c r="AF594" s="3" t="n">
        <v>0</v>
      </c>
      <c r="AG594" s="3" t="n"/>
      <c r="AH594" s="3" t="n"/>
      <c r="AI594" s="3" t="n">
        <v>3.9421</v>
      </c>
      <c r="AJ594" s="3" t="n">
        <v>1.99</v>
      </c>
      <c r="AK594" s="3" t="n">
        <v>-0.0763216474948735</v>
      </c>
      <c r="AL594" s="6" t="n">
        <v>0</v>
      </c>
      <c r="AM594" s="3" t="n">
        <v>0</v>
      </c>
      <c r="AN594" s="3" t="n">
        <v>0</v>
      </c>
      <c r="AO594" s="3" t="n">
        <v>0</v>
      </c>
      <c r="AP594" s="3">
        <f>N(X594)*N(BI594)</f>
        <v/>
      </c>
      <c r="AQ594" s="3" t="n">
        <v>0</v>
      </c>
      <c r="AR594" s="3" t="n">
        <v>0.979692031005534</v>
      </c>
      <c r="AS594" s="3" t="n">
        <v>-0.7496714098286652</v>
      </c>
      <c r="AT594" s="3" t="n">
        <v>-0.0763216474948735</v>
      </c>
      <c r="AU594" s="3">
        <f>SUM(AN594:AT594)</f>
        <v/>
      </c>
      <c r="AV594" s="7">
        <f>IF(OR(N(W594)&lt;=0,N(BG594)=0),0,N(W594)*IF(N(R594)/N(W594)&gt;=60,N(BG594),1))</f>
        <v/>
      </c>
      <c r="AW594" s="7">
        <f>N(W594)*N(AF594)*N(BH594)</f>
        <v/>
      </c>
      <c r="AX594" s="7">
        <f>N(AL594)*(Assumptions!$B$13*N(BJ594)-(1-Assumptions!$B$13)*Assumptions!$B$14)+N(AM594)</f>
        <v/>
      </c>
      <c r="AY594" s="7">
        <f>N(AU594)*N(R594)/90+N(AV594)+N(AW594)+N(AX594)</f>
        <v/>
      </c>
      <c r="AZ594" s="3">
        <f>IF(N(R594)&lt;=0,0,(N(AY594)-N(AX594))*90/N(R594))</f>
        <v/>
      </c>
      <c r="BA594" s="7">
        <f>IFERROR(AY594-VLOOKUP($E594,Assumptions!$A$40:$C$43,3,FALSE),"")</f>
        <v/>
      </c>
      <c r="BB594" s="3">
        <f>IFERROR(BA594/H594,"")</f>
        <v/>
      </c>
      <c r="BC594">
        <f>IF(AND($G594=TRUE,$E594="GKP"),AY594,"")</f>
        <v/>
      </c>
      <c r="BD594">
        <f>IF(AND($G594=TRUE,$E594="DEF"),AY594,"")</f>
        <v/>
      </c>
      <c r="BE594">
        <f>IF(AND($G594=TRUE,$E594="MID"),AY594,"")</f>
        <v/>
      </c>
      <c r="BF594">
        <f>IF(AND($G594=TRUE,$E594="FWD"),AY594,"")</f>
        <v/>
      </c>
      <c r="BG594" t="n">
        <v>2</v>
      </c>
      <c r="BH594" t="n">
        <v>0</v>
      </c>
      <c r="BI594" t="n">
        <v>4</v>
      </c>
      <c r="BJ594" t="n">
        <v>10</v>
      </c>
    </row>
    <row r="595">
      <c r="A595" t="inlineStr">
        <is>
          <t>Hidemasa Morita</t>
        </is>
      </c>
      <c r="B595" t="inlineStr">
        <is>
          <t>HUL</t>
        </is>
      </c>
      <c r="D595" t="b">
        <v>0</v>
      </c>
      <c r="E595" t="inlineStr">
        <is>
          <t>MID</t>
        </is>
      </c>
      <c r="G595" t="b">
        <v>1</v>
      </c>
      <c r="H595" s="2" t="n">
        <v>5</v>
      </c>
      <c r="I595" t="inlineStr">
        <is>
          <t>a</t>
        </is>
      </c>
      <c r="K595" s="2" t="n"/>
      <c r="M595" s="3" t="n">
        <v>2525</v>
      </c>
      <c r="N595" s="8" t="n">
        <v>2525</v>
      </c>
      <c r="O595" s="8" t="n">
        <v>0</v>
      </c>
      <c r="Q595" t="inlineStr">
        <is>
          <t>flat</t>
        </is>
      </c>
      <c r="R595" s="6" t="n">
        <v>2525</v>
      </c>
      <c r="S595" t="inlineStr">
        <is>
          <t>Solio</t>
        </is>
      </c>
      <c r="U595" s="6" t="n">
        <v>85</v>
      </c>
      <c r="V595" s="2" t="n"/>
      <c r="W595" s="7">
        <f>IF(N(U595)&lt;=0,0,MIN(Assumptions!$B$15,N(R595)/N(U595)))</f>
        <v/>
      </c>
      <c r="X595" s="6" t="n">
        <v>0.143</v>
      </c>
      <c r="Y595" s="3" t="n"/>
      <c r="Z595" t="inlineStr"/>
      <c r="AA595" s="3" t="n">
        <v>1</v>
      </c>
      <c r="AB595" s="3" t="n"/>
      <c r="AC595" s="3" t="n"/>
      <c r="AD595" s="3" t="n"/>
      <c r="AE595" s="3" t="n"/>
      <c r="AF595" s="3" t="n">
        <v>0</v>
      </c>
      <c r="AG595" s="3" t="n"/>
      <c r="AH595" s="3" t="n"/>
      <c r="AI595" s="3" t="n">
        <v>3.9421</v>
      </c>
      <c r="AJ595" s="3" t="n">
        <v>1.99</v>
      </c>
      <c r="AK595" s="3" t="n">
        <v>-0.2160434166173144</v>
      </c>
      <c r="AL595" s="6" t="n">
        <v>0</v>
      </c>
      <c r="AM595" s="3" t="n">
        <v>0</v>
      </c>
      <c r="AN595" s="3" t="n">
        <v>0</v>
      </c>
      <c r="AO595" s="3" t="n">
        <v>0</v>
      </c>
      <c r="AP595" s="3">
        <f>N(X595)*N(BI595)</f>
        <v/>
      </c>
      <c r="AQ595" s="3" t="n">
        <v>0</v>
      </c>
      <c r="AR595" s="3" t="n">
        <v>0</v>
      </c>
      <c r="AS595" s="3" t="n">
        <v>-0</v>
      </c>
      <c r="AT595" s="3" t="n">
        <v>-0.2160434166173144</v>
      </c>
      <c r="AU595" s="3">
        <f>SUM(AN595:AT595)</f>
        <v/>
      </c>
      <c r="AV595" s="7">
        <f>IF(OR(N(W595)&lt;=0,N(BG595)=0),0,N(W595)*IF(N(R595)/N(W595)&gt;=60,N(BG595),1))</f>
        <v/>
      </c>
      <c r="AW595" s="7">
        <f>N(W595)*N(AF595)*N(BH595)</f>
        <v/>
      </c>
      <c r="AX595" s="7">
        <f>N(AL595)*(Assumptions!$B$13*N(BJ595)-(1-Assumptions!$B$13)*Assumptions!$B$14)+N(AM595)</f>
        <v/>
      </c>
      <c r="AY595" s="7">
        <f>N(AU595)*N(R595)/90+N(AV595)+N(AW595)+N(AX595)</f>
        <v/>
      </c>
      <c r="AZ595" s="3">
        <f>IF(N(R595)&lt;=0,0,(N(AY595)-N(AX595))*90/N(R595))</f>
        <v/>
      </c>
      <c r="BA595" s="7">
        <f>IFERROR(AY595-VLOOKUP($E595,Assumptions!$A$40:$C$43,3,FALSE),"")</f>
        <v/>
      </c>
      <c r="BB595" s="3">
        <f>IFERROR(BA595/H595,"")</f>
        <v/>
      </c>
      <c r="BC595">
        <f>IF(AND($G595=TRUE,$E595="GKP"),AY595,"")</f>
        <v/>
      </c>
      <c r="BD595">
        <f>IF(AND($G595=TRUE,$E595="DEF"),AY595,"")</f>
        <v/>
      </c>
      <c r="BE595">
        <f>IF(AND($G595=TRUE,$E595="MID"),AY595,"")</f>
        <v/>
      </c>
      <c r="BF595">
        <f>IF(AND($G595=TRUE,$E595="FWD"),AY595,"")</f>
        <v/>
      </c>
      <c r="BG595" t="n">
        <v>2</v>
      </c>
      <c r="BH595" t="n">
        <v>2</v>
      </c>
      <c r="BI595" t="n">
        <v>1</v>
      </c>
      <c r="BJ595" t="n">
        <v>5</v>
      </c>
    </row>
    <row r="596">
      <c r="A596" t="inlineStr">
        <is>
          <t>Ronald Araujo</t>
        </is>
      </c>
      <c r="B596" t="inlineStr">
        <is>
          <t>LIV</t>
        </is>
      </c>
      <c r="D596" t="b">
        <v>0</v>
      </c>
      <c r="E596" t="inlineStr">
        <is>
          <t>DEF</t>
        </is>
      </c>
      <c r="G596" t="b">
        <v>1</v>
      </c>
      <c r="H596" s="2" t="n">
        <v>5.5</v>
      </c>
      <c r="I596" t="inlineStr">
        <is>
          <t>a</t>
        </is>
      </c>
      <c r="K596" s="2" t="n"/>
      <c r="M596" s="3" t="n">
        <v>1984</v>
      </c>
      <c r="N596" s="4" t="n">
        <v>2340</v>
      </c>
      <c r="O596" s="4" t="n">
        <v>356</v>
      </c>
      <c r="P596" s="5" t="inlineStr">
        <is>
          <t>medium</t>
        </is>
      </c>
      <c r="Q596" t="inlineStr">
        <is>
          <t>flat</t>
        </is>
      </c>
      <c r="R596" s="6" t="n">
        <v>2340</v>
      </c>
      <c r="S596" t="inlineStr">
        <is>
          <t>research</t>
        </is>
      </c>
      <c r="T596" s="5" t="inlineStr">
        <is>
          <t>Signed on loan from Barcelona on 11 August. This Is Anfield: 'With Jacquet still building up fitness and Joe Gomez sidelined, the starting spot alongside Van Dijk at St James' Park appears to be Araujo's to lose.' He is also the emergency right-back cover. Solio's 1984 under-rates a player who starts the season as the first-choice partner to Van Dijk.</t>
        </is>
      </c>
      <c r="U596" s="6" t="n">
        <v>85</v>
      </c>
      <c r="V596" s="2" t="n"/>
      <c r="W596" s="7">
        <f>IF(N(U596)&lt;=0,0,MIN(Assumptions!$B$15,N(R596)/N(U596)))</f>
        <v/>
      </c>
      <c r="X596" s="6" t="n">
        <v>0.342</v>
      </c>
      <c r="Y596" s="3" t="n"/>
      <c r="Z596" t="inlineStr"/>
      <c r="AA596" s="3" t="n">
        <v>1</v>
      </c>
      <c r="AB596" s="3" t="n"/>
      <c r="AC596" s="3" t="n"/>
      <c r="AD596" s="3" t="n"/>
      <c r="AE596" s="3" t="n"/>
      <c r="AF596" s="3" t="n">
        <v>0</v>
      </c>
      <c r="AG596" s="3" t="n"/>
      <c r="AH596" s="3" t="n"/>
      <c r="AI596" s="3" t="n">
        <v>2.409</v>
      </c>
      <c r="AJ596" s="3" t="n">
        <v>1.1228</v>
      </c>
      <c r="AK596" s="3" t="n">
        <v>-0.2045226422080557</v>
      </c>
      <c r="AL596" s="6" t="n">
        <v>0</v>
      </c>
      <c r="AM596" s="3" t="n">
        <v>0</v>
      </c>
      <c r="AN596" s="3" t="n">
        <v>0</v>
      </c>
      <c r="AO596" s="3" t="n">
        <v>0</v>
      </c>
      <c r="AP596" s="3">
        <f>N(X596)*N(BI596)</f>
        <v/>
      </c>
      <c r="AQ596" s="3" t="n">
        <v>0</v>
      </c>
      <c r="AR596" s="3" t="n">
        <v>0</v>
      </c>
      <c r="AS596" s="3" t="n">
        <v>-0.3378660007281162</v>
      </c>
      <c r="AT596" s="3" t="n">
        <v>-0.2045226422080557</v>
      </c>
      <c r="AU596" s="3">
        <f>SUM(AN596:AT596)</f>
        <v/>
      </c>
      <c r="AV596" s="7">
        <f>IF(OR(N(W596)&lt;=0,N(BG596)=0),0,N(W596)*IF(N(R596)/N(W596)&gt;=60,N(BG596),1))</f>
        <v/>
      </c>
      <c r="AW596" s="7">
        <f>N(W596)*N(AF596)*N(BH596)</f>
        <v/>
      </c>
      <c r="AX596" s="7">
        <f>N(AL596)*(Assumptions!$B$13*N(BJ596)-(1-Assumptions!$B$13)*Assumptions!$B$14)+N(AM596)</f>
        <v/>
      </c>
      <c r="AY596" s="7">
        <f>N(AU596)*N(R596)/90+N(AV596)+N(AW596)+N(AX596)</f>
        <v/>
      </c>
      <c r="AZ596" s="3">
        <f>IF(N(R596)&lt;=0,0,(N(AY596)-N(AX596))*90/N(R596))</f>
        <v/>
      </c>
      <c r="BA596" s="7">
        <f>IFERROR(AY596-VLOOKUP($E596,Assumptions!$A$40:$C$43,3,FALSE),"")</f>
        <v/>
      </c>
      <c r="BB596" s="3">
        <f>IFERROR(BA596/H596,"")</f>
        <v/>
      </c>
      <c r="BC596">
        <f>IF(AND($G596=TRUE,$E596="GKP"),AY596,"")</f>
        <v/>
      </c>
      <c r="BD596">
        <f>IF(AND($G596=TRUE,$E596="DEF"),AY596,"")</f>
        <v/>
      </c>
      <c r="BE596">
        <f>IF(AND($G596=TRUE,$E596="MID"),AY596,"")</f>
        <v/>
      </c>
      <c r="BF596">
        <f>IF(AND($G596=TRUE,$E596="FWD"),AY596,"")</f>
        <v/>
      </c>
      <c r="BG596" t="n">
        <v>2</v>
      </c>
      <c r="BH596" t="n">
        <v>2</v>
      </c>
      <c r="BI596" t="n">
        <v>4</v>
      </c>
      <c r="BJ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s="8" t="n">
        <v>38</v>
      </c>
      <c r="O597" s="8" t="n">
        <v>0</v>
      </c>
      <c r="Q597" t="inlineStr">
        <is>
          <t>flat</t>
        </is>
      </c>
      <c r="R597" s="6" t="n">
        <v>38</v>
      </c>
      <c r="S597" t="inlineStr">
        <is>
          <t>Solio</t>
        </is>
      </c>
      <c r="U597" s="6" t="n">
        <v>85</v>
      </c>
      <c r="V597" s="2" t="n"/>
      <c r="W597" s="7">
        <f>IF(N(U597)&lt;=0,0,MIN(Assumptions!$B$15,N(R597)/N(U597)))</f>
        <v/>
      </c>
      <c r="X597" s="6" t="n">
        <v>0.143</v>
      </c>
      <c r="Y597" s="3" t="n"/>
      <c r="Z597" t="inlineStr"/>
      <c r="AA597" s="3" t="n">
        <v>1</v>
      </c>
      <c r="AB597" s="3" t="n"/>
      <c r="AC597" s="3" t="n"/>
      <c r="AD597" s="3" t="n"/>
      <c r="AE597" s="3" t="n"/>
      <c r="AF597" s="3" t="n">
        <v>0</v>
      </c>
      <c r="AG597" s="3" t="n"/>
      <c r="AH597" s="3" t="n"/>
      <c r="AI597" s="3" t="n">
        <v>3.9421</v>
      </c>
      <c r="AJ597" s="3" t="n">
        <v>1.99</v>
      </c>
      <c r="AK597" s="3" t="n">
        <v>-0.2045226422080557</v>
      </c>
      <c r="AL597" s="6" t="n">
        <v>0</v>
      </c>
      <c r="AM597" s="3" t="n">
        <v>0</v>
      </c>
      <c r="AN597" s="3" t="n">
        <v>0</v>
      </c>
      <c r="AO597" s="3" t="n">
        <v>0</v>
      </c>
      <c r="AP597" s="3">
        <f>N(X597)*N(BI597)</f>
        <v/>
      </c>
      <c r="AQ597" s="3" t="n">
        <v>0</v>
      </c>
      <c r="AR597" s="3" t="n">
        <v>0</v>
      </c>
      <c r="AS597" s="3" t="n">
        <v>-0.7496714098286652</v>
      </c>
      <c r="AT597" s="3" t="n">
        <v>-0.2045226422080557</v>
      </c>
      <c r="AU597" s="3">
        <f>SUM(AN597:AT597)</f>
        <v/>
      </c>
      <c r="AV597" s="7">
        <f>IF(OR(N(W597)&lt;=0,N(BG597)=0),0,N(W597)*IF(N(R597)/N(W597)&gt;=60,N(BG597),1))</f>
        <v/>
      </c>
      <c r="AW597" s="7">
        <f>N(W597)*N(AF597)*N(BH597)</f>
        <v/>
      </c>
      <c r="AX597" s="7">
        <f>N(AL597)*(Assumptions!$B$13*N(BJ597)-(1-Assumptions!$B$13)*Assumptions!$B$14)+N(AM597)</f>
        <v/>
      </c>
      <c r="AY597" s="7">
        <f>N(AU597)*N(R597)/90+N(AV597)+N(AW597)+N(AX597)</f>
        <v/>
      </c>
      <c r="AZ597" s="3">
        <f>IF(N(R597)&lt;=0,0,(N(AY597)-N(AX597))*90/N(R597))</f>
        <v/>
      </c>
      <c r="BA597" s="7">
        <f>IFERROR(AY597-VLOOKUP($E597,Assumptions!$A$40:$C$43,3,FALSE),"")</f>
        <v/>
      </c>
      <c r="BB597" s="3">
        <f>IFERROR(BA597/H597,"")</f>
        <v/>
      </c>
      <c r="BC597">
        <f>IF(AND($G597=TRUE,$E597="GKP"),AY597,"")</f>
        <v/>
      </c>
      <c r="BD597">
        <f>IF(AND($G597=TRUE,$E597="DEF"),AY597,"")</f>
        <v/>
      </c>
      <c r="BE597">
        <f>IF(AND($G597=TRUE,$E597="MID"),AY597,"")</f>
        <v/>
      </c>
      <c r="BF597">
        <f>IF(AND($G597=TRUE,$E597="FWD"),AY597,"")</f>
        <v/>
      </c>
      <c r="BG597" t="n">
        <v>2</v>
      </c>
      <c r="BH597" t="n">
        <v>2</v>
      </c>
      <c r="BI597" t="n">
        <v>4</v>
      </c>
      <c r="BJ597" t="n">
        <v>6</v>
      </c>
    </row>
    <row r="598">
      <c r="A598" t="inlineStr">
        <is>
          <t>Jacob Greaves</t>
        </is>
      </c>
      <c r="B598" t="inlineStr">
        <is>
          <t>IPS</t>
        </is>
      </c>
      <c r="D598" t="b">
        <v>0</v>
      </c>
      <c r="E598" t="inlineStr">
        <is>
          <t>DEF</t>
        </is>
      </c>
      <c r="G598" t="b">
        <v>1</v>
      </c>
      <c r="H598" s="2" t="n">
        <v>4</v>
      </c>
      <c r="I598" t="inlineStr">
        <is>
          <t>a</t>
        </is>
      </c>
      <c r="K598" s="2" t="n"/>
      <c r="M598" s="3" t="n">
        <v>1533</v>
      </c>
      <c r="N598" s="8" t="n">
        <v>1533</v>
      </c>
      <c r="O598" s="8" t="n">
        <v>0</v>
      </c>
      <c r="Q598" t="inlineStr">
        <is>
          <t>flat</t>
        </is>
      </c>
      <c r="R598" s="6" t="n">
        <v>1533</v>
      </c>
      <c r="S598" t="inlineStr">
        <is>
          <t>Solio</t>
        </is>
      </c>
      <c r="U598" s="6" t="n">
        <v>85</v>
      </c>
      <c r="V598" s="2" t="n"/>
      <c r="W598" s="7">
        <f>IF(N(U598)&lt;=0,0,MIN(Assumptions!$B$15,N(R598)/N(U598)))</f>
        <v/>
      </c>
      <c r="X598" s="6" t="n">
        <v>0.17</v>
      </c>
      <c r="Y598" s="3" t="n"/>
      <c r="Z598" t="inlineStr"/>
      <c r="AA598" s="3" t="n">
        <v>1</v>
      </c>
      <c r="AB598" s="3" t="n"/>
      <c r="AC598" s="3" t="n"/>
      <c r="AD598" s="3" t="n"/>
      <c r="AE598" s="3" t="n"/>
      <c r="AF598" s="3" t="n">
        <v>0</v>
      </c>
      <c r="AG598" s="3" t="n"/>
      <c r="AH598" s="3" t="n"/>
      <c r="AI598" s="3" t="n">
        <v>3.5741</v>
      </c>
      <c r="AJ598" s="3" t="n">
        <v>1.8319</v>
      </c>
      <c r="AK598" s="3" t="n">
        <v>-0.2144621594178463</v>
      </c>
      <c r="AL598" s="6" t="n">
        <v>0</v>
      </c>
      <c r="AM598" s="3" t="n">
        <v>0</v>
      </c>
      <c r="AN598" s="3" t="n">
        <v>0</v>
      </c>
      <c r="AO598" s="3" t="n">
        <v>0</v>
      </c>
      <c r="AP598" s="3">
        <f>N(X598)*N(BI598)</f>
        <v/>
      </c>
      <c r="AQ598" s="3" t="n">
        <v>0</v>
      </c>
      <c r="AR598" s="3" t="n">
        <v>0</v>
      </c>
      <c r="AS598" s="3" t="n">
        <v>-0.6723587286814016</v>
      </c>
      <c r="AT598" s="3" t="n">
        <v>-0.2144621594178463</v>
      </c>
      <c r="AU598" s="3">
        <f>SUM(AN598:AT598)</f>
        <v/>
      </c>
      <c r="AV598" s="7">
        <f>IF(OR(N(W598)&lt;=0,N(BG598)=0),0,N(W598)*IF(N(R598)/N(W598)&gt;=60,N(BG598),1))</f>
        <v/>
      </c>
      <c r="AW598" s="7">
        <f>N(W598)*N(AF598)*N(BH598)</f>
        <v/>
      </c>
      <c r="AX598" s="7">
        <f>N(AL598)*(Assumptions!$B$13*N(BJ598)-(1-Assumptions!$B$13)*Assumptions!$B$14)+N(AM598)</f>
        <v/>
      </c>
      <c r="AY598" s="7">
        <f>N(AU598)*N(R598)/90+N(AV598)+N(AW598)+N(AX598)</f>
        <v/>
      </c>
      <c r="AZ598" s="3">
        <f>IF(N(R598)&lt;=0,0,(N(AY598)-N(AX598))*90/N(R598))</f>
        <v/>
      </c>
      <c r="BA598" s="7">
        <f>IFERROR(AY598-VLOOKUP($E598,Assumptions!$A$40:$C$43,3,FALSE),"")</f>
        <v/>
      </c>
      <c r="BB598" s="3">
        <f>IFERROR(BA598/H598,"")</f>
        <v/>
      </c>
      <c r="BC598">
        <f>IF(AND($G598=TRUE,$E598="GKP"),AY598,"")</f>
        <v/>
      </c>
      <c r="BD598">
        <f>IF(AND($G598=TRUE,$E598="DEF"),AY598,"")</f>
        <v/>
      </c>
      <c r="BE598">
        <f>IF(AND($G598=TRUE,$E598="MID"),AY598,"")</f>
        <v/>
      </c>
      <c r="BF598">
        <f>IF(AND($G598=TRUE,$E598="FWD"),AY598,"")</f>
        <v/>
      </c>
      <c r="BG598" t="n">
        <v>2</v>
      </c>
      <c r="BH598" t="n">
        <v>2</v>
      </c>
      <c r="BI598" t="n">
        <v>4</v>
      </c>
      <c r="BJ598" t="n">
        <v>6</v>
      </c>
    </row>
    <row r="599">
      <c r="A599" t="inlineStr">
        <is>
          <t>Crysencio Summerville</t>
        </is>
      </c>
      <c r="C599" t="inlineStr">
        <is>
          <t>WHU</t>
        </is>
      </c>
      <c r="D599" t="b">
        <v>0</v>
      </c>
      <c r="F599" t="inlineStr">
        <is>
          <t>MID</t>
        </is>
      </c>
      <c r="G599" t="b">
        <v>0</v>
      </c>
      <c r="H599" s="2" t="n"/>
      <c r="K599" s="2" t="n">
        <v>2480</v>
      </c>
      <c r="M599" s="3" t="n"/>
      <c r="N599" s="8" t="n">
        <v>2480</v>
      </c>
      <c r="O599" s="8" t="n">
        <v>0</v>
      </c>
      <c r="R599" s="6" t="n">
        <v>2480</v>
      </c>
      <c r="S599" t="inlineStr">
        <is>
          <t>25/26 actual</t>
        </is>
      </c>
      <c r="U599" s="6" t="n">
        <v>83</v>
      </c>
      <c r="V599" s="2" t="n">
        <v>29</v>
      </c>
      <c r="W599" s="7">
        <f>IF(N(U599)&lt;=0,0,MIN(Assumptions!$B$15,N(R599)/N(U599)))</f>
        <v/>
      </c>
      <c r="X599" s="6" t="n"/>
      <c r="Y599" s="3" t="n">
        <v>0.2029</v>
      </c>
      <c r="Z599" t="inlineStr">
        <is>
          <t>adjusted xGOT</t>
        </is>
      </c>
      <c r="AA599" s="3" t="n">
        <v>1</v>
      </c>
      <c r="AB599" s="3" t="n">
        <v>1.03</v>
      </c>
      <c r="AC599" s="3" t="n">
        <v>9.9</v>
      </c>
      <c r="AD599" s="3" t="n">
        <v>0.1174</v>
      </c>
      <c r="AE599" s="3" t="n">
        <v>8.002000000000001</v>
      </c>
      <c r="AF599" s="3" t="n">
        <v>0</v>
      </c>
      <c r="AG599" s="3" t="n">
        <v>0.3266</v>
      </c>
      <c r="AH599" s="3" t="n">
        <v>59</v>
      </c>
      <c r="AI599" s="3" t="n"/>
      <c r="AJ599" s="3" t="n"/>
      <c r="AK599" s="3" t="n"/>
      <c r="AL599" s="6" t="n">
        <v>0</v>
      </c>
      <c r="AM599" s="3" t="n">
        <v>0</v>
      </c>
      <c r="AN599" s="3" t="n">
        <v>0</v>
      </c>
      <c r="AO599" s="3" t="n">
        <v>0</v>
      </c>
      <c r="AP599" s="3">
        <f>N(X599)*N(BI599)</f>
        <v/>
      </c>
      <c r="AQ599" s="3" t="n">
        <v>0</v>
      </c>
      <c r="AR599" s="3" t="n">
        <v>0</v>
      </c>
      <c r="AS599" s="3" t="n">
        <v>0</v>
      </c>
      <c r="AT599" s="3" t="n">
        <v>0</v>
      </c>
      <c r="AU599" s="3">
        <f>SUM(AN599:AT599)</f>
        <v/>
      </c>
      <c r="AV599" s="7">
        <f>IF(OR(N(W599)&lt;=0,N(BG599)=0),0,N(W599)*IF(N(R599)/N(W599)&gt;=60,N(BG599),1))</f>
        <v/>
      </c>
      <c r="AW599" s="7">
        <f>N(W599)*N(AF599)*N(BH599)</f>
        <v/>
      </c>
      <c r="AX599" s="7">
        <f>N(AL599)*(Assumptions!$B$13*N(BJ599)-(1-Assumptions!$B$13)*Assumptions!$B$14)+N(AM599)</f>
        <v/>
      </c>
      <c r="AY599" s="7">
        <f>N(AU599)*N(R599)/90+N(AV599)+N(AW599)+N(AX599)</f>
        <v/>
      </c>
      <c r="AZ599" s="3">
        <f>IF(N(R599)&lt;=0,0,(N(AY599)-N(AX599))*90/N(R599))</f>
        <v/>
      </c>
      <c r="BA599" s="7">
        <f>IFERROR(AY599-VLOOKUP($E599,Assumptions!$A$40:$C$43,3,FALSE),"")</f>
        <v/>
      </c>
      <c r="BB599" s="3">
        <f>IFERROR(BA599/H599,"")</f>
        <v/>
      </c>
      <c r="BC599">
        <f>IF(AND($G599=TRUE,$E599="GKP"),AY599,"")</f>
        <v/>
      </c>
      <c r="BD599">
        <f>IF(AND($G599=TRUE,$E599="DEF"),AY599,"")</f>
        <v/>
      </c>
      <c r="BE599">
        <f>IF(AND($G599=TRUE,$E599="MID"),AY599,"")</f>
        <v/>
      </c>
      <c r="BF599">
        <f>IF(AND($G599=TRUE,$E599="FWD"),AY599,"")</f>
        <v/>
      </c>
      <c r="BG599" t="n">
        <v>0</v>
      </c>
      <c r="BH599" t="n">
        <v>0</v>
      </c>
      <c r="BI599" t="n">
        <v>0</v>
      </c>
      <c r="BJ599" t="n">
        <v>0</v>
      </c>
    </row>
    <row r="600">
      <c r="A600" t="inlineStr">
        <is>
          <t>Myles Peart-Harris</t>
        </is>
      </c>
      <c r="C600" t="inlineStr">
        <is>
          <t>BRE</t>
        </is>
      </c>
      <c r="D600" t="b">
        <v>0</v>
      </c>
      <c r="F600" t="inlineStr">
        <is>
          <t>MID</t>
        </is>
      </c>
      <c r="G600" t="b">
        <v>0</v>
      </c>
      <c r="H600" s="2" t="n"/>
      <c r="K600" s="2" t="n">
        <v>1</v>
      </c>
      <c r="M600" s="3" t="n"/>
      <c r="N600" s="8" t="n">
        <v>1</v>
      </c>
      <c r="O600" s="8" t="n">
        <v>0</v>
      </c>
      <c r="R600" s="6" t="n">
        <v>1</v>
      </c>
      <c r="S600" t="inlineStr">
        <is>
          <t>25/26 actual</t>
        </is>
      </c>
      <c r="U600" s="6" t="n">
        <v>80.09999999999999</v>
      </c>
      <c r="V600" s="2" t="n">
        <v>0</v>
      </c>
      <c r="W600" s="7">
        <f>IF(N(U600)&lt;=0,0,MIN(Assumptions!$B$15,N(R600)/N(U600)))</f>
        <v/>
      </c>
      <c r="X600" s="6" t="n"/>
      <c r="Y600" s="3" t="n">
        <v>0</v>
      </c>
      <c r="Z600" t="inlineStr">
        <is>
          <t>blended xG</t>
        </is>
      </c>
      <c r="AA600" s="3" t="n">
        <v>1</v>
      </c>
      <c r="AB600" s="3" t="n">
        <v>1</v>
      </c>
      <c r="AC600" s="3" t="n">
        <v>0</v>
      </c>
      <c r="AD600" s="3" t="n">
        <v>0</v>
      </c>
      <c r="AE600" s="3" t="n">
        <v>8.565</v>
      </c>
      <c r="AF600" s="3" t="n">
        <v>0</v>
      </c>
      <c r="AG600" s="3" t="n">
        <v>0</v>
      </c>
      <c r="AH600" s="3" t="n">
        <v>1</v>
      </c>
      <c r="AI600" s="3" t="n"/>
      <c r="AJ600" s="3" t="n"/>
      <c r="AK600" s="3" t="n"/>
      <c r="AL600" s="6" t="n">
        <v>0</v>
      </c>
      <c r="AM600" s="3" t="n">
        <v>0</v>
      </c>
      <c r="AN600" s="3" t="n">
        <v>0</v>
      </c>
      <c r="AO600" s="3" t="n">
        <v>0</v>
      </c>
      <c r="AP600" s="3">
        <f>N(X600)*N(BI600)</f>
        <v/>
      </c>
      <c r="AQ600" s="3" t="n">
        <v>0</v>
      </c>
      <c r="AR600" s="3" t="n">
        <v>0</v>
      </c>
      <c r="AS600" s="3" t="n">
        <v>0</v>
      </c>
      <c r="AT600" s="3" t="n">
        <v>0</v>
      </c>
      <c r="AU600" s="3">
        <f>SUM(AN600:AT600)</f>
        <v/>
      </c>
      <c r="AV600" s="7">
        <f>IF(OR(N(W600)&lt;=0,N(BG600)=0),0,N(W600)*IF(N(R600)/N(W600)&gt;=60,N(BG600),1))</f>
        <v/>
      </c>
      <c r="AW600" s="7">
        <f>N(W600)*N(AF600)*N(BH600)</f>
        <v/>
      </c>
      <c r="AX600" s="7">
        <f>N(AL600)*(Assumptions!$B$13*N(BJ600)-(1-Assumptions!$B$13)*Assumptions!$B$14)+N(AM600)</f>
        <v/>
      </c>
      <c r="AY600" s="7">
        <f>N(AU600)*N(R600)/90+N(AV600)+N(AW600)+N(AX600)</f>
        <v/>
      </c>
      <c r="AZ600" s="3">
        <f>IF(N(R600)&lt;=0,0,(N(AY600)-N(AX600))*90/N(R600))</f>
        <v/>
      </c>
      <c r="BA600" s="7">
        <f>IFERROR(AY600-VLOOKUP($E600,Assumptions!$A$40:$C$43,3,FALSE),"")</f>
        <v/>
      </c>
      <c r="BB600" s="3">
        <f>IFERROR(BA600/H600,"")</f>
        <v/>
      </c>
      <c r="BC600">
        <f>IF(AND($G600=TRUE,$E600="GKP"),AY600,"")</f>
        <v/>
      </c>
      <c r="BD600">
        <f>IF(AND($G600=TRUE,$E600="DEF"),AY600,"")</f>
        <v/>
      </c>
      <c r="BE600">
        <f>IF(AND($G600=TRUE,$E600="MID"),AY600,"")</f>
        <v/>
      </c>
      <c r="BF600">
        <f>IF(AND($G600=TRUE,$E600="FWD"),AY600,"")</f>
        <v/>
      </c>
      <c r="BG600" t="n">
        <v>0</v>
      </c>
      <c r="BH600" t="n">
        <v>0</v>
      </c>
      <c r="BI600" t="n">
        <v>0</v>
      </c>
      <c r="BJ600" t="n">
        <v>0</v>
      </c>
    </row>
    <row r="601">
      <c r="A601" t="inlineStr">
        <is>
          <t>Milan van Ewijk</t>
        </is>
      </c>
      <c r="B601" t="inlineStr">
        <is>
          <t>COV</t>
        </is>
      </c>
      <c r="D601" t="b">
        <v>0</v>
      </c>
      <c r="E601" t="inlineStr">
        <is>
          <t>DEF</t>
        </is>
      </c>
      <c r="G601" t="b">
        <v>1</v>
      </c>
      <c r="H601" s="2" t="n">
        <v>4</v>
      </c>
      <c r="I601" t="inlineStr">
        <is>
          <t>a</t>
        </is>
      </c>
      <c r="K601" s="2" t="n"/>
      <c r="M601" s="3" t="n">
        <v>3342</v>
      </c>
      <c r="N601" s="8" t="n">
        <v>3342</v>
      </c>
      <c r="O601" s="8" t="n">
        <v>0</v>
      </c>
      <c r="Q601" t="inlineStr">
        <is>
          <t>flat</t>
        </is>
      </c>
      <c r="R601" s="6" t="n">
        <v>3342</v>
      </c>
      <c r="S601" t="inlineStr">
        <is>
          <t>Solio</t>
        </is>
      </c>
      <c r="U601" s="6" t="n">
        <v>85</v>
      </c>
      <c r="V601" s="2" t="n"/>
      <c r="W601" s="7">
        <f>IF(N(U601)&lt;=0,0,MIN(Assumptions!$B$15,N(R601)/N(U601)))</f>
        <v/>
      </c>
      <c r="X601" s="6" t="n">
        <v>0.17</v>
      </c>
      <c r="Y601" s="3" t="n"/>
      <c r="Z601" t="inlineStr"/>
      <c r="AA601" s="3" t="n">
        <v>1</v>
      </c>
      <c r="AB601" s="3" t="n"/>
      <c r="AC601" s="3" t="n"/>
      <c r="AD601" s="3" t="n"/>
      <c r="AE601" s="3" t="n"/>
      <c r="AF601" s="3" t="n">
        <v>0</v>
      </c>
      <c r="AG601" s="3" t="n"/>
      <c r="AH601" s="3" t="n"/>
      <c r="AI601" s="3" t="n">
        <v>3.6194</v>
      </c>
      <c r="AJ601" s="3" t="n">
        <v>1.8271</v>
      </c>
      <c r="AK601" s="3" t="n">
        <v>-0.2045226422080557</v>
      </c>
      <c r="AL601" s="6" t="n">
        <v>0</v>
      </c>
      <c r="AM601" s="3" t="n">
        <v>0</v>
      </c>
      <c r="AN601" s="3" t="n">
        <v>0</v>
      </c>
      <c r="AO601" s="3" t="n">
        <v>0</v>
      </c>
      <c r="AP601" s="3">
        <f>N(X601)*N(BI601)</f>
        <v/>
      </c>
      <c r="AQ601" s="3" t="n">
        <v>0</v>
      </c>
      <c r="AR601" s="3" t="n">
        <v>0</v>
      </c>
      <c r="AS601" s="3" t="n">
        <v>-0.670020548738316</v>
      </c>
      <c r="AT601" s="3" t="n">
        <v>-0.2045226422080557</v>
      </c>
      <c r="AU601" s="3">
        <f>SUM(AN601:AT601)</f>
        <v/>
      </c>
      <c r="AV601" s="7">
        <f>IF(OR(N(W601)&lt;=0,N(BG601)=0),0,N(W601)*IF(N(R601)/N(W601)&gt;=60,N(BG601),1))</f>
        <v/>
      </c>
      <c r="AW601" s="7">
        <f>N(W601)*N(AF601)*N(BH601)</f>
        <v/>
      </c>
      <c r="AX601" s="7">
        <f>N(AL601)*(Assumptions!$B$13*N(BJ601)-(1-Assumptions!$B$13)*Assumptions!$B$14)+N(AM601)</f>
        <v/>
      </c>
      <c r="AY601" s="7">
        <f>N(AU601)*N(R601)/90+N(AV601)+N(AW601)+N(AX601)</f>
        <v/>
      </c>
      <c r="AZ601" s="3">
        <f>IF(N(R601)&lt;=0,0,(N(AY601)-N(AX601))*90/N(R601))</f>
        <v/>
      </c>
      <c r="BA601" s="7">
        <f>IFERROR(AY601-VLOOKUP($E601,Assumptions!$A$40:$C$43,3,FALSE),"")</f>
        <v/>
      </c>
      <c r="BB601" s="3">
        <f>IFERROR(BA601/H601,"")</f>
        <v/>
      </c>
      <c r="BC601">
        <f>IF(AND($G601=TRUE,$E601="GKP"),AY601,"")</f>
        <v/>
      </c>
      <c r="BD601">
        <f>IF(AND($G601=TRUE,$E601="DEF"),AY601,"")</f>
        <v/>
      </c>
      <c r="BE601">
        <f>IF(AND($G601=TRUE,$E601="MID"),AY601,"")</f>
        <v/>
      </c>
      <c r="BF601">
        <f>IF(AND($G601=TRUE,$E601="FWD"),AY601,"")</f>
        <v/>
      </c>
      <c r="BG601" t="n">
        <v>2</v>
      </c>
      <c r="BH601" t="n">
        <v>2</v>
      </c>
      <c r="BI601" t="n">
        <v>4</v>
      </c>
      <c r="BJ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s="4" t="n">
        <v>650</v>
      </c>
      <c r="O602" s="4" t="n">
        <v>304</v>
      </c>
      <c r="P602" s="5" t="inlineStr">
        <is>
          <t>medium</t>
        </is>
      </c>
      <c r="Q602" t="inlineStr">
        <is>
          <t>flat</t>
        </is>
      </c>
      <c r="R602" s="6" t="n">
        <v>650</v>
      </c>
      <c r="S602" t="inlineStr">
        <is>
          <t>research</t>
        </is>
      </c>
      <c r="T602" s="5" t="inlineStr">
        <is>
          <t>Signed from Olympiacos for GBP 11m on 15 Jun 2026 as a right-back, and Solio's 346 minutes carries a null 2025/26 record, i.e. it is a no-data placeholder rather than a judgement. He came off the bench in both August friendlies (59' v Roma, 78' v Bologna). Wieffer is clearly ahead of him, so this is a backup allocation with Conference League starts, not a starter's.</t>
        </is>
      </c>
      <c r="U602" s="6" t="n">
        <v>85</v>
      </c>
      <c r="V602" s="2" t="n"/>
      <c r="W602" s="7">
        <f>IF(N(U602)&lt;=0,0,MIN(Assumptions!$B$15,N(R602)/N(U602)))</f>
        <v/>
      </c>
      <c r="X602" s="6" t="n">
        <v>0.252</v>
      </c>
      <c r="Y602" s="3" t="n"/>
      <c r="Z602" t="inlineStr"/>
      <c r="AA602" s="3" t="n">
        <v>1</v>
      </c>
      <c r="AB602" s="3" t="n"/>
      <c r="AC602" s="3" t="n"/>
      <c r="AD602" s="3" t="n"/>
      <c r="AE602" s="3" t="n"/>
      <c r="AF602" s="3" t="n">
        <v>0</v>
      </c>
      <c r="AG602" s="3" t="n"/>
      <c r="AH602" s="3" t="n"/>
      <c r="AI602" s="3" t="n">
        <v>2.8404</v>
      </c>
      <c r="AJ602" s="3" t="n">
        <v>1.439</v>
      </c>
      <c r="AK602" s="3" t="n">
        <v>-0.2045226422080557</v>
      </c>
      <c r="AL602" s="6" t="n">
        <v>0</v>
      </c>
      <c r="AM602" s="3" t="n">
        <v>0</v>
      </c>
      <c r="AN602" s="3" t="n">
        <v>0</v>
      </c>
      <c r="AO602" s="3" t="n">
        <v>0</v>
      </c>
      <c r="AP602" s="3">
        <f>N(X602)*N(BI602)</f>
        <v/>
      </c>
      <c r="AQ602" s="3" t="n">
        <v>0</v>
      </c>
      <c r="AR602" s="3" t="n">
        <v>0</v>
      </c>
      <c r="AS602" s="3" t="n">
        <v>-0.4835617861760246</v>
      </c>
      <c r="AT602" s="3" t="n">
        <v>-0.2045226422080557</v>
      </c>
      <c r="AU602" s="3">
        <f>SUM(AN602:AT602)</f>
        <v/>
      </c>
      <c r="AV602" s="7">
        <f>IF(OR(N(W602)&lt;=0,N(BG602)=0),0,N(W602)*IF(N(R602)/N(W602)&gt;=60,N(BG602),1))</f>
        <v/>
      </c>
      <c r="AW602" s="7">
        <f>N(W602)*N(AF602)*N(BH602)</f>
        <v/>
      </c>
      <c r="AX602" s="7">
        <f>N(AL602)*(Assumptions!$B$13*N(BJ602)-(1-Assumptions!$B$13)*Assumptions!$B$14)+N(AM602)</f>
        <v/>
      </c>
      <c r="AY602" s="7">
        <f>N(AU602)*N(R602)/90+N(AV602)+N(AW602)+N(AX602)</f>
        <v/>
      </c>
      <c r="AZ602" s="3">
        <f>IF(N(R602)&lt;=0,0,(N(AY602)-N(AX602))*90/N(R602))</f>
        <v/>
      </c>
      <c r="BA602" s="7">
        <f>IFERROR(AY602-VLOOKUP($E602,Assumptions!$A$40:$C$43,3,FALSE),"")</f>
        <v/>
      </c>
      <c r="BB602" s="3">
        <f>IFERROR(BA602/H602,"")</f>
        <v/>
      </c>
      <c r="BC602">
        <f>IF(AND($G602=TRUE,$E602="GKP"),AY602,"")</f>
        <v/>
      </c>
      <c r="BD602">
        <f>IF(AND($G602=TRUE,$E602="DEF"),AY602,"")</f>
        <v/>
      </c>
      <c r="BE602">
        <f>IF(AND($G602=TRUE,$E602="MID"),AY602,"")</f>
        <v/>
      </c>
      <c r="BF602">
        <f>IF(AND($G602=TRUE,$E602="FWD"),AY602,"")</f>
        <v/>
      </c>
      <c r="BG602" t="n">
        <v>2</v>
      </c>
      <c r="BH602" t="n">
        <v>2</v>
      </c>
      <c r="BI602" t="n">
        <v>4</v>
      </c>
      <c r="BJ602" t="n">
        <v>6</v>
      </c>
    </row>
    <row r="603">
      <c r="A603" t="inlineStr">
        <is>
          <t>Michael Svoboda</t>
        </is>
      </c>
      <c r="B603" t="inlineStr">
        <is>
          <t>BHA</t>
        </is>
      </c>
      <c r="D603" t="b">
        <v>0</v>
      </c>
      <c r="E603" t="inlineStr">
        <is>
          <t>DEF</t>
        </is>
      </c>
      <c r="G603" t="b">
        <v>1</v>
      </c>
      <c r="H603" s="2" t="n">
        <v>5</v>
      </c>
      <c r="I603" t="inlineStr">
        <is>
          <t>a</t>
        </is>
      </c>
      <c r="K603" s="2" t="n"/>
      <c r="M603" s="3" t="n">
        <v>148</v>
      </c>
      <c r="N603" s="8" t="n">
        <v>148</v>
      </c>
      <c r="O603" s="8" t="n">
        <v>0</v>
      </c>
      <c r="Q603" t="inlineStr">
        <is>
          <t>flat</t>
        </is>
      </c>
      <c r="R603" s="6" t="n">
        <v>148</v>
      </c>
      <c r="S603" t="inlineStr">
        <is>
          <t>Solio</t>
        </is>
      </c>
      <c r="U603" s="6" t="n">
        <v>85</v>
      </c>
      <c r="V603" s="2" t="n"/>
      <c r="W603" s="7">
        <f>IF(N(U603)&lt;=0,0,MIN(Assumptions!$B$15,N(R603)/N(U603)))</f>
        <v/>
      </c>
      <c r="X603" s="6" t="n">
        <v>0.252</v>
      </c>
      <c r="Y603" s="3" t="n"/>
      <c r="Z603" t="inlineStr"/>
      <c r="AA603" s="3" t="n">
        <v>1</v>
      </c>
      <c r="AB603" s="3" t="n"/>
      <c r="AC603" s="3" t="n"/>
      <c r="AD603" s="3" t="n"/>
      <c r="AE603" s="3" t="n"/>
      <c r="AF603" s="3" t="n">
        <v>0</v>
      </c>
      <c r="AG603" s="3" t="n"/>
      <c r="AH603" s="3" t="n"/>
      <c r="AI603" s="3" t="n">
        <v>2.8404</v>
      </c>
      <c r="AJ603" s="3" t="n">
        <v>1.439</v>
      </c>
      <c r="AK603" s="3" t="n">
        <v>-0.2045226422080557</v>
      </c>
      <c r="AL603" s="6" t="n">
        <v>0</v>
      </c>
      <c r="AM603" s="3" t="n">
        <v>0</v>
      </c>
      <c r="AN603" s="3" t="n">
        <v>0</v>
      </c>
      <c r="AO603" s="3" t="n">
        <v>0</v>
      </c>
      <c r="AP603" s="3">
        <f>N(X603)*N(BI603)</f>
        <v/>
      </c>
      <c r="AQ603" s="3" t="n">
        <v>0</v>
      </c>
      <c r="AR603" s="3" t="n">
        <v>0</v>
      </c>
      <c r="AS603" s="3" t="n">
        <v>-0.4835617861760246</v>
      </c>
      <c r="AT603" s="3" t="n">
        <v>-0.2045226422080557</v>
      </c>
      <c r="AU603" s="3">
        <f>SUM(AN603:AT603)</f>
        <v/>
      </c>
      <c r="AV603" s="7">
        <f>IF(OR(N(W603)&lt;=0,N(BG603)=0),0,N(W603)*IF(N(R603)/N(W603)&gt;=60,N(BG603),1))</f>
        <v/>
      </c>
      <c r="AW603" s="7">
        <f>N(W603)*N(AF603)*N(BH603)</f>
        <v/>
      </c>
      <c r="AX603" s="7">
        <f>N(AL603)*(Assumptions!$B$13*N(BJ603)-(1-Assumptions!$B$13)*Assumptions!$B$14)+N(AM603)</f>
        <v/>
      </c>
      <c r="AY603" s="7">
        <f>N(AU603)*N(R603)/90+N(AV603)+N(AW603)+N(AX603)</f>
        <v/>
      </c>
      <c r="AZ603" s="3">
        <f>IF(N(R603)&lt;=0,0,(N(AY603)-N(AX603))*90/N(R603))</f>
        <v/>
      </c>
      <c r="BA603" s="7">
        <f>IFERROR(AY603-VLOOKUP($E603,Assumptions!$A$40:$C$43,3,FALSE),"")</f>
        <v/>
      </c>
      <c r="BB603" s="3">
        <f>IFERROR(BA603/H603,"")</f>
        <v/>
      </c>
      <c r="BC603">
        <f>IF(AND($G603=TRUE,$E603="GKP"),AY603,"")</f>
        <v/>
      </c>
      <c r="BD603">
        <f>IF(AND($G603=TRUE,$E603="DEF"),AY603,"")</f>
        <v/>
      </c>
      <c r="BE603">
        <f>IF(AND($G603=TRUE,$E603="MID"),AY603,"")</f>
        <v/>
      </c>
      <c r="BF603">
        <f>IF(AND($G603=TRUE,$E603="FWD"),AY603,"")</f>
        <v/>
      </c>
      <c r="BG603" t="n">
        <v>2</v>
      </c>
      <c r="BH603" t="n">
        <v>2</v>
      </c>
      <c r="BI603" t="n">
        <v>4</v>
      </c>
      <c r="BJ603" t="n">
        <v>6</v>
      </c>
    </row>
    <row r="604">
      <c r="A604" t="inlineStr">
        <is>
          <t>Leif Davis</t>
        </is>
      </c>
      <c r="B604" t="inlineStr">
        <is>
          <t>IPS</t>
        </is>
      </c>
      <c r="D604" t="b">
        <v>0</v>
      </c>
      <c r="E604" t="inlineStr">
        <is>
          <t>DEF</t>
        </is>
      </c>
      <c r="G604" t="b">
        <v>1</v>
      </c>
      <c r="H604" s="2" t="n">
        <v>4</v>
      </c>
      <c r="I604" t="inlineStr">
        <is>
          <t>a</t>
        </is>
      </c>
      <c r="K604" s="2" t="n"/>
      <c r="M604" s="3" t="n">
        <v>3186</v>
      </c>
      <c r="N604" s="8" t="n">
        <v>3186</v>
      </c>
      <c r="O604" s="8" t="n">
        <v>0</v>
      </c>
      <c r="Q604" t="inlineStr">
        <is>
          <t>flat</t>
        </is>
      </c>
      <c r="R604" s="6" t="n">
        <v>3186</v>
      </c>
      <c r="S604" t="inlineStr">
        <is>
          <t>Solio</t>
        </is>
      </c>
      <c r="U604" s="6" t="n">
        <v>85</v>
      </c>
      <c r="V604" s="2" t="n"/>
      <c r="W604" s="7">
        <f>IF(N(U604)&lt;=0,0,MIN(Assumptions!$B$15,N(R604)/N(U604)))</f>
        <v/>
      </c>
      <c r="X604" s="6" t="n">
        <v>0.17</v>
      </c>
      <c r="Y604" s="3" t="n"/>
      <c r="Z604" t="inlineStr"/>
      <c r="AA604" s="3" t="n">
        <v>1</v>
      </c>
      <c r="AB604" s="3" t="n"/>
      <c r="AC604" s="3" t="n"/>
      <c r="AD604" s="3" t="n"/>
      <c r="AE604" s="3" t="n"/>
      <c r="AF604" s="3" t="n">
        <v>0</v>
      </c>
      <c r="AG604" s="3" t="n"/>
      <c r="AH604" s="3" t="n"/>
      <c r="AI604" s="3" t="n">
        <v>3.5741</v>
      </c>
      <c r="AJ604" s="3" t="n">
        <v>1.8319</v>
      </c>
      <c r="AK604" s="3" t="n">
        <v>-0.1942789057521099</v>
      </c>
      <c r="AL604" s="6" t="n">
        <v>0</v>
      </c>
      <c r="AM604" s="3" t="n">
        <v>0</v>
      </c>
      <c r="AN604" s="3" t="n">
        <v>0</v>
      </c>
      <c r="AO604" s="3" t="n">
        <v>0</v>
      </c>
      <c r="AP604" s="3">
        <f>N(X604)*N(BI604)</f>
        <v/>
      </c>
      <c r="AQ604" s="3" t="n">
        <v>0</v>
      </c>
      <c r="AR604" s="3" t="n">
        <v>0</v>
      </c>
      <c r="AS604" s="3" t="n">
        <v>-0.6723587286814016</v>
      </c>
      <c r="AT604" s="3" t="n">
        <v>-0.1942789057521099</v>
      </c>
      <c r="AU604" s="3">
        <f>SUM(AN604:AT604)</f>
        <v/>
      </c>
      <c r="AV604" s="7">
        <f>IF(OR(N(W604)&lt;=0,N(BG604)=0),0,N(W604)*IF(N(R604)/N(W604)&gt;=60,N(BG604),1))</f>
        <v/>
      </c>
      <c r="AW604" s="7">
        <f>N(W604)*N(AF604)*N(BH604)</f>
        <v/>
      </c>
      <c r="AX604" s="7">
        <f>N(AL604)*(Assumptions!$B$13*N(BJ604)-(1-Assumptions!$B$13)*Assumptions!$B$14)+N(AM604)</f>
        <v/>
      </c>
      <c r="AY604" s="7">
        <f>N(AU604)*N(R604)/90+N(AV604)+N(AW604)+N(AX604)</f>
        <v/>
      </c>
      <c r="AZ604" s="3">
        <f>IF(N(R604)&lt;=0,0,(N(AY604)-N(AX604))*90/N(R604))</f>
        <v/>
      </c>
      <c r="BA604" s="7">
        <f>IFERROR(AY604-VLOOKUP($E604,Assumptions!$A$40:$C$43,3,FALSE),"")</f>
        <v/>
      </c>
      <c r="BB604" s="3">
        <f>IFERROR(BA604/H604,"")</f>
        <v/>
      </c>
      <c r="BC604">
        <f>IF(AND($G604=TRUE,$E604="GKP"),AY604,"")</f>
        <v/>
      </c>
      <c r="BD604">
        <f>IF(AND($G604=TRUE,$E604="DEF"),AY604,"")</f>
        <v/>
      </c>
      <c r="BE604">
        <f>IF(AND($G604=TRUE,$E604="MID"),AY604,"")</f>
        <v/>
      </c>
      <c r="BF604">
        <f>IF(AND($G604=TRUE,$E604="FWD"),AY604,"")</f>
        <v/>
      </c>
      <c r="BG604" t="n">
        <v>2</v>
      </c>
      <c r="BH604" t="n">
        <v>2</v>
      </c>
      <c r="BI604" t="n">
        <v>4</v>
      </c>
      <c r="BJ604" t="n">
        <v>6</v>
      </c>
    </row>
    <row r="605">
      <c r="A605" t="inlineStr">
        <is>
          <t>Bobby Thomas</t>
        </is>
      </c>
      <c r="B605" t="inlineStr">
        <is>
          <t>COV</t>
        </is>
      </c>
      <c r="D605" t="b">
        <v>0</v>
      </c>
      <c r="E605" t="inlineStr">
        <is>
          <t>DEF</t>
        </is>
      </c>
      <c r="G605" t="b">
        <v>1</v>
      </c>
      <c r="H605" s="2" t="n">
        <v>4</v>
      </c>
      <c r="I605" t="inlineStr">
        <is>
          <t>a</t>
        </is>
      </c>
      <c r="K605" s="2" t="n"/>
      <c r="M605" s="3" t="n">
        <v>3135</v>
      </c>
      <c r="N605" s="8" t="n">
        <v>3135</v>
      </c>
      <c r="O605" s="8" t="n">
        <v>0</v>
      </c>
      <c r="Q605" t="inlineStr">
        <is>
          <t>flat</t>
        </is>
      </c>
      <c r="R605" s="6" t="n">
        <v>3135</v>
      </c>
      <c r="S605" t="inlineStr">
        <is>
          <t>Solio</t>
        </is>
      </c>
      <c r="U605" s="6" t="n">
        <v>85</v>
      </c>
      <c r="V605" s="2" t="n"/>
      <c r="W605" s="7">
        <f>IF(N(U605)&lt;=0,0,MIN(Assumptions!$B$15,N(R605)/N(U605)))</f>
        <v/>
      </c>
      <c r="X605" s="6" t="n">
        <v>0.17</v>
      </c>
      <c r="Y605" s="3" t="n"/>
      <c r="Z605" t="inlineStr"/>
      <c r="AA605" s="3" t="n">
        <v>1</v>
      </c>
      <c r="AB605" s="3" t="n"/>
      <c r="AC605" s="3" t="n"/>
      <c r="AD605" s="3" t="n"/>
      <c r="AE605" s="3" t="n"/>
      <c r="AF605" s="3" t="n">
        <v>0</v>
      </c>
      <c r="AG605" s="3" t="n"/>
      <c r="AH605" s="3" t="n"/>
      <c r="AI605" s="3" t="n">
        <v>3.6194</v>
      </c>
      <c r="AJ605" s="3" t="n">
        <v>1.8271</v>
      </c>
      <c r="AK605" s="3" t="n">
        <v>-0.2045226422080557</v>
      </c>
      <c r="AL605" s="6" t="n">
        <v>0</v>
      </c>
      <c r="AM605" s="3" t="n">
        <v>0</v>
      </c>
      <c r="AN605" s="3" t="n">
        <v>0</v>
      </c>
      <c r="AO605" s="3" t="n">
        <v>0</v>
      </c>
      <c r="AP605" s="3">
        <f>N(X605)*N(BI605)</f>
        <v/>
      </c>
      <c r="AQ605" s="3" t="n">
        <v>0</v>
      </c>
      <c r="AR605" s="3" t="n">
        <v>0</v>
      </c>
      <c r="AS605" s="3" t="n">
        <v>-0.670020548738316</v>
      </c>
      <c r="AT605" s="3" t="n">
        <v>-0.2045226422080557</v>
      </c>
      <c r="AU605" s="3">
        <f>SUM(AN605:AT605)</f>
        <v/>
      </c>
      <c r="AV605" s="7">
        <f>IF(OR(N(W605)&lt;=0,N(BG605)=0),0,N(W605)*IF(N(R605)/N(W605)&gt;=60,N(BG605),1))</f>
        <v/>
      </c>
      <c r="AW605" s="7">
        <f>N(W605)*N(AF605)*N(BH605)</f>
        <v/>
      </c>
      <c r="AX605" s="7">
        <f>N(AL605)*(Assumptions!$B$13*N(BJ605)-(1-Assumptions!$B$13)*Assumptions!$B$14)+N(AM605)</f>
        <v/>
      </c>
      <c r="AY605" s="7">
        <f>N(AU605)*N(R605)/90+N(AV605)+N(AW605)+N(AX605)</f>
        <v/>
      </c>
      <c r="AZ605" s="3">
        <f>IF(N(R605)&lt;=0,0,(N(AY605)-N(AX605))*90/N(R605))</f>
        <v/>
      </c>
      <c r="BA605" s="7">
        <f>IFERROR(AY605-VLOOKUP($E605,Assumptions!$A$40:$C$43,3,FALSE),"")</f>
        <v/>
      </c>
      <c r="BB605" s="3">
        <f>IFERROR(BA605/H605,"")</f>
        <v/>
      </c>
      <c r="BC605">
        <f>IF(AND($G605=TRUE,$E605="GKP"),AY605,"")</f>
        <v/>
      </c>
      <c r="BD605">
        <f>IF(AND($G605=TRUE,$E605="DEF"),AY605,"")</f>
        <v/>
      </c>
      <c r="BE605">
        <f>IF(AND($G605=TRUE,$E605="MID"),AY605,"")</f>
        <v/>
      </c>
      <c r="BF605">
        <f>IF(AND($G605=TRUE,$E605="FWD"),AY605,"")</f>
        <v/>
      </c>
      <c r="BG605" t="n">
        <v>2</v>
      </c>
      <c r="BH605" t="n">
        <v>2</v>
      </c>
      <c r="BI605" t="n">
        <v>4</v>
      </c>
      <c r="BJ605" t="n">
        <v>6</v>
      </c>
    </row>
    <row r="606">
      <c r="A606" t="inlineStr">
        <is>
          <t>Bashir Humphreys</t>
        </is>
      </c>
      <c r="C606" t="inlineStr">
        <is>
          <t>BUR</t>
        </is>
      </c>
      <c r="D606" t="b">
        <v>0</v>
      </c>
      <c r="F606" t="inlineStr">
        <is>
          <t>DEF</t>
        </is>
      </c>
      <c r="G606" t="b">
        <v>0</v>
      </c>
      <c r="H606" s="2" t="n"/>
      <c r="K606" s="2" t="n">
        <v>1578</v>
      </c>
      <c r="M606" s="3" t="n"/>
      <c r="N606" s="8" t="n">
        <v>1578</v>
      </c>
      <c r="O606" s="8" t="n">
        <v>0</v>
      </c>
      <c r="R606" s="6" t="n">
        <v>1578</v>
      </c>
      <c r="S606" t="inlineStr">
        <is>
          <t>25/26 actual</t>
        </is>
      </c>
      <c r="U606" s="6" t="n">
        <v>86.8</v>
      </c>
      <c r="V606" s="2" t="n">
        <v>17</v>
      </c>
      <c r="W606" s="7">
        <f>IF(N(U606)&lt;=0,0,MIN(Assumptions!$B$15,N(R606)/N(U606)))</f>
        <v/>
      </c>
      <c r="X606" s="6" t="n"/>
      <c r="Y606" s="3" t="n">
        <v>0.0245</v>
      </c>
      <c r="Z606" t="inlineStr">
        <is>
          <t>adjusted xGOT</t>
        </is>
      </c>
      <c r="AA606" s="3" t="n">
        <v>1</v>
      </c>
      <c r="AB606" s="3" t="n">
        <v>1.021</v>
      </c>
      <c r="AC606" s="3" t="n">
        <v>0.4</v>
      </c>
      <c r="AD606" s="3" t="n">
        <v>0.0493</v>
      </c>
      <c r="AE606" s="3" t="n">
        <v>7.944</v>
      </c>
      <c r="AF606" s="3" t="n">
        <v>0</v>
      </c>
      <c r="AG606" s="3" t="n">
        <v>0</v>
      </c>
      <c r="AH606" s="3" t="n">
        <v>38</v>
      </c>
      <c r="AI606" s="3" t="n"/>
      <c r="AJ606" s="3" t="n"/>
      <c r="AK606" s="3" t="n"/>
      <c r="AL606" s="6" t="n">
        <v>0</v>
      </c>
      <c r="AM606" s="3" t="n">
        <v>0</v>
      </c>
      <c r="AN606" s="3" t="n">
        <v>0</v>
      </c>
      <c r="AO606" s="3" t="n">
        <v>0</v>
      </c>
      <c r="AP606" s="3">
        <f>N(X606)*N(BI606)</f>
        <v/>
      </c>
      <c r="AQ606" s="3" t="n">
        <v>0</v>
      </c>
      <c r="AR606" s="3" t="n">
        <v>0</v>
      </c>
      <c r="AS606" s="3" t="n">
        <v>0</v>
      </c>
      <c r="AT606" s="3" t="n">
        <v>0</v>
      </c>
      <c r="AU606" s="3">
        <f>SUM(AN606:AT606)</f>
        <v/>
      </c>
      <c r="AV606" s="7">
        <f>IF(OR(N(W606)&lt;=0,N(BG606)=0),0,N(W606)*IF(N(R606)/N(W606)&gt;=60,N(BG606),1))</f>
        <v/>
      </c>
      <c r="AW606" s="7">
        <f>N(W606)*N(AF606)*N(BH606)</f>
        <v/>
      </c>
      <c r="AX606" s="7">
        <f>N(AL606)*(Assumptions!$B$13*N(BJ606)-(1-Assumptions!$B$13)*Assumptions!$B$14)+N(AM606)</f>
        <v/>
      </c>
      <c r="AY606" s="7">
        <f>N(AU606)*N(R606)/90+N(AV606)+N(AW606)+N(AX606)</f>
        <v/>
      </c>
      <c r="AZ606" s="3">
        <f>IF(N(R606)&lt;=0,0,(N(AY606)-N(AX606))*90/N(R606))</f>
        <v/>
      </c>
      <c r="BA606" s="7">
        <f>IFERROR(AY606-VLOOKUP($E606,Assumptions!$A$40:$C$43,3,FALSE),"")</f>
        <v/>
      </c>
      <c r="BB606" s="3">
        <f>IFERROR(BA606/H606,"")</f>
        <v/>
      </c>
      <c r="BC606">
        <f>IF(AND($G606=TRUE,$E606="GKP"),AY606,"")</f>
        <v/>
      </c>
      <c r="BD606">
        <f>IF(AND($G606=TRUE,$E606="DEF"),AY606,"")</f>
        <v/>
      </c>
      <c r="BE606">
        <f>IF(AND($G606=TRUE,$E606="MID"),AY606,"")</f>
        <v/>
      </c>
      <c r="BF606">
        <f>IF(AND($G606=TRUE,$E606="FWD"),AY606,"")</f>
        <v/>
      </c>
      <c r="BG606" t="n">
        <v>0</v>
      </c>
      <c r="BH606" t="n">
        <v>0</v>
      </c>
      <c r="BI606" t="n">
        <v>0</v>
      </c>
      <c r="BJ606" t="n">
        <v>0</v>
      </c>
    </row>
    <row r="607">
      <c r="A607" t="inlineStr">
        <is>
          <t>Dennis Cirkin</t>
        </is>
      </c>
      <c r="C607" t="inlineStr">
        <is>
          <t>SUN</t>
        </is>
      </c>
      <c r="D607" t="b">
        <v>0</v>
      </c>
      <c r="F607" t="inlineStr">
        <is>
          <t>DEF</t>
        </is>
      </c>
      <c r="G607" t="b">
        <v>0</v>
      </c>
      <c r="H607" s="2" t="n"/>
      <c r="K607" s="2" t="n">
        <v>320</v>
      </c>
      <c r="M607" s="3" t="n"/>
      <c r="N607" s="8" t="n">
        <v>320</v>
      </c>
      <c r="O607" s="8" t="n">
        <v>0</v>
      </c>
      <c r="R607" s="6" t="n">
        <v>320</v>
      </c>
      <c r="S607" t="inlineStr">
        <is>
          <t>25/26 actual</t>
        </is>
      </c>
      <c r="U607" s="6" t="n">
        <v>84.09999999999999</v>
      </c>
      <c r="V607" s="2" t="n">
        <v>3</v>
      </c>
      <c r="W607" s="7">
        <f>IF(N(U607)&lt;=0,0,MIN(Assumptions!$B$15,N(R607)/N(U607)))</f>
        <v/>
      </c>
      <c r="X607" s="6" t="n"/>
      <c r="Y607" s="3" t="n">
        <v>0.0222</v>
      </c>
      <c r="Z607" t="inlineStr">
        <is>
          <t>adjusted xGOT</t>
        </is>
      </c>
      <c r="AA607" s="3" t="n">
        <v>1</v>
      </c>
      <c r="AB607" s="3" t="n">
        <v>0.99</v>
      </c>
      <c r="AC607" s="3" t="n">
        <v>0.1</v>
      </c>
      <c r="AD607" s="3" t="n">
        <v>0</v>
      </c>
      <c r="AE607" s="3" t="n">
        <v>7.751</v>
      </c>
      <c r="AF607" s="3" t="n">
        <v>0</v>
      </c>
      <c r="AG607" s="3" t="n">
        <v>0</v>
      </c>
      <c r="AH607" s="3" t="n">
        <v>10</v>
      </c>
      <c r="AI607" s="3" t="n"/>
      <c r="AJ607" s="3" t="n"/>
      <c r="AK607" s="3" t="n"/>
      <c r="AL607" s="6" t="n">
        <v>0</v>
      </c>
      <c r="AM607" s="3" t="n">
        <v>0</v>
      </c>
      <c r="AN607" s="3" t="n">
        <v>0</v>
      </c>
      <c r="AO607" s="3" t="n">
        <v>0</v>
      </c>
      <c r="AP607" s="3">
        <f>N(X607)*N(BI607)</f>
        <v/>
      </c>
      <c r="AQ607" s="3" t="n">
        <v>0</v>
      </c>
      <c r="AR607" s="3" t="n">
        <v>0</v>
      </c>
      <c r="AS607" s="3" t="n">
        <v>0</v>
      </c>
      <c r="AT607" s="3" t="n">
        <v>0</v>
      </c>
      <c r="AU607" s="3">
        <f>SUM(AN607:AT607)</f>
        <v/>
      </c>
      <c r="AV607" s="7">
        <f>IF(OR(N(W607)&lt;=0,N(BG607)=0),0,N(W607)*IF(N(R607)/N(W607)&gt;=60,N(BG607),1))</f>
        <v/>
      </c>
      <c r="AW607" s="7">
        <f>N(W607)*N(AF607)*N(BH607)</f>
        <v/>
      </c>
      <c r="AX607" s="7">
        <f>N(AL607)*(Assumptions!$B$13*N(BJ607)-(1-Assumptions!$B$13)*Assumptions!$B$14)+N(AM607)</f>
        <v/>
      </c>
      <c r="AY607" s="7">
        <f>N(AU607)*N(R607)/90+N(AV607)+N(AW607)+N(AX607)</f>
        <v/>
      </c>
      <c r="AZ607" s="3">
        <f>IF(N(R607)&lt;=0,0,(N(AY607)-N(AX607))*90/N(R607))</f>
        <v/>
      </c>
      <c r="BA607" s="7">
        <f>IFERROR(AY607-VLOOKUP($E607,Assumptions!$A$40:$C$43,3,FALSE),"")</f>
        <v/>
      </c>
      <c r="BB607" s="3">
        <f>IFERROR(BA607/H607,"")</f>
        <v/>
      </c>
      <c r="BC607">
        <f>IF(AND($G607=TRUE,$E607="GKP"),AY607,"")</f>
        <v/>
      </c>
      <c r="BD607">
        <f>IF(AND($G607=TRUE,$E607="DEF"),AY607,"")</f>
        <v/>
      </c>
      <c r="BE607">
        <f>IF(AND($G607=TRUE,$E607="MID"),AY607,"")</f>
        <v/>
      </c>
      <c r="BF607">
        <f>IF(AND($G607=TRUE,$E607="FWD"),AY607,"")</f>
        <v/>
      </c>
      <c r="BG607" t="n">
        <v>0</v>
      </c>
      <c r="BH607" t="n">
        <v>0</v>
      </c>
      <c r="BI607" t="n">
        <v>0</v>
      </c>
      <c r="BJ607" t="n">
        <v>0</v>
      </c>
    </row>
    <row r="608">
      <c r="A608" t="inlineStr">
        <is>
          <t>Kasey McAteer</t>
        </is>
      </c>
      <c r="B608" t="inlineStr">
        <is>
          <t>IPS</t>
        </is>
      </c>
      <c r="D608" t="b">
        <v>0</v>
      </c>
      <c r="E608" t="inlineStr">
        <is>
          <t>MID</t>
        </is>
      </c>
      <c r="G608" t="b">
        <v>1</v>
      </c>
      <c r="H608" s="2" t="n">
        <v>4.5</v>
      </c>
      <c r="I608" t="inlineStr">
        <is>
          <t>a</t>
        </is>
      </c>
      <c r="K608" s="2" t="n"/>
      <c r="M608" s="3" t="n">
        <v>0</v>
      </c>
      <c r="N608" s="8" t="n">
        <v>0</v>
      </c>
      <c r="O608" s="8" t="n">
        <v>0</v>
      </c>
      <c r="Q608" t="inlineStr">
        <is>
          <t>flat</t>
        </is>
      </c>
      <c r="R608" s="6" t="n">
        <v>0</v>
      </c>
      <c r="S608" t="inlineStr">
        <is>
          <t>Solio</t>
        </is>
      </c>
      <c r="U608" s="6" t="n">
        <v>85</v>
      </c>
      <c r="V608" s="2" t="n"/>
      <c r="W608" s="7">
        <f>IF(N(U608)&lt;=0,0,MIN(Assumptions!$B$15,N(R608)/N(U608)))</f>
        <v/>
      </c>
      <c r="X608" s="6" t="n">
        <v>0.17</v>
      </c>
      <c r="Y608" s="3" t="n"/>
      <c r="Z608" t="inlineStr"/>
      <c r="AA608" s="3" t="n">
        <v>1</v>
      </c>
      <c r="AB608" s="3" t="n"/>
      <c r="AC608" s="3" t="n"/>
      <c r="AD608" s="3" t="n"/>
      <c r="AE608" s="3" t="n"/>
      <c r="AF608" s="3" t="n">
        <v>0</v>
      </c>
      <c r="AG608" s="3" t="n"/>
      <c r="AH608" s="3" t="n"/>
      <c r="AI608" s="3" t="n">
        <v>3.5741</v>
      </c>
      <c r="AJ608" s="3" t="n">
        <v>1.8319</v>
      </c>
      <c r="AK608" s="3" t="n">
        <v>-0.2472511313587093</v>
      </c>
      <c r="AL608" s="6" t="n">
        <v>0</v>
      </c>
      <c r="AM608" s="3" t="n">
        <v>0</v>
      </c>
      <c r="AN608" s="3" t="n">
        <v>0</v>
      </c>
      <c r="AO608" s="3" t="n">
        <v>0</v>
      </c>
      <c r="AP608" s="3">
        <f>N(X608)*N(BI608)</f>
        <v/>
      </c>
      <c r="AQ608" s="3" t="n">
        <v>0</v>
      </c>
      <c r="AR608" s="3" t="n">
        <v>0</v>
      </c>
      <c r="AS608" s="3" t="n">
        <v>-0</v>
      </c>
      <c r="AT608" s="3" t="n">
        <v>-0.2472511313587093</v>
      </c>
      <c r="AU608" s="3">
        <f>SUM(AN608:AT608)</f>
        <v/>
      </c>
      <c r="AV608" s="7">
        <f>IF(OR(N(W608)&lt;=0,N(BG608)=0),0,N(W608)*IF(N(R608)/N(W608)&gt;=60,N(BG608),1))</f>
        <v/>
      </c>
      <c r="AW608" s="7">
        <f>N(W608)*N(AF608)*N(BH608)</f>
        <v/>
      </c>
      <c r="AX608" s="7">
        <f>N(AL608)*(Assumptions!$B$13*N(BJ608)-(1-Assumptions!$B$13)*Assumptions!$B$14)+N(AM608)</f>
        <v/>
      </c>
      <c r="AY608" s="7">
        <f>N(AU608)*N(R608)/90+N(AV608)+N(AW608)+N(AX608)</f>
        <v/>
      </c>
      <c r="AZ608" s="3">
        <f>IF(N(R608)&lt;=0,0,(N(AY608)-N(AX608))*90/N(R608))</f>
        <v/>
      </c>
      <c r="BA608" s="7">
        <f>IFERROR(AY608-VLOOKUP($E608,Assumptions!$A$40:$C$43,3,FALSE),"")</f>
        <v/>
      </c>
      <c r="BB608" s="3">
        <f>IFERROR(BA608/H608,"")</f>
        <v/>
      </c>
      <c r="BC608">
        <f>IF(AND($G608=TRUE,$E608="GKP"),AY608,"")</f>
        <v/>
      </c>
      <c r="BD608">
        <f>IF(AND($G608=TRUE,$E608="DEF"),AY608,"")</f>
        <v/>
      </c>
      <c r="BE608">
        <f>IF(AND($G608=TRUE,$E608="MID"),AY608,"")</f>
        <v/>
      </c>
      <c r="BF608">
        <f>IF(AND($G608=TRUE,$E608="FWD"),AY608,"")</f>
        <v/>
      </c>
      <c r="BG608" t="n">
        <v>2</v>
      </c>
      <c r="BH608" t="n">
        <v>2</v>
      </c>
      <c r="BI608" t="n">
        <v>1</v>
      </c>
      <c r="BJ608" t="n">
        <v>5</v>
      </c>
    </row>
    <row r="609">
      <c r="A609" t="inlineStr">
        <is>
          <t>Jean-Clair Todibo</t>
        </is>
      </c>
      <c r="C609" t="inlineStr">
        <is>
          <t>WHU</t>
        </is>
      </c>
      <c r="D609" t="b">
        <v>0</v>
      </c>
      <c r="F609" t="inlineStr">
        <is>
          <t>DEF</t>
        </is>
      </c>
      <c r="G609" t="b">
        <v>0</v>
      </c>
      <c r="H609" s="2" t="n"/>
      <c r="K609" s="2" t="n">
        <v>1817</v>
      </c>
      <c r="M609" s="3" t="n"/>
      <c r="N609" s="8" t="n">
        <v>1817</v>
      </c>
      <c r="O609" s="8" t="n">
        <v>0</v>
      </c>
      <c r="R609" s="6" t="n">
        <v>1817</v>
      </c>
      <c r="S609" t="inlineStr">
        <is>
          <t>25/26 actual</t>
        </is>
      </c>
      <c r="U609" s="6" t="n">
        <v>83.3</v>
      </c>
      <c r="V609" s="2" t="n">
        <v>21</v>
      </c>
      <c r="W609" s="7">
        <f>IF(N(U609)&lt;=0,0,MIN(Assumptions!$B$15,N(R609)/N(U609)))</f>
        <v/>
      </c>
      <c r="X609" s="6" t="n"/>
      <c r="Y609" s="3" t="n">
        <v>0.0115</v>
      </c>
      <c r="Z609" t="inlineStr">
        <is>
          <t>adjusted xGOT</t>
        </is>
      </c>
      <c r="AA609" s="3" t="n">
        <v>1</v>
      </c>
      <c r="AB609" s="3" t="n">
        <v>0.929</v>
      </c>
      <c r="AC609" s="3" t="n">
        <v>0.6</v>
      </c>
      <c r="AD609" s="3" t="n">
        <v>0.0188</v>
      </c>
      <c r="AE609" s="3" t="n">
        <v>8.034000000000001</v>
      </c>
      <c r="AF609" s="3" t="n">
        <v>0</v>
      </c>
      <c r="AG609" s="3" t="n">
        <v>0.0495</v>
      </c>
      <c r="AH609" s="3" t="n">
        <v>42</v>
      </c>
      <c r="AI609" s="3" t="n"/>
      <c r="AJ609" s="3" t="n"/>
      <c r="AK609" s="3" t="n"/>
      <c r="AL609" s="6" t="n">
        <v>0</v>
      </c>
      <c r="AM609" s="3" t="n">
        <v>0</v>
      </c>
      <c r="AN609" s="3" t="n">
        <v>0</v>
      </c>
      <c r="AO609" s="3" t="n">
        <v>0</v>
      </c>
      <c r="AP609" s="3">
        <f>N(X609)*N(BI609)</f>
        <v/>
      </c>
      <c r="AQ609" s="3" t="n">
        <v>0</v>
      </c>
      <c r="AR609" s="3" t="n">
        <v>0</v>
      </c>
      <c r="AS609" s="3" t="n">
        <v>0</v>
      </c>
      <c r="AT609" s="3" t="n">
        <v>0</v>
      </c>
      <c r="AU609" s="3">
        <f>SUM(AN609:AT609)</f>
        <v/>
      </c>
      <c r="AV609" s="7">
        <f>IF(OR(N(W609)&lt;=0,N(BG609)=0),0,N(W609)*IF(N(R609)/N(W609)&gt;=60,N(BG609),1))</f>
        <v/>
      </c>
      <c r="AW609" s="7">
        <f>N(W609)*N(AF609)*N(BH609)</f>
        <v/>
      </c>
      <c r="AX609" s="7">
        <f>N(AL609)*(Assumptions!$B$13*N(BJ609)-(1-Assumptions!$B$13)*Assumptions!$B$14)+N(AM609)</f>
        <v/>
      </c>
      <c r="AY609" s="7">
        <f>N(AU609)*N(R609)/90+N(AV609)+N(AW609)+N(AX609)</f>
        <v/>
      </c>
      <c r="AZ609" s="3">
        <f>IF(N(R609)&lt;=0,0,(N(AY609)-N(AX609))*90/N(R609))</f>
        <v/>
      </c>
      <c r="BA609" s="7">
        <f>IFERROR(AY609-VLOOKUP($E609,Assumptions!$A$40:$C$43,3,FALSE),"")</f>
        <v/>
      </c>
      <c r="BB609" s="3">
        <f>IFERROR(BA609/H609,"")</f>
        <v/>
      </c>
      <c r="BC609">
        <f>IF(AND($G609=TRUE,$E609="GKP"),AY609,"")</f>
        <v/>
      </c>
      <c r="BD609">
        <f>IF(AND($G609=TRUE,$E609="DEF"),AY609,"")</f>
        <v/>
      </c>
      <c r="BE609">
        <f>IF(AND($G609=TRUE,$E609="MID"),AY609,"")</f>
        <v/>
      </c>
      <c r="BF609">
        <f>IF(AND($G609=TRUE,$E609="FWD"),AY609,"")</f>
        <v/>
      </c>
      <c r="BG609" t="n">
        <v>0</v>
      </c>
      <c r="BH609" t="n">
        <v>0</v>
      </c>
      <c r="BI609" t="n">
        <v>0</v>
      </c>
      <c r="BJ609" t="n">
        <v>0</v>
      </c>
    </row>
    <row r="610">
      <c r="A610" t="inlineStr">
        <is>
          <t>Ali Al-Hamadi</t>
        </is>
      </c>
      <c r="B610" t="inlineStr">
        <is>
          <t>IPS</t>
        </is>
      </c>
      <c r="D610" t="b">
        <v>0</v>
      </c>
      <c r="E610" t="inlineStr">
        <is>
          <t>FWD</t>
        </is>
      </c>
      <c r="G610" t="b">
        <v>1</v>
      </c>
      <c r="H610" s="2" t="n">
        <v>5</v>
      </c>
      <c r="I610" t="inlineStr">
        <is>
          <t>a</t>
        </is>
      </c>
      <c r="K610" s="2" t="n"/>
      <c r="M610" s="3" t="n">
        <v>38</v>
      </c>
      <c r="N610" s="8" t="n">
        <v>38</v>
      </c>
      <c r="O610" s="8" t="n">
        <v>0</v>
      </c>
      <c r="Q610" t="inlineStr">
        <is>
          <t>flat</t>
        </is>
      </c>
      <c r="R610" s="6" t="n">
        <v>38</v>
      </c>
      <c r="S610" t="inlineStr">
        <is>
          <t>Solio</t>
        </is>
      </c>
      <c r="U610" s="6" t="n">
        <v>85</v>
      </c>
      <c r="V610" s="2" t="n"/>
      <c r="W610" s="7">
        <f>IF(N(U610)&lt;=0,0,MIN(Assumptions!$B$15,N(R610)/N(U610)))</f>
        <v/>
      </c>
      <c r="X610" s="6" t="n">
        <v>0.17</v>
      </c>
      <c r="Y610" s="3" t="n"/>
      <c r="Z610" t="inlineStr"/>
      <c r="AA610" s="3" t="n">
        <v>1</v>
      </c>
      <c r="AB610" s="3" t="n"/>
      <c r="AC610" s="3" t="n"/>
      <c r="AD610" s="3" t="n"/>
      <c r="AE610" s="3" t="n"/>
      <c r="AF610" s="3" t="n">
        <v>0</v>
      </c>
      <c r="AG610" s="3" t="n"/>
      <c r="AH610" s="3" t="n"/>
      <c r="AI610" s="3" t="n">
        <v>3.5741</v>
      </c>
      <c r="AJ610" s="3" t="n">
        <v>1.8319</v>
      </c>
      <c r="AK610" s="3" t="n">
        <v>-0.2735494569383802</v>
      </c>
      <c r="AL610" s="6" t="n">
        <v>0</v>
      </c>
      <c r="AM610" s="3" t="n">
        <v>0</v>
      </c>
      <c r="AN610" s="3" t="n">
        <v>0</v>
      </c>
      <c r="AO610" s="3" t="n">
        <v>0</v>
      </c>
      <c r="AP610" s="3">
        <f>N(X610)*N(BI610)</f>
        <v/>
      </c>
      <c r="AQ610" s="3" t="n">
        <v>0</v>
      </c>
      <c r="AR610" s="3" t="n">
        <v>0</v>
      </c>
      <c r="AS610" s="3" t="n">
        <v>-0</v>
      </c>
      <c r="AT610" s="3" t="n">
        <v>-0.2735494569383802</v>
      </c>
      <c r="AU610" s="3">
        <f>SUM(AN610:AT610)</f>
        <v/>
      </c>
      <c r="AV610" s="7">
        <f>IF(OR(N(W610)&lt;=0,N(BG610)=0),0,N(W610)*IF(N(R610)/N(W610)&gt;=60,N(BG610),1))</f>
        <v/>
      </c>
      <c r="AW610" s="7">
        <f>N(W610)*N(AF610)*N(BH610)</f>
        <v/>
      </c>
      <c r="AX610" s="7">
        <f>N(AL610)*(Assumptions!$B$13*N(BJ610)-(1-Assumptions!$B$13)*Assumptions!$B$14)+N(AM610)</f>
        <v/>
      </c>
      <c r="AY610" s="7">
        <f>N(AU610)*N(R610)/90+N(AV610)+N(AW610)+N(AX610)</f>
        <v/>
      </c>
      <c r="AZ610" s="3">
        <f>IF(N(R610)&lt;=0,0,(N(AY610)-N(AX610))*90/N(R610))</f>
        <v/>
      </c>
      <c r="BA610" s="7">
        <f>IFERROR(AY610-VLOOKUP($E610,Assumptions!$A$40:$C$43,3,FALSE),"")</f>
        <v/>
      </c>
      <c r="BB610" s="3">
        <f>IFERROR(BA610/H610,"")</f>
        <v/>
      </c>
      <c r="BC610">
        <f>IF(AND($G610=TRUE,$E610="GKP"),AY610,"")</f>
        <v/>
      </c>
      <c r="BD610">
        <f>IF(AND($G610=TRUE,$E610="DEF"),AY610,"")</f>
        <v/>
      </c>
      <c r="BE610">
        <f>IF(AND($G610=TRUE,$E610="MID"),AY610,"")</f>
        <v/>
      </c>
      <c r="BF610">
        <f>IF(AND($G610=TRUE,$E610="FWD"),AY610,"")</f>
        <v/>
      </c>
      <c r="BG610" t="n">
        <v>2</v>
      </c>
      <c r="BH610" t="n">
        <v>2</v>
      </c>
      <c r="BI610" t="n">
        <v>0</v>
      </c>
      <c r="BJ610" t="n">
        <v>4</v>
      </c>
    </row>
    <row r="611">
      <c r="A611" t="inlineStr">
        <is>
          <t>Shea Charles</t>
        </is>
      </c>
      <c r="B611" t="inlineStr">
        <is>
          <t>FUL</t>
        </is>
      </c>
      <c r="D611" t="b">
        <v>0</v>
      </c>
      <c r="E611" t="inlineStr">
        <is>
          <t>MID</t>
        </is>
      </c>
      <c r="G611" t="b">
        <v>1</v>
      </c>
      <c r="H611" s="2" t="n">
        <v>5</v>
      </c>
      <c r="I611" t="inlineStr">
        <is>
          <t>a</t>
        </is>
      </c>
      <c r="K611" s="2" t="n"/>
      <c r="M611" s="3" t="n">
        <v>1305</v>
      </c>
      <c r="N611" s="4" t="n">
        <v>2100</v>
      </c>
      <c r="O611" s="4" t="n">
        <v>795</v>
      </c>
      <c r="P611" s="5" t="inlineStr">
        <is>
          <t>high</t>
        </is>
      </c>
      <c r="Q611" t="inlineStr">
        <is>
          <t>flat</t>
        </is>
      </c>
      <c r="R611" s="6" t="n">
        <v>2100</v>
      </c>
      <c r="S611" t="inlineStr">
        <is>
          <t>research</t>
        </is>
      </c>
      <c r="T611" s="5" t="inlineStr">
        <is>
          <t>Signed 11 Aug 2026 from Southampton for £27m + £6m add-ons on a five-year deal, explicitly as the replacement for Sasa Lukic (sold to Ipswich 8 Aug). Solio's snapshot pre-dates the transfer and carries him as a no-PL-record squad filler. Held below a full starter's share because he only joined four days before the final friendly and came on at 78' rather than starting.</t>
        </is>
      </c>
      <c r="U611" s="6" t="n">
        <v>85</v>
      </c>
      <c r="V611" s="2" t="n"/>
      <c r="W611" s="7">
        <f>IF(N(U611)&lt;=0,0,MIN(Assumptions!$B$15,N(R611)/N(U611)))</f>
        <v/>
      </c>
      <c r="X611" s="6" t="n">
        <v>0.214</v>
      </c>
      <c r="Y611" s="3" t="n"/>
      <c r="Z611" t="inlineStr"/>
      <c r="AA611" s="3" t="n">
        <v>1</v>
      </c>
      <c r="AB611" s="3" t="n"/>
      <c r="AC611" s="3" t="n"/>
      <c r="AD611" s="3" t="n"/>
      <c r="AE611" s="3" t="n"/>
      <c r="AF611" s="3" t="n">
        <v>0</v>
      </c>
      <c r="AG611" s="3" t="n"/>
      <c r="AH611" s="3" t="n"/>
      <c r="AI611" s="3" t="n">
        <v>3.22</v>
      </c>
      <c r="AJ611" s="3" t="n">
        <v>1.6019</v>
      </c>
      <c r="AK611" s="3" t="n">
        <v>-0.2160434166173144</v>
      </c>
      <c r="AL611" s="6" t="n">
        <v>0</v>
      </c>
      <c r="AM611" s="3" t="n">
        <v>0</v>
      </c>
      <c r="AN611" s="3" t="n">
        <v>0</v>
      </c>
      <c r="AO611" s="3" t="n">
        <v>0</v>
      </c>
      <c r="AP611" s="3">
        <f>N(X611)*N(BI611)</f>
        <v/>
      </c>
      <c r="AQ611" s="3" t="n">
        <v>0</v>
      </c>
      <c r="AR611" s="3" t="n">
        <v>0</v>
      </c>
      <c r="AS611" s="3" t="n">
        <v>-0</v>
      </c>
      <c r="AT611" s="3" t="n">
        <v>-0.2160434166173144</v>
      </c>
      <c r="AU611" s="3">
        <f>SUM(AN611:AT611)</f>
        <v/>
      </c>
      <c r="AV611" s="7">
        <f>IF(OR(N(W611)&lt;=0,N(BG611)=0),0,N(W611)*IF(N(R611)/N(W611)&gt;=60,N(BG611),1))</f>
        <v/>
      </c>
      <c r="AW611" s="7">
        <f>N(W611)*N(AF611)*N(BH611)</f>
        <v/>
      </c>
      <c r="AX611" s="7">
        <f>N(AL611)*(Assumptions!$B$13*N(BJ611)-(1-Assumptions!$B$13)*Assumptions!$B$14)+N(AM611)</f>
        <v/>
      </c>
      <c r="AY611" s="7">
        <f>N(AU611)*N(R611)/90+N(AV611)+N(AW611)+N(AX611)</f>
        <v/>
      </c>
      <c r="AZ611" s="3">
        <f>IF(N(R611)&lt;=0,0,(N(AY611)-N(AX611))*90/N(R611))</f>
        <v/>
      </c>
      <c r="BA611" s="7">
        <f>IFERROR(AY611-VLOOKUP($E611,Assumptions!$A$40:$C$43,3,FALSE),"")</f>
        <v/>
      </c>
      <c r="BB611" s="3">
        <f>IFERROR(BA611/H611,"")</f>
        <v/>
      </c>
      <c r="BC611">
        <f>IF(AND($G611=TRUE,$E611="GKP"),AY611,"")</f>
        <v/>
      </c>
      <c r="BD611">
        <f>IF(AND($G611=TRUE,$E611="DEF"),AY611,"")</f>
        <v/>
      </c>
      <c r="BE611">
        <f>IF(AND($G611=TRUE,$E611="MID"),AY611,"")</f>
        <v/>
      </c>
      <c r="BF611">
        <f>IF(AND($G611=TRUE,$E611="FWD"),AY611,"")</f>
        <v/>
      </c>
      <c r="BG611" t="n">
        <v>2</v>
      </c>
      <c r="BH611" t="n">
        <v>2</v>
      </c>
      <c r="BI611" t="n">
        <v>1</v>
      </c>
      <c r="BJ611" t="n">
        <v>5</v>
      </c>
    </row>
    <row r="612">
      <c r="A612" t="inlineStr">
        <is>
          <t>Harvey Davies</t>
        </is>
      </c>
      <c r="B612" t="inlineStr">
        <is>
          <t>LIV</t>
        </is>
      </c>
      <c r="D612" t="b">
        <v>0</v>
      </c>
      <c r="E612" t="inlineStr">
        <is>
          <t>GKP</t>
        </is>
      </c>
      <c r="G612" t="b">
        <v>1</v>
      </c>
      <c r="H612" s="2" t="n">
        <v>4</v>
      </c>
      <c r="I612" t="inlineStr">
        <is>
          <t>a</t>
        </is>
      </c>
      <c r="K612" s="2" t="n"/>
      <c r="M612" s="3" t="n">
        <v>0</v>
      </c>
      <c r="N612" s="8" t="n">
        <v>0</v>
      </c>
      <c r="O612" s="8" t="n">
        <v>0</v>
      </c>
      <c r="Q612" t="inlineStr">
        <is>
          <t>flat</t>
        </is>
      </c>
      <c r="R612" s="6" t="n">
        <v>0</v>
      </c>
      <c r="S612" t="inlineStr">
        <is>
          <t>Solio</t>
        </is>
      </c>
      <c r="U612" s="6" t="n">
        <v>85</v>
      </c>
      <c r="V612" s="2" t="n"/>
      <c r="W612" s="7">
        <f>IF(N(U612)&lt;=0,0,MIN(Assumptions!$B$15,N(R612)/N(U612)))</f>
        <v/>
      </c>
      <c r="X612" s="6" t="n">
        <v>0.342</v>
      </c>
      <c r="Y612" s="3" t="n"/>
      <c r="Z612" t="inlineStr"/>
      <c r="AA612" s="3" t="n">
        <v>1</v>
      </c>
      <c r="AB612" s="3" t="n"/>
      <c r="AC612" s="3" t="n"/>
      <c r="AD612" s="3" t="n"/>
      <c r="AE612" s="3" t="n">
        <v>0</v>
      </c>
      <c r="AF612" s="3" t="n">
        <v>0</v>
      </c>
      <c r="AG612" s="3" t="n"/>
      <c r="AH612" s="3" t="n"/>
      <c r="AI612" s="3" t="n">
        <v>2.409</v>
      </c>
      <c r="AJ612" s="3" t="n">
        <v>1.1228</v>
      </c>
      <c r="AK612" s="3" t="n">
        <v>-0.0763216474948735</v>
      </c>
      <c r="AL612" s="6" t="n">
        <v>0</v>
      </c>
      <c r="AM612" s="3" t="n">
        <v>0</v>
      </c>
      <c r="AN612" s="3" t="n">
        <v>0</v>
      </c>
      <c r="AO612" s="3" t="n">
        <v>0</v>
      </c>
      <c r="AP612" s="3">
        <f>N(X612)*N(BI612)</f>
        <v/>
      </c>
      <c r="AQ612" s="3" t="n">
        <v>0</v>
      </c>
      <c r="AR612" s="3" t="n">
        <v>0.4697511244203511</v>
      </c>
      <c r="AS612" s="3" t="n">
        <v>-0.3378660007281162</v>
      </c>
      <c r="AT612" s="3" t="n">
        <v>-0.0763216474948735</v>
      </c>
      <c r="AU612" s="3">
        <f>SUM(AN612:AT612)</f>
        <v/>
      </c>
      <c r="AV612" s="7">
        <f>IF(OR(N(W612)&lt;=0,N(BG612)=0),0,N(W612)*IF(N(R612)/N(W612)&gt;=60,N(BG612),1))</f>
        <v/>
      </c>
      <c r="AW612" s="7">
        <f>N(W612)*N(AF612)*N(BH612)</f>
        <v/>
      </c>
      <c r="AX612" s="7">
        <f>N(AL612)*(Assumptions!$B$13*N(BJ612)-(1-Assumptions!$B$13)*Assumptions!$B$14)+N(AM612)</f>
        <v/>
      </c>
      <c r="AY612" s="7">
        <f>N(AU612)*N(R612)/90+N(AV612)+N(AW612)+N(AX612)</f>
        <v/>
      </c>
      <c r="AZ612" s="3">
        <f>IF(N(R612)&lt;=0,0,(N(AY612)-N(AX612))*90/N(R612))</f>
        <v/>
      </c>
      <c r="BA612" s="7">
        <f>IFERROR(AY612-VLOOKUP($E612,Assumptions!$A$40:$C$43,3,FALSE),"")</f>
        <v/>
      </c>
      <c r="BB612" s="3">
        <f>IFERROR(BA612/H612,"")</f>
        <v/>
      </c>
      <c r="BC612">
        <f>IF(AND($G612=TRUE,$E612="GKP"),AY612,"")</f>
        <v/>
      </c>
      <c r="BD612">
        <f>IF(AND($G612=TRUE,$E612="DEF"),AY612,"")</f>
        <v/>
      </c>
      <c r="BE612">
        <f>IF(AND($G612=TRUE,$E612="MID"),AY612,"")</f>
        <v/>
      </c>
      <c r="BF612">
        <f>IF(AND($G612=TRUE,$E612="FWD"),AY612,"")</f>
        <v/>
      </c>
      <c r="BG612" t="n">
        <v>2</v>
      </c>
      <c r="BH612" t="n">
        <v>0</v>
      </c>
      <c r="BI612" t="n">
        <v>4</v>
      </c>
      <c r="BJ612" t="n">
        <v>10</v>
      </c>
    </row>
    <row r="613">
      <c r="A613" t="inlineStr">
        <is>
          <t>Kaine Kesler-Hayden</t>
        </is>
      </c>
      <c r="B613" t="inlineStr">
        <is>
          <t>COV</t>
        </is>
      </c>
      <c r="D613" t="b">
        <v>0</v>
      </c>
      <c r="E613" t="inlineStr">
        <is>
          <t>DEF</t>
        </is>
      </c>
      <c r="G613" t="b">
        <v>1</v>
      </c>
      <c r="H613" s="2" t="n">
        <v>4</v>
      </c>
      <c r="I613" t="inlineStr">
        <is>
          <t>a</t>
        </is>
      </c>
      <c r="K613" s="2" t="n"/>
      <c r="M613" s="3" t="n">
        <v>253</v>
      </c>
      <c r="N613" s="8" t="n">
        <v>253</v>
      </c>
      <c r="O613" s="8" t="n">
        <v>0</v>
      </c>
      <c r="Q613" t="inlineStr">
        <is>
          <t>flat</t>
        </is>
      </c>
      <c r="R613" s="6" t="n">
        <v>253</v>
      </c>
      <c r="S613" t="inlineStr">
        <is>
          <t>Solio</t>
        </is>
      </c>
      <c r="U613" s="6" t="n">
        <v>85</v>
      </c>
      <c r="V613" s="2" t="n"/>
      <c r="W613" s="7">
        <f>IF(N(U613)&lt;=0,0,MIN(Assumptions!$B$15,N(R613)/N(U613)))</f>
        <v/>
      </c>
      <c r="X613" s="6" t="n">
        <v>0.17</v>
      </c>
      <c r="Y613" s="3" t="n"/>
      <c r="Z613" t="inlineStr"/>
      <c r="AA613" s="3" t="n">
        <v>1</v>
      </c>
      <c r="AB613" s="3" t="n"/>
      <c r="AC613" s="3" t="n"/>
      <c r="AD613" s="3" t="n"/>
      <c r="AE613" s="3" t="n"/>
      <c r="AF613" s="3" t="n">
        <v>0</v>
      </c>
      <c r="AG613" s="3" t="n"/>
      <c r="AH613" s="3" t="n"/>
      <c r="AI613" s="3" t="n">
        <v>3.6194</v>
      </c>
      <c r="AJ613" s="3" t="n">
        <v>1.8271</v>
      </c>
      <c r="AK613" s="3" t="n">
        <v>-0.2042683792492344</v>
      </c>
      <c r="AL613" s="6" t="n">
        <v>0</v>
      </c>
      <c r="AM613" s="3" t="n">
        <v>0</v>
      </c>
      <c r="AN613" s="3" t="n">
        <v>0</v>
      </c>
      <c r="AO613" s="3" t="n">
        <v>0</v>
      </c>
      <c r="AP613" s="3">
        <f>N(X613)*N(BI613)</f>
        <v/>
      </c>
      <c r="AQ613" s="3" t="n">
        <v>0</v>
      </c>
      <c r="AR613" s="3" t="n">
        <v>0</v>
      </c>
      <c r="AS613" s="3" t="n">
        <v>-0.670020548738316</v>
      </c>
      <c r="AT613" s="3" t="n">
        <v>-0.2042683792492344</v>
      </c>
      <c r="AU613" s="3">
        <f>SUM(AN613:AT613)</f>
        <v/>
      </c>
      <c r="AV613" s="7">
        <f>IF(OR(N(W613)&lt;=0,N(BG613)=0),0,N(W613)*IF(N(R613)/N(W613)&gt;=60,N(BG613),1))</f>
        <v/>
      </c>
      <c r="AW613" s="7">
        <f>N(W613)*N(AF613)*N(BH613)</f>
        <v/>
      </c>
      <c r="AX613" s="7">
        <f>N(AL613)*(Assumptions!$B$13*N(BJ613)-(1-Assumptions!$B$13)*Assumptions!$B$14)+N(AM613)</f>
        <v/>
      </c>
      <c r="AY613" s="7">
        <f>N(AU613)*N(R613)/90+N(AV613)+N(AW613)+N(AX613)</f>
        <v/>
      </c>
      <c r="AZ613" s="3">
        <f>IF(N(R613)&lt;=0,0,(N(AY613)-N(AX613))*90/N(R613))</f>
        <v/>
      </c>
      <c r="BA613" s="7">
        <f>IFERROR(AY613-VLOOKUP($E613,Assumptions!$A$40:$C$43,3,FALSE),"")</f>
        <v/>
      </c>
      <c r="BB613" s="3">
        <f>IFERROR(BA613/H613,"")</f>
        <v/>
      </c>
      <c r="BC613">
        <f>IF(AND($G613=TRUE,$E613="GKP"),AY613,"")</f>
        <v/>
      </c>
      <c r="BD613">
        <f>IF(AND($G613=TRUE,$E613="DEF"),AY613,"")</f>
        <v/>
      </c>
      <c r="BE613">
        <f>IF(AND($G613=TRUE,$E613="MID"),AY613,"")</f>
        <v/>
      </c>
      <c r="BF613">
        <f>IF(AND($G613=TRUE,$E613="FWD"),AY613,"")</f>
        <v/>
      </c>
      <c r="BG613" t="n">
        <v>2</v>
      </c>
      <c r="BH613" t="n">
        <v>2</v>
      </c>
      <c r="BI613" t="n">
        <v>4</v>
      </c>
      <c r="BJ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s="8" t="n">
        <v>0</v>
      </c>
      <c r="O614" s="8" t="n">
        <v>0</v>
      </c>
      <c r="Q614" t="inlineStr">
        <is>
          <t>flat</t>
        </is>
      </c>
      <c r="R614" s="6" t="n">
        <v>0</v>
      </c>
      <c r="S614" t="inlineStr">
        <is>
          <t>Solio</t>
        </is>
      </c>
      <c r="U614" s="6" t="n">
        <v>85</v>
      </c>
      <c r="V614" s="2" t="n"/>
      <c r="W614" s="7">
        <f>IF(N(U614)&lt;=0,0,MIN(Assumptions!$B$15,N(R614)/N(U614)))</f>
        <v/>
      </c>
      <c r="X614" s="6" t="n">
        <v>0.143</v>
      </c>
      <c r="Y614" s="3" t="n"/>
      <c r="Z614" t="inlineStr"/>
      <c r="AA614" s="3" t="n">
        <v>1</v>
      </c>
      <c r="AB614" s="3" t="n"/>
      <c r="AC614" s="3" t="n"/>
      <c r="AD614" s="3" t="n"/>
      <c r="AE614" s="3" t="n"/>
      <c r="AF614" s="3" t="n">
        <v>0</v>
      </c>
      <c r="AG614" s="3" t="n"/>
      <c r="AH614" s="3" t="n"/>
      <c r="AI614" s="3" t="n">
        <v>3.9421</v>
      </c>
      <c r="AJ614" s="3" t="n">
        <v>1.99</v>
      </c>
      <c r="AK614" s="3" t="n">
        <v>-0.2160434166173144</v>
      </c>
      <c r="AL614" s="6" t="n">
        <v>0</v>
      </c>
      <c r="AM614" s="3" t="n">
        <v>0</v>
      </c>
      <c r="AN614" s="3" t="n">
        <v>0</v>
      </c>
      <c r="AO614" s="3" t="n">
        <v>0</v>
      </c>
      <c r="AP614" s="3">
        <f>N(X614)*N(BI614)</f>
        <v/>
      </c>
      <c r="AQ614" s="3" t="n">
        <v>0</v>
      </c>
      <c r="AR614" s="3" t="n">
        <v>0</v>
      </c>
      <c r="AS614" s="3" t="n">
        <v>-0</v>
      </c>
      <c r="AT614" s="3" t="n">
        <v>-0.2160434166173144</v>
      </c>
      <c r="AU614" s="3">
        <f>SUM(AN614:AT614)</f>
        <v/>
      </c>
      <c r="AV614" s="7">
        <f>IF(OR(N(W614)&lt;=0,N(BG614)=0),0,N(W614)*IF(N(R614)/N(W614)&gt;=60,N(BG614),1))</f>
        <v/>
      </c>
      <c r="AW614" s="7">
        <f>N(W614)*N(AF614)*N(BH614)</f>
        <v/>
      </c>
      <c r="AX614" s="7">
        <f>N(AL614)*(Assumptions!$B$13*N(BJ614)-(1-Assumptions!$B$13)*Assumptions!$B$14)+N(AM614)</f>
        <v/>
      </c>
      <c r="AY614" s="7">
        <f>N(AU614)*N(R614)/90+N(AV614)+N(AW614)+N(AX614)</f>
        <v/>
      </c>
      <c r="AZ614" s="3">
        <f>IF(N(R614)&lt;=0,0,(N(AY614)-N(AX614))*90/N(R614))</f>
        <v/>
      </c>
      <c r="BA614" s="7">
        <f>IFERROR(AY614-VLOOKUP($E614,Assumptions!$A$40:$C$43,3,FALSE),"")</f>
        <v/>
      </c>
      <c r="BB614" s="3">
        <f>IFERROR(BA614/H614,"")</f>
        <v/>
      </c>
      <c r="BC614">
        <f>IF(AND($G614=TRUE,$E614="GKP"),AY614,"")</f>
        <v/>
      </c>
      <c r="BD614">
        <f>IF(AND($G614=TRUE,$E614="DEF"),AY614,"")</f>
        <v/>
      </c>
      <c r="BE614">
        <f>IF(AND($G614=TRUE,$E614="MID"),AY614,"")</f>
        <v/>
      </c>
      <c r="BF614">
        <f>IF(AND($G614=TRUE,$E614="FWD"),AY614,"")</f>
        <v/>
      </c>
      <c r="BG614" t="n">
        <v>2</v>
      </c>
      <c r="BH614" t="n">
        <v>2</v>
      </c>
      <c r="BI614" t="n">
        <v>1</v>
      </c>
      <c r="BJ614" t="n">
        <v>5</v>
      </c>
    </row>
    <row r="615">
      <c r="A615" t="inlineStr">
        <is>
          <t>Hannibal Mejbri</t>
        </is>
      </c>
      <c r="C615" t="inlineStr">
        <is>
          <t>BUR</t>
        </is>
      </c>
      <c r="D615" t="b">
        <v>0</v>
      </c>
      <c r="F615" t="inlineStr">
        <is>
          <t>MID</t>
        </is>
      </c>
      <c r="G615" t="b">
        <v>0</v>
      </c>
      <c r="H615" s="2" t="n"/>
      <c r="K615" s="2" t="n">
        <v>1231</v>
      </c>
      <c r="M615" s="3" t="n"/>
      <c r="N615" s="8" t="n">
        <v>1231</v>
      </c>
      <c r="O615" s="8" t="n">
        <v>0</v>
      </c>
      <c r="R615" s="6" t="n">
        <v>1231</v>
      </c>
      <c r="S615" t="inlineStr">
        <is>
          <t>25/26 actual</t>
        </is>
      </c>
      <c r="U615" s="6" t="n">
        <v>74</v>
      </c>
      <c r="V615" s="2" t="n">
        <v>15</v>
      </c>
      <c r="W615" s="7">
        <f>IF(N(U615)&lt;=0,0,MIN(Assumptions!$B$15,N(R615)/N(U615)))</f>
        <v/>
      </c>
      <c r="X615" s="6" t="n"/>
      <c r="Y615" s="3" t="n">
        <v>0.06619999999999999</v>
      </c>
      <c r="Z615" t="inlineStr">
        <is>
          <t>adjusted xGOT</t>
        </is>
      </c>
      <c r="AA615" s="3" t="n">
        <v>1</v>
      </c>
      <c r="AB615" s="3" t="n">
        <v>0.996</v>
      </c>
      <c r="AC615" s="3" t="n">
        <v>0.9</v>
      </c>
      <c r="AD615" s="3" t="n">
        <v>0.2075</v>
      </c>
      <c r="AE615" s="3" t="n">
        <v>8.337</v>
      </c>
      <c r="AF615" s="3" t="n">
        <v>0</v>
      </c>
      <c r="AG615" s="3" t="n">
        <v>0.2924</v>
      </c>
      <c r="AH615" s="3" t="n">
        <v>39</v>
      </c>
      <c r="AI615" s="3" t="n"/>
      <c r="AJ615" s="3" t="n"/>
      <c r="AK615" s="3" t="n"/>
      <c r="AL615" s="6" t="n">
        <v>0</v>
      </c>
      <c r="AM615" s="3" t="n">
        <v>0</v>
      </c>
      <c r="AN615" s="3" t="n">
        <v>0</v>
      </c>
      <c r="AO615" s="3" t="n">
        <v>0</v>
      </c>
      <c r="AP615" s="3">
        <f>N(X615)*N(BI615)</f>
        <v/>
      </c>
      <c r="AQ615" s="3" t="n">
        <v>0</v>
      </c>
      <c r="AR615" s="3" t="n">
        <v>0</v>
      </c>
      <c r="AS615" s="3" t="n">
        <v>0</v>
      </c>
      <c r="AT615" s="3" t="n">
        <v>0</v>
      </c>
      <c r="AU615" s="3">
        <f>SUM(AN615:AT615)</f>
        <v/>
      </c>
      <c r="AV615" s="7">
        <f>IF(OR(N(W615)&lt;=0,N(BG615)=0),0,N(W615)*IF(N(R615)/N(W615)&gt;=60,N(BG615),1))</f>
        <v/>
      </c>
      <c r="AW615" s="7">
        <f>N(W615)*N(AF615)*N(BH615)</f>
        <v/>
      </c>
      <c r="AX615" s="7">
        <f>N(AL615)*(Assumptions!$B$13*N(BJ615)-(1-Assumptions!$B$13)*Assumptions!$B$14)+N(AM615)</f>
        <v/>
      </c>
      <c r="AY615" s="7">
        <f>N(AU615)*N(R615)/90+N(AV615)+N(AW615)+N(AX615)</f>
        <v/>
      </c>
      <c r="AZ615" s="3">
        <f>IF(N(R615)&lt;=0,0,(N(AY615)-N(AX615))*90/N(R615))</f>
        <v/>
      </c>
      <c r="BA615" s="7">
        <f>IFERROR(AY615-VLOOKUP($E615,Assumptions!$A$40:$C$43,3,FALSE),"")</f>
        <v/>
      </c>
      <c r="BB615" s="3">
        <f>IFERROR(BA615/H615,"")</f>
        <v/>
      </c>
      <c r="BC615">
        <f>IF(AND($G615=TRUE,$E615="GKP"),AY615,"")</f>
        <v/>
      </c>
      <c r="BD615">
        <f>IF(AND($G615=TRUE,$E615="DEF"),AY615,"")</f>
        <v/>
      </c>
      <c r="BE615">
        <f>IF(AND($G615=TRUE,$E615="MID"),AY615,"")</f>
        <v/>
      </c>
      <c r="BF615">
        <f>IF(AND($G615=TRUE,$E615="FWD"),AY615,"")</f>
        <v/>
      </c>
      <c r="BG615" t="n">
        <v>0</v>
      </c>
      <c r="BH615" t="n">
        <v>0</v>
      </c>
      <c r="BI615" t="n">
        <v>0</v>
      </c>
      <c r="BJ615" t="n">
        <v>0</v>
      </c>
    </row>
    <row r="616">
      <c r="A616" t="inlineStr">
        <is>
          <t>Mads Hermansen</t>
        </is>
      </c>
      <c r="C616" t="inlineStr">
        <is>
          <t>WHU</t>
        </is>
      </c>
      <c r="D616" t="b">
        <v>0</v>
      </c>
      <c r="F616" t="inlineStr">
        <is>
          <t>GKP</t>
        </is>
      </c>
      <c r="G616" t="b">
        <v>0</v>
      </c>
      <c r="H616" s="2" t="n"/>
      <c r="K616" s="2" t="n">
        <v>1620</v>
      </c>
      <c r="M616" s="3" t="n"/>
      <c r="N616" s="8" t="n">
        <v>1620</v>
      </c>
      <c r="O616" s="8" t="n">
        <v>0</v>
      </c>
      <c r="R616" s="6" t="n">
        <v>1620</v>
      </c>
      <c r="S616" t="inlineStr">
        <is>
          <t>25/26 actual</t>
        </is>
      </c>
      <c r="U616" s="6" t="n">
        <v>89.90000000000001</v>
      </c>
      <c r="V616" s="2" t="n">
        <v>18</v>
      </c>
      <c r="W616" s="7">
        <f>IF(N(U616)&lt;=0,0,MIN(Assumptions!$B$15,N(R616)/N(U616)))</f>
        <v/>
      </c>
      <c r="X616" s="6" t="n"/>
      <c r="Y616" s="3" t="n">
        <v>0</v>
      </c>
      <c r="Z616" t="inlineStr">
        <is>
          <t>blended xG</t>
        </is>
      </c>
      <c r="AA616" s="3" t="n">
        <v>1</v>
      </c>
      <c r="AB616" s="3" t="n">
        <v>1</v>
      </c>
      <c r="AC616" s="3" t="n">
        <v>0</v>
      </c>
      <c r="AD616" s="3" t="n">
        <v>0.0021</v>
      </c>
      <c r="AE616" s="3" t="n">
        <v>0</v>
      </c>
      <c r="AF616" s="3" t="n">
        <v>0</v>
      </c>
      <c r="AG616" s="3" t="n">
        <v>0.4444</v>
      </c>
      <c r="AH616" s="3" t="n">
        <v>36</v>
      </c>
      <c r="AI616" s="3" t="n"/>
      <c r="AJ616" s="3" t="n"/>
      <c r="AK616" s="3" t="n"/>
      <c r="AL616" s="6" t="n">
        <v>0</v>
      </c>
      <c r="AM616" s="3" t="n">
        <v>0</v>
      </c>
      <c r="AN616" s="3" t="n">
        <v>0</v>
      </c>
      <c r="AO616" s="3" t="n">
        <v>0</v>
      </c>
      <c r="AP616" s="3">
        <f>N(X616)*N(BI616)</f>
        <v/>
      </c>
      <c r="AQ616" s="3" t="n">
        <v>0</v>
      </c>
      <c r="AR616" s="3" t="n">
        <v>0</v>
      </c>
      <c r="AS616" s="3" t="n">
        <v>0</v>
      </c>
      <c r="AT616" s="3" t="n">
        <v>0</v>
      </c>
      <c r="AU616" s="3">
        <f>SUM(AN616:AT616)</f>
        <v/>
      </c>
      <c r="AV616" s="7">
        <f>IF(OR(N(W616)&lt;=0,N(BG616)=0),0,N(W616)*IF(N(R616)/N(W616)&gt;=60,N(BG616),1))</f>
        <v/>
      </c>
      <c r="AW616" s="7">
        <f>N(W616)*N(AF616)*N(BH616)</f>
        <v/>
      </c>
      <c r="AX616" s="7">
        <f>N(AL616)*(Assumptions!$B$13*N(BJ616)-(1-Assumptions!$B$13)*Assumptions!$B$14)+N(AM616)</f>
        <v/>
      </c>
      <c r="AY616" s="7">
        <f>N(AU616)*N(R616)/90+N(AV616)+N(AW616)+N(AX616)</f>
        <v/>
      </c>
      <c r="AZ616" s="3">
        <f>IF(N(R616)&lt;=0,0,(N(AY616)-N(AX616))*90/N(R616))</f>
        <v/>
      </c>
      <c r="BA616" s="7">
        <f>IFERROR(AY616-VLOOKUP($E616,Assumptions!$A$40:$C$43,3,FALSE),"")</f>
        <v/>
      </c>
      <c r="BB616" s="3">
        <f>IFERROR(BA616/H616,"")</f>
        <v/>
      </c>
      <c r="BC616">
        <f>IF(AND($G616=TRUE,$E616="GKP"),AY616,"")</f>
        <v/>
      </c>
      <c r="BD616">
        <f>IF(AND($G616=TRUE,$E616="DEF"),AY616,"")</f>
        <v/>
      </c>
      <c r="BE616">
        <f>IF(AND($G616=TRUE,$E616="MID"),AY616,"")</f>
        <v/>
      </c>
      <c r="BF616">
        <f>IF(AND($G616=TRUE,$E616="FWD"),AY616,"")</f>
        <v/>
      </c>
      <c r="BG616" t="n">
        <v>0</v>
      </c>
      <c r="BH616" t="n">
        <v>0</v>
      </c>
      <c r="BI616" t="n">
        <v>0</v>
      </c>
      <c r="BJ616" t="n">
        <v>0</v>
      </c>
    </row>
    <row r="617">
      <c r="A617" t="inlineStr">
        <is>
          <t>Lorenzo Lucca</t>
        </is>
      </c>
      <c r="C617" t="inlineStr">
        <is>
          <t>NFO</t>
        </is>
      </c>
      <c r="D617" t="b">
        <v>0</v>
      </c>
      <c r="F617" t="inlineStr">
        <is>
          <t>FWD</t>
        </is>
      </c>
      <c r="G617" t="b">
        <v>0</v>
      </c>
      <c r="H617" s="2" t="n"/>
      <c r="K617" s="2" t="n">
        <v>127</v>
      </c>
      <c r="M617" s="3" t="n"/>
      <c r="N617" s="8" t="n">
        <v>127</v>
      </c>
      <c r="O617" s="8" t="n">
        <v>0</v>
      </c>
      <c r="R617" s="6" t="n">
        <v>127</v>
      </c>
      <c r="S617" t="inlineStr">
        <is>
          <t>25/26 actual</t>
        </is>
      </c>
      <c r="U617" s="6" t="n">
        <v>77.7</v>
      </c>
      <c r="V617" s="2" t="n">
        <v>1</v>
      </c>
      <c r="W617" s="7">
        <f>IF(N(U617)&lt;=0,0,MIN(Assumptions!$B$15,N(R617)/N(U617)))</f>
        <v/>
      </c>
      <c r="X617" s="6" t="n"/>
      <c r="Y617" s="3" t="n">
        <v>0.5223</v>
      </c>
      <c r="Z617" t="inlineStr">
        <is>
          <t>adjusted xGOT</t>
        </is>
      </c>
      <c r="AA617" s="3" t="n">
        <v>1</v>
      </c>
      <c r="AB617" s="3" t="n">
        <v>0.9330000000000001</v>
      </c>
      <c r="AC617" s="3" t="n">
        <v>0.8</v>
      </c>
      <c r="AD617" s="3" t="n">
        <v>0.026</v>
      </c>
      <c r="AE617" s="3" t="n">
        <v>4.824</v>
      </c>
      <c r="AF617" s="3" t="n">
        <v>0</v>
      </c>
      <c r="AG617" s="3" t="n">
        <v>0</v>
      </c>
      <c r="AH617" s="3" t="n">
        <v>5</v>
      </c>
      <c r="AI617" s="3" t="n"/>
      <c r="AJ617" s="3" t="n"/>
      <c r="AK617" s="3" t="n"/>
      <c r="AL617" s="6" t="n">
        <v>0</v>
      </c>
      <c r="AM617" s="3" t="n">
        <v>0</v>
      </c>
      <c r="AN617" s="3" t="n">
        <v>0</v>
      </c>
      <c r="AO617" s="3" t="n">
        <v>0</v>
      </c>
      <c r="AP617" s="3">
        <f>N(X617)*N(BI617)</f>
        <v/>
      </c>
      <c r="AQ617" s="3" t="n">
        <v>0</v>
      </c>
      <c r="AR617" s="3" t="n">
        <v>0</v>
      </c>
      <c r="AS617" s="3" t="n">
        <v>0</v>
      </c>
      <c r="AT617" s="3" t="n">
        <v>0</v>
      </c>
      <c r="AU617" s="3">
        <f>SUM(AN617:AT617)</f>
        <v/>
      </c>
      <c r="AV617" s="7">
        <f>IF(OR(N(W617)&lt;=0,N(BG617)=0),0,N(W617)*IF(N(R617)/N(W617)&gt;=60,N(BG617),1))</f>
        <v/>
      </c>
      <c r="AW617" s="7">
        <f>N(W617)*N(AF617)*N(BH617)</f>
        <v/>
      </c>
      <c r="AX617" s="7">
        <f>N(AL617)*(Assumptions!$B$13*N(BJ617)-(1-Assumptions!$B$13)*Assumptions!$B$14)+N(AM617)</f>
        <v/>
      </c>
      <c r="AY617" s="7">
        <f>N(AU617)*N(R617)/90+N(AV617)+N(AW617)+N(AX617)</f>
        <v/>
      </c>
      <c r="AZ617" s="3">
        <f>IF(N(R617)&lt;=0,0,(N(AY617)-N(AX617))*90/N(R617))</f>
        <v/>
      </c>
      <c r="BA617" s="7">
        <f>IFERROR(AY617-VLOOKUP($E617,Assumptions!$A$40:$C$43,3,FALSE),"")</f>
        <v/>
      </c>
      <c r="BB617" s="3">
        <f>IFERROR(BA617/H617,"")</f>
        <v/>
      </c>
      <c r="BC617">
        <f>IF(AND($G617=TRUE,$E617="GKP"),AY617,"")</f>
        <v/>
      </c>
      <c r="BD617">
        <f>IF(AND($G617=TRUE,$E617="DEF"),AY617,"")</f>
        <v/>
      </c>
      <c r="BE617">
        <f>IF(AND($G617=TRUE,$E617="MID"),AY617,"")</f>
        <v/>
      </c>
      <c r="BF617">
        <f>IF(AND($G617=TRUE,$E617="FWD"),AY617,"")</f>
        <v/>
      </c>
      <c r="BG617" t="n">
        <v>0</v>
      </c>
      <c r="BH617" t="n">
        <v>0</v>
      </c>
      <c r="BI617" t="n">
        <v>0</v>
      </c>
      <c r="BJ617" t="n">
        <v>0</v>
      </c>
    </row>
    <row r="618">
      <c r="A618" t="inlineStr">
        <is>
          <t>Lukás Hornícek</t>
        </is>
      </c>
      <c r="B618" t="inlineStr">
        <is>
          <t>NEW</t>
        </is>
      </c>
      <c r="D618" t="b">
        <v>0</v>
      </c>
      <c r="E618" t="inlineStr">
        <is>
          <t>GKP</t>
        </is>
      </c>
      <c r="G618" t="b">
        <v>1</v>
      </c>
      <c r="H618" s="2" t="n">
        <v>5</v>
      </c>
      <c r="I618" t="inlineStr">
        <is>
          <t>a</t>
        </is>
      </c>
      <c r="K618" s="2" t="n"/>
      <c r="M618" s="3" t="n">
        <v>3374</v>
      </c>
      <c r="N618" s="8" t="n">
        <v>3374</v>
      </c>
      <c r="O618" s="8" t="n">
        <v>0</v>
      </c>
      <c r="Q618" t="inlineStr">
        <is>
          <t>flat</t>
        </is>
      </c>
      <c r="R618" s="6" t="n">
        <v>3374</v>
      </c>
      <c r="S618" t="inlineStr">
        <is>
          <t>Solio</t>
        </is>
      </c>
      <c r="U618" s="6" t="n">
        <v>85</v>
      </c>
      <c r="V618" s="2" t="n"/>
      <c r="W618" s="7">
        <f>IF(N(U618)&lt;=0,0,MIN(Assumptions!$B$15,N(R618)/N(U618)))</f>
        <v/>
      </c>
      <c r="X618" s="6" t="n">
        <v>0.248</v>
      </c>
      <c r="Y618" s="3" t="n"/>
      <c r="Z618" t="inlineStr"/>
      <c r="AA618" s="3" t="n">
        <v>1</v>
      </c>
      <c r="AB618" s="3" t="n"/>
      <c r="AC618" s="3" t="n"/>
      <c r="AD618" s="3" t="n"/>
      <c r="AE618" s="3" t="n">
        <v>0</v>
      </c>
      <c r="AF618" s="3" t="n">
        <v>0</v>
      </c>
      <c r="AG618" s="3" t="n"/>
      <c r="AH618" s="3" t="n"/>
      <c r="AI618" s="3" t="n">
        <v>3.0912</v>
      </c>
      <c r="AJ618" s="3" t="n">
        <v>1.4534</v>
      </c>
      <c r="AK618" s="3" t="n">
        <v>-0.0763216474948735</v>
      </c>
      <c r="AL618" s="6" t="n">
        <v>0</v>
      </c>
      <c r="AM618" s="3" t="n">
        <v>3.061003533120678</v>
      </c>
      <c r="AN618" s="3" t="n">
        <v>0</v>
      </c>
      <c r="AO618" s="3" t="n">
        <v>0</v>
      </c>
      <c r="AP618" s="3">
        <f>N(X618)*N(BI618)</f>
        <v/>
      </c>
      <c r="AQ618" s="3" t="n">
        <v>0</v>
      </c>
      <c r="AR618" s="3" t="n">
        <v>0.6950146973483665</v>
      </c>
      <c r="AS618" s="3" t="n">
        <v>-0.4903625828545308</v>
      </c>
      <c r="AT618" s="3" t="n">
        <v>-0.0763216474948735</v>
      </c>
      <c r="AU618" s="3">
        <f>SUM(AN618:AT618)</f>
        <v/>
      </c>
      <c r="AV618" s="7">
        <f>IF(OR(N(W618)&lt;=0,N(BG618)=0),0,N(W618)*IF(N(R618)/N(W618)&gt;=60,N(BG618),1))</f>
        <v/>
      </c>
      <c r="AW618" s="7">
        <f>N(W618)*N(AF618)*N(BH618)</f>
        <v/>
      </c>
      <c r="AX618" s="7">
        <f>N(AL618)*(Assumptions!$B$13*N(BJ618)-(1-Assumptions!$B$13)*Assumptions!$B$14)+N(AM618)</f>
        <v/>
      </c>
      <c r="AY618" s="7">
        <f>N(AU618)*N(R618)/90+N(AV618)+N(AW618)+N(AX618)</f>
        <v/>
      </c>
      <c r="AZ618" s="3">
        <f>IF(N(R618)&lt;=0,0,(N(AY618)-N(AX618))*90/N(R618))</f>
        <v/>
      </c>
      <c r="BA618" s="7">
        <f>IFERROR(AY618-VLOOKUP($E618,Assumptions!$A$40:$C$43,3,FALSE),"")</f>
        <v/>
      </c>
      <c r="BB618" s="3">
        <f>IFERROR(BA618/H618,"")</f>
        <v/>
      </c>
      <c r="BC618">
        <f>IF(AND($G618=TRUE,$E618="GKP"),AY618,"")</f>
        <v/>
      </c>
      <c r="BD618">
        <f>IF(AND($G618=TRUE,$E618="DEF"),AY618,"")</f>
        <v/>
      </c>
      <c r="BE618">
        <f>IF(AND($G618=TRUE,$E618="MID"),AY618,"")</f>
        <v/>
      </c>
      <c r="BF618">
        <f>IF(AND($G618=TRUE,$E618="FWD"),AY618,"")</f>
        <v/>
      </c>
      <c r="BG618" t="n">
        <v>2</v>
      </c>
      <c r="BH618" t="n">
        <v>0</v>
      </c>
      <c r="BI618" t="n">
        <v>4</v>
      </c>
      <c r="BJ618" t="n">
        <v>10</v>
      </c>
    </row>
    <row r="619">
      <c r="A619" t="inlineStr">
        <is>
          <t>Konstantinos Tzolakis</t>
        </is>
      </c>
      <c r="B619" t="inlineStr">
        <is>
          <t>HUL</t>
        </is>
      </c>
      <c r="D619" t="b">
        <v>0</v>
      </c>
      <c r="E619" t="inlineStr">
        <is>
          <t>GKP</t>
        </is>
      </c>
      <c r="G619" t="b">
        <v>1</v>
      </c>
      <c r="H619" s="2" t="n">
        <v>4.5</v>
      </c>
      <c r="I619" t="inlineStr">
        <is>
          <t>a</t>
        </is>
      </c>
      <c r="K619" s="2" t="n"/>
      <c r="M619" s="3" t="n">
        <v>3385</v>
      </c>
      <c r="N619" s="8" t="n">
        <v>3385</v>
      </c>
      <c r="O619" s="8" t="n">
        <v>0</v>
      </c>
      <c r="Q619" t="inlineStr">
        <is>
          <t>flat</t>
        </is>
      </c>
      <c r="R619" s="6" t="n">
        <v>3385</v>
      </c>
      <c r="S619" t="inlineStr">
        <is>
          <t>Solio</t>
        </is>
      </c>
      <c r="U619" s="6" t="n">
        <v>85</v>
      </c>
      <c r="V619" s="2" t="n"/>
      <c r="W619" s="7">
        <f>IF(N(U619)&lt;=0,0,MIN(Assumptions!$B$15,N(R619)/N(U619)))</f>
        <v/>
      </c>
      <c r="X619" s="6" t="n">
        <v>0.143</v>
      </c>
      <c r="Y619" s="3" t="n"/>
      <c r="Z619" t="inlineStr"/>
      <c r="AA619" s="3" t="n">
        <v>1</v>
      </c>
      <c r="AB619" s="3" t="n"/>
      <c r="AC619" s="3" t="n"/>
      <c r="AD619" s="3" t="n"/>
      <c r="AE619" s="3" t="n">
        <v>0</v>
      </c>
      <c r="AF619" s="3" t="n">
        <v>0</v>
      </c>
      <c r="AG619" s="3" t="n"/>
      <c r="AH619" s="3" t="n"/>
      <c r="AI619" s="3" t="n">
        <v>3.9421</v>
      </c>
      <c r="AJ619" s="3" t="n">
        <v>1.99</v>
      </c>
      <c r="AK619" s="3" t="n">
        <v>-0.0763216474948735</v>
      </c>
      <c r="AL619" s="6" t="n">
        <v>0</v>
      </c>
      <c r="AM619" s="3" t="n">
        <v>4.204835782491481</v>
      </c>
      <c r="AN619" s="3" t="n">
        <v>0</v>
      </c>
      <c r="AO619" s="3" t="n">
        <v>0</v>
      </c>
      <c r="AP619" s="3">
        <f>N(X619)*N(BI619)</f>
        <v/>
      </c>
      <c r="AQ619" s="3" t="n">
        <v>0</v>
      </c>
      <c r="AR619" s="3" t="n">
        <v>0.979692031005534</v>
      </c>
      <c r="AS619" s="3" t="n">
        <v>-0.7496714098286652</v>
      </c>
      <c r="AT619" s="3" t="n">
        <v>-0.0763216474948735</v>
      </c>
      <c r="AU619" s="3">
        <f>SUM(AN619:AT619)</f>
        <v/>
      </c>
      <c r="AV619" s="7">
        <f>IF(OR(N(W619)&lt;=0,N(BG619)=0),0,N(W619)*IF(N(R619)/N(W619)&gt;=60,N(BG619),1))</f>
        <v/>
      </c>
      <c r="AW619" s="7">
        <f>N(W619)*N(AF619)*N(BH619)</f>
        <v/>
      </c>
      <c r="AX619" s="7">
        <f>N(AL619)*(Assumptions!$B$13*N(BJ619)-(1-Assumptions!$B$13)*Assumptions!$B$14)+N(AM619)</f>
        <v/>
      </c>
      <c r="AY619" s="7">
        <f>N(AU619)*N(R619)/90+N(AV619)+N(AW619)+N(AX619)</f>
        <v/>
      </c>
      <c r="AZ619" s="3">
        <f>IF(N(R619)&lt;=0,0,(N(AY619)-N(AX619))*90/N(R619))</f>
        <v/>
      </c>
      <c r="BA619" s="7">
        <f>IFERROR(AY619-VLOOKUP($E619,Assumptions!$A$40:$C$43,3,FALSE),"")</f>
        <v/>
      </c>
      <c r="BB619" s="3">
        <f>IFERROR(BA619/H619,"")</f>
        <v/>
      </c>
      <c r="BC619">
        <f>IF(AND($G619=TRUE,$E619="GKP"),AY619,"")</f>
        <v/>
      </c>
      <c r="BD619">
        <f>IF(AND($G619=TRUE,$E619="DEF"),AY619,"")</f>
        <v/>
      </c>
      <c r="BE619">
        <f>IF(AND($G619=TRUE,$E619="MID"),AY619,"")</f>
        <v/>
      </c>
      <c r="BF619">
        <f>IF(AND($G619=TRUE,$E619="FWD"),AY619,"")</f>
        <v/>
      </c>
      <c r="BG619" t="n">
        <v>2</v>
      </c>
      <c r="BH619" t="n">
        <v>0</v>
      </c>
      <c r="BI619" t="n">
        <v>4</v>
      </c>
      <c r="BJ619" t="n">
        <v>10</v>
      </c>
    </row>
    <row r="620">
      <c r="A620" t="inlineStr">
        <is>
          <t>Maxime Estève</t>
        </is>
      </c>
      <c r="C620" t="inlineStr">
        <is>
          <t>BUR</t>
        </is>
      </c>
      <c r="D620" t="b">
        <v>0</v>
      </c>
      <c r="F620" t="inlineStr">
        <is>
          <t>DEF</t>
        </is>
      </c>
      <c r="G620" t="b">
        <v>0</v>
      </c>
      <c r="H620" s="2" t="n"/>
      <c r="K620" s="2" t="n">
        <v>2937</v>
      </c>
      <c r="M620" s="3" t="n"/>
      <c r="N620" s="8" t="n">
        <v>2937</v>
      </c>
      <c r="O620" s="8" t="n">
        <v>0</v>
      </c>
      <c r="R620" s="6" t="n">
        <v>2937</v>
      </c>
      <c r="S620" t="inlineStr">
        <is>
          <t>25/26 actual</t>
        </is>
      </c>
      <c r="U620" s="6" t="n">
        <v>86.09999999999999</v>
      </c>
      <c r="V620" s="2" t="n">
        <v>34</v>
      </c>
      <c r="W620" s="7">
        <f>IF(N(U620)&lt;=0,0,MIN(Assumptions!$B$15,N(R620)/N(U620)))</f>
        <v/>
      </c>
      <c r="X620" s="6" t="n"/>
      <c r="Y620" s="3" t="n">
        <v>0.0201</v>
      </c>
      <c r="Z620" t="inlineStr">
        <is>
          <t>adjusted xGOT</t>
        </is>
      </c>
      <c r="AA620" s="3" t="n">
        <v>1</v>
      </c>
      <c r="AB620" s="3" t="n">
        <v>0.9</v>
      </c>
      <c r="AC620" s="3" t="n">
        <v>1</v>
      </c>
      <c r="AD620" s="3" t="n">
        <v>0.0215</v>
      </c>
      <c r="AE620" s="3" t="n">
        <v>9.744</v>
      </c>
      <c r="AF620" s="3" t="n">
        <v>0</v>
      </c>
      <c r="AG620" s="3" t="n">
        <v>0</v>
      </c>
      <c r="AH620" s="3" t="n">
        <v>67</v>
      </c>
      <c r="AI620" s="3" t="n"/>
      <c r="AJ620" s="3" t="n"/>
      <c r="AK620" s="3" t="n"/>
      <c r="AL620" s="6" t="n">
        <v>0</v>
      </c>
      <c r="AM620" s="3" t="n">
        <v>0</v>
      </c>
      <c r="AN620" s="3" t="n">
        <v>0</v>
      </c>
      <c r="AO620" s="3" t="n">
        <v>0</v>
      </c>
      <c r="AP620" s="3">
        <f>N(X620)*N(BI620)</f>
        <v/>
      </c>
      <c r="AQ620" s="3" t="n">
        <v>0</v>
      </c>
      <c r="AR620" s="3" t="n">
        <v>0</v>
      </c>
      <c r="AS620" s="3" t="n">
        <v>0</v>
      </c>
      <c r="AT620" s="3" t="n">
        <v>0</v>
      </c>
      <c r="AU620" s="3">
        <f>SUM(AN620:AT620)</f>
        <v/>
      </c>
      <c r="AV620" s="7">
        <f>IF(OR(N(W620)&lt;=0,N(BG620)=0),0,N(W620)*IF(N(R620)/N(W620)&gt;=60,N(BG620),1))</f>
        <v/>
      </c>
      <c r="AW620" s="7">
        <f>N(W620)*N(AF620)*N(BH620)</f>
        <v/>
      </c>
      <c r="AX620" s="7">
        <f>N(AL620)*(Assumptions!$B$13*N(BJ620)-(1-Assumptions!$B$13)*Assumptions!$B$14)+N(AM620)</f>
        <v/>
      </c>
      <c r="AY620" s="7">
        <f>N(AU620)*N(R620)/90+N(AV620)+N(AW620)+N(AX620)</f>
        <v/>
      </c>
      <c r="AZ620" s="3">
        <f>IF(N(R620)&lt;=0,0,(N(AY620)-N(AX620))*90/N(R620))</f>
        <v/>
      </c>
      <c r="BA620" s="7">
        <f>IFERROR(AY620-VLOOKUP($E620,Assumptions!$A$40:$C$43,3,FALSE),"")</f>
        <v/>
      </c>
      <c r="BB620" s="3">
        <f>IFERROR(BA620/H620,"")</f>
        <v/>
      </c>
      <c r="BC620">
        <f>IF(AND($G620=TRUE,$E620="GKP"),AY620,"")</f>
        <v/>
      </c>
      <c r="BD620">
        <f>IF(AND($G620=TRUE,$E620="DEF"),AY620,"")</f>
        <v/>
      </c>
      <c r="BE620">
        <f>IF(AND($G620=TRUE,$E620="MID"),AY620,"")</f>
        <v/>
      </c>
      <c r="BF620">
        <f>IF(AND($G620=TRUE,$E620="FWD"),AY620,"")</f>
        <v/>
      </c>
      <c r="BG620" t="n">
        <v>0</v>
      </c>
      <c r="BH620" t="n">
        <v>0</v>
      </c>
      <c r="BI620" t="n">
        <v>0</v>
      </c>
      <c r="BJ620" t="n">
        <v>0</v>
      </c>
    </row>
    <row r="621">
      <c r="A621" t="inlineStr">
        <is>
          <t>Hjalmar Ekdal</t>
        </is>
      </c>
      <c r="C621" t="inlineStr">
        <is>
          <t>BUR</t>
        </is>
      </c>
      <c r="D621" t="b">
        <v>0</v>
      </c>
      <c r="F621" t="inlineStr">
        <is>
          <t>DEF</t>
        </is>
      </c>
      <c r="G621" t="b">
        <v>0</v>
      </c>
      <c r="H621" s="2" t="n"/>
      <c r="K621" s="2" t="n">
        <v>1539</v>
      </c>
      <c r="M621" s="3" t="n"/>
      <c r="N621" s="8" t="n">
        <v>1539</v>
      </c>
      <c r="O621" s="8" t="n">
        <v>0</v>
      </c>
      <c r="R621" s="6" t="n">
        <v>1539</v>
      </c>
      <c r="S621" t="inlineStr">
        <is>
          <t>25/26 actual</t>
        </is>
      </c>
      <c r="U621" s="6" t="n">
        <v>88</v>
      </c>
      <c r="V621" s="2" t="n">
        <v>17</v>
      </c>
      <c r="W621" s="7">
        <f>IF(N(U621)&lt;=0,0,MIN(Assumptions!$B$15,N(R621)/N(U621)))</f>
        <v/>
      </c>
      <c r="X621" s="6" t="n"/>
      <c r="Y621" s="3" t="n">
        <v>0.0143</v>
      </c>
      <c r="Z621" t="inlineStr">
        <is>
          <t>adjusted xGOT</t>
        </is>
      </c>
      <c r="AA621" s="3" t="n">
        <v>1</v>
      </c>
      <c r="AB621" s="3" t="n">
        <v>0.975</v>
      </c>
      <c r="AC621" s="3" t="n">
        <v>0.3</v>
      </c>
      <c r="AD621" s="3" t="n">
        <v>0.0098</v>
      </c>
      <c r="AE621" s="3" t="n">
        <v>9.382</v>
      </c>
      <c r="AF621" s="3" t="n">
        <v>0</v>
      </c>
      <c r="AG621" s="3" t="n">
        <v>0.117</v>
      </c>
      <c r="AH621" s="3" t="n">
        <v>36</v>
      </c>
      <c r="AI621" s="3" t="n"/>
      <c r="AJ621" s="3" t="n"/>
      <c r="AK621" s="3" t="n"/>
      <c r="AL621" s="6" t="n">
        <v>0</v>
      </c>
      <c r="AM621" s="3" t="n">
        <v>0</v>
      </c>
      <c r="AN621" s="3" t="n">
        <v>0</v>
      </c>
      <c r="AO621" s="3" t="n">
        <v>0</v>
      </c>
      <c r="AP621" s="3">
        <f>N(X621)*N(BI621)</f>
        <v/>
      </c>
      <c r="AQ621" s="3" t="n">
        <v>0</v>
      </c>
      <c r="AR621" s="3" t="n">
        <v>0</v>
      </c>
      <c r="AS621" s="3" t="n">
        <v>0</v>
      </c>
      <c r="AT621" s="3" t="n">
        <v>0</v>
      </c>
      <c r="AU621" s="3">
        <f>SUM(AN621:AT621)</f>
        <v/>
      </c>
      <c r="AV621" s="7">
        <f>IF(OR(N(W621)&lt;=0,N(BG621)=0),0,N(W621)*IF(N(R621)/N(W621)&gt;=60,N(BG621),1))</f>
        <v/>
      </c>
      <c r="AW621" s="7">
        <f>N(W621)*N(AF621)*N(BH621)</f>
        <v/>
      </c>
      <c r="AX621" s="7">
        <f>N(AL621)*(Assumptions!$B$13*N(BJ621)-(1-Assumptions!$B$13)*Assumptions!$B$14)+N(AM621)</f>
        <v/>
      </c>
      <c r="AY621" s="7">
        <f>N(AU621)*N(R621)/90+N(AV621)+N(AW621)+N(AX621)</f>
        <v/>
      </c>
      <c r="AZ621" s="3">
        <f>IF(N(R621)&lt;=0,0,(N(AY621)-N(AX621))*90/N(R621))</f>
        <v/>
      </c>
      <c r="BA621" s="7">
        <f>IFERROR(AY621-VLOOKUP($E621,Assumptions!$A$40:$C$43,3,FALSE),"")</f>
        <v/>
      </c>
      <c r="BB621" s="3">
        <f>IFERROR(BA621/H621,"")</f>
        <v/>
      </c>
      <c r="BC621">
        <f>IF(AND($G621=TRUE,$E621="GKP"),AY621,"")</f>
        <v/>
      </c>
      <c r="BD621">
        <f>IF(AND($G621=TRUE,$E621="DEF"),AY621,"")</f>
        <v/>
      </c>
      <c r="BE621">
        <f>IF(AND($G621=TRUE,$E621="MID"),AY621,"")</f>
        <v/>
      </c>
      <c r="BF621">
        <f>IF(AND($G621=TRUE,$E621="FWD"),AY621,"")</f>
        <v/>
      </c>
      <c r="BG621" t="n">
        <v>0</v>
      </c>
      <c r="BH621" t="n">
        <v>0</v>
      </c>
      <c r="BI621" t="n">
        <v>0</v>
      </c>
      <c r="BJ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s="8" t="n">
        <v>948</v>
      </c>
      <c r="O622" s="8" t="n">
        <v>0</v>
      </c>
      <c r="Q622" t="inlineStr">
        <is>
          <t>flat</t>
        </is>
      </c>
      <c r="R622" s="6" t="n">
        <v>948</v>
      </c>
      <c r="S622" t="inlineStr">
        <is>
          <t>Solio</t>
        </is>
      </c>
      <c r="U622" s="6" t="n">
        <v>85</v>
      </c>
      <c r="V622" s="2" t="n"/>
      <c r="W622" s="7">
        <f>IF(N(U622)&lt;=0,0,MIN(Assumptions!$B$15,N(R622)/N(U622)))</f>
        <v/>
      </c>
      <c r="X622" s="6" t="n">
        <v>0.17</v>
      </c>
      <c r="Y622" s="3" t="n"/>
      <c r="Z622" t="inlineStr"/>
      <c r="AA622" s="3" t="n">
        <v>1</v>
      </c>
      <c r="AB622" s="3" t="n"/>
      <c r="AC622" s="3" t="n"/>
      <c r="AD622" s="3" t="n"/>
      <c r="AE622" s="3" t="n"/>
      <c r="AF622" s="3" t="n">
        <v>0</v>
      </c>
      <c r="AG622" s="3" t="n"/>
      <c r="AH622" s="3" t="n"/>
      <c r="AI622" s="3" t="n">
        <v>3.6194</v>
      </c>
      <c r="AJ622" s="3" t="n">
        <v>1.8271</v>
      </c>
      <c r="AK622" s="3" t="n">
        <v>-0.2160434166173144</v>
      </c>
      <c r="AL622" s="6" t="n">
        <v>0</v>
      </c>
      <c r="AM622" s="3" t="n">
        <v>0</v>
      </c>
      <c r="AN622" s="3" t="n">
        <v>0</v>
      </c>
      <c r="AO622" s="3" t="n">
        <v>0</v>
      </c>
      <c r="AP622" s="3">
        <f>N(X622)*N(BI622)</f>
        <v/>
      </c>
      <c r="AQ622" s="3" t="n">
        <v>0</v>
      </c>
      <c r="AR622" s="3" t="n">
        <v>0</v>
      </c>
      <c r="AS622" s="3" t="n">
        <v>-0</v>
      </c>
      <c r="AT622" s="3" t="n">
        <v>-0.2160434166173144</v>
      </c>
      <c r="AU622" s="3">
        <f>SUM(AN622:AT622)</f>
        <v/>
      </c>
      <c r="AV622" s="7">
        <f>IF(OR(N(W622)&lt;=0,N(BG622)=0),0,N(W622)*IF(N(R622)/N(W622)&gt;=60,N(BG622),1))</f>
        <v/>
      </c>
      <c r="AW622" s="7">
        <f>N(W622)*N(AF622)*N(BH622)</f>
        <v/>
      </c>
      <c r="AX622" s="7">
        <f>N(AL622)*(Assumptions!$B$13*N(BJ622)-(1-Assumptions!$B$13)*Assumptions!$B$14)+N(AM622)</f>
        <v/>
      </c>
      <c r="AY622" s="7">
        <f>N(AU622)*N(R622)/90+N(AV622)+N(AW622)+N(AX622)</f>
        <v/>
      </c>
      <c r="AZ622" s="3">
        <f>IF(N(R622)&lt;=0,0,(N(AY622)-N(AX622))*90/N(R622))</f>
        <v/>
      </c>
      <c r="BA622" s="7">
        <f>IFERROR(AY622-VLOOKUP($E622,Assumptions!$A$40:$C$43,3,FALSE),"")</f>
        <v/>
      </c>
      <c r="BB622" s="3">
        <f>IFERROR(BA622/H622,"")</f>
        <v/>
      </c>
      <c r="BC622">
        <f>IF(AND($G622=TRUE,$E622="GKP"),AY622,"")</f>
        <v/>
      </c>
      <c r="BD622">
        <f>IF(AND($G622=TRUE,$E622="DEF"),AY622,"")</f>
        <v/>
      </c>
      <c r="BE622">
        <f>IF(AND($G622=TRUE,$E622="MID"),AY622,"")</f>
        <v/>
      </c>
      <c r="BF622">
        <f>IF(AND($G622=TRUE,$E622="FWD"),AY622,"")</f>
        <v/>
      </c>
      <c r="BG622" t="n">
        <v>2</v>
      </c>
      <c r="BH622" t="n">
        <v>2</v>
      </c>
      <c r="BI622" t="n">
        <v>1</v>
      </c>
      <c r="BJ622" t="n">
        <v>5</v>
      </c>
    </row>
    <row r="623">
      <c r="A623" t="inlineStr">
        <is>
          <t>Jaden Philogene</t>
        </is>
      </c>
      <c r="B623" t="inlineStr">
        <is>
          <t>IPS</t>
        </is>
      </c>
      <c r="D623" t="b">
        <v>0</v>
      </c>
      <c r="E623" t="inlineStr">
        <is>
          <t>MID</t>
        </is>
      </c>
      <c r="G623" t="b">
        <v>1</v>
      </c>
      <c r="H623" s="2" t="n">
        <v>5.5</v>
      </c>
      <c r="I623" t="inlineStr">
        <is>
          <t>a</t>
        </is>
      </c>
      <c r="K623" s="2" t="n"/>
      <c r="M623" s="3" t="n">
        <v>958</v>
      </c>
      <c r="N623" s="8" t="n">
        <v>958</v>
      </c>
      <c r="O623" s="8" t="n">
        <v>0</v>
      </c>
      <c r="Q623" t="inlineStr">
        <is>
          <t>flat</t>
        </is>
      </c>
      <c r="R623" s="6" t="n">
        <v>958</v>
      </c>
      <c r="S623" t="inlineStr">
        <is>
          <t>Solio</t>
        </is>
      </c>
      <c r="U623" s="6" t="n">
        <v>85</v>
      </c>
      <c r="V623" s="2" t="n"/>
      <c r="W623" s="7">
        <f>IF(N(U623)&lt;=0,0,MIN(Assumptions!$B$15,N(R623)/N(U623)))</f>
        <v/>
      </c>
      <c r="X623" s="6" t="n">
        <v>0.17</v>
      </c>
      <c r="Y623" s="3" t="n"/>
      <c r="Z623" t="inlineStr"/>
      <c r="AA623" s="3" t="n">
        <v>1</v>
      </c>
      <c r="AB623" s="3" t="n"/>
      <c r="AC623" s="3" t="n"/>
      <c r="AD623" s="3" t="n"/>
      <c r="AE623" s="3" t="n"/>
      <c r="AF623" s="3" t="n">
        <v>0</v>
      </c>
      <c r="AG623" s="3" t="n"/>
      <c r="AH623" s="3" t="n"/>
      <c r="AI623" s="3" t="n">
        <v>3.5741</v>
      </c>
      <c r="AJ623" s="3" t="n">
        <v>1.8319</v>
      </c>
      <c r="AK623" s="3" t="n">
        <v>-0.250712540920903</v>
      </c>
      <c r="AL623" s="6" t="n">
        <v>0.1719394686876215</v>
      </c>
      <c r="AM623" s="3" t="n">
        <v>0</v>
      </c>
      <c r="AN623" s="3" t="n">
        <v>0</v>
      </c>
      <c r="AO623" s="3" t="n">
        <v>0</v>
      </c>
      <c r="AP623" s="3">
        <f>N(X623)*N(BI623)</f>
        <v/>
      </c>
      <c r="AQ623" s="3" t="n">
        <v>0</v>
      </c>
      <c r="AR623" s="3" t="n">
        <v>0</v>
      </c>
      <c r="AS623" s="3" t="n">
        <v>-0</v>
      </c>
      <c r="AT623" s="3" t="n">
        <v>-0.250712540920903</v>
      </c>
      <c r="AU623" s="3">
        <f>SUM(AN623:AT623)</f>
        <v/>
      </c>
      <c r="AV623" s="7">
        <f>IF(OR(N(W623)&lt;=0,N(BG623)=0),0,N(W623)*IF(N(R623)/N(W623)&gt;=60,N(BG623),1))</f>
        <v/>
      </c>
      <c r="AW623" s="7">
        <f>N(W623)*N(AF623)*N(BH623)</f>
        <v/>
      </c>
      <c r="AX623" s="7">
        <f>N(AL623)*(Assumptions!$B$13*N(BJ623)-(1-Assumptions!$B$13)*Assumptions!$B$14)+N(AM623)</f>
        <v/>
      </c>
      <c r="AY623" s="7">
        <f>N(AU623)*N(R623)/90+N(AV623)+N(AW623)+N(AX623)</f>
        <v/>
      </c>
      <c r="AZ623" s="3">
        <f>IF(N(R623)&lt;=0,0,(N(AY623)-N(AX623))*90/N(R623))</f>
        <v/>
      </c>
      <c r="BA623" s="7">
        <f>IFERROR(AY623-VLOOKUP($E623,Assumptions!$A$40:$C$43,3,FALSE),"")</f>
        <v/>
      </c>
      <c r="BB623" s="3">
        <f>IFERROR(BA623/H623,"")</f>
        <v/>
      </c>
      <c r="BC623">
        <f>IF(AND($G623=TRUE,$E623="GKP"),AY623,"")</f>
        <v/>
      </c>
      <c r="BD623">
        <f>IF(AND($G623=TRUE,$E623="DEF"),AY623,"")</f>
        <v/>
      </c>
      <c r="BE623">
        <f>IF(AND($G623=TRUE,$E623="MID"),AY623,"")</f>
        <v/>
      </c>
      <c r="BF623">
        <f>IF(AND($G623=TRUE,$E623="FWD"),AY623,"")</f>
        <v/>
      </c>
      <c r="BG623" t="n">
        <v>2</v>
      </c>
      <c r="BH623" t="n">
        <v>2</v>
      </c>
      <c r="BI623" t="n">
        <v>1</v>
      </c>
      <c r="BJ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s="4" t="n">
        <v>2900</v>
      </c>
      <c r="O624" s="4" t="n">
        <v>-275</v>
      </c>
      <c r="P624" s="5" t="inlineStr">
        <is>
          <t>medium</t>
        </is>
      </c>
      <c r="Q624" t="inlineStr">
        <is>
          <t>flat</t>
        </is>
      </c>
      <c r="R624" s="6" t="n">
        <v>2900</v>
      </c>
      <c r="S624" t="inlineStr">
        <is>
          <t>research</t>
        </is>
      </c>
      <c r="T624" s="5" t="inlineStr">
        <is>
          <t>Confirming the brief's open question: the minutes are broadly real. This is Antonio Silva, signed from Benfica on 1 Aug 2026 for c.GBP 25.7m as the direct replacement for Marcos Senesi, and he started the final pre-season friendly at centre-back. Trimmed only modestly, for the same three-into-two centre-back competition and Europa League rotation as Hill, plus the settling-in risk of a defender arriving three weeks before the opener with no Premier League record.</t>
        </is>
      </c>
      <c r="U624" s="6" t="n">
        <v>85</v>
      </c>
      <c r="V624" s="2" t="n"/>
      <c r="W624" s="7">
        <f>IF(N(U624)&lt;=0,0,MIN(Assumptions!$B$15,N(R624)/N(U624)))</f>
        <v/>
      </c>
      <c r="X624" s="6" t="n">
        <v>0.23</v>
      </c>
      <c r="Y624" s="3" t="n"/>
      <c r="Z624" t="inlineStr"/>
      <c r="AA624" s="3" t="n">
        <v>1</v>
      </c>
      <c r="AB624" s="3" t="n"/>
      <c r="AC624" s="3" t="n"/>
      <c r="AD624" s="3" t="n"/>
      <c r="AE624" s="3" t="n"/>
      <c r="AF624" s="3" t="n">
        <v>0</v>
      </c>
      <c r="AG624" s="3" t="n"/>
      <c r="AH624" s="3" t="n"/>
      <c r="AI624" s="3" t="n">
        <v>3.0957</v>
      </c>
      <c r="AJ624" s="3" t="n">
        <v>1.53</v>
      </c>
      <c r="AK624" s="3" t="n">
        <v>-0.2045226422080557</v>
      </c>
      <c r="AL624" s="6" t="n">
        <v>0</v>
      </c>
      <c r="AM624" s="3" t="n">
        <v>0</v>
      </c>
      <c r="AN624" s="3" t="n">
        <v>0</v>
      </c>
      <c r="AO624" s="3" t="n">
        <v>0</v>
      </c>
      <c r="AP624" s="3">
        <f>N(X624)*N(BI624)</f>
        <v/>
      </c>
      <c r="AQ624" s="3" t="n">
        <v>0</v>
      </c>
      <c r="AR624" s="3" t="n">
        <v>0</v>
      </c>
      <c r="AS624" s="3" t="n">
        <v>-0.5267219238049191</v>
      </c>
      <c r="AT624" s="3" t="n">
        <v>-0.2045226422080557</v>
      </c>
      <c r="AU624" s="3">
        <f>SUM(AN624:AT624)</f>
        <v/>
      </c>
      <c r="AV624" s="7">
        <f>IF(OR(N(W624)&lt;=0,N(BG624)=0),0,N(W624)*IF(N(R624)/N(W624)&gt;=60,N(BG624),1))</f>
        <v/>
      </c>
      <c r="AW624" s="7">
        <f>N(W624)*N(AF624)*N(BH624)</f>
        <v/>
      </c>
      <c r="AX624" s="7">
        <f>N(AL624)*(Assumptions!$B$13*N(BJ624)-(1-Assumptions!$B$13)*Assumptions!$B$14)+N(AM624)</f>
        <v/>
      </c>
      <c r="AY624" s="7">
        <f>N(AU624)*N(R624)/90+N(AV624)+N(AW624)+N(AX624)</f>
        <v/>
      </c>
      <c r="AZ624" s="3">
        <f>IF(N(R624)&lt;=0,0,(N(AY624)-N(AX624))*90/N(R624))</f>
        <v/>
      </c>
      <c r="BA624" s="7">
        <f>IFERROR(AY624-VLOOKUP($E624,Assumptions!$A$40:$C$43,3,FALSE),"")</f>
        <v/>
      </c>
      <c r="BB624" s="3">
        <f>IFERROR(BA624/H624,"")</f>
        <v/>
      </c>
      <c r="BC624">
        <f>IF(AND($G624=TRUE,$E624="GKP"),AY624,"")</f>
        <v/>
      </c>
      <c r="BD624">
        <f>IF(AND($G624=TRUE,$E624="DEF"),AY624,"")</f>
        <v/>
      </c>
      <c r="BE624">
        <f>IF(AND($G624=TRUE,$E624="MID"),AY624,"")</f>
        <v/>
      </c>
      <c r="BF624">
        <f>IF(AND($G624=TRUE,$E624="FWD"),AY624,"")</f>
        <v/>
      </c>
      <c r="BG624" t="n">
        <v>2</v>
      </c>
      <c r="BH624" t="n">
        <v>2</v>
      </c>
      <c r="BI624" t="n">
        <v>4</v>
      </c>
      <c r="BJ624" t="n">
        <v>6</v>
      </c>
    </row>
    <row r="625">
      <c r="A625" t="inlineStr">
        <is>
          <t>Rodrigo Gomes</t>
        </is>
      </c>
      <c r="C625" t="inlineStr">
        <is>
          <t>WOL</t>
        </is>
      </c>
      <c r="D625" t="b">
        <v>0</v>
      </c>
      <c r="F625" t="inlineStr">
        <is>
          <t>DEF</t>
        </is>
      </c>
      <c r="G625" t="b">
        <v>0</v>
      </c>
      <c r="H625" s="2" t="n"/>
      <c r="K625" s="2" t="n">
        <v>960</v>
      </c>
      <c r="M625" s="3" t="n"/>
      <c r="N625" s="8" t="n">
        <v>960</v>
      </c>
      <c r="O625" s="8" t="n">
        <v>0</v>
      </c>
      <c r="R625" s="6" t="n">
        <v>960</v>
      </c>
      <c r="S625" t="inlineStr">
        <is>
          <t>25/26 actual</t>
        </is>
      </c>
      <c r="U625" s="6" t="n">
        <v>79.3</v>
      </c>
      <c r="V625" s="2" t="n">
        <v>9</v>
      </c>
      <c r="W625" s="7">
        <f>IF(N(U625)&lt;=0,0,MIN(Assumptions!$B$15,N(R625)/N(U625)))</f>
        <v/>
      </c>
      <c r="X625" s="6" t="n"/>
      <c r="Y625" s="3" t="n">
        <v>0.1877</v>
      </c>
      <c r="Z625" t="inlineStr">
        <is>
          <t>adjusted xGOT</t>
        </is>
      </c>
      <c r="AA625" s="3" t="n">
        <v>1</v>
      </c>
      <c r="AB625" s="3" t="n">
        <v>0.9399999999999999</v>
      </c>
      <c r="AC625" s="3" t="n">
        <v>2.8</v>
      </c>
      <c r="AD625" s="3" t="n">
        <v>0.0142</v>
      </c>
      <c r="AE625" s="3" t="n">
        <v>5.725</v>
      </c>
      <c r="AF625" s="3" t="n">
        <v>0</v>
      </c>
      <c r="AG625" s="3" t="n">
        <v>0</v>
      </c>
      <c r="AH625" s="3" t="n">
        <v>29</v>
      </c>
      <c r="AI625" s="3" t="n"/>
      <c r="AJ625" s="3" t="n"/>
      <c r="AK625" s="3" t="n"/>
      <c r="AL625" s="6" t="n">
        <v>0</v>
      </c>
      <c r="AM625" s="3" t="n">
        <v>0</v>
      </c>
      <c r="AN625" s="3" t="n">
        <v>0</v>
      </c>
      <c r="AO625" s="3" t="n">
        <v>0</v>
      </c>
      <c r="AP625" s="3">
        <f>N(X625)*N(BI625)</f>
        <v/>
      </c>
      <c r="AQ625" s="3" t="n">
        <v>0</v>
      </c>
      <c r="AR625" s="3" t="n">
        <v>0</v>
      </c>
      <c r="AS625" s="3" t="n">
        <v>0</v>
      </c>
      <c r="AT625" s="3" t="n">
        <v>0</v>
      </c>
      <c r="AU625" s="3">
        <f>SUM(AN625:AT625)</f>
        <v/>
      </c>
      <c r="AV625" s="7">
        <f>IF(OR(N(W625)&lt;=0,N(BG625)=0),0,N(W625)*IF(N(R625)/N(W625)&gt;=60,N(BG625),1))</f>
        <v/>
      </c>
      <c r="AW625" s="7">
        <f>N(W625)*N(AF625)*N(BH625)</f>
        <v/>
      </c>
      <c r="AX625" s="7">
        <f>N(AL625)*(Assumptions!$B$13*N(BJ625)-(1-Assumptions!$B$13)*Assumptions!$B$14)+N(AM625)</f>
        <v/>
      </c>
      <c r="AY625" s="7">
        <f>N(AU625)*N(R625)/90+N(AV625)+N(AW625)+N(AX625)</f>
        <v/>
      </c>
      <c r="AZ625" s="3">
        <f>IF(N(R625)&lt;=0,0,(N(AY625)-N(AX625))*90/N(R625))</f>
        <v/>
      </c>
      <c r="BA625" s="7">
        <f>IFERROR(AY625-VLOOKUP($E625,Assumptions!$A$40:$C$43,3,FALSE),"")</f>
        <v/>
      </c>
      <c r="BB625" s="3">
        <f>IFERROR(BA625/H625,"")</f>
        <v/>
      </c>
      <c r="BC625">
        <f>IF(AND($G625=TRUE,$E625="GKP"),AY625,"")</f>
        <v/>
      </c>
      <c r="BD625">
        <f>IF(AND($G625=TRUE,$E625="DEF"),AY625,"")</f>
        <v/>
      </c>
      <c r="BE625">
        <f>IF(AND($G625=TRUE,$E625="MID"),AY625,"")</f>
        <v/>
      </c>
      <c r="BF625">
        <f>IF(AND($G625=TRUE,$E625="FWD"),AY625,"")</f>
        <v/>
      </c>
      <c r="BG625" t="n">
        <v>0</v>
      </c>
      <c r="BH625" t="n">
        <v>0</v>
      </c>
      <c r="BI625" t="n">
        <v>0</v>
      </c>
      <c r="BJ625" t="n">
        <v>0</v>
      </c>
    </row>
    <row r="626">
      <c r="A626" t="inlineStr">
        <is>
          <t>Oliver Dovin</t>
        </is>
      </c>
      <c r="B626" t="inlineStr">
        <is>
          <t>COV</t>
        </is>
      </c>
      <c r="D626" t="b">
        <v>0</v>
      </c>
      <c r="E626" t="inlineStr">
        <is>
          <t>GKP</t>
        </is>
      </c>
      <c r="G626" t="b">
        <v>1</v>
      </c>
      <c r="H626" s="2" t="n">
        <v>4</v>
      </c>
      <c r="I626" t="inlineStr">
        <is>
          <t>a</t>
        </is>
      </c>
      <c r="K626" s="2" t="n"/>
      <c r="M626" s="3" t="n">
        <v>0</v>
      </c>
      <c r="N626" s="8" t="n">
        <v>0</v>
      </c>
      <c r="O626" s="8" t="n">
        <v>0</v>
      </c>
      <c r="Q626" t="inlineStr">
        <is>
          <t>flat</t>
        </is>
      </c>
      <c r="R626" s="6" t="n">
        <v>0</v>
      </c>
      <c r="S626" t="inlineStr">
        <is>
          <t>Solio</t>
        </is>
      </c>
      <c r="U626" s="6" t="n">
        <v>85</v>
      </c>
      <c r="V626" s="2" t="n"/>
      <c r="W626" s="7">
        <f>IF(N(U626)&lt;=0,0,MIN(Assumptions!$B$15,N(R626)/N(U626)))</f>
        <v/>
      </c>
      <c r="X626" s="6" t="n">
        <v>0.17</v>
      </c>
      <c r="Y626" s="3" t="n"/>
      <c r="Z626" t="inlineStr"/>
      <c r="AA626" s="3" t="n">
        <v>1</v>
      </c>
      <c r="AB626" s="3" t="n"/>
      <c r="AC626" s="3" t="n"/>
      <c r="AD626" s="3" t="n"/>
      <c r="AE626" s="3" t="n">
        <v>0</v>
      </c>
      <c r="AF626" s="3" t="n">
        <v>0</v>
      </c>
      <c r="AG626" s="3" t="n"/>
      <c r="AH626" s="3" t="n"/>
      <c r="AI626" s="3" t="n">
        <v>3.6194</v>
      </c>
      <c r="AJ626" s="3" t="n">
        <v>1.8271</v>
      </c>
      <c r="AK626" s="3" t="n">
        <v>-0.0763216474948735</v>
      </c>
      <c r="AL626" s="6" t="n">
        <v>0</v>
      </c>
      <c r="AM626" s="3" t="n">
        <v>0</v>
      </c>
      <c r="AN626" s="3" t="n">
        <v>0</v>
      </c>
      <c r="AO626" s="3" t="n">
        <v>0</v>
      </c>
      <c r="AP626" s="3">
        <f>N(X626)*N(BI626)</f>
        <v/>
      </c>
      <c r="AQ626" s="3" t="n">
        <v>0</v>
      </c>
      <c r="AR626" s="3" t="n">
        <v>0.8716770173844571</v>
      </c>
      <c r="AS626" s="3" t="n">
        <v>-0.670020548738316</v>
      </c>
      <c r="AT626" s="3" t="n">
        <v>-0.0763216474948735</v>
      </c>
      <c r="AU626" s="3">
        <f>SUM(AN626:AT626)</f>
        <v/>
      </c>
      <c r="AV626" s="7">
        <f>IF(OR(N(W626)&lt;=0,N(BG626)=0),0,N(W626)*IF(N(R626)/N(W626)&gt;=60,N(BG626),1))</f>
        <v/>
      </c>
      <c r="AW626" s="7">
        <f>N(W626)*N(AF626)*N(BH626)</f>
        <v/>
      </c>
      <c r="AX626" s="7">
        <f>N(AL626)*(Assumptions!$B$13*N(BJ626)-(1-Assumptions!$B$13)*Assumptions!$B$14)+N(AM626)</f>
        <v/>
      </c>
      <c r="AY626" s="7">
        <f>N(AU626)*N(R626)/90+N(AV626)+N(AW626)+N(AX626)</f>
        <v/>
      </c>
      <c r="AZ626" s="3">
        <f>IF(N(R626)&lt;=0,0,(N(AY626)-N(AX626))*90/N(R626))</f>
        <v/>
      </c>
      <c r="BA626" s="7">
        <f>IFERROR(AY626-VLOOKUP($E626,Assumptions!$A$40:$C$43,3,FALSE),"")</f>
        <v/>
      </c>
      <c r="BB626" s="3">
        <f>IFERROR(BA626/H626,"")</f>
        <v/>
      </c>
      <c r="BC626">
        <f>IF(AND($G626=TRUE,$E626="GKP"),AY626,"")</f>
        <v/>
      </c>
      <c r="BD626">
        <f>IF(AND($G626=TRUE,$E626="DEF"),AY626,"")</f>
        <v/>
      </c>
      <c r="BE626">
        <f>IF(AND($G626=TRUE,$E626="MID"),AY626,"")</f>
        <v/>
      </c>
      <c r="BF626">
        <f>IF(AND($G626=TRUE,$E626="FWD"),AY626,"")</f>
        <v/>
      </c>
      <c r="BG626" t="n">
        <v>2</v>
      </c>
      <c r="BH626" t="n">
        <v>0</v>
      </c>
      <c r="BI626" t="n">
        <v>4</v>
      </c>
      <c r="BJ626" t="n">
        <v>10</v>
      </c>
    </row>
    <row r="627">
      <c r="A627" t="inlineStr">
        <is>
          <t>Tolu Arokodare</t>
        </is>
      </c>
      <c r="C627" t="inlineStr">
        <is>
          <t>WOL</t>
        </is>
      </c>
      <c r="D627" t="b">
        <v>0</v>
      </c>
      <c r="F627" t="inlineStr">
        <is>
          <t>FWD</t>
        </is>
      </c>
      <c r="G627" t="b">
        <v>0</v>
      </c>
      <c r="H627" s="2" t="n"/>
      <c r="K627" s="2" t="n">
        <v>1407</v>
      </c>
      <c r="M627" s="3" t="n"/>
      <c r="N627" s="8" t="n">
        <v>1407</v>
      </c>
      <c r="O627" s="8" t="n">
        <v>0</v>
      </c>
      <c r="R627" s="6" t="n">
        <v>1407</v>
      </c>
      <c r="S627" t="inlineStr">
        <is>
          <t>25/26 actual</t>
        </is>
      </c>
      <c r="U627" s="6" t="n">
        <v>80.40000000000001</v>
      </c>
      <c r="V627" s="2" t="n">
        <v>13</v>
      </c>
      <c r="W627" s="7">
        <f>IF(N(U627)&lt;=0,0,MIN(Assumptions!$B$15,N(R627)/N(U627)))</f>
        <v/>
      </c>
      <c r="X627" s="6" t="n"/>
      <c r="Y627" s="3" t="n">
        <v>0.2804</v>
      </c>
      <c r="Z627" t="inlineStr">
        <is>
          <t>adjusted xGOT</t>
        </is>
      </c>
      <c r="AA627" s="3" t="n">
        <v>0.898</v>
      </c>
      <c r="AB627" s="3" t="n">
        <v>0.89</v>
      </c>
      <c r="AC627" s="3" t="n">
        <v>5.5</v>
      </c>
      <c r="AD627" s="3" t="n">
        <v>0.0742</v>
      </c>
      <c r="AE627" s="3" t="n">
        <v>5.147</v>
      </c>
      <c r="AF627" s="3" t="n">
        <v>0</v>
      </c>
      <c r="AG627" s="3" t="n">
        <v>0.3198</v>
      </c>
      <c r="AH627" s="3" t="n">
        <v>47</v>
      </c>
      <c r="AI627" s="3" t="n"/>
      <c r="AJ627" s="3" t="n"/>
      <c r="AK627" s="3" t="n"/>
      <c r="AL627" s="6" t="n">
        <v>0</v>
      </c>
      <c r="AM627" s="3" t="n">
        <v>0</v>
      </c>
      <c r="AN627" s="3" t="n">
        <v>0</v>
      </c>
      <c r="AO627" s="3" t="n">
        <v>0</v>
      </c>
      <c r="AP627" s="3">
        <f>N(X627)*N(BI627)</f>
        <v/>
      </c>
      <c r="AQ627" s="3" t="n">
        <v>0</v>
      </c>
      <c r="AR627" s="3" t="n">
        <v>0</v>
      </c>
      <c r="AS627" s="3" t="n">
        <v>0</v>
      </c>
      <c r="AT627" s="3" t="n">
        <v>0</v>
      </c>
      <c r="AU627" s="3">
        <f>SUM(AN627:AT627)</f>
        <v/>
      </c>
      <c r="AV627" s="7">
        <f>IF(OR(N(W627)&lt;=0,N(BG627)=0),0,N(W627)*IF(N(R627)/N(W627)&gt;=60,N(BG627),1))</f>
        <v/>
      </c>
      <c r="AW627" s="7">
        <f>N(W627)*N(AF627)*N(BH627)</f>
        <v/>
      </c>
      <c r="AX627" s="7">
        <f>N(AL627)*(Assumptions!$B$13*N(BJ627)-(1-Assumptions!$B$13)*Assumptions!$B$14)+N(AM627)</f>
        <v/>
      </c>
      <c r="AY627" s="7">
        <f>N(AU627)*N(R627)/90+N(AV627)+N(AW627)+N(AX627)</f>
        <v/>
      </c>
      <c r="AZ627" s="3">
        <f>IF(N(R627)&lt;=0,0,(N(AY627)-N(AX627))*90/N(R627))</f>
        <v/>
      </c>
      <c r="BA627" s="7">
        <f>IFERROR(AY627-VLOOKUP($E627,Assumptions!$A$40:$C$43,3,FALSE),"")</f>
        <v/>
      </c>
      <c r="BB627" s="3">
        <f>IFERROR(BA627/H627,"")</f>
        <v/>
      </c>
      <c r="BC627">
        <f>IF(AND($G627=TRUE,$E627="GKP"),AY627,"")</f>
        <v/>
      </c>
      <c r="BD627">
        <f>IF(AND($G627=TRUE,$E627="DEF"),AY627,"")</f>
        <v/>
      </c>
      <c r="BE627">
        <f>IF(AND($G627=TRUE,$E627="MID"),AY627,"")</f>
        <v/>
      </c>
      <c r="BF627">
        <f>IF(AND($G627=TRUE,$E627="FWD"),AY627,"")</f>
        <v/>
      </c>
      <c r="BG627" t="n">
        <v>0</v>
      </c>
      <c r="BH627" t="n">
        <v>0</v>
      </c>
      <c r="BI627" t="n">
        <v>0</v>
      </c>
      <c r="BJ627" t="n">
        <v>0</v>
      </c>
    </row>
    <row r="628">
      <c r="A628" t="inlineStr">
        <is>
          <t>Freddie Potts</t>
        </is>
      </c>
      <c r="C628" t="inlineStr">
        <is>
          <t>WHU</t>
        </is>
      </c>
      <c r="D628" t="b">
        <v>0</v>
      </c>
      <c r="F628" t="inlineStr">
        <is>
          <t>MID</t>
        </is>
      </c>
      <c r="G628" t="b">
        <v>0</v>
      </c>
      <c r="H628" s="2" t="n"/>
      <c r="K628" s="2" t="n">
        <v>1167</v>
      </c>
      <c r="M628" s="3" t="n"/>
      <c r="N628" s="8" t="n">
        <v>1167</v>
      </c>
      <c r="O628" s="8" t="n">
        <v>0</v>
      </c>
      <c r="R628" s="6" t="n">
        <v>1167</v>
      </c>
      <c r="S628" t="inlineStr">
        <is>
          <t>25/26 actual</t>
        </is>
      </c>
      <c r="U628" s="6" t="n">
        <v>78.40000000000001</v>
      </c>
      <c r="V628" s="2" t="n">
        <v>12</v>
      </c>
      <c r="W628" s="7">
        <f>IF(N(U628)&lt;=0,0,MIN(Assumptions!$B$15,N(R628)/N(U628)))</f>
        <v/>
      </c>
      <c r="X628" s="6" t="n"/>
      <c r="Y628" s="3" t="n">
        <v>0.0167</v>
      </c>
      <c r="Z628" t="inlineStr">
        <is>
          <t>adjusted xGOT</t>
        </is>
      </c>
      <c r="AA628" s="3" t="n">
        <v>1</v>
      </c>
      <c r="AB628" s="3" t="n">
        <v>1.035</v>
      </c>
      <c r="AC628" s="3" t="n">
        <v>0.2</v>
      </c>
      <c r="AD628" s="3" t="n">
        <v>0.0931</v>
      </c>
      <c r="AE628" s="3" t="n">
        <v>8.972</v>
      </c>
      <c r="AF628" s="3" t="n">
        <v>0</v>
      </c>
      <c r="AG628" s="3" t="n">
        <v>0</v>
      </c>
      <c r="AH628" s="3" t="n">
        <v>32</v>
      </c>
      <c r="AI628" s="3" t="n"/>
      <c r="AJ628" s="3" t="n"/>
      <c r="AK628" s="3" t="n"/>
      <c r="AL628" s="6" t="n">
        <v>0</v>
      </c>
      <c r="AM628" s="3" t="n">
        <v>0</v>
      </c>
      <c r="AN628" s="3" t="n">
        <v>0</v>
      </c>
      <c r="AO628" s="3" t="n">
        <v>0</v>
      </c>
      <c r="AP628" s="3">
        <f>N(X628)*N(BI628)</f>
        <v/>
      </c>
      <c r="AQ628" s="3" t="n">
        <v>0</v>
      </c>
      <c r="AR628" s="3" t="n">
        <v>0</v>
      </c>
      <c r="AS628" s="3" t="n">
        <v>0</v>
      </c>
      <c r="AT628" s="3" t="n">
        <v>0</v>
      </c>
      <c r="AU628" s="3">
        <f>SUM(AN628:AT628)</f>
        <v/>
      </c>
      <c r="AV628" s="7">
        <f>IF(OR(N(W628)&lt;=0,N(BG628)=0),0,N(W628)*IF(N(R628)/N(W628)&gt;=60,N(BG628),1))</f>
        <v/>
      </c>
      <c r="AW628" s="7">
        <f>N(W628)*N(AF628)*N(BH628)</f>
        <v/>
      </c>
      <c r="AX628" s="7">
        <f>N(AL628)*(Assumptions!$B$13*N(BJ628)-(1-Assumptions!$B$13)*Assumptions!$B$14)+N(AM628)</f>
        <v/>
      </c>
      <c r="AY628" s="7">
        <f>N(AU628)*N(R628)/90+N(AV628)+N(AW628)+N(AX628)</f>
        <v/>
      </c>
      <c r="AZ628" s="3">
        <f>IF(N(R628)&lt;=0,0,(N(AY628)-N(AX628))*90/N(R628))</f>
        <v/>
      </c>
      <c r="BA628" s="7">
        <f>IFERROR(AY628-VLOOKUP($E628,Assumptions!$A$40:$C$43,3,FALSE),"")</f>
        <v/>
      </c>
      <c r="BB628" s="3">
        <f>IFERROR(BA628/H628,"")</f>
        <v/>
      </c>
      <c r="BC628">
        <f>IF(AND($G628=TRUE,$E628="GKP"),AY628,"")</f>
        <v/>
      </c>
      <c r="BD628">
        <f>IF(AND($G628=TRUE,$E628="DEF"),AY628,"")</f>
        <v/>
      </c>
      <c r="BE628">
        <f>IF(AND($G628=TRUE,$E628="MID"),AY628,"")</f>
        <v/>
      </c>
      <c r="BF628">
        <f>IF(AND($G628=TRUE,$E628="FWD"),AY628,"")</f>
        <v/>
      </c>
      <c r="BG628" t="n">
        <v>0</v>
      </c>
      <c r="BH628" t="n">
        <v>0</v>
      </c>
      <c r="BI628" t="n">
        <v>0</v>
      </c>
      <c r="BJ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N629" s="8" t="n"/>
      <c r="O629" s="8" t="n"/>
      <c r="R629" s="6" t="n"/>
      <c r="S629" t="inlineStr"/>
      <c r="U629" s="6" t="n">
        <v>85</v>
      </c>
      <c r="V629" s="2" t="n"/>
      <c r="W629" s="7">
        <f>IF(N(U629)&lt;=0,0,MIN(Assumptions!$B$15,N(R629)/N(U629)))</f>
        <v/>
      </c>
      <c r="X629" s="6" t="n">
        <v>0.143</v>
      </c>
      <c r="Y629" s="3" t="n"/>
      <c r="Z629" t="inlineStr"/>
      <c r="AA629" s="3" t="n">
        <v>1</v>
      </c>
      <c r="AB629" s="3" t="n"/>
      <c r="AC629" s="3" t="n"/>
      <c r="AD629" s="3" t="n"/>
      <c r="AE629" s="3" t="n"/>
      <c r="AF629" s="3" t="n">
        <v>0</v>
      </c>
      <c r="AG629" s="3" t="n"/>
      <c r="AH629" s="3" t="n"/>
      <c r="AI629" s="3" t="n">
        <v>3.9421</v>
      </c>
      <c r="AJ629" s="3" t="n">
        <v>1.99</v>
      </c>
      <c r="AK629" s="3" t="n">
        <v>-0.2160434166173144</v>
      </c>
      <c r="AL629" s="6" t="n">
        <v>0</v>
      </c>
      <c r="AM629" s="3" t="n">
        <v>0</v>
      </c>
      <c r="AN629" s="3" t="n">
        <v>0</v>
      </c>
      <c r="AO629" s="3" t="n">
        <v>0</v>
      </c>
      <c r="AP629" s="3">
        <f>N(X629)*N(BI629)</f>
        <v/>
      </c>
      <c r="AQ629" s="3" t="n">
        <v>0</v>
      </c>
      <c r="AR629" s="3" t="n">
        <v>0</v>
      </c>
      <c r="AS629" s="3" t="n">
        <v>-0</v>
      </c>
      <c r="AT629" s="3" t="n">
        <v>-0.2160434166173144</v>
      </c>
      <c r="AU629" s="3">
        <f>SUM(AN629:AT629)</f>
        <v/>
      </c>
      <c r="AV629" s="7">
        <f>IF(OR(N(W629)&lt;=0,N(BG629)=0),0,N(W629)*IF(N(R629)/N(W629)&gt;=60,N(BG629),1))</f>
        <v/>
      </c>
      <c r="AW629" s="7">
        <f>N(W629)*N(AF629)*N(BH629)</f>
        <v/>
      </c>
      <c r="AX629" s="7">
        <f>N(AL629)*(Assumptions!$B$13*N(BJ629)-(1-Assumptions!$B$13)*Assumptions!$B$14)+N(AM629)</f>
        <v/>
      </c>
      <c r="AY629" s="7">
        <f>N(AU629)*N(R629)/90+N(AV629)+N(AW629)+N(AX629)</f>
        <v/>
      </c>
      <c r="AZ629" s="3">
        <f>IF(N(R629)&lt;=0,0,(N(AY629)-N(AX629))*90/N(R629))</f>
        <v/>
      </c>
      <c r="BA629" s="7">
        <f>IFERROR(AY629-VLOOKUP($E629,Assumptions!$A$40:$C$43,3,FALSE),"")</f>
        <v/>
      </c>
      <c r="BB629" s="3">
        <f>IFERROR(BA629/H629,"")</f>
        <v/>
      </c>
      <c r="BC629">
        <f>IF(AND($G629=TRUE,$E629="GKP"),AY629,"")</f>
        <v/>
      </c>
      <c r="BD629">
        <f>IF(AND($G629=TRUE,$E629="DEF"),AY629,"")</f>
        <v/>
      </c>
      <c r="BE629">
        <f>IF(AND($G629=TRUE,$E629="MID"),AY629,"")</f>
        <v/>
      </c>
      <c r="BF629">
        <f>IF(AND($G629=TRUE,$E629="FWD"),AY629,"")</f>
        <v/>
      </c>
      <c r="BG629" t="n">
        <v>2</v>
      </c>
      <c r="BH629" t="n">
        <v>2</v>
      </c>
      <c r="BI629" t="n">
        <v>1</v>
      </c>
      <c r="BJ629" t="n">
        <v>5</v>
      </c>
    </row>
    <row r="630">
      <c r="A630" t="inlineStr">
        <is>
          <t>Hugo Bueno</t>
        </is>
      </c>
      <c r="C630" t="inlineStr">
        <is>
          <t>WOL</t>
        </is>
      </c>
      <c r="D630" t="b">
        <v>0</v>
      </c>
      <c r="F630" t="inlineStr">
        <is>
          <t>DEF</t>
        </is>
      </c>
      <c r="G630" t="b">
        <v>0</v>
      </c>
      <c r="H630" s="2" t="n"/>
      <c r="K630" s="2" t="n">
        <v>2364</v>
      </c>
      <c r="M630" s="3" t="n"/>
      <c r="N630" s="8" t="n">
        <v>2364</v>
      </c>
      <c r="O630" s="8" t="n">
        <v>0</v>
      </c>
      <c r="R630" s="6" t="n">
        <v>2364</v>
      </c>
      <c r="S630" t="inlineStr">
        <is>
          <t>25/26 actual</t>
        </is>
      </c>
      <c r="U630" s="6" t="n">
        <v>84.40000000000001</v>
      </c>
      <c r="V630" s="2" t="n">
        <v>26</v>
      </c>
      <c r="W630" s="7">
        <f>IF(N(U630)&lt;=0,0,MIN(Assumptions!$B$15,N(R630)/N(U630)))</f>
        <v/>
      </c>
      <c r="X630" s="6" t="n"/>
      <c r="Y630" s="3" t="n">
        <v>0.0326</v>
      </c>
      <c r="Z630" t="inlineStr">
        <is>
          <t>adjusted xGOT</t>
        </is>
      </c>
      <c r="AA630" s="3" t="n">
        <v>1</v>
      </c>
      <c r="AB630" s="3" t="n">
        <v>0.996</v>
      </c>
      <c r="AC630" s="3" t="n">
        <v>1.3</v>
      </c>
      <c r="AD630" s="3" t="n">
        <v>0.1402</v>
      </c>
      <c r="AE630" s="3" t="n">
        <v>6.825</v>
      </c>
      <c r="AF630" s="3" t="n">
        <v>0</v>
      </c>
      <c r="AG630" s="3" t="n">
        <v>0.1904</v>
      </c>
      <c r="AH630" s="3" t="n">
        <v>59</v>
      </c>
      <c r="AI630" s="3" t="n"/>
      <c r="AJ630" s="3" t="n"/>
      <c r="AK630" s="3" t="n"/>
      <c r="AL630" s="6" t="n">
        <v>0</v>
      </c>
      <c r="AM630" s="3" t="n">
        <v>0</v>
      </c>
      <c r="AN630" s="3" t="n">
        <v>0</v>
      </c>
      <c r="AO630" s="3" t="n">
        <v>0</v>
      </c>
      <c r="AP630" s="3">
        <f>N(X630)*N(BI630)</f>
        <v/>
      </c>
      <c r="AQ630" s="3" t="n">
        <v>0</v>
      </c>
      <c r="AR630" s="3" t="n">
        <v>0</v>
      </c>
      <c r="AS630" s="3" t="n">
        <v>0</v>
      </c>
      <c r="AT630" s="3" t="n">
        <v>0</v>
      </c>
      <c r="AU630" s="3">
        <f>SUM(AN630:AT630)</f>
        <v/>
      </c>
      <c r="AV630" s="7">
        <f>IF(OR(N(W630)&lt;=0,N(BG630)=0),0,N(W630)*IF(N(R630)/N(W630)&gt;=60,N(BG630),1))</f>
        <v/>
      </c>
      <c r="AW630" s="7">
        <f>N(W630)*N(AF630)*N(BH630)</f>
        <v/>
      </c>
      <c r="AX630" s="7">
        <f>N(AL630)*(Assumptions!$B$13*N(BJ630)-(1-Assumptions!$B$13)*Assumptions!$B$14)+N(AM630)</f>
        <v/>
      </c>
      <c r="AY630" s="7">
        <f>N(AU630)*N(R630)/90+N(AV630)+N(AW630)+N(AX630)</f>
        <v/>
      </c>
      <c r="AZ630" s="3">
        <f>IF(N(R630)&lt;=0,0,(N(AY630)-N(AX630))*90/N(R630))</f>
        <v/>
      </c>
      <c r="BA630" s="7">
        <f>IFERROR(AY630-VLOOKUP($E630,Assumptions!$A$40:$C$43,3,FALSE),"")</f>
        <v/>
      </c>
      <c r="BB630" s="3">
        <f>IFERROR(BA630/H630,"")</f>
        <v/>
      </c>
      <c r="BC630">
        <f>IF(AND($G630=TRUE,$E630="GKP"),AY630,"")</f>
        <v/>
      </c>
      <c r="BD630">
        <f>IF(AND($G630=TRUE,$E630="DEF"),AY630,"")</f>
        <v/>
      </c>
      <c r="BE630">
        <f>IF(AND($G630=TRUE,$E630="MID"),AY630,"")</f>
        <v/>
      </c>
      <c r="BF630">
        <f>IF(AND($G630=TRUE,$E630="FWD"),AY630,"")</f>
        <v/>
      </c>
      <c r="BG630" t="n">
        <v>0</v>
      </c>
      <c r="BH630" t="n">
        <v>0</v>
      </c>
      <c r="BI630" t="n">
        <v>0</v>
      </c>
      <c r="BJ630" t="n">
        <v>0</v>
      </c>
    </row>
    <row r="631">
      <c r="A631" t="inlineStr">
        <is>
          <t>George Earthy</t>
        </is>
      </c>
      <c r="C631" t="inlineStr">
        <is>
          <t>WHU</t>
        </is>
      </c>
      <c r="D631" t="b">
        <v>0</v>
      </c>
      <c r="F631" t="inlineStr">
        <is>
          <t>MID</t>
        </is>
      </c>
      <c r="G631" t="b">
        <v>0</v>
      </c>
      <c r="H631" s="2" t="n"/>
      <c r="K631" s="2" t="n">
        <v>8</v>
      </c>
      <c r="M631" s="3" t="n"/>
      <c r="N631" s="8" t="n">
        <v>8</v>
      </c>
      <c r="O631" s="8" t="n">
        <v>0</v>
      </c>
      <c r="R631" s="6" t="n">
        <v>8</v>
      </c>
      <c r="S631" t="inlineStr">
        <is>
          <t>25/26 actual</t>
        </is>
      </c>
      <c r="U631" s="6" t="n">
        <v>80.09999999999999</v>
      </c>
      <c r="V631" s="2" t="n">
        <v>0</v>
      </c>
      <c r="W631" s="7">
        <f>IF(N(U631)&lt;=0,0,MIN(Assumptions!$B$15,N(R631)/N(U631)))</f>
        <v/>
      </c>
      <c r="X631" s="6" t="n"/>
      <c r="Y631" s="3" t="n">
        <v>0</v>
      </c>
      <c r="Z631" t="inlineStr">
        <is>
          <t>adjusted xGOT</t>
        </is>
      </c>
      <c r="AA631" s="3" t="n">
        <v>1</v>
      </c>
      <c r="AB631" s="3" t="n">
        <v>1.054</v>
      </c>
      <c r="AC631" s="3" t="n">
        <v>0.4</v>
      </c>
      <c r="AD631" s="3" t="n">
        <v>0</v>
      </c>
      <c r="AE631" s="3" t="n">
        <v>8.483000000000001</v>
      </c>
      <c r="AF631" s="3" t="n">
        <v>0</v>
      </c>
      <c r="AG631" s="3" t="n">
        <v>0</v>
      </c>
      <c r="AH631" s="3" t="n">
        <v>1</v>
      </c>
      <c r="AI631" s="3" t="n"/>
      <c r="AJ631" s="3" t="n"/>
      <c r="AK631" s="3" t="n"/>
      <c r="AL631" s="6" t="n">
        <v>0</v>
      </c>
      <c r="AM631" s="3" t="n">
        <v>0</v>
      </c>
      <c r="AN631" s="3" t="n">
        <v>0</v>
      </c>
      <c r="AO631" s="3" t="n">
        <v>0</v>
      </c>
      <c r="AP631" s="3">
        <f>N(X631)*N(BI631)</f>
        <v/>
      </c>
      <c r="AQ631" s="3" t="n">
        <v>0</v>
      </c>
      <c r="AR631" s="3" t="n">
        <v>0</v>
      </c>
      <c r="AS631" s="3" t="n">
        <v>0</v>
      </c>
      <c r="AT631" s="3" t="n">
        <v>0</v>
      </c>
      <c r="AU631" s="3">
        <f>SUM(AN631:AT631)</f>
        <v/>
      </c>
      <c r="AV631" s="7">
        <f>IF(OR(N(W631)&lt;=0,N(BG631)=0),0,N(W631)*IF(N(R631)/N(W631)&gt;=60,N(BG631),1))</f>
        <v/>
      </c>
      <c r="AW631" s="7">
        <f>N(W631)*N(AF631)*N(BH631)</f>
        <v/>
      </c>
      <c r="AX631" s="7">
        <f>N(AL631)*(Assumptions!$B$13*N(BJ631)-(1-Assumptions!$B$13)*Assumptions!$B$14)+N(AM631)</f>
        <v/>
      </c>
      <c r="AY631" s="7">
        <f>N(AU631)*N(R631)/90+N(AV631)+N(AW631)+N(AX631)</f>
        <v/>
      </c>
      <c r="AZ631" s="3">
        <f>IF(N(R631)&lt;=0,0,(N(AY631)-N(AX631))*90/N(R631))</f>
        <v/>
      </c>
      <c r="BA631" s="7">
        <f>IFERROR(AY631-VLOOKUP($E631,Assumptions!$A$40:$C$43,3,FALSE),"")</f>
        <v/>
      </c>
      <c r="BB631" s="3">
        <f>IFERROR(BA631/H631,"")</f>
        <v/>
      </c>
      <c r="BC631">
        <f>IF(AND($G631=TRUE,$E631="GKP"),AY631,"")</f>
        <v/>
      </c>
      <c r="BD631">
        <f>IF(AND($G631=TRUE,$E631="DEF"),AY631,"")</f>
        <v/>
      </c>
      <c r="BE631">
        <f>IF(AND($G631=TRUE,$E631="MID"),AY631,"")</f>
        <v/>
      </c>
      <c r="BF631">
        <f>IF(AND($G631=TRUE,$E631="FWD"),AY631,"")</f>
        <v/>
      </c>
      <c r="BG631" t="n">
        <v>0</v>
      </c>
      <c r="BH631" t="n">
        <v>0</v>
      </c>
      <c r="BI631" t="n">
        <v>0</v>
      </c>
      <c r="BJ631" t="n">
        <v>0</v>
      </c>
    </row>
    <row r="632">
      <c r="A632" t="inlineStr">
        <is>
          <t>Raphael Borges Rodrigues</t>
        </is>
      </c>
      <c r="B632" t="inlineStr">
        <is>
          <t>COV</t>
        </is>
      </c>
      <c r="D632" t="b">
        <v>0</v>
      </c>
      <c r="E632" t="inlineStr">
        <is>
          <t>MID</t>
        </is>
      </c>
      <c r="G632" t="b">
        <v>1</v>
      </c>
      <c r="H632" s="2" t="n">
        <v>4.5</v>
      </c>
      <c r="I632" t="inlineStr">
        <is>
          <t>a</t>
        </is>
      </c>
      <c r="K632" s="2" t="n"/>
      <c r="M632" s="3" t="n">
        <v>0</v>
      </c>
      <c r="N632" s="8" t="n">
        <v>0</v>
      </c>
      <c r="O632" s="8" t="n">
        <v>0</v>
      </c>
      <c r="Q632" t="inlineStr">
        <is>
          <t>flat</t>
        </is>
      </c>
      <c r="R632" s="6" t="n">
        <v>0</v>
      </c>
      <c r="S632" t="inlineStr">
        <is>
          <t>Solio</t>
        </is>
      </c>
      <c r="U632" s="6" t="n">
        <v>85</v>
      </c>
      <c r="V632" s="2" t="n"/>
      <c r="W632" s="7">
        <f>IF(N(U632)&lt;=0,0,MIN(Assumptions!$B$15,N(R632)/N(U632)))</f>
        <v/>
      </c>
      <c r="X632" s="6" t="n">
        <v>0.17</v>
      </c>
      <c r="Y632" s="3" t="n"/>
      <c r="Z632" t="inlineStr"/>
      <c r="AA632" s="3" t="n">
        <v>1</v>
      </c>
      <c r="AB632" s="3" t="n"/>
      <c r="AC632" s="3" t="n"/>
      <c r="AD632" s="3" t="n"/>
      <c r="AE632" s="3" t="n"/>
      <c r="AF632" s="3" t="n">
        <v>0</v>
      </c>
      <c r="AG632" s="3" t="n"/>
      <c r="AH632" s="3" t="n"/>
      <c r="AI632" s="3" t="n">
        <v>3.6194</v>
      </c>
      <c r="AJ632" s="3" t="n">
        <v>1.8271</v>
      </c>
      <c r="AK632" s="3" t="n">
        <v>-0.2160434166173144</v>
      </c>
      <c r="AL632" s="6" t="n">
        <v>0</v>
      </c>
      <c r="AM632" s="3" t="n">
        <v>0</v>
      </c>
      <c r="AN632" s="3" t="n">
        <v>0</v>
      </c>
      <c r="AO632" s="3" t="n">
        <v>0</v>
      </c>
      <c r="AP632" s="3">
        <f>N(X632)*N(BI632)</f>
        <v/>
      </c>
      <c r="AQ632" s="3" t="n">
        <v>0</v>
      </c>
      <c r="AR632" s="3" t="n">
        <v>0</v>
      </c>
      <c r="AS632" s="3" t="n">
        <v>-0</v>
      </c>
      <c r="AT632" s="3" t="n">
        <v>-0.2160434166173144</v>
      </c>
      <c r="AU632" s="3">
        <f>SUM(AN632:AT632)</f>
        <v/>
      </c>
      <c r="AV632" s="7">
        <f>IF(OR(N(W632)&lt;=0,N(BG632)=0),0,N(W632)*IF(N(R632)/N(W632)&gt;=60,N(BG632),1))</f>
        <v/>
      </c>
      <c r="AW632" s="7">
        <f>N(W632)*N(AF632)*N(BH632)</f>
        <v/>
      </c>
      <c r="AX632" s="7">
        <f>N(AL632)*(Assumptions!$B$13*N(BJ632)-(1-Assumptions!$B$13)*Assumptions!$B$14)+N(AM632)</f>
        <v/>
      </c>
      <c r="AY632" s="7">
        <f>N(AU632)*N(R632)/90+N(AV632)+N(AW632)+N(AX632)</f>
        <v/>
      </c>
      <c r="AZ632" s="3">
        <f>IF(N(R632)&lt;=0,0,(N(AY632)-N(AX632))*90/N(R632))</f>
        <v/>
      </c>
      <c r="BA632" s="7">
        <f>IFERROR(AY632-VLOOKUP($E632,Assumptions!$A$40:$C$43,3,FALSE),"")</f>
        <v/>
      </c>
      <c r="BB632" s="3">
        <f>IFERROR(BA632/H632,"")</f>
        <v/>
      </c>
      <c r="BC632">
        <f>IF(AND($G632=TRUE,$E632="GKP"),AY632,"")</f>
        <v/>
      </c>
      <c r="BD632">
        <f>IF(AND($G632=TRUE,$E632="DEF"),AY632,"")</f>
        <v/>
      </c>
      <c r="BE632">
        <f>IF(AND($G632=TRUE,$E632="MID"),AY632,"")</f>
        <v/>
      </c>
      <c r="BF632">
        <f>IF(AND($G632=TRUE,$E632="FWD"),AY632,"")</f>
        <v/>
      </c>
      <c r="BG632" t="n">
        <v>2</v>
      </c>
      <c r="BH632" t="n">
        <v>2</v>
      </c>
      <c r="BI632" t="n">
        <v>1</v>
      </c>
      <c r="BJ632" t="n">
        <v>5</v>
      </c>
    </row>
    <row r="633">
      <c r="A633" t="inlineStr">
        <is>
          <t>Zeki Amdouni</t>
        </is>
      </c>
      <c r="C633" t="inlineStr">
        <is>
          <t>BUR</t>
        </is>
      </c>
      <c r="D633" t="b">
        <v>0</v>
      </c>
      <c r="F633" t="inlineStr">
        <is>
          <t>FWD</t>
        </is>
      </c>
      <c r="G633" t="b">
        <v>0</v>
      </c>
      <c r="H633" s="2" t="n"/>
      <c r="K633" s="2" t="n">
        <v>69</v>
      </c>
      <c r="M633" s="3" t="n"/>
      <c r="N633" s="8" t="n">
        <v>69</v>
      </c>
      <c r="O633" s="8" t="n">
        <v>0</v>
      </c>
      <c r="R633" s="6" t="n">
        <v>69</v>
      </c>
      <c r="S633" t="inlineStr">
        <is>
          <t>25/26 actual</t>
        </is>
      </c>
      <c r="U633" s="6" t="n">
        <v>78.5</v>
      </c>
      <c r="V633" s="2" t="n">
        <v>0</v>
      </c>
      <c r="W633" s="7">
        <f>IF(N(U633)&lt;=0,0,MIN(Assumptions!$B$15,N(R633)/N(U633)))</f>
        <v/>
      </c>
      <c r="X633" s="6" t="n"/>
      <c r="Y633" s="3" t="n">
        <v>0.3196</v>
      </c>
      <c r="Z633" t="inlineStr">
        <is>
          <t>adjusted xGOT</t>
        </is>
      </c>
      <c r="AA633" s="3" t="n">
        <v>1</v>
      </c>
      <c r="AB633" s="3" t="n">
        <v>1.022</v>
      </c>
      <c r="AC633" s="3" t="n">
        <v>5.8</v>
      </c>
      <c r="AD633" s="3" t="n">
        <v>0</v>
      </c>
      <c r="AE633" s="3" t="n">
        <v>4.488</v>
      </c>
      <c r="AF633" s="3" t="n">
        <v>0</v>
      </c>
      <c r="AG633" s="3" t="n">
        <v>0</v>
      </c>
      <c r="AH633" s="3" t="n">
        <v>4</v>
      </c>
      <c r="AI633" s="3" t="n"/>
      <c r="AJ633" s="3" t="n"/>
      <c r="AK633" s="3" t="n"/>
      <c r="AL633" s="6" t="n">
        <v>0</v>
      </c>
      <c r="AM633" s="3" t="n">
        <v>0</v>
      </c>
      <c r="AN633" s="3" t="n">
        <v>0</v>
      </c>
      <c r="AO633" s="3" t="n">
        <v>0</v>
      </c>
      <c r="AP633" s="3">
        <f>N(X633)*N(BI633)</f>
        <v/>
      </c>
      <c r="AQ633" s="3" t="n">
        <v>0</v>
      </c>
      <c r="AR633" s="3" t="n">
        <v>0</v>
      </c>
      <c r="AS633" s="3" t="n">
        <v>0</v>
      </c>
      <c r="AT633" s="3" t="n">
        <v>0</v>
      </c>
      <c r="AU633" s="3">
        <f>SUM(AN633:AT633)</f>
        <v/>
      </c>
      <c r="AV633" s="7">
        <f>IF(OR(N(W633)&lt;=0,N(BG633)=0),0,N(W633)*IF(N(R633)/N(W633)&gt;=60,N(BG633),1))</f>
        <v/>
      </c>
      <c r="AW633" s="7">
        <f>N(W633)*N(AF633)*N(BH633)</f>
        <v/>
      </c>
      <c r="AX633" s="7">
        <f>N(AL633)*(Assumptions!$B$13*N(BJ633)-(1-Assumptions!$B$13)*Assumptions!$B$14)+N(AM633)</f>
        <v/>
      </c>
      <c r="AY633" s="7">
        <f>N(AU633)*N(R633)/90+N(AV633)+N(AW633)+N(AX633)</f>
        <v/>
      </c>
      <c r="AZ633" s="3">
        <f>IF(N(R633)&lt;=0,0,(N(AY633)-N(AX633))*90/N(R633))</f>
        <v/>
      </c>
      <c r="BA633" s="7">
        <f>IFERROR(AY633-VLOOKUP($E633,Assumptions!$A$40:$C$43,3,FALSE),"")</f>
        <v/>
      </c>
      <c r="BB633" s="3">
        <f>IFERROR(BA633/H633,"")</f>
        <v/>
      </c>
      <c r="BC633">
        <f>IF(AND($G633=TRUE,$E633="GKP"),AY633,"")</f>
        <v/>
      </c>
      <c r="BD633">
        <f>IF(AND($G633=TRUE,$E633="DEF"),AY633,"")</f>
        <v/>
      </c>
      <c r="BE633">
        <f>IF(AND($G633=TRUE,$E633="MID"),AY633,"")</f>
        <v/>
      </c>
      <c r="BF633">
        <f>IF(AND($G633=TRUE,$E633="FWD"),AY633,"")</f>
        <v/>
      </c>
      <c r="BG633" t="n">
        <v>0</v>
      </c>
      <c r="BH633" t="n">
        <v>0</v>
      </c>
      <c r="BI633" t="n">
        <v>0</v>
      </c>
      <c r="BJ633" t="n">
        <v>0</v>
      </c>
    </row>
    <row r="634">
      <c r="A634" t="inlineStr">
        <is>
          <t>Radu Dragusin</t>
        </is>
      </c>
      <c r="C634" t="inlineStr">
        <is>
          <t>TOT</t>
        </is>
      </c>
      <c r="D634" t="b">
        <v>0</v>
      </c>
      <c r="F634" t="inlineStr">
        <is>
          <t>DEF</t>
        </is>
      </c>
      <c r="G634" t="b">
        <v>0</v>
      </c>
      <c r="H634" s="2" t="n"/>
      <c r="K634" s="2" t="n">
        <v>515</v>
      </c>
      <c r="M634" s="3" t="n"/>
      <c r="N634" s="8" t="n">
        <v>515</v>
      </c>
      <c r="O634" s="8" t="n">
        <v>0</v>
      </c>
      <c r="R634" s="6" t="n">
        <v>515</v>
      </c>
      <c r="S634" t="inlineStr">
        <is>
          <t>25/26 actual</t>
        </is>
      </c>
      <c r="U634" s="6" t="n">
        <v>86.90000000000001</v>
      </c>
      <c r="V634" s="2" t="n">
        <v>5</v>
      </c>
      <c r="W634" s="7">
        <f>IF(N(U634)&lt;=0,0,MIN(Assumptions!$B$15,N(R634)/N(U634)))</f>
        <v/>
      </c>
      <c r="X634" s="6" t="n"/>
      <c r="Y634" s="3" t="n">
        <v>0.0505</v>
      </c>
      <c r="Z634" t="inlineStr">
        <is>
          <t>adjusted xGOT</t>
        </is>
      </c>
      <c r="AA634" s="3" t="n">
        <v>1</v>
      </c>
      <c r="AB634" s="3" t="n">
        <v>0.9320000000000001</v>
      </c>
      <c r="AC634" s="3" t="n">
        <v>0.6</v>
      </c>
      <c r="AD634" s="3" t="n">
        <v>0</v>
      </c>
      <c r="AE634" s="3" t="n">
        <v>9.946</v>
      </c>
      <c r="AF634" s="3" t="n">
        <v>0</v>
      </c>
      <c r="AG634" s="3" t="n">
        <v>0</v>
      </c>
      <c r="AH634" s="3" t="n">
        <v>15</v>
      </c>
      <c r="AI634" s="3" t="n"/>
      <c r="AJ634" s="3" t="n"/>
      <c r="AK634" s="3" t="n"/>
      <c r="AL634" s="6" t="n">
        <v>0</v>
      </c>
      <c r="AM634" s="3" t="n">
        <v>0</v>
      </c>
      <c r="AN634" s="3" t="n">
        <v>0</v>
      </c>
      <c r="AO634" s="3" t="n">
        <v>0</v>
      </c>
      <c r="AP634" s="3">
        <f>N(X634)*N(BI634)</f>
        <v/>
      </c>
      <c r="AQ634" s="3" t="n">
        <v>0</v>
      </c>
      <c r="AR634" s="3" t="n">
        <v>0</v>
      </c>
      <c r="AS634" s="3" t="n">
        <v>0</v>
      </c>
      <c r="AT634" s="3" t="n">
        <v>0</v>
      </c>
      <c r="AU634" s="3">
        <f>SUM(AN634:AT634)</f>
        <v/>
      </c>
      <c r="AV634" s="7">
        <f>IF(OR(N(W634)&lt;=0,N(BG634)=0),0,N(W634)*IF(N(R634)/N(W634)&gt;=60,N(BG634),1))</f>
        <v/>
      </c>
      <c r="AW634" s="7">
        <f>N(W634)*N(AF634)*N(BH634)</f>
        <v/>
      </c>
      <c r="AX634" s="7">
        <f>N(AL634)*(Assumptions!$B$13*N(BJ634)-(1-Assumptions!$B$13)*Assumptions!$B$14)+N(AM634)</f>
        <v/>
      </c>
      <c r="AY634" s="7">
        <f>N(AU634)*N(R634)/90+N(AV634)+N(AW634)+N(AX634)</f>
        <v/>
      </c>
      <c r="AZ634" s="3">
        <f>IF(N(R634)&lt;=0,0,(N(AY634)-N(AX634))*90/N(R634))</f>
        <v/>
      </c>
      <c r="BA634" s="7">
        <f>IFERROR(AY634-VLOOKUP($E634,Assumptions!$A$40:$C$43,3,FALSE),"")</f>
        <v/>
      </c>
      <c r="BB634" s="3">
        <f>IFERROR(BA634/H634,"")</f>
        <v/>
      </c>
      <c r="BC634">
        <f>IF(AND($G634=TRUE,$E634="GKP"),AY634,"")</f>
        <v/>
      </c>
      <c r="BD634">
        <f>IF(AND($G634=TRUE,$E634="DEF"),AY634,"")</f>
        <v/>
      </c>
      <c r="BE634">
        <f>IF(AND($G634=TRUE,$E634="MID"),AY634,"")</f>
        <v/>
      </c>
      <c r="BF634">
        <f>IF(AND($G634=TRUE,$E634="FWD"),AY634,"")</f>
        <v/>
      </c>
      <c r="BG634" t="n">
        <v>0</v>
      </c>
      <c r="BH634" t="n">
        <v>0</v>
      </c>
      <c r="BI634" t="n">
        <v>0</v>
      </c>
      <c r="BJ634" t="n">
        <v>0</v>
      </c>
    </row>
    <row r="635">
      <c r="A635" t="inlineStr">
        <is>
          <t>Juanlu Sánchez</t>
        </is>
      </c>
      <c r="B635" t="inlineStr">
        <is>
          <t>BOU</t>
        </is>
      </c>
      <c r="D635" t="b">
        <v>0</v>
      </c>
      <c r="E635" t="inlineStr">
        <is>
          <t>DEF</t>
        </is>
      </c>
      <c r="G635" t="b">
        <v>1</v>
      </c>
      <c r="H635" s="2" t="n">
        <v>4.5</v>
      </c>
      <c r="I635" t="inlineStr">
        <is>
          <t>a</t>
        </is>
      </c>
      <c r="K635" s="2" t="n"/>
      <c r="M635" s="3" t="n">
        <v>3098</v>
      </c>
      <c r="N635" s="4" t="n">
        <v>2400</v>
      </c>
      <c r="O635" s="4" t="n">
        <v>-698</v>
      </c>
      <c r="P635" s="5" t="inlineStr">
        <is>
          <t>medium</t>
        </is>
      </c>
      <c r="Q635" t="inlineStr">
        <is>
          <t>flat</t>
        </is>
      </c>
      <c r="R635" s="6" t="n">
        <v>2400</v>
      </c>
      <c r="S635" t="inlineStr">
        <is>
          <t>research</t>
        </is>
      </c>
      <c r="T635" s="5" t="inlineStr">
        <is>
          <t>He is genuinely the intended first-choice right-back after Alex Jimenez's loan to Fiorentina, so the direction of Solio's call is right - but 3098 minutes (90% of the position) is too aggressive for a player who signed on 6 Aug, has not featured in either friendly since (8 Aug, 15 Aug) while 35-year-old Adam Smith started both, and who is adapting to a new league in a season with European midweeks.</t>
        </is>
      </c>
      <c r="U635" s="6" t="n">
        <v>85</v>
      </c>
      <c r="V635" s="2" t="n"/>
      <c r="W635" s="7">
        <f>IF(N(U635)&lt;=0,0,MIN(Assumptions!$B$15,N(R635)/N(U635)))</f>
        <v/>
      </c>
      <c r="X635" s="6" t="n">
        <v>0.23</v>
      </c>
      <c r="Y635" s="3" t="n"/>
      <c r="Z635" t="inlineStr"/>
      <c r="AA635" s="3" t="n">
        <v>1</v>
      </c>
      <c r="AB635" s="3" t="n"/>
      <c r="AC635" s="3" t="n"/>
      <c r="AD635" s="3" t="n"/>
      <c r="AE635" s="3" t="n"/>
      <c r="AF635" s="3" t="n">
        <v>0</v>
      </c>
      <c r="AG635" s="3" t="n"/>
      <c r="AH635" s="3" t="n"/>
      <c r="AI635" s="3" t="n">
        <v>3.0957</v>
      </c>
      <c r="AJ635" s="3" t="n">
        <v>1.53</v>
      </c>
      <c r="AK635" s="3" t="n">
        <v>-0.2045226422080557</v>
      </c>
      <c r="AL635" s="6" t="n">
        <v>0</v>
      </c>
      <c r="AM635" s="3" t="n">
        <v>0</v>
      </c>
      <c r="AN635" s="3" t="n">
        <v>0</v>
      </c>
      <c r="AO635" s="3" t="n">
        <v>0</v>
      </c>
      <c r="AP635" s="3">
        <f>N(X635)*N(BI635)</f>
        <v/>
      </c>
      <c r="AQ635" s="3" t="n">
        <v>0</v>
      </c>
      <c r="AR635" s="3" t="n">
        <v>0</v>
      </c>
      <c r="AS635" s="3" t="n">
        <v>-0.5267219238049191</v>
      </c>
      <c r="AT635" s="3" t="n">
        <v>-0.2045226422080557</v>
      </c>
      <c r="AU635" s="3">
        <f>SUM(AN635:AT635)</f>
        <v/>
      </c>
      <c r="AV635" s="7">
        <f>IF(OR(N(W635)&lt;=0,N(BG635)=0),0,N(W635)*IF(N(R635)/N(W635)&gt;=60,N(BG635),1))</f>
        <v/>
      </c>
      <c r="AW635" s="7">
        <f>N(W635)*N(AF635)*N(BH635)</f>
        <v/>
      </c>
      <c r="AX635" s="7">
        <f>N(AL635)*(Assumptions!$B$13*N(BJ635)-(1-Assumptions!$B$13)*Assumptions!$B$14)+N(AM635)</f>
        <v/>
      </c>
      <c r="AY635" s="7">
        <f>N(AU635)*N(R635)/90+N(AV635)+N(AW635)+N(AX635)</f>
        <v/>
      </c>
      <c r="AZ635" s="3">
        <f>IF(N(R635)&lt;=0,0,(N(AY635)-N(AX635))*90/N(R635))</f>
        <v/>
      </c>
      <c r="BA635" s="7">
        <f>IFERROR(AY635-VLOOKUP($E635,Assumptions!$A$40:$C$43,3,FALSE),"")</f>
        <v/>
      </c>
      <c r="BB635" s="3">
        <f>IFERROR(BA635/H635,"")</f>
        <v/>
      </c>
      <c r="BC635">
        <f>IF(AND($G635=TRUE,$E635="GKP"),AY635,"")</f>
        <v/>
      </c>
      <c r="BD635">
        <f>IF(AND($G635=TRUE,$E635="DEF"),AY635,"")</f>
        <v/>
      </c>
      <c r="BE635">
        <f>IF(AND($G635=TRUE,$E635="MID"),AY635,"")</f>
        <v/>
      </c>
      <c r="BF635">
        <f>IF(AND($G635=TRUE,$E635="FWD"),AY635,"")</f>
        <v/>
      </c>
      <c r="BG635" t="n">
        <v>2</v>
      </c>
      <c r="BH635" t="n">
        <v>2</v>
      </c>
      <c r="BI635" t="n">
        <v>4</v>
      </c>
      <c r="BJ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N636" s="8" t="n"/>
      <c r="O636" s="8" t="n"/>
      <c r="R636" s="6" t="n"/>
      <c r="S636" t="inlineStr"/>
      <c r="U636" s="6" t="n">
        <v>85</v>
      </c>
      <c r="V636" s="2" t="n"/>
      <c r="W636" s="7">
        <f>IF(N(U636)&lt;=0,0,MIN(Assumptions!$B$15,N(R636)/N(U636)))</f>
        <v/>
      </c>
      <c r="X636" s="6" t="n">
        <v>0.143</v>
      </c>
      <c r="Y636" s="3" t="n"/>
      <c r="Z636" t="inlineStr"/>
      <c r="AA636" s="3" t="n">
        <v>1</v>
      </c>
      <c r="AB636" s="3" t="n"/>
      <c r="AC636" s="3" t="n"/>
      <c r="AD636" s="3" t="n"/>
      <c r="AE636" s="3" t="n">
        <v>0</v>
      </c>
      <c r="AF636" s="3" t="n">
        <v>0</v>
      </c>
      <c r="AG636" s="3" t="n"/>
      <c r="AH636" s="3" t="n"/>
      <c r="AI636" s="3" t="n">
        <v>3.9421</v>
      </c>
      <c r="AJ636" s="3" t="n">
        <v>1.99</v>
      </c>
      <c r="AK636" s="3" t="n">
        <v>-0.0763216474948735</v>
      </c>
      <c r="AL636" s="6" t="n">
        <v>0</v>
      </c>
      <c r="AM636" s="3" t="n">
        <v>0</v>
      </c>
      <c r="AN636" s="3" t="n">
        <v>0</v>
      </c>
      <c r="AO636" s="3" t="n">
        <v>0</v>
      </c>
      <c r="AP636" s="3">
        <f>N(X636)*N(BI636)</f>
        <v/>
      </c>
      <c r="AQ636" s="3" t="n">
        <v>0</v>
      </c>
      <c r="AR636" s="3" t="n">
        <v>0.979692031005534</v>
      </c>
      <c r="AS636" s="3" t="n">
        <v>-0.7496714098286652</v>
      </c>
      <c r="AT636" s="3" t="n">
        <v>-0.0763216474948735</v>
      </c>
      <c r="AU636" s="3">
        <f>SUM(AN636:AT636)</f>
        <v/>
      </c>
      <c r="AV636" s="7">
        <f>IF(OR(N(W636)&lt;=0,N(BG636)=0),0,N(W636)*IF(N(R636)/N(W636)&gt;=60,N(BG636),1))</f>
        <v/>
      </c>
      <c r="AW636" s="7">
        <f>N(W636)*N(AF636)*N(BH636)</f>
        <v/>
      </c>
      <c r="AX636" s="7">
        <f>N(AL636)*(Assumptions!$B$13*N(BJ636)-(1-Assumptions!$B$13)*Assumptions!$B$14)+N(AM636)</f>
        <v/>
      </c>
      <c r="AY636" s="7">
        <f>N(AU636)*N(R636)/90+N(AV636)+N(AW636)+N(AX636)</f>
        <v/>
      </c>
      <c r="AZ636" s="3">
        <f>IF(N(R636)&lt;=0,0,(N(AY636)-N(AX636))*90/N(R636))</f>
        <v/>
      </c>
      <c r="BA636" s="7">
        <f>IFERROR(AY636-VLOOKUP($E636,Assumptions!$A$40:$C$43,3,FALSE),"")</f>
        <v/>
      </c>
      <c r="BB636" s="3">
        <f>IFERROR(BA636/H636,"")</f>
        <v/>
      </c>
      <c r="BC636">
        <f>IF(AND($G636=TRUE,$E636="GKP"),AY636,"")</f>
        <v/>
      </c>
      <c r="BD636">
        <f>IF(AND($G636=TRUE,$E636="DEF"),AY636,"")</f>
        <v/>
      </c>
      <c r="BE636">
        <f>IF(AND($G636=TRUE,$E636="MID"),AY636,"")</f>
        <v/>
      </c>
      <c r="BF636">
        <f>IF(AND($G636=TRUE,$E636="FWD"),AY636,"")</f>
        <v/>
      </c>
      <c r="BG636" t="n">
        <v>2</v>
      </c>
      <c r="BH636" t="n">
        <v>0</v>
      </c>
      <c r="BI636" t="n">
        <v>4</v>
      </c>
      <c r="BJ636" t="n">
        <v>10</v>
      </c>
    </row>
    <row r="637">
      <c r="A637" t="inlineStr">
        <is>
          <t>Quilindschy Hartman</t>
        </is>
      </c>
      <c r="C637" t="inlineStr">
        <is>
          <t>BUR</t>
        </is>
      </c>
      <c r="D637" t="b">
        <v>0</v>
      </c>
      <c r="F637" t="inlineStr">
        <is>
          <t>DEF</t>
        </is>
      </c>
      <c r="G637" t="b">
        <v>0</v>
      </c>
      <c r="H637" s="2" t="n"/>
      <c r="K637" s="2" t="n">
        <v>1830</v>
      </c>
      <c r="M637" s="3" t="n"/>
      <c r="N637" s="8" t="n">
        <v>1830</v>
      </c>
      <c r="O637" s="8" t="n">
        <v>0</v>
      </c>
      <c r="R637" s="6" t="n">
        <v>1830</v>
      </c>
      <c r="S637" t="inlineStr">
        <is>
          <t>25/26 actual</t>
        </is>
      </c>
      <c r="U637" s="6" t="n">
        <v>86.5</v>
      </c>
      <c r="V637" s="2" t="n">
        <v>21</v>
      </c>
      <c r="W637" s="7">
        <f>IF(N(U637)&lt;=0,0,MIN(Assumptions!$B$15,N(R637)/N(U637)))</f>
        <v/>
      </c>
      <c r="X637" s="6" t="n"/>
      <c r="Y637" s="3" t="n">
        <v>0.0155</v>
      </c>
      <c r="Z637" t="inlineStr">
        <is>
          <t>adjusted xGOT</t>
        </is>
      </c>
      <c r="AA637" s="3" t="n">
        <v>1</v>
      </c>
      <c r="AB637" s="3" t="n">
        <v>0.986</v>
      </c>
      <c r="AC637" s="3" t="n">
        <v>0.3</v>
      </c>
      <c r="AD637" s="3" t="n">
        <v>0.1372</v>
      </c>
      <c r="AE637" s="3" t="n">
        <v>7.585</v>
      </c>
      <c r="AF637" s="3" t="n">
        <v>0</v>
      </c>
      <c r="AG637" s="3" t="n">
        <v>0</v>
      </c>
      <c r="AH637" s="3" t="n">
        <v>42</v>
      </c>
      <c r="AI637" s="3" t="n"/>
      <c r="AJ637" s="3" t="n"/>
      <c r="AK637" s="3" t="n"/>
      <c r="AL637" s="6" t="n">
        <v>0</v>
      </c>
      <c r="AM637" s="3" t="n">
        <v>0</v>
      </c>
      <c r="AN637" s="3" t="n">
        <v>0</v>
      </c>
      <c r="AO637" s="3" t="n">
        <v>0</v>
      </c>
      <c r="AP637" s="3">
        <f>N(X637)*N(BI637)</f>
        <v/>
      </c>
      <c r="AQ637" s="3" t="n">
        <v>0</v>
      </c>
      <c r="AR637" s="3" t="n">
        <v>0</v>
      </c>
      <c r="AS637" s="3" t="n">
        <v>0</v>
      </c>
      <c r="AT637" s="3" t="n">
        <v>0</v>
      </c>
      <c r="AU637" s="3">
        <f>SUM(AN637:AT637)</f>
        <v/>
      </c>
      <c r="AV637" s="7">
        <f>IF(OR(N(W637)&lt;=0,N(BG637)=0),0,N(W637)*IF(N(R637)/N(W637)&gt;=60,N(BG637),1))</f>
        <v/>
      </c>
      <c r="AW637" s="7">
        <f>N(W637)*N(AF637)*N(BH637)</f>
        <v/>
      </c>
      <c r="AX637" s="7">
        <f>N(AL637)*(Assumptions!$B$13*N(BJ637)-(1-Assumptions!$B$13)*Assumptions!$B$14)+N(AM637)</f>
        <v/>
      </c>
      <c r="AY637" s="7">
        <f>N(AU637)*N(R637)/90+N(AV637)+N(AW637)+N(AX637)</f>
        <v/>
      </c>
      <c r="AZ637" s="3">
        <f>IF(N(R637)&lt;=0,0,(N(AY637)-N(AX637))*90/N(R637))</f>
        <v/>
      </c>
      <c r="BA637" s="7">
        <f>IFERROR(AY637-VLOOKUP($E637,Assumptions!$A$40:$C$43,3,FALSE),"")</f>
        <v/>
      </c>
      <c r="BB637" s="3">
        <f>IFERROR(BA637/H637,"")</f>
        <v/>
      </c>
      <c r="BC637">
        <f>IF(AND($G637=TRUE,$E637="GKP"),AY637,"")</f>
        <v/>
      </c>
      <c r="BD637">
        <f>IF(AND($G637=TRUE,$E637="DEF"),AY637,"")</f>
        <v/>
      </c>
      <c r="BE637">
        <f>IF(AND($G637=TRUE,$E637="MID"),AY637,"")</f>
        <v/>
      </c>
      <c r="BF637">
        <f>IF(AND($G637=TRUE,$E637="FWD"),AY637,"")</f>
        <v/>
      </c>
      <c r="BG637" t="n">
        <v>0</v>
      </c>
      <c r="BH637" t="n">
        <v>0</v>
      </c>
      <c r="BI637" t="n">
        <v>0</v>
      </c>
      <c r="BJ637" t="n">
        <v>0</v>
      </c>
    </row>
    <row r="638">
      <c r="A638" t="inlineStr">
        <is>
          <t>Tawanda Chirewa</t>
        </is>
      </c>
      <c r="C638" t="inlineStr">
        <is>
          <t>WOL</t>
        </is>
      </c>
      <c r="D638" t="b">
        <v>0</v>
      </c>
      <c r="F638" t="inlineStr">
        <is>
          <t>MID</t>
        </is>
      </c>
      <c r="G638" t="b">
        <v>0</v>
      </c>
      <c r="H638" s="2" t="n"/>
      <c r="K638" s="2" t="n">
        <v>25</v>
      </c>
      <c r="M638" s="3" t="n"/>
      <c r="N638" s="8" t="n">
        <v>25</v>
      </c>
      <c r="O638" s="8" t="n">
        <v>0</v>
      </c>
      <c r="R638" s="6" t="n">
        <v>25</v>
      </c>
      <c r="S638" t="inlineStr">
        <is>
          <t>25/26 actual</t>
        </is>
      </c>
      <c r="U638" s="6" t="n">
        <v>80.09999999999999</v>
      </c>
      <c r="V638" s="2" t="n">
        <v>0</v>
      </c>
      <c r="W638" s="7">
        <f>IF(N(U638)&lt;=0,0,MIN(Assumptions!$B$15,N(R638)/N(U638)))</f>
        <v/>
      </c>
      <c r="X638" s="6" t="n"/>
      <c r="Y638" s="3" t="n">
        <v>0</v>
      </c>
      <c r="Z638" t="inlineStr">
        <is>
          <t>adjusted xGOT</t>
        </is>
      </c>
      <c r="AA638" s="3" t="n">
        <v>1</v>
      </c>
      <c r="AB638" s="3" t="n">
        <v>0.993</v>
      </c>
      <c r="AC638" s="3" t="n">
        <v>0.2</v>
      </c>
      <c r="AD638" s="3" t="n">
        <v>0</v>
      </c>
      <c r="AE638" s="3" t="n">
        <v>8.772</v>
      </c>
      <c r="AF638" s="3" t="n">
        <v>0</v>
      </c>
      <c r="AG638" s="3" t="n">
        <v>0</v>
      </c>
      <c r="AH638" s="3" t="n">
        <v>2</v>
      </c>
      <c r="AI638" s="3" t="n"/>
      <c r="AJ638" s="3" t="n"/>
      <c r="AK638" s="3" t="n"/>
      <c r="AL638" s="6" t="n">
        <v>0</v>
      </c>
      <c r="AM638" s="3" t="n">
        <v>0</v>
      </c>
      <c r="AN638" s="3" t="n">
        <v>0</v>
      </c>
      <c r="AO638" s="3" t="n">
        <v>0</v>
      </c>
      <c r="AP638" s="3">
        <f>N(X638)*N(BI638)</f>
        <v/>
      </c>
      <c r="AQ638" s="3" t="n">
        <v>0</v>
      </c>
      <c r="AR638" s="3" t="n">
        <v>0</v>
      </c>
      <c r="AS638" s="3" t="n">
        <v>0</v>
      </c>
      <c r="AT638" s="3" t="n">
        <v>0</v>
      </c>
      <c r="AU638" s="3">
        <f>SUM(AN638:AT638)</f>
        <v/>
      </c>
      <c r="AV638" s="7">
        <f>IF(OR(N(W638)&lt;=0,N(BG638)=0),0,N(W638)*IF(N(R638)/N(W638)&gt;=60,N(BG638),1))</f>
        <v/>
      </c>
      <c r="AW638" s="7">
        <f>N(W638)*N(AF638)*N(BH638)</f>
        <v/>
      </c>
      <c r="AX638" s="7">
        <f>N(AL638)*(Assumptions!$B$13*N(BJ638)-(1-Assumptions!$B$13)*Assumptions!$B$14)+N(AM638)</f>
        <v/>
      </c>
      <c r="AY638" s="7">
        <f>N(AU638)*N(R638)/90+N(AV638)+N(AW638)+N(AX638)</f>
        <v/>
      </c>
      <c r="AZ638" s="3">
        <f>IF(N(R638)&lt;=0,0,(N(AY638)-N(AX638))*90/N(R638))</f>
        <v/>
      </c>
      <c r="BA638" s="7">
        <f>IFERROR(AY638-VLOOKUP($E638,Assumptions!$A$40:$C$43,3,FALSE),"")</f>
        <v/>
      </c>
      <c r="BB638" s="3">
        <f>IFERROR(BA638/H638,"")</f>
        <v/>
      </c>
      <c r="BC638">
        <f>IF(AND($G638=TRUE,$E638="GKP"),AY638,"")</f>
        <v/>
      </c>
      <c r="BD638">
        <f>IF(AND($G638=TRUE,$E638="DEF"),AY638,"")</f>
        <v/>
      </c>
      <c r="BE638">
        <f>IF(AND($G638=TRUE,$E638="MID"),AY638,"")</f>
        <v/>
      </c>
      <c r="BF638">
        <f>IF(AND($G638=TRUE,$E638="FWD"),AY638,"")</f>
        <v/>
      </c>
      <c r="BG638" t="n">
        <v>0</v>
      </c>
      <c r="BH638" t="n">
        <v>0</v>
      </c>
      <c r="BI638" t="n">
        <v>0</v>
      </c>
      <c r="BJ638" t="n">
        <v>0</v>
      </c>
    </row>
    <row r="639">
      <c r="A639" t="inlineStr">
        <is>
          <t>David Møller Wolfe</t>
        </is>
      </c>
      <c r="C639" t="inlineStr">
        <is>
          <t>WOL</t>
        </is>
      </c>
      <c r="D639" t="b">
        <v>0</v>
      </c>
      <c r="F639" t="inlineStr">
        <is>
          <t>DEF</t>
        </is>
      </c>
      <c r="G639" t="b">
        <v>0</v>
      </c>
      <c r="H639" s="2" t="n"/>
      <c r="K639" s="2" t="n">
        <v>1049</v>
      </c>
      <c r="M639" s="3" t="n"/>
      <c r="N639" s="8" t="n">
        <v>1049</v>
      </c>
      <c r="O639" s="8" t="n">
        <v>0</v>
      </c>
      <c r="R639" s="6" t="n">
        <v>1049</v>
      </c>
      <c r="S639" t="inlineStr">
        <is>
          <t>25/26 actual</t>
        </is>
      </c>
      <c r="U639" s="6" t="n">
        <v>82.3</v>
      </c>
      <c r="V639" s="2" t="n">
        <v>11</v>
      </c>
      <c r="W639" s="7">
        <f>IF(N(U639)&lt;=0,0,MIN(Assumptions!$B$15,N(R639)/N(U639)))</f>
        <v/>
      </c>
      <c r="X639" s="6" t="n"/>
      <c r="Y639" s="3" t="n">
        <v>0.011</v>
      </c>
      <c r="Z639" t="inlineStr">
        <is>
          <t>adjusted xGOT</t>
        </is>
      </c>
      <c r="AA639" s="3" t="n">
        <v>1</v>
      </c>
      <c r="AB639" s="3" t="n">
        <v>0.984</v>
      </c>
      <c r="AC639" s="3" t="n">
        <v>0.1</v>
      </c>
      <c r="AD639" s="3" t="n">
        <v>0.1119</v>
      </c>
      <c r="AE639" s="3" t="n">
        <v>5.694</v>
      </c>
      <c r="AF639" s="3" t="n">
        <v>0</v>
      </c>
      <c r="AG639" s="3" t="n">
        <v>0</v>
      </c>
      <c r="AH639" s="3" t="n">
        <v>32</v>
      </c>
      <c r="AI639" s="3" t="n"/>
      <c r="AJ639" s="3" t="n"/>
      <c r="AK639" s="3" t="n"/>
      <c r="AL639" s="6" t="n">
        <v>0</v>
      </c>
      <c r="AM639" s="3" t="n">
        <v>0</v>
      </c>
      <c r="AN639" s="3" t="n">
        <v>0</v>
      </c>
      <c r="AO639" s="3" t="n">
        <v>0</v>
      </c>
      <c r="AP639" s="3">
        <f>N(X639)*N(BI639)</f>
        <v/>
      </c>
      <c r="AQ639" s="3" t="n">
        <v>0</v>
      </c>
      <c r="AR639" s="3" t="n">
        <v>0</v>
      </c>
      <c r="AS639" s="3" t="n">
        <v>0</v>
      </c>
      <c r="AT639" s="3" t="n">
        <v>0</v>
      </c>
      <c r="AU639" s="3">
        <f>SUM(AN639:AT639)</f>
        <v/>
      </c>
      <c r="AV639" s="7">
        <f>IF(OR(N(W639)&lt;=0,N(BG639)=0),0,N(W639)*IF(N(R639)/N(W639)&gt;=60,N(BG639),1))</f>
        <v/>
      </c>
      <c r="AW639" s="7">
        <f>N(W639)*N(AF639)*N(BH639)</f>
        <v/>
      </c>
      <c r="AX639" s="7">
        <f>N(AL639)*(Assumptions!$B$13*N(BJ639)-(1-Assumptions!$B$13)*Assumptions!$B$14)+N(AM639)</f>
        <v/>
      </c>
      <c r="AY639" s="7">
        <f>N(AU639)*N(R639)/90+N(AV639)+N(AW639)+N(AX639)</f>
        <v/>
      </c>
      <c r="AZ639" s="3">
        <f>IF(N(R639)&lt;=0,0,(N(AY639)-N(AX639))*90/N(R639))</f>
        <v/>
      </c>
      <c r="BA639" s="7">
        <f>IFERROR(AY639-VLOOKUP($E639,Assumptions!$A$40:$C$43,3,FALSE),"")</f>
        <v/>
      </c>
      <c r="BB639" s="3">
        <f>IFERROR(BA639/H639,"")</f>
        <v/>
      </c>
      <c r="BC639">
        <f>IF(AND($G639=TRUE,$E639="GKP"),AY639,"")</f>
        <v/>
      </c>
      <c r="BD639">
        <f>IF(AND($G639=TRUE,$E639="DEF"),AY639,"")</f>
        <v/>
      </c>
      <c r="BE639">
        <f>IF(AND($G639=TRUE,$E639="MID"),AY639,"")</f>
        <v/>
      </c>
      <c r="BF639">
        <f>IF(AND($G639=TRUE,$E639="FWD"),AY639,"")</f>
        <v/>
      </c>
      <c r="BG639" t="n">
        <v>0</v>
      </c>
      <c r="BH639" t="n">
        <v>0</v>
      </c>
      <c r="BI639" t="n">
        <v>0</v>
      </c>
      <c r="BJ639" t="n">
        <v>0</v>
      </c>
    </row>
    <row r="640">
      <c r="A640" t="inlineStr">
        <is>
          <t>Pep Chavarría</t>
        </is>
      </c>
      <c r="B640" t="inlineStr">
        <is>
          <t>CHE</t>
        </is>
      </c>
      <c r="D640" t="b">
        <v>0</v>
      </c>
      <c r="E640" t="inlineStr">
        <is>
          <t>DEF</t>
        </is>
      </c>
      <c r="G640" t="b">
        <v>1</v>
      </c>
      <c r="H640" s="2" t="n">
        <v>5</v>
      </c>
      <c r="I640" t="inlineStr">
        <is>
          <t>a</t>
        </is>
      </c>
      <c r="K640" s="2" t="n"/>
      <c r="M640" s="3" t="n">
        <v>534</v>
      </c>
      <c r="N640" s="8" t="n">
        <v>534</v>
      </c>
      <c r="O640" s="8" t="n">
        <v>0</v>
      </c>
      <c r="Q640" t="inlineStr">
        <is>
          <t>flat</t>
        </is>
      </c>
      <c r="R640" s="6" t="n">
        <v>534</v>
      </c>
      <c r="S640" t="inlineStr">
        <is>
          <t>Solio</t>
        </is>
      </c>
      <c r="U640" s="6" t="n">
        <v>85</v>
      </c>
      <c r="V640" s="2" t="n"/>
      <c r="W640" s="7">
        <f>IF(N(U640)&lt;=0,0,MIN(Assumptions!$B$15,N(R640)/N(U640)))</f>
        <v/>
      </c>
      <c r="X640" s="6" t="n">
        <v>0.322</v>
      </c>
      <c r="Y640" s="3" t="n"/>
      <c r="Z640" t="inlineStr"/>
      <c r="AA640" s="3" t="n">
        <v>1</v>
      </c>
      <c r="AB640" s="3" t="n"/>
      <c r="AC640" s="3" t="n"/>
      <c r="AD640" s="3" t="n"/>
      <c r="AE640" s="3" t="n"/>
      <c r="AF640" s="3" t="n">
        <v>0</v>
      </c>
      <c r="AG640" s="3" t="n"/>
      <c r="AH640" s="3" t="n"/>
      <c r="AI640" s="3" t="n">
        <v>2.4232</v>
      </c>
      <c r="AJ640" s="3" t="n">
        <v>1.1851</v>
      </c>
      <c r="AK640" s="3" t="n">
        <v>-0.2045226422080557</v>
      </c>
      <c r="AL640" s="6" t="n">
        <v>0</v>
      </c>
      <c r="AM640" s="3" t="n">
        <v>0</v>
      </c>
      <c r="AN640" s="3" t="n">
        <v>0</v>
      </c>
      <c r="AO640" s="3" t="n">
        <v>0</v>
      </c>
      <c r="AP640" s="3">
        <f>N(X640)*N(BI640)</f>
        <v/>
      </c>
      <c r="AQ640" s="3" t="n">
        <v>0</v>
      </c>
      <c r="AR640" s="3" t="n">
        <v>0</v>
      </c>
      <c r="AS640" s="3" t="n">
        <v>-0.365915508000572</v>
      </c>
      <c r="AT640" s="3" t="n">
        <v>-0.2045226422080557</v>
      </c>
      <c r="AU640" s="3">
        <f>SUM(AN640:AT640)</f>
        <v/>
      </c>
      <c r="AV640" s="7">
        <f>IF(OR(N(W640)&lt;=0,N(BG640)=0),0,N(W640)*IF(N(R640)/N(W640)&gt;=60,N(BG640),1))</f>
        <v/>
      </c>
      <c r="AW640" s="7">
        <f>N(W640)*N(AF640)*N(BH640)</f>
        <v/>
      </c>
      <c r="AX640" s="7">
        <f>N(AL640)*(Assumptions!$B$13*N(BJ640)-(1-Assumptions!$B$13)*Assumptions!$B$14)+N(AM640)</f>
        <v/>
      </c>
      <c r="AY640" s="7">
        <f>N(AU640)*N(R640)/90+N(AV640)+N(AW640)+N(AX640)</f>
        <v/>
      </c>
      <c r="AZ640" s="3">
        <f>IF(N(R640)&lt;=0,0,(N(AY640)-N(AX640))*90/N(R640))</f>
        <v/>
      </c>
      <c r="BA640" s="7">
        <f>IFERROR(AY640-VLOOKUP($E640,Assumptions!$A$40:$C$43,3,FALSE),"")</f>
        <v/>
      </c>
      <c r="BB640" s="3">
        <f>IFERROR(BA640/H640,"")</f>
        <v/>
      </c>
      <c r="BC640">
        <f>IF(AND($G640=TRUE,$E640="GKP"),AY640,"")</f>
        <v/>
      </c>
      <c r="BD640">
        <f>IF(AND($G640=TRUE,$E640="DEF"),AY640,"")</f>
        <v/>
      </c>
      <c r="BE640">
        <f>IF(AND($G640=TRUE,$E640="MID"),AY640,"")</f>
        <v/>
      </c>
      <c r="BF640">
        <f>IF(AND($G640=TRUE,$E640="FWD"),AY640,"")</f>
        <v/>
      </c>
      <c r="BG640" t="n">
        <v>2</v>
      </c>
      <c r="BH640" t="n">
        <v>2</v>
      </c>
      <c r="BI640" t="n">
        <v>4</v>
      </c>
      <c r="BJ640" t="n">
        <v>6</v>
      </c>
    </row>
    <row r="641">
      <c r="A641" t="inlineStr">
        <is>
          <t>Enis Destan</t>
        </is>
      </c>
      <c r="B641" t="inlineStr">
        <is>
          <t>HUL</t>
        </is>
      </c>
      <c r="D641" t="b">
        <v>0</v>
      </c>
      <c r="E641" t="inlineStr">
        <is>
          <t>FWD</t>
        </is>
      </c>
      <c r="G641" t="b">
        <v>1</v>
      </c>
      <c r="H641" s="2" t="n">
        <v>4.5</v>
      </c>
      <c r="I641" t="inlineStr">
        <is>
          <t>a</t>
        </is>
      </c>
      <c r="K641" s="2" t="n"/>
      <c r="M641" s="3" t="n">
        <v>93</v>
      </c>
      <c r="N641" s="8" t="n">
        <v>93</v>
      </c>
      <c r="O641" s="8" t="n">
        <v>0</v>
      </c>
      <c r="Q641" t="inlineStr">
        <is>
          <t>flat</t>
        </is>
      </c>
      <c r="R641" s="6" t="n">
        <v>93</v>
      </c>
      <c r="S641" t="inlineStr">
        <is>
          <t>Solio</t>
        </is>
      </c>
      <c r="U641" s="6" t="n">
        <v>85</v>
      </c>
      <c r="V641" s="2" t="n"/>
      <c r="W641" s="7">
        <f>IF(N(U641)&lt;=0,0,MIN(Assumptions!$B$15,N(R641)/N(U641)))</f>
        <v/>
      </c>
      <c r="X641" s="6" t="n">
        <v>0.143</v>
      </c>
      <c r="Y641" s="3" t="n"/>
      <c r="Z641" t="inlineStr"/>
      <c r="AA641" s="3" t="n">
        <v>1</v>
      </c>
      <c r="AB641" s="3" t="n"/>
      <c r="AC641" s="3" t="n"/>
      <c r="AD641" s="3" t="n"/>
      <c r="AE641" s="3" t="n"/>
      <c r="AF641" s="3" t="n">
        <v>0</v>
      </c>
      <c r="AG641" s="3" t="n"/>
      <c r="AH641" s="3" t="n"/>
      <c r="AI641" s="3" t="n">
        <v>3.9421</v>
      </c>
      <c r="AJ641" s="3" t="n">
        <v>1.99</v>
      </c>
      <c r="AK641" s="3" t="n">
        <v>-0.174691292596322</v>
      </c>
      <c r="AL641" s="6" t="n">
        <v>0</v>
      </c>
      <c r="AM641" s="3" t="n">
        <v>0</v>
      </c>
      <c r="AN641" s="3" t="n">
        <v>0</v>
      </c>
      <c r="AO641" s="3" t="n">
        <v>0</v>
      </c>
      <c r="AP641" s="3">
        <f>N(X641)*N(BI641)</f>
        <v/>
      </c>
      <c r="AQ641" s="3" t="n">
        <v>0</v>
      </c>
      <c r="AR641" s="3" t="n">
        <v>0</v>
      </c>
      <c r="AS641" s="3" t="n">
        <v>-0</v>
      </c>
      <c r="AT641" s="3" t="n">
        <v>-0.174691292596322</v>
      </c>
      <c r="AU641" s="3">
        <f>SUM(AN641:AT641)</f>
        <v/>
      </c>
      <c r="AV641" s="7">
        <f>IF(OR(N(W641)&lt;=0,N(BG641)=0),0,N(W641)*IF(N(R641)/N(W641)&gt;=60,N(BG641),1))</f>
        <v/>
      </c>
      <c r="AW641" s="7">
        <f>N(W641)*N(AF641)*N(BH641)</f>
        <v/>
      </c>
      <c r="AX641" s="7">
        <f>N(AL641)*(Assumptions!$B$13*N(BJ641)-(1-Assumptions!$B$13)*Assumptions!$B$14)+N(AM641)</f>
        <v/>
      </c>
      <c r="AY641" s="7">
        <f>N(AU641)*N(R641)/90+N(AV641)+N(AW641)+N(AX641)</f>
        <v/>
      </c>
      <c r="AZ641" s="3">
        <f>IF(N(R641)&lt;=0,0,(N(AY641)-N(AX641))*90/N(R641))</f>
        <v/>
      </c>
      <c r="BA641" s="7">
        <f>IFERROR(AY641-VLOOKUP($E641,Assumptions!$A$40:$C$43,3,FALSE),"")</f>
        <v/>
      </c>
      <c r="BB641" s="3">
        <f>IFERROR(BA641/H641,"")</f>
        <v/>
      </c>
      <c r="BC641">
        <f>IF(AND($G641=TRUE,$E641="GKP"),AY641,"")</f>
        <v/>
      </c>
      <c r="BD641">
        <f>IF(AND($G641=TRUE,$E641="DEF"),AY641,"")</f>
        <v/>
      </c>
      <c r="BE641">
        <f>IF(AND($G641=TRUE,$E641="MID"),AY641,"")</f>
        <v/>
      </c>
      <c r="BF641">
        <f>IF(AND($G641=TRUE,$E641="FWD"),AY641,"")</f>
        <v/>
      </c>
      <c r="BG641" t="n">
        <v>2</v>
      </c>
      <c r="BH641" t="n">
        <v>2</v>
      </c>
      <c r="BI641" t="n">
        <v>0</v>
      </c>
      <c r="BJ641" t="n">
        <v>4</v>
      </c>
    </row>
    <row r="642">
      <c r="A642" t="inlineStr">
        <is>
          <t>Marcelino Núñez</t>
        </is>
      </c>
      <c r="B642" t="inlineStr">
        <is>
          <t>IPS</t>
        </is>
      </c>
      <c r="D642" t="b">
        <v>0</v>
      </c>
      <c r="E642" t="inlineStr">
        <is>
          <t>MID</t>
        </is>
      </c>
      <c r="G642" t="b">
        <v>1</v>
      </c>
      <c r="H642" s="2" t="n">
        <v>5</v>
      </c>
      <c r="I642" t="inlineStr">
        <is>
          <t>a</t>
        </is>
      </c>
      <c r="K642" s="2" t="n"/>
      <c r="M642" s="3" t="n">
        <v>2736</v>
      </c>
      <c r="N642" s="8" t="n">
        <v>2736</v>
      </c>
      <c r="O642" s="8" t="n">
        <v>0</v>
      </c>
      <c r="Q642" t="inlineStr">
        <is>
          <t>flat</t>
        </is>
      </c>
      <c r="R642" s="6" t="n">
        <v>2736</v>
      </c>
      <c r="S642" t="inlineStr">
        <is>
          <t>Solio</t>
        </is>
      </c>
      <c r="U642" s="6" t="n">
        <v>85</v>
      </c>
      <c r="V642" s="2" t="n"/>
      <c r="W642" s="7">
        <f>IF(N(U642)&lt;=0,0,MIN(Assumptions!$B$15,N(R642)/N(U642)))</f>
        <v/>
      </c>
      <c r="X642" s="6" t="n">
        <v>0.17</v>
      </c>
      <c r="Y642" s="3" t="n"/>
      <c r="Z642" t="inlineStr"/>
      <c r="AA642" s="3" t="n">
        <v>1</v>
      </c>
      <c r="AB642" s="3" t="n"/>
      <c r="AC642" s="3" t="n"/>
      <c r="AD642" s="3" t="n"/>
      <c r="AE642" s="3" t="n"/>
      <c r="AF642" s="3" t="n">
        <v>0</v>
      </c>
      <c r="AG642" s="3" t="n"/>
      <c r="AH642" s="3" t="n"/>
      <c r="AI642" s="3" t="n">
        <v>3.5741</v>
      </c>
      <c r="AJ642" s="3" t="n">
        <v>1.8319</v>
      </c>
      <c r="AK642" s="3" t="n">
        <v>-0.2160434166173144</v>
      </c>
      <c r="AL642" s="6" t="n">
        <v>0</v>
      </c>
      <c r="AM642" s="3" t="n">
        <v>0</v>
      </c>
      <c r="AN642" s="3" t="n">
        <v>0</v>
      </c>
      <c r="AO642" s="3" t="n">
        <v>0</v>
      </c>
      <c r="AP642" s="3">
        <f>N(X642)*N(BI642)</f>
        <v/>
      </c>
      <c r="AQ642" s="3" t="n">
        <v>0</v>
      </c>
      <c r="AR642" s="3" t="n">
        <v>0</v>
      </c>
      <c r="AS642" s="3" t="n">
        <v>-0</v>
      </c>
      <c r="AT642" s="3" t="n">
        <v>-0.2160434166173144</v>
      </c>
      <c r="AU642" s="3">
        <f>SUM(AN642:AT642)</f>
        <v/>
      </c>
      <c r="AV642" s="7">
        <f>IF(OR(N(W642)&lt;=0,N(BG642)=0),0,N(W642)*IF(N(R642)/N(W642)&gt;=60,N(BG642),1))</f>
        <v/>
      </c>
      <c r="AW642" s="7">
        <f>N(W642)*N(AF642)*N(BH642)</f>
        <v/>
      </c>
      <c r="AX642" s="7">
        <f>N(AL642)*(Assumptions!$B$13*N(BJ642)-(1-Assumptions!$B$13)*Assumptions!$B$14)+N(AM642)</f>
        <v/>
      </c>
      <c r="AY642" s="7">
        <f>N(AU642)*N(R642)/90+N(AV642)+N(AW642)+N(AX642)</f>
        <v/>
      </c>
      <c r="AZ642" s="3">
        <f>IF(N(R642)&lt;=0,0,(N(AY642)-N(AX642))*90/N(R642))</f>
        <v/>
      </c>
      <c r="BA642" s="7">
        <f>IFERROR(AY642-VLOOKUP($E642,Assumptions!$A$40:$C$43,3,FALSE),"")</f>
        <v/>
      </c>
      <c r="BB642" s="3">
        <f>IFERROR(BA642/H642,"")</f>
        <v/>
      </c>
      <c r="BC642">
        <f>IF(AND($G642=TRUE,$E642="GKP"),AY642,"")</f>
        <v/>
      </c>
      <c r="BD642">
        <f>IF(AND($G642=TRUE,$E642="DEF"),AY642,"")</f>
        <v/>
      </c>
      <c r="BE642">
        <f>IF(AND($G642=TRUE,$E642="MID"),AY642,"")</f>
        <v/>
      </c>
      <c r="BF642">
        <f>IF(AND($G642=TRUE,$E642="FWD"),AY642,"")</f>
        <v/>
      </c>
      <c r="BG642" t="n">
        <v>2</v>
      </c>
      <c r="BH642" t="n">
        <v>2</v>
      </c>
      <c r="BI642" t="n">
        <v>1</v>
      </c>
      <c r="BJ642" t="n">
        <v>5</v>
      </c>
    </row>
    <row r="643">
      <c r="A643" t="inlineStr">
        <is>
          <t>Tatsuhiro Sakamoto</t>
        </is>
      </c>
      <c r="B643" t="inlineStr">
        <is>
          <t>COV</t>
        </is>
      </c>
      <c r="D643" t="b">
        <v>0</v>
      </c>
      <c r="E643" t="inlineStr">
        <is>
          <t>MID</t>
        </is>
      </c>
      <c r="G643" t="b">
        <v>1</v>
      </c>
      <c r="H643" s="2" t="n">
        <v>5</v>
      </c>
      <c r="I643" t="inlineStr">
        <is>
          <t>a</t>
        </is>
      </c>
      <c r="K643" s="2" t="n"/>
      <c r="M643" s="3" t="n">
        <v>1927</v>
      </c>
      <c r="N643" s="8" t="n">
        <v>1927</v>
      </c>
      <c r="O643" s="8" t="n">
        <v>0</v>
      </c>
      <c r="Q643" t="inlineStr">
        <is>
          <t>flat</t>
        </is>
      </c>
      <c r="R643" s="6" t="n">
        <v>1927</v>
      </c>
      <c r="S643" t="inlineStr">
        <is>
          <t>Solio</t>
        </is>
      </c>
      <c r="U643" s="6" t="n">
        <v>85</v>
      </c>
      <c r="V643" s="2" t="n"/>
      <c r="W643" s="7">
        <f>IF(N(U643)&lt;=0,0,MIN(Assumptions!$B$15,N(R643)/N(U643)))</f>
        <v/>
      </c>
      <c r="X643" s="6" t="n">
        <v>0.17</v>
      </c>
      <c r="Y643" s="3" t="n"/>
      <c r="Z643" t="inlineStr"/>
      <c r="AA643" s="3" t="n">
        <v>1</v>
      </c>
      <c r="AB643" s="3" t="n"/>
      <c r="AC643" s="3" t="n"/>
      <c r="AD643" s="3" t="n"/>
      <c r="AE643" s="3" t="n"/>
      <c r="AF643" s="3" t="n">
        <v>0</v>
      </c>
      <c r="AG643" s="3" t="n"/>
      <c r="AH643" s="3" t="n"/>
      <c r="AI643" s="3" t="n">
        <v>3.6194</v>
      </c>
      <c r="AJ643" s="3" t="n">
        <v>1.8271</v>
      </c>
      <c r="AK643" s="3" t="n">
        <v>-0.2160434166173144</v>
      </c>
      <c r="AL643" s="6" t="n">
        <v>0</v>
      </c>
      <c r="AM643" s="3" t="n">
        <v>0</v>
      </c>
      <c r="AN643" s="3" t="n">
        <v>0</v>
      </c>
      <c r="AO643" s="3" t="n">
        <v>0</v>
      </c>
      <c r="AP643" s="3">
        <f>N(X643)*N(BI643)</f>
        <v/>
      </c>
      <c r="AQ643" s="3" t="n">
        <v>0</v>
      </c>
      <c r="AR643" s="3" t="n">
        <v>0</v>
      </c>
      <c r="AS643" s="3" t="n">
        <v>-0</v>
      </c>
      <c r="AT643" s="3" t="n">
        <v>-0.2160434166173144</v>
      </c>
      <c r="AU643" s="3">
        <f>SUM(AN643:AT643)</f>
        <v/>
      </c>
      <c r="AV643" s="7">
        <f>IF(OR(N(W643)&lt;=0,N(BG643)=0),0,N(W643)*IF(N(R643)/N(W643)&gt;=60,N(BG643),1))</f>
        <v/>
      </c>
      <c r="AW643" s="7">
        <f>N(W643)*N(AF643)*N(BH643)</f>
        <v/>
      </c>
      <c r="AX643" s="7">
        <f>N(AL643)*(Assumptions!$B$13*N(BJ643)-(1-Assumptions!$B$13)*Assumptions!$B$14)+N(AM643)</f>
        <v/>
      </c>
      <c r="AY643" s="7">
        <f>N(AU643)*N(R643)/90+N(AV643)+N(AW643)+N(AX643)</f>
        <v/>
      </c>
      <c r="AZ643" s="3">
        <f>IF(N(R643)&lt;=0,0,(N(AY643)-N(AX643))*90/N(R643))</f>
        <v/>
      </c>
      <c r="BA643" s="7">
        <f>IFERROR(AY643-VLOOKUP($E643,Assumptions!$A$40:$C$43,3,FALSE),"")</f>
        <v/>
      </c>
      <c r="BB643" s="3">
        <f>IFERROR(BA643/H643,"")</f>
        <v/>
      </c>
      <c r="BC643">
        <f>IF(AND($G643=TRUE,$E643="GKP"),AY643,"")</f>
        <v/>
      </c>
      <c r="BD643">
        <f>IF(AND($G643=TRUE,$E643="DEF"),AY643,"")</f>
        <v/>
      </c>
      <c r="BE643">
        <f>IF(AND($G643=TRUE,$E643="MID"),AY643,"")</f>
        <v/>
      </c>
      <c r="BF643">
        <f>IF(AND($G643=TRUE,$E643="FWD"),AY643,"")</f>
        <v/>
      </c>
      <c r="BG643" t="n">
        <v>2</v>
      </c>
      <c r="BH643" t="n">
        <v>2</v>
      </c>
      <c r="BI643" t="n">
        <v>1</v>
      </c>
      <c r="BJ643" t="n">
        <v>5</v>
      </c>
    </row>
    <row r="644">
      <c r="A644" t="inlineStr">
        <is>
          <t>Yerson Mosquera</t>
        </is>
      </c>
      <c r="C644" t="inlineStr">
        <is>
          <t>WOL</t>
        </is>
      </c>
      <c r="D644" t="b">
        <v>0</v>
      </c>
      <c r="F644" t="inlineStr">
        <is>
          <t>DEF</t>
        </is>
      </c>
      <c r="G644" t="b">
        <v>0</v>
      </c>
      <c r="H644" s="2" t="n"/>
      <c r="K644" s="2" t="n">
        <v>2142</v>
      </c>
      <c r="M644" s="3" t="n"/>
      <c r="N644" s="8" t="n">
        <v>2142</v>
      </c>
      <c r="O644" s="8" t="n">
        <v>0</v>
      </c>
      <c r="R644" s="6" t="n">
        <v>2142</v>
      </c>
      <c r="S644" t="inlineStr">
        <is>
          <t>25/26 actual</t>
        </is>
      </c>
      <c r="U644" s="6" t="n">
        <v>85.7</v>
      </c>
      <c r="V644" s="2" t="n">
        <v>24</v>
      </c>
      <c r="W644" s="7">
        <f>IF(N(U644)&lt;=0,0,MIN(Assumptions!$B$15,N(R644)/N(U644)))</f>
        <v/>
      </c>
      <c r="X644" s="6" t="n"/>
      <c r="Y644" s="3" t="n">
        <v>0.0837</v>
      </c>
      <c r="Z644" t="inlineStr">
        <is>
          <t>adjusted xGOT</t>
        </is>
      </c>
      <c r="AA644" s="3" t="n">
        <v>1</v>
      </c>
      <c r="AB644" s="3" t="n">
        <v>0.793</v>
      </c>
      <c r="AC644" s="3" t="n">
        <v>2.8</v>
      </c>
      <c r="AD644" s="3" t="n">
        <v>0.0505</v>
      </c>
      <c r="AE644" s="3" t="n">
        <v>8.836</v>
      </c>
      <c r="AF644" s="3" t="n">
        <v>0</v>
      </c>
      <c r="AG644" s="3" t="n">
        <v>0.1261</v>
      </c>
      <c r="AH644" s="3" t="n">
        <v>51</v>
      </c>
      <c r="AI644" s="3" t="n"/>
      <c r="AJ644" s="3" t="n"/>
      <c r="AK644" s="3" t="n"/>
      <c r="AL644" s="6" t="n">
        <v>0</v>
      </c>
      <c r="AM644" s="3" t="n">
        <v>0</v>
      </c>
      <c r="AN644" s="3" t="n">
        <v>0</v>
      </c>
      <c r="AO644" s="3" t="n">
        <v>0</v>
      </c>
      <c r="AP644" s="3">
        <f>N(X644)*N(BI644)</f>
        <v/>
      </c>
      <c r="AQ644" s="3" t="n">
        <v>0</v>
      </c>
      <c r="AR644" s="3" t="n">
        <v>0</v>
      </c>
      <c r="AS644" s="3" t="n">
        <v>0</v>
      </c>
      <c r="AT644" s="3" t="n">
        <v>0</v>
      </c>
      <c r="AU644" s="3">
        <f>SUM(AN644:AT644)</f>
        <v/>
      </c>
      <c r="AV644" s="7">
        <f>IF(OR(N(W644)&lt;=0,N(BG644)=0),0,N(W644)*IF(N(R644)/N(W644)&gt;=60,N(BG644),1))</f>
        <v/>
      </c>
      <c r="AW644" s="7">
        <f>N(W644)*N(AF644)*N(BH644)</f>
        <v/>
      </c>
      <c r="AX644" s="7">
        <f>N(AL644)*(Assumptions!$B$13*N(BJ644)-(1-Assumptions!$B$13)*Assumptions!$B$14)+N(AM644)</f>
        <v/>
      </c>
      <c r="AY644" s="7">
        <f>N(AU644)*N(R644)/90+N(AV644)+N(AW644)+N(AX644)</f>
        <v/>
      </c>
      <c r="AZ644" s="3">
        <f>IF(N(R644)&lt;=0,0,(N(AY644)-N(AX644))*90/N(R644))</f>
        <v/>
      </c>
      <c r="BA644" s="7">
        <f>IFERROR(AY644-VLOOKUP($E644,Assumptions!$A$40:$C$43,3,FALSE),"")</f>
        <v/>
      </c>
      <c r="BB644" s="3">
        <f>IFERROR(BA644/H644,"")</f>
        <v/>
      </c>
      <c r="BC644">
        <f>IF(AND($G644=TRUE,$E644="GKP"),AY644,"")</f>
        <v/>
      </c>
      <c r="BD644">
        <f>IF(AND($G644=TRUE,$E644="DEF"),AY644,"")</f>
        <v/>
      </c>
      <c r="BE644">
        <f>IF(AND($G644=TRUE,$E644="MID"),AY644,"")</f>
        <v/>
      </c>
      <c r="BF644">
        <f>IF(AND($G644=TRUE,$E644="FWD"),AY644,"")</f>
        <v/>
      </c>
      <c r="BG644" t="n">
        <v>0</v>
      </c>
      <c r="BH644" t="n">
        <v>0</v>
      </c>
      <c r="BI644" t="n">
        <v>0</v>
      </c>
      <c r="BJ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s="8" t="n">
        <v>2673</v>
      </c>
      <c r="O645" s="8" t="n">
        <v>0</v>
      </c>
      <c r="Q645" t="inlineStr">
        <is>
          <t>ramp-up (injury / late WC return)</t>
        </is>
      </c>
      <c r="R645" s="6" t="n">
        <v>2673</v>
      </c>
      <c r="S645" t="inlineStr">
        <is>
          <t>Solio</t>
        </is>
      </c>
      <c r="U645" s="6" t="n">
        <v>85</v>
      </c>
      <c r="V645" s="2" t="n"/>
      <c r="W645" s="7">
        <f>IF(N(U645)&lt;=0,0,MIN(Assumptions!$B$15,N(R645)/N(U645)))</f>
        <v/>
      </c>
      <c r="X645" s="6" t="n">
        <v>0.143</v>
      </c>
      <c r="Y645" s="3" t="n"/>
      <c r="Z645" t="inlineStr"/>
      <c r="AA645" s="3" t="n">
        <v>1</v>
      </c>
      <c r="AB645" s="3" t="n"/>
      <c r="AC645" s="3" t="n"/>
      <c r="AD645" s="3" t="n"/>
      <c r="AE645" s="3" t="n"/>
      <c r="AF645" s="3" t="n">
        <v>0</v>
      </c>
      <c r="AG645" s="3" t="n"/>
      <c r="AH645" s="3" t="n"/>
      <c r="AI645" s="3" t="n">
        <v>3.9421</v>
      </c>
      <c r="AJ645" s="3" t="n">
        <v>1.99</v>
      </c>
      <c r="AK645" s="3" t="n">
        <v>-0.2045226422080557</v>
      </c>
      <c r="AL645" s="6" t="n">
        <v>0</v>
      </c>
      <c r="AM645" s="3" t="n">
        <v>0</v>
      </c>
      <c r="AN645" s="3" t="n">
        <v>0</v>
      </c>
      <c r="AO645" s="3" t="n">
        <v>0</v>
      </c>
      <c r="AP645" s="3">
        <f>N(X645)*N(BI645)</f>
        <v/>
      </c>
      <c r="AQ645" s="3" t="n">
        <v>0</v>
      </c>
      <c r="AR645" s="3" t="n">
        <v>0</v>
      </c>
      <c r="AS645" s="3" t="n">
        <v>-0.7496714098286652</v>
      </c>
      <c r="AT645" s="3" t="n">
        <v>-0.2045226422080557</v>
      </c>
      <c r="AU645" s="3">
        <f>SUM(AN645:AT645)</f>
        <v/>
      </c>
      <c r="AV645" s="7">
        <f>IF(OR(N(W645)&lt;=0,N(BG645)=0),0,N(W645)*IF(N(R645)/N(W645)&gt;=60,N(BG645),1))</f>
        <v/>
      </c>
      <c r="AW645" s="7">
        <f>N(W645)*N(AF645)*N(BH645)</f>
        <v/>
      </c>
      <c r="AX645" s="7">
        <f>N(AL645)*(Assumptions!$B$13*N(BJ645)-(1-Assumptions!$B$13)*Assumptions!$B$14)+N(AM645)</f>
        <v/>
      </c>
      <c r="AY645" s="7">
        <f>N(AU645)*N(R645)/90+N(AV645)+N(AW645)+N(AX645)</f>
        <v/>
      </c>
      <c r="AZ645" s="3">
        <f>IF(N(R645)&lt;=0,0,(N(AY645)-N(AX645))*90/N(R645))</f>
        <v/>
      </c>
      <c r="BA645" s="7">
        <f>IFERROR(AY645-VLOOKUP($E645,Assumptions!$A$40:$C$43,3,FALSE),"")</f>
        <v/>
      </c>
      <c r="BB645" s="3">
        <f>IFERROR(BA645/H645,"")</f>
        <v/>
      </c>
      <c r="BC645">
        <f>IF(AND($G645=TRUE,$E645="GKP"),AY645,"")</f>
        <v/>
      </c>
      <c r="BD645">
        <f>IF(AND($G645=TRUE,$E645="DEF"),AY645,"")</f>
        <v/>
      </c>
      <c r="BE645">
        <f>IF(AND($G645=TRUE,$E645="MID"),AY645,"")</f>
        <v/>
      </c>
      <c r="BF645">
        <f>IF(AND($G645=TRUE,$E645="FWD"),AY645,"")</f>
        <v/>
      </c>
      <c r="BG645" t="n">
        <v>2</v>
      </c>
      <c r="BH645" t="n">
        <v>2</v>
      </c>
      <c r="BI645" t="n">
        <v>4</v>
      </c>
      <c r="BJ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s="8" t="n">
        <v>0</v>
      </c>
      <c r="O646" s="8" t="n">
        <v>0</v>
      </c>
      <c r="Q646" t="inlineStr">
        <is>
          <t>flat</t>
        </is>
      </c>
      <c r="R646" s="6" t="n">
        <v>0</v>
      </c>
      <c r="S646" t="inlineStr">
        <is>
          <t>Solio</t>
        </is>
      </c>
      <c r="U646" s="6" t="n">
        <v>85</v>
      </c>
      <c r="V646" s="2" t="n"/>
      <c r="W646" s="7">
        <f>IF(N(U646)&lt;=0,0,MIN(Assumptions!$B$15,N(R646)/N(U646)))</f>
        <v/>
      </c>
      <c r="X646" s="6" t="n">
        <v>0.322</v>
      </c>
      <c r="Y646" s="3" t="n"/>
      <c r="Z646" t="inlineStr"/>
      <c r="AA646" s="3" t="n">
        <v>1</v>
      </c>
      <c r="AB646" s="3" t="n"/>
      <c r="AC646" s="3" t="n"/>
      <c r="AD646" s="3" t="n"/>
      <c r="AE646" s="3" t="n"/>
      <c r="AF646" s="3" t="n">
        <v>0</v>
      </c>
      <c r="AG646" s="3" t="n"/>
      <c r="AH646" s="3" t="n"/>
      <c r="AI646" s="3" t="n">
        <v>2.4232</v>
      </c>
      <c r="AJ646" s="3" t="n">
        <v>1.1851</v>
      </c>
      <c r="AK646" s="3" t="n">
        <v>-0.174691292596322</v>
      </c>
      <c r="AL646" s="6" t="n">
        <v>0</v>
      </c>
      <c r="AM646" s="3" t="n">
        <v>0</v>
      </c>
      <c r="AN646" s="3" t="n">
        <v>0</v>
      </c>
      <c r="AO646" s="3" t="n">
        <v>0</v>
      </c>
      <c r="AP646" s="3">
        <f>N(X646)*N(BI646)</f>
        <v/>
      </c>
      <c r="AQ646" s="3" t="n">
        <v>0</v>
      </c>
      <c r="AR646" s="3" t="n">
        <v>0</v>
      </c>
      <c r="AS646" s="3" t="n">
        <v>-0</v>
      </c>
      <c r="AT646" s="3" t="n">
        <v>-0.174691292596322</v>
      </c>
      <c r="AU646" s="3">
        <f>SUM(AN646:AT646)</f>
        <v/>
      </c>
      <c r="AV646" s="7">
        <f>IF(OR(N(W646)&lt;=0,N(BG646)=0),0,N(W646)*IF(N(R646)/N(W646)&gt;=60,N(BG646),1))</f>
        <v/>
      </c>
      <c r="AW646" s="7">
        <f>N(W646)*N(AF646)*N(BH646)</f>
        <v/>
      </c>
      <c r="AX646" s="7">
        <f>N(AL646)*(Assumptions!$B$13*N(BJ646)-(1-Assumptions!$B$13)*Assumptions!$B$14)+N(AM646)</f>
        <v/>
      </c>
      <c r="AY646" s="7">
        <f>N(AU646)*N(R646)/90+N(AV646)+N(AW646)+N(AX646)</f>
        <v/>
      </c>
      <c r="AZ646" s="3">
        <f>IF(N(R646)&lt;=0,0,(N(AY646)-N(AX646))*90/N(R646))</f>
        <v/>
      </c>
      <c r="BA646" s="7">
        <f>IFERROR(AY646-VLOOKUP($E646,Assumptions!$A$40:$C$43,3,FALSE),"")</f>
        <v/>
      </c>
      <c r="BB646" s="3">
        <f>IFERROR(BA646/H646,"")</f>
        <v/>
      </c>
      <c r="BC646">
        <f>IF(AND($G646=TRUE,$E646="GKP"),AY646,"")</f>
        <v/>
      </c>
      <c r="BD646">
        <f>IF(AND($G646=TRUE,$E646="DEF"),AY646,"")</f>
        <v/>
      </c>
      <c r="BE646">
        <f>IF(AND($G646=TRUE,$E646="MID"),AY646,"")</f>
        <v/>
      </c>
      <c r="BF646">
        <f>IF(AND($G646=TRUE,$E646="FWD"),AY646,"")</f>
        <v/>
      </c>
      <c r="BG646" t="n">
        <v>2</v>
      </c>
      <c r="BH646" t="n">
        <v>2</v>
      </c>
      <c r="BI646" t="n">
        <v>0</v>
      </c>
      <c r="BJ646" t="n">
        <v>4</v>
      </c>
    </row>
    <row r="647">
      <c r="A647" t="inlineStr">
        <is>
          <t>Lesley Ugochukwu</t>
        </is>
      </c>
      <c r="C647" t="inlineStr">
        <is>
          <t>BUR</t>
        </is>
      </c>
      <c r="D647" t="b">
        <v>0</v>
      </c>
      <c r="F647" t="inlineStr">
        <is>
          <t>MID</t>
        </is>
      </c>
      <c r="G647" t="b">
        <v>0</v>
      </c>
      <c r="H647" s="2" t="n"/>
      <c r="K647" s="2" t="n">
        <v>2350</v>
      </c>
      <c r="M647" s="3" t="n"/>
      <c r="N647" s="8" t="n">
        <v>2350</v>
      </c>
      <c r="O647" s="8" t="n">
        <v>0</v>
      </c>
      <c r="R647" s="6" t="n">
        <v>2350</v>
      </c>
      <c r="S647" t="inlineStr">
        <is>
          <t>25/26 actual</t>
        </is>
      </c>
      <c r="U647" s="6" t="n">
        <v>78.40000000000001</v>
      </c>
      <c r="V647" s="2" t="n">
        <v>26</v>
      </c>
      <c r="W647" s="7">
        <f>IF(N(U647)&lt;=0,0,MIN(Assumptions!$B$15,N(R647)/N(U647)))</f>
        <v/>
      </c>
      <c r="X647" s="6" t="n"/>
      <c r="Y647" s="3" t="n">
        <v>0.0936</v>
      </c>
      <c r="Z647" t="inlineStr">
        <is>
          <t>adjusted xGOT</t>
        </is>
      </c>
      <c r="AA647" s="3" t="n">
        <v>1</v>
      </c>
      <c r="AB647" s="3" t="n">
        <v>0.978</v>
      </c>
      <c r="AC647" s="3" t="n">
        <v>3.4</v>
      </c>
      <c r="AD647" s="3" t="n">
        <v>0.0172</v>
      </c>
      <c r="AE647" s="3" t="n">
        <v>8.339</v>
      </c>
      <c r="AF647" s="3" t="n">
        <v>0</v>
      </c>
      <c r="AG647" s="3" t="n">
        <v>0.1532</v>
      </c>
      <c r="AH647" s="3" t="n">
        <v>61</v>
      </c>
      <c r="AI647" s="3" t="n"/>
      <c r="AJ647" s="3" t="n"/>
      <c r="AK647" s="3" t="n"/>
      <c r="AL647" s="6" t="n">
        <v>0</v>
      </c>
      <c r="AM647" s="3" t="n">
        <v>0</v>
      </c>
      <c r="AN647" s="3" t="n">
        <v>0</v>
      </c>
      <c r="AO647" s="3" t="n">
        <v>0</v>
      </c>
      <c r="AP647" s="3">
        <f>N(X647)*N(BI647)</f>
        <v/>
      </c>
      <c r="AQ647" s="3" t="n">
        <v>0</v>
      </c>
      <c r="AR647" s="3" t="n">
        <v>0</v>
      </c>
      <c r="AS647" s="3" t="n">
        <v>0</v>
      </c>
      <c r="AT647" s="3" t="n">
        <v>0</v>
      </c>
      <c r="AU647" s="3">
        <f>SUM(AN647:AT647)</f>
        <v/>
      </c>
      <c r="AV647" s="7">
        <f>IF(OR(N(W647)&lt;=0,N(BG647)=0),0,N(W647)*IF(N(R647)/N(W647)&gt;=60,N(BG647),1))</f>
        <v/>
      </c>
      <c r="AW647" s="7">
        <f>N(W647)*N(AF647)*N(BH647)</f>
        <v/>
      </c>
      <c r="AX647" s="7">
        <f>N(AL647)*(Assumptions!$B$13*N(BJ647)-(1-Assumptions!$B$13)*Assumptions!$B$14)+N(AM647)</f>
        <v/>
      </c>
      <c r="AY647" s="7">
        <f>N(AU647)*N(R647)/90+N(AV647)+N(AW647)+N(AX647)</f>
        <v/>
      </c>
      <c r="AZ647" s="3">
        <f>IF(N(R647)&lt;=0,0,(N(AY647)-N(AX647))*90/N(R647))</f>
        <v/>
      </c>
      <c r="BA647" s="7">
        <f>IFERROR(AY647-VLOOKUP($E647,Assumptions!$A$40:$C$43,3,FALSE),"")</f>
        <v/>
      </c>
      <c r="BB647" s="3">
        <f>IFERROR(BA647/H647,"")</f>
        <v/>
      </c>
      <c r="BC647">
        <f>IF(AND($G647=TRUE,$E647="GKP"),AY647,"")</f>
        <v/>
      </c>
      <c r="BD647">
        <f>IF(AND($G647=TRUE,$E647="DEF"),AY647,"")</f>
        <v/>
      </c>
      <c r="BE647">
        <f>IF(AND($G647=TRUE,$E647="MID"),AY647,"")</f>
        <v/>
      </c>
      <c r="BF647">
        <f>IF(AND($G647=TRUE,$E647="FWD"),AY647,"")</f>
        <v/>
      </c>
      <c r="BG647" t="n">
        <v>0</v>
      </c>
      <c r="BH647" t="n">
        <v>0</v>
      </c>
      <c r="BI647" t="n">
        <v>0</v>
      </c>
      <c r="BJ647" t="n">
        <v>0</v>
      </c>
    </row>
    <row r="648">
      <c r="A648" t="inlineStr">
        <is>
          <t>André</t>
        </is>
      </c>
      <c r="C648" t="inlineStr">
        <is>
          <t>WOL</t>
        </is>
      </c>
      <c r="D648" t="b">
        <v>0</v>
      </c>
      <c r="F648" t="inlineStr">
        <is>
          <t>MID</t>
        </is>
      </c>
      <c r="G648" t="b">
        <v>0</v>
      </c>
      <c r="H648" s="2" t="n"/>
      <c r="K648" s="2" t="n">
        <v>2766</v>
      </c>
      <c r="M648" s="3" t="n"/>
      <c r="N648" s="8" t="n">
        <v>2766</v>
      </c>
      <c r="O648" s="8" t="n">
        <v>0</v>
      </c>
      <c r="R648" s="6" t="n">
        <v>2766</v>
      </c>
      <c r="S648" t="inlineStr">
        <is>
          <t>25/26 actual</t>
        </is>
      </c>
      <c r="U648" s="6" t="n">
        <v>84.8</v>
      </c>
      <c r="V648" s="2" t="n">
        <v>30</v>
      </c>
      <c r="W648" s="7">
        <f>IF(N(U648)&lt;=0,0,MIN(Assumptions!$B$15,N(R648)/N(U648)))</f>
        <v/>
      </c>
      <c r="X648" s="6" t="n"/>
      <c r="Y648" s="3" t="n">
        <v>0.0154</v>
      </c>
      <c r="Z648" t="inlineStr">
        <is>
          <t>adjusted xGOT</t>
        </is>
      </c>
      <c r="AA648" s="3" t="n">
        <v>1</v>
      </c>
      <c r="AB648" s="3" t="n">
        <v>0.907</v>
      </c>
      <c r="AC648" s="3" t="n">
        <v>0.9</v>
      </c>
      <c r="AD648" s="3" t="n">
        <v>0.0406</v>
      </c>
      <c r="AE648" s="3" t="n">
        <v>11.68</v>
      </c>
      <c r="AF648" s="3" t="n">
        <v>0</v>
      </c>
      <c r="AG648" s="3" t="n">
        <v>0.1302</v>
      </c>
      <c r="AH648" s="3" t="n">
        <v>65</v>
      </c>
      <c r="AI648" s="3" t="n"/>
      <c r="AJ648" s="3" t="n"/>
      <c r="AK648" s="3" t="n"/>
      <c r="AL648" s="6" t="n">
        <v>0</v>
      </c>
      <c r="AM648" s="3" t="n">
        <v>0</v>
      </c>
      <c r="AN648" s="3" t="n">
        <v>0</v>
      </c>
      <c r="AO648" s="3" t="n">
        <v>0</v>
      </c>
      <c r="AP648" s="3">
        <f>N(X648)*N(BI648)</f>
        <v/>
      </c>
      <c r="AQ648" s="3" t="n">
        <v>0</v>
      </c>
      <c r="AR648" s="3" t="n">
        <v>0</v>
      </c>
      <c r="AS648" s="3" t="n">
        <v>0</v>
      </c>
      <c r="AT648" s="3" t="n">
        <v>0</v>
      </c>
      <c r="AU648" s="3">
        <f>SUM(AN648:AT648)</f>
        <v/>
      </c>
      <c r="AV648" s="7">
        <f>IF(OR(N(W648)&lt;=0,N(BG648)=0),0,N(W648)*IF(N(R648)/N(W648)&gt;=60,N(BG648),1))</f>
        <v/>
      </c>
      <c r="AW648" s="7">
        <f>N(W648)*N(AF648)*N(BH648)</f>
        <v/>
      </c>
      <c r="AX648" s="7">
        <f>N(AL648)*(Assumptions!$B$13*N(BJ648)-(1-Assumptions!$B$13)*Assumptions!$B$14)+N(AM648)</f>
        <v/>
      </c>
      <c r="AY648" s="7">
        <f>N(AU648)*N(R648)/90+N(AV648)+N(AW648)+N(AX648)</f>
        <v/>
      </c>
      <c r="AZ648" s="3">
        <f>IF(N(R648)&lt;=0,0,(N(AY648)-N(AX648))*90/N(R648))</f>
        <v/>
      </c>
      <c r="BA648" s="7">
        <f>IFERROR(AY648-VLOOKUP($E648,Assumptions!$A$40:$C$43,3,FALSE),"")</f>
        <v/>
      </c>
      <c r="BB648" s="3">
        <f>IFERROR(BA648/H648,"")</f>
        <v/>
      </c>
      <c r="BC648">
        <f>IF(AND($G648=TRUE,$E648="GKP"),AY648,"")</f>
        <v/>
      </c>
      <c r="BD648">
        <f>IF(AND($G648=TRUE,$E648="DEF"),AY648,"")</f>
        <v/>
      </c>
      <c r="BE648">
        <f>IF(AND($G648=TRUE,$E648="MID"),AY648,"")</f>
        <v/>
      </c>
      <c r="BF648">
        <f>IF(AND($G648=TRUE,$E648="FWD"),AY648,"")</f>
        <v/>
      </c>
      <c r="BG648" t="n">
        <v>0</v>
      </c>
      <c r="BH648" t="n">
        <v>0</v>
      </c>
      <c r="BI648" t="n">
        <v>0</v>
      </c>
      <c r="BJ648" t="n">
        <v>0</v>
      </c>
    </row>
    <row r="649">
      <c r="A649" t="inlineStr">
        <is>
          <t>Toti Gomes</t>
        </is>
      </c>
      <c r="C649" t="inlineStr">
        <is>
          <t>WOL</t>
        </is>
      </c>
      <c r="D649" t="b">
        <v>0</v>
      </c>
      <c r="F649" t="inlineStr">
        <is>
          <t>DEF</t>
        </is>
      </c>
      <c r="G649" t="b">
        <v>0</v>
      </c>
      <c r="H649" s="2" t="n"/>
      <c r="K649" s="2" t="n">
        <v>1427</v>
      </c>
      <c r="M649" s="3" t="n"/>
      <c r="N649" s="8" t="n">
        <v>1427</v>
      </c>
      <c r="O649" s="8" t="n">
        <v>0</v>
      </c>
      <c r="R649" s="6" t="n">
        <v>1427</v>
      </c>
      <c r="S649" t="inlineStr">
        <is>
          <t>25/26 actual</t>
        </is>
      </c>
      <c r="U649" s="6" t="n">
        <v>84.8</v>
      </c>
      <c r="V649" s="2" t="n">
        <v>16</v>
      </c>
      <c r="W649" s="7">
        <f>IF(N(U649)&lt;=0,0,MIN(Assumptions!$B$15,N(R649)/N(U649)))</f>
        <v/>
      </c>
      <c r="X649" s="6" t="n"/>
      <c r="Y649" s="3" t="n">
        <v>0.0307</v>
      </c>
      <c r="Z649" t="inlineStr">
        <is>
          <t>adjusted xGOT</t>
        </is>
      </c>
      <c r="AA649" s="3" t="n">
        <v>1</v>
      </c>
      <c r="AB649" s="3" t="n">
        <v>0.917</v>
      </c>
      <c r="AC649" s="3" t="n">
        <v>3.2</v>
      </c>
      <c r="AD649" s="3" t="n">
        <v>0.01</v>
      </c>
      <c r="AE649" s="3" t="n">
        <v>8.587999999999999</v>
      </c>
      <c r="AF649" s="3" t="n">
        <v>0</v>
      </c>
      <c r="AG649" s="3" t="n">
        <v>0</v>
      </c>
      <c r="AH649" s="3" t="n">
        <v>34</v>
      </c>
      <c r="AI649" s="3" t="n"/>
      <c r="AJ649" s="3" t="n"/>
      <c r="AK649" s="3" t="n"/>
      <c r="AL649" s="6" t="n">
        <v>0</v>
      </c>
      <c r="AM649" s="3" t="n">
        <v>0</v>
      </c>
      <c r="AN649" s="3" t="n">
        <v>0</v>
      </c>
      <c r="AO649" s="3" t="n">
        <v>0</v>
      </c>
      <c r="AP649" s="3">
        <f>N(X649)*N(BI649)</f>
        <v/>
      </c>
      <c r="AQ649" s="3" t="n">
        <v>0</v>
      </c>
      <c r="AR649" s="3" t="n">
        <v>0</v>
      </c>
      <c r="AS649" s="3" t="n">
        <v>0</v>
      </c>
      <c r="AT649" s="3" t="n">
        <v>0</v>
      </c>
      <c r="AU649" s="3">
        <f>SUM(AN649:AT649)</f>
        <v/>
      </c>
      <c r="AV649" s="7">
        <f>IF(OR(N(W649)&lt;=0,N(BG649)=0),0,N(W649)*IF(N(R649)/N(W649)&gt;=60,N(BG649),1))</f>
        <v/>
      </c>
      <c r="AW649" s="7">
        <f>N(W649)*N(AF649)*N(BH649)</f>
        <v/>
      </c>
      <c r="AX649" s="7">
        <f>N(AL649)*(Assumptions!$B$13*N(BJ649)-(1-Assumptions!$B$13)*Assumptions!$B$14)+N(AM649)</f>
        <v/>
      </c>
      <c r="AY649" s="7">
        <f>N(AU649)*N(R649)/90+N(AV649)+N(AW649)+N(AX649)</f>
        <v/>
      </c>
      <c r="AZ649" s="3">
        <f>IF(N(R649)&lt;=0,0,(N(AY649)-N(AX649))*90/N(R649))</f>
        <v/>
      </c>
      <c r="BA649" s="7">
        <f>IFERROR(AY649-VLOOKUP($E649,Assumptions!$A$40:$C$43,3,FALSE),"")</f>
        <v/>
      </c>
      <c r="BB649" s="3">
        <f>IFERROR(BA649/H649,"")</f>
        <v/>
      </c>
      <c r="BC649">
        <f>IF(AND($G649=TRUE,$E649="GKP"),AY649,"")</f>
        <v/>
      </c>
      <c r="BD649">
        <f>IF(AND($G649=TRUE,$E649="DEF"),AY649,"")</f>
        <v/>
      </c>
      <c r="BE649">
        <f>IF(AND($G649=TRUE,$E649="MID"),AY649,"")</f>
        <v/>
      </c>
      <c r="BF649">
        <f>IF(AND($G649=TRUE,$E649="FWD"),AY649,"")</f>
        <v/>
      </c>
      <c r="BG649" t="n">
        <v>0</v>
      </c>
      <c r="BH649" t="n">
        <v>0</v>
      </c>
      <c r="BI649" t="n">
        <v>0</v>
      </c>
      <c r="BJ649" t="n">
        <v>0</v>
      </c>
    </row>
    <row r="650">
      <c r="A650" t="inlineStr">
        <is>
          <t>Jota Silva</t>
        </is>
      </c>
      <c r="C650" t="inlineStr">
        <is>
          <t>NFO</t>
        </is>
      </c>
      <c r="D650" t="b">
        <v>0</v>
      </c>
      <c r="F650" t="inlineStr">
        <is>
          <t>MID</t>
        </is>
      </c>
      <c r="G650" t="b">
        <v>0</v>
      </c>
      <c r="H650" s="2" t="n"/>
      <c r="K650" s="2" t="n">
        <v>11</v>
      </c>
      <c r="M650" s="3" t="n"/>
      <c r="N650" s="8" t="n">
        <v>11</v>
      </c>
      <c r="O650" s="8" t="n">
        <v>0</v>
      </c>
      <c r="R650" s="6" t="n">
        <v>11</v>
      </c>
      <c r="S650" t="inlineStr">
        <is>
          <t>25/26 actual</t>
        </is>
      </c>
      <c r="U650" s="6" t="n">
        <v>80.09999999999999</v>
      </c>
      <c r="V650" s="2" t="n">
        <v>0</v>
      </c>
      <c r="W650" s="7">
        <f>IF(N(U650)&lt;=0,0,MIN(Assumptions!$B$15,N(R650)/N(U650)))</f>
        <v/>
      </c>
      <c r="X650" s="6" t="n"/>
      <c r="Y650" s="3" t="n">
        <v>0</v>
      </c>
      <c r="Z650" t="inlineStr">
        <is>
          <t>adjusted xGOT</t>
        </is>
      </c>
      <c r="AA650" s="3" t="n">
        <v>1</v>
      </c>
      <c r="AB650" s="3" t="n">
        <v>0.987</v>
      </c>
      <c r="AC650" s="3" t="n">
        <v>2.1</v>
      </c>
      <c r="AD650" s="3" t="n">
        <v>0</v>
      </c>
      <c r="AE650" s="3" t="n">
        <v>8.817</v>
      </c>
      <c r="AF650" s="3" t="n">
        <v>0</v>
      </c>
      <c r="AG650" s="3" t="n">
        <v>0</v>
      </c>
      <c r="AH650" s="3" t="n">
        <v>1</v>
      </c>
      <c r="AI650" s="3" t="n"/>
      <c r="AJ650" s="3" t="n"/>
      <c r="AK650" s="3" t="n"/>
      <c r="AL650" s="6" t="n">
        <v>0</v>
      </c>
      <c r="AM650" s="3" t="n">
        <v>0</v>
      </c>
      <c r="AN650" s="3" t="n">
        <v>0</v>
      </c>
      <c r="AO650" s="3" t="n">
        <v>0</v>
      </c>
      <c r="AP650" s="3">
        <f>N(X650)*N(BI650)</f>
        <v/>
      </c>
      <c r="AQ650" s="3" t="n">
        <v>0</v>
      </c>
      <c r="AR650" s="3" t="n">
        <v>0</v>
      </c>
      <c r="AS650" s="3" t="n">
        <v>0</v>
      </c>
      <c r="AT650" s="3" t="n">
        <v>0</v>
      </c>
      <c r="AU650" s="3">
        <f>SUM(AN650:AT650)</f>
        <v/>
      </c>
      <c r="AV650" s="7">
        <f>IF(OR(N(W650)&lt;=0,N(BG650)=0),0,N(W650)*IF(N(R650)/N(W650)&gt;=60,N(BG650),1))</f>
        <v/>
      </c>
      <c r="AW650" s="7">
        <f>N(W650)*N(AF650)*N(BH650)</f>
        <v/>
      </c>
      <c r="AX650" s="7">
        <f>N(AL650)*(Assumptions!$B$13*N(BJ650)-(1-Assumptions!$B$13)*Assumptions!$B$14)+N(AM650)</f>
        <v/>
      </c>
      <c r="AY650" s="7">
        <f>N(AU650)*N(R650)/90+N(AV650)+N(AW650)+N(AX650)</f>
        <v/>
      </c>
      <c r="AZ650" s="3">
        <f>IF(N(R650)&lt;=0,0,(N(AY650)-N(AX650))*90/N(R650))</f>
        <v/>
      </c>
      <c r="BA650" s="7">
        <f>IFERROR(AY650-VLOOKUP($E650,Assumptions!$A$40:$C$43,3,FALSE),"")</f>
        <v/>
      </c>
      <c r="BB650" s="3">
        <f>IFERROR(BA650/H650,"")</f>
        <v/>
      </c>
      <c r="BC650">
        <f>IF(AND($G650=TRUE,$E650="GKP"),AY650,"")</f>
        <v/>
      </c>
      <c r="BD650">
        <f>IF(AND($G650=TRUE,$E650="DEF"),AY650,"")</f>
        <v/>
      </c>
      <c r="BE650">
        <f>IF(AND($G650=TRUE,$E650="MID"),AY650,"")</f>
        <v/>
      </c>
      <c r="BF650">
        <f>IF(AND($G650=TRUE,$E650="FWD"),AY650,"")</f>
        <v/>
      </c>
      <c r="BG650" t="n">
        <v>0</v>
      </c>
      <c r="BH650" t="n">
        <v>0</v>
      </c>
      <c r="BI650" t="n">
        <v>0</v>
      </c>
      <c r="BJ650" t="n">
        <v>0</v>
      </c>
    </row>
    <row r="651">
      <c r="A651" t="inlineStr">
        <is>
          <t>Jannik Schuster</t>
        </is>
      </c>
      <c r="B651" t="inlineStr">
        <is>
          <t>BRE</t>
        </is>
      </c>
      <c r="D651" t="b">
        <v>0</v>
      </c>
      <c r="E651" t="inlineStr">
        <is>
          <t>DEF</t>
        </is>
      </c>
      <c r="G651" t="b">
        <v>1</v>
      </c>
      <c r="H651" s="2" t="n">
        <v>4.5</v>
      </c>
      <c r="I651" t="inlineStr">
        <is>
          <t>a</t>
        </is>
      </c>
      <c r="K651" s="2" t="n"/>
      <c r="M651" s="3" t="n">
        <v>80</v>
      </c>
      <c r="N651" s="4" t="n">
        <v>600</v>
      </c>
      <c r="O651" s="4" t="n">
        <v>520</v>
      </c>
      <c r="P651" s="5" t="inlineStr">
        <is>
          <t>medium</t>
        </is>
      </c>
      <c r="Q651" t="inlineStr">
        <is>
          <t>flat</t>
        </is>
      </c>
      <c r="R651" s="6" t="n">
        <v>600</v>
      </c>
      <c r="S651" t="inlineStr">
        <is>
          <t>research</t>
        </is>
      </c>
      <c r="T651" s="5" t="inlineStr">
        <is>
          <t>Solio gives 80 minutes to a centre-back signed on 1 July for a reported 12m plus 4m in add-ons. He played the full 90 minutes against Rennes and was on the Frankfurt bench, and Transfermarkt's hip-flexor note from 16 May 2026 has evidently cleared - FPL lists him status 'a'. With van den Berg unavailable until roughly mid-October he is the third centre-back behind Collins and Ajer. Still only 20 and adapting from the Austrian league, so this is deputy minutes plus cup-style rotation, not a starting share.</t>
        </is>
      </c>
      <c r="U651" s="6" t="n">
        <v>85</v>
      </c>
      <c r="V651" s="2" t="n"/>
      <c r="W651" s="7">
        <f>IF(N(U651)&lt;=0,0,MIN(Assumptions!$B$15,N(R651)/N(U651)))</f>
        <v/>
      </c>
      <c r="X651" s="6" t="n">
        <v>0.228</v>
      </c>
      <c r="Y651" s="3" t="n"/>
      <c r="Z651" t="inlineStr"/>
      <c r="AA651" s="3" t="n">
        <v>1</v>
      </c>
      <c r="AB651" s="3" t="n"/>
      <c r="AC651" s="3" t="n"/>
      <c r="AD651" s="3" t="n"/>
      <c r="AE651" s="3" t="n"/>
      <c r="AF651" s="3" t="n">
        <v>0</v>
      </c>
      <c r="AG651" s="3" t="n"/>
      <c r="AH651" s="3" t="n"/>
      <c r="AI651" s="3" t="n">
        <v>3.2371</v>
      </c>
      <c r="AJ651" s="3" t="n">
        <v>1.5396</v>
      </c>
      <c r="AK651" s="3" t="n">
        <v>-0.2045226422080557</v>
      </c>
      <c r="AL651" s="6" t="n">
        <v>0</v>
      </c>
      <c r="AM651" s="3" t="n">
        <v>0</v>
      </c>
      <c r="AN651" s="3" t="n">
        <v>0</v>
      </c>
      <c r="AO651" s="3" t="n">
        <v>0</v>
      </c>
      <c r="AP651" s="3">
        <f>N(X651)*N(BI651)</f>
        <v/>
      </c>
      <c r="AQ651" s="3" t="n">
        <v>0</v>
      </c>
      <c r="AR651" s="3" t="n">
        <v>0</v>
      </c>
      <c r="AS651" s="3" t="n">
        <v>-0.5312990096912251</v>
      </c>
      <c r="AT651" s="3" t="n">
        <v>-0.2045226422080557</v>
      </c>
      <c r="AU651" s="3">
        <f>SUM(AN651:AT651)</f>
        <v/>
      </c>
      <c r="AV651" s="7">
        <f>IF(OR(N(W651)&lt;=0,N(BG651)=0),0,N(W651)*IF(N(R651)/N(W651)&gt;=60,N(BG651),1))</f>
        <v/>
      </c>
      <c r="AW651" s="7">
        <f>N(W651)*N(AF651)*N(BH651)</f>
        <v/>
      </c>
      <c r="AX651" s="7">
        <f>N(AL651)*(Assumptions!$B$13*N(BJ651)-(1-Assumptions!$B$13)*Assumptions!$B$14)+N(AM651)</f>
        <v/>
      </c>
      <c r="AY651" s="7">
        <f>N(AU651)*N(R651)/90+N(AV651)+N(AW651)+N(AX651)</f>
        <v/>
      </c>
      <c r="AZ651" s="3">
        <f>IF(N(R651)&lt;=0,0,(N(AY651)-N(AX651))*90/N(R651))</f>
        <v/>
      </c>
      <c r="BA651" s="7">
        <f>IFERROR(AY651-VLOOKUP($E651,Assumptions!$A$40:$C$43,3,FALSE),"")</f>
        <v/>
      </c>
      <c r="BB651" s="3">
        <f>IFERROR(BA651/H651,"")</f>
        <v/>
      </c>
      <c r="BC651">
        <f>IF(AND($G651=TRUE,$E651="GKP"),AY651,"")</f>
        <v/>
      </c>
      <c r="BD651">
        <f>IF(AND($G651=TRUE,$E651="DEF"),AY651,"")</f>
        <v/>
      </c>
      <c r="BE651">
        <f>IF(AND($G651=TRUE,$E651="MID"),AY651,"")</f>
        <v/>
      </c>
      <c r="BF651">
        <f>IF(AND($G651=TRUE,$E651="FWD"),AY651,"")</f>
        <v/>
      </c>
      <c r="BG651" t="n">
        <v>2</v>
      </c>
      <c r="BH651" t="n">
        <v>2</v>
      </c>
      <c r="BI651" t="n">
        <v>4</v>
      </c>
      <c r="BJ651" t="n">
        <v>6</v>
      </c>
    </row>
    <row r="652">
      <c r="A652" t="inlineStr">
        <is>
          <t>Brajan Gruda</t>
        </is>
      </c>
      <c r="C652" t="inlineStr">
        <is>
          <t>BHA</t>
        </is>
      </c>
      <c r="D652" t="b">
        <v>0</v>
      </c>
      <c r="F652" t="inlineStr">
        <is>
          <t>MID</t>
        </is>
      </c>
      <c r="G652" t="b">
        <v>0</v>
      </c>
      <c r="H652" s="2" t="n"/>
      <c r="K652" s="2" t="n">
        <v>715</v>
      </c>
      <c r="M652" s="3" t="n"/>
      <c r="N652" s="8" t="n">
        <v>715</v>
      </c>
      <c r="O652" s="8" t="n">
        <v>0</v>
      </c>
      <c r="R652" s="6" t="n">
        <v>715</v>
      </c>
      <c r="S652" t="inlineStr">
        <is>
          <t>25/26 actual</t>
        </is>
      </c>
      <c r="U652" s="6" t="n">
        <v>75.09999999999999</v>
      </c>
      <c r="V652" s="2" t="n">
        <v>8</v>
      </c>
      <c r="W652" s="7">
        <f>IF(N(U652)&lt;=0,0,MIN(Assumptions!$B$15,N(R652)/N(U652)))</f>
        <v/>
      </c>
      <c r="X652" s="6" t="n"/>
      <c r="Y652" s="3" t="n">
        <v>0.2424</v>
      </c>
      <c r="Z652" t="inlineStr">
        <is>
          <t>adjusted xGOT</t>
        </is>
      </c>
      <c r="AA652" s="3" t="n">
        <v>1</v>
      </c>
      <c r="AB652" s="3" t="n">
        <v>1.035</v>
      </c>
      <c r="AC652" s="3" t="n">
        <v>3</v>
      </c>
      <c r="AD652" s="3" t="n">
        <v>0.153</v>
      </c>
      <c r="AE652" s="3" t="n">
        <v>7.98</v>
      </c>
      <c r="AF652" s="3" t="n">
        <v>0</v>
      </c>
      <c r="AG652" s="3" t="n">
        <v>0.3776</v>
      </c>
      <c r="AH652" s="3" t="n">
        <v>25</v>
      </c>
      <c r="AI652" s="3" t="n"/>
      <c r="AJ652" s="3" t="n"/>
      <c r="AK652" s="3" t="n"/>
      <c r="AL652" s="6" t="n">
        <v>0</v>
      </c>
      <c r="AM652" s="3" t="n">
        <v>0</v>
      </c>
      <c r="AN652" s="3" t="n">
        <v>0</v>
      </c>
      <c r="AO652" s="3" t="n">
        <v>0</v>
      </c>
      <c r="AP652" s="3">
        <f>N(X652)*N(BI652)</f>
        <v/>
      </c>
      <c r="AQ652" s="3" t="n">
        <v>0</v>
      </c>
      <c r="AR652" s="3" t="n">
        <v>0</v>
      </c>
      <c r="AS652" s="3" t="n">
        <v>0</v>
      </c>
      <c r="AT652" s="3" t="n">
        <v>0</v>
      </c>
      <c r="AU652" s="3">
        <f>SUM(AN652:AT652)</f>
        <v/>
      </c>
      <c r="AV652" s="7">
        <f>IF(OR(N(W652)&lt;=0,N(BG652)=0),0,N(W652)*IF(N(R652)/N(W652)&gt;=60,N(BG652),1))</f>
        <v/>
      </c>
      <c r="AW652" s="7">
        <f>N(W652)*N(AF652)*N(BH652)</f>
        <v/>
      </c>
      <c r="AX652" s="7">
        <f>N(AL652)*(Assumptions!$B$13*N(BJ652)-(1-Assumptions!$B$13)*Assumptions!$B$14)+N(AM652)</f>
        <v/>
      </c>
      <c r="AY652" s="7">
        <f>N(AU652)*N(R652)/90+N(AV652)+N(AW652)+N(AX652)</f>
        <v/>
      </c>
      <c r="AZ652" s="3">
        <f>IF(N(R652)&lt;=0,0,(N(AY652)-N(AX652))*90/N(R652))</f>
        <v/>
      </c>
      <c r="BA652" s="7">
        <f>IFERROR(AY652-VLOOKUP($E652,Assumptions!$A$40:$C$43,3,FALSE),"")</f>
        <v/>
      </c>
      <c r="BB652" s="3">
        <f>IFERROR(BA652/H652,"")</f>
        <v/>
      </c>
      <c r="BC652">
        <f>IF(AND($G652=TRUE,$E652="GKP"),AY652,"")</f>
        <v/>
      </c>
      <c r="BD652">
        <f>IF(AND($G652=TRUE,$E652="DEF"),AY652,"")</f>
        <v/>
      </c>
      <c r="BE652">
        <f>IF(AND($G652=TRUE,$E652="MID"),AY652,"")</f>
        <v/>
      </c>
      <c r="BF652">
        <f>IF(AND($G652=TRUE,$E652="FWD"),AY652,"")</f>
        <v/>
      </c>
      <c r="BG652" t="n">
        <v>0</v>
      </c>
      <c r="BH652" t="n">
        <v>0</v>
      </c>
      <c r="BI652" t="n">
        <v>0</v>
      </c>
      <c r="BJ652" t="n">
        <v>0</v>
      </c>
    </row>
    <row r="653">
      <c r="A653" t="inlineStr">
        <is>
          <t>Mamadou Sangaré</t>
        </is>
      </c>
      <c r="B653" t="inlineStr">
        <is>
          <t>BRE</t>
        </is>
      </c>
      <c r="D653" t="b">
        <v>0</v>
      </c>
      <c r="E653" t="inlineStr">
        <is>
          <t>MID</t>
        </is>
      </c>
      <c r="G653" t="b">
        <v>1</v>
      </c>
      <c r="H653" s="2" t="n">
        <v>5.5</v>
      </c>
      <c r="I653" t="inlineStr">
        <is>
          <t>a</t>
        </is>
      </c>
      <c r="K653" s="2" t="n"/>
      <c r="M653" s="3" t="n">
        <v>3050</v>
      </c>
      <c r="N653" s="8" t="n">
        <v>3050</v>
      </c>
      <c r="O653" s="8" t="n">
        <v>0</v>
      </c>
      <c r="Q653" t="inlineStr">
        <is>
          <t>flat</t>
        </is>
      </c>
      <c r="R653" s="6" t="n">
        <v>3050</v>
      </c>
      <c r="S653" t="inlineStr">
        <is>
          <t>Solio</t>
        </is>
      </c>
      <c r="U653" s="6" t="n">
        <v>85</v>
      </c>
      <c r="V653" s="2" t="n"/>
      <c r="W653" s="7">
        <f>IF(N(U653)&lt;=0,0,MIN(Assumptions!$B$15,N(R653)/N(U653)))</f>
        <v/>
      </c>
      <c r="X653" s="6" t="n">
        <v>0.228</v>
      </c>
      <c r="Y653" s="3" t="n"/>
      <c r="Z653" t="inlineStr"/>
      <c r="AA653" s="3" t="n">
        <v>1</v>
      </c>
      <c r="AB653" s="3" t="n"/>
      <c r="AC653" s="3" t="n"/>
      <c r="AD653" s="3" t="n"/>
      <c r="AE653" s="3" t="n"/>
      <c r="AF653" s="3" t="n">
        <v>0</v>
      </c>
      <c r="AG653" s="3" t="n"/>
      <c r="AH653" s="3" t="n"/>
      <c r="AI653" s="3" t="n">
        <v>3.2371</v>
      </c>
      <c r="AJ653" s="3" t="n">
        <v>1.5396</v>
      </c>
      <c r="AK653" s="3" t="n">
        <v>-0.2160434166173144</v>
      </c>
      <c r="AL653" s="6" t="n">
        <v>0</v>
      </c>
      <c r="AM653" s="3" t="n">
        <v>0</v>
      </c>
      <c r="AN653" s="3" t="n">
        <v>0</v>
      </c>
      <c r="AO653" s="3" t="n">
        <v>0</v>
      </c>
      <c r="AP653" s="3">
        <f>N(X653)*N(BI653)</f>
        <v/>
      </c>
      <c r="AQ653" s="3" t="n">
        <v>0</v>
      </c>
      <c r="AR653" s="3" t="n">
        <v>0</v>
      </c>
      <c r="AS653" s="3" t="n">
        <v>-0</v>
      </c>
      <c r="AT653" s="3" t="n">
        <v>-0.2160434166173144</v>
      </c>
      <c r="AU653" s="3">
        <f>SUM(AN653:AT653)</f>
        <v/>
      </c>
      <c r="AV653" s="7">
        <f>IF(OR(N(W653)&lt;=0,N(BG653)=0),0,N(W653)*IF(N(R653)/N(W653)&gt;=60,N(BG653),1))</f>
        <v/>
      </c>
      <c r="AW653" s="7">
        <f>N(W653)*N(AF653)*N(BH653)</f>
        <v/>
      </c>
      <c r="AX653" s="7">
        <f>N(AL653)*(Assumptions!$B$13*N(BJ653)-(1-Assumptions!$B$13)*Assumptions!$B$14)+N(AM653)</f>
        <v/>
      </c>
      <c r="AY653" s="7">
        <f>N(AU653)*N(R653)/90+N(AV653)+N(AW653)+N(AX653)</f>
        <v/>
      </c>
      <c r="AZ653" s="3">
        <f>IF(N(R653)&lt;=0,0,(N(AY653)-N(AX653))*90/N(R653))</f>
        <v/>
      </c>
      <c r="BA653" s="7">
        <f>IFERROR(AY653-VLOOKUP($E653,Assumptions!$A$40:$C$43,3,FALSE),"")</f>
        <v/>
      </c>
      <c r="BB653" s="3">
        <f>IFERROR(BA653/H653,"")</f>
        <v/>
      </c>
      <c r="BC653">
        <f>IF(AND($G653=TRUE,$E653="GKP"),AY653,"")</f>
        <v/>
      </c>
      <c r="BD653">
        <f>IF(AND($G653=TRUE,$E653="DEF"),AY653,"")</f>
        <v/>
      </c>
      <c r="BE653">
        <f>IF(AND($G653=TRUE,$E653="MID"),AY653,"")</f>
        <v/>
      </c>
      <c r="BF653">
        <f>IF(AND($G653=TRUE,$E653="FWD"),AY653,"")</f>
        <v/>
      </c>
      <c r="BG653" t="n">
        <v>2</v>
      </c>
      <c r="BH653" t="n">
        <v>2</v>
      </c>
      <c r="BI653" t="n">
        <v>1</v>
      </c>
      <c r="BJ653" t="n">
        <v>5</v>
      </c>
    </row>
    <row r="654">
      <c r="A654" t="inlineStr">
        <is>
          <t>Lewis Koumas</t>
        </is>
      </c>
      <c r="B654" t="inlineStr">
        <is>
          <t>LIV</t>
        </is>
      </c>
      <c r="D654" t="b">
        <v>0</v>
      </c>
      <c r="E654" t="inlineStr">
        <is>
          <t>MID</t>
        </is>
      </c>
      <c r="G654" t="b">
        <v>1</v>
      </c>
      <c r="H654" s="2" t="n">
        <v>5</v>
      </c>
      <c r="I654" t="inlineStr">
        <is>
          <t>a</t>
        </is>
      </c>
      <c r="K654" s="2" t="n"/>
      <c r="M654" s="3" t="n">
        <v>0</v>
      </c>
      <c r="N654" s="8" t="n">
        <v>0</v>
      </c>
      <c r="O654" s="8" t="n">
        <v>0</v>
      </c>
      <c r="Q654" t="inlineStr">
        <is>
          <t>flat</t>
        </is>
      </c>
      <c r="R654" s="6" t="n">
        <v>0</v>
      </c>
      <c r="S654" t="inlineStr">
        <is>
          <t>Solio</t>
        </is>
      </c>
      <c r="U654" s="6" t="n">
        <v>85</v>
      </c>
      <c r="V654" s="2" t="n"/>
      <c r="W654" s="7">
        <f>IF(N(U654)&lt;=0,0,MIN(Assumptions!$B$15,N(R654)/N(U654)))</f>
        <v/>
      </c>
      <c r="X654" s="6" t="n">
        <v>0.342</v>
      </c>
      <c r="Y654" s="3" t="n"/>
      <c r="Z654" t="inlineStr"/>
      <c r="AA654" s="3" t="n">
        <v>1</v>
      </c>
      <c r="AB654" s="3" t="n"/>
      <c r="AC654" s="3" t="n"/>
      <c r="AD654" s="3" t="n"/>
      <c r="AE654" s="3" t="n"/>
      <c r="AF654" s="3" t="n">
        <v>0</v>
      </c>
      <c r="AG654" s="3" t="n"/>
      <c r="AH654" s="3" t="n"/>
      <c r="AI654" s="3" t="n">
        <v>2.409</v>
      </c>
      <c r="AJ654" s="3" t="n">
        <v>1.1228</v>
      </c>
      <c r="AK654" s="3" t="n">
        <v>-0.2160434166173144</v>
      </c>
      <c r="AL654" s="6" t="n">
        <v>0</v>
      </c>
      <c r="AM654" s="3" t="n">
        <v>0</v>
      </c>
      <c r="AN654" s="3" t="n">
        <v>0</v>
      </c>
      <c r="AO654" s="3" t="n">
        <v>0</v>
      </c>
      <c r="AP654" s="3">
        <f>N(X654)*N(BI654)</f>
        <v/>
      </c>
      <c r="AQ654" s="3" t="n">
        <v>0</v>
      </c>
      <c r="AR654" s="3" t="n">
        <v>0</v>
      </c>
      <c r="AS654" s="3" t="n">
        <v>-0</v>
      </c>
      <c r="AT654" s="3" t="n">
        <v>-0.2160434166173144</v>
      </c>
      <c r="AU654" s="3">
        <f>SUM(AN654:AT654)</f>
        <v/>
      </c>
      <c r="AV654" s="7">
        <f>IF(OR(N(W654)&lt;=0,N(BG654)=0),0,N(W654)*IF(N(R654)/N(W654)&gt;=60,N(BG654),1))</f>
        <v/>
      </c>
      <c r="AW654" s="7">
        <f>N(W654)*N(AF654)*N(BH654)</f>
        <v/>
      </c>
      <c r="AX654" s="7">
        <f>N(AL654)*(Assumptions!$B$13*N(BJ654)-(1-Assumptions!$B$13)*Assumptions!$B$14)+N(AM654)</f>
        <v/>
      </c>
      <c r="AY654" s="7">
        <f>N(AU654)*N(R654)/90+N(AV654)+N(AW654)+N(AX654)</f>
        <v/>
      </c>
      <c r="AZ654" s="3">
        <f>IF(N(R654)&lt;=0,0,(N(AY654)-N(AX654))*90/N(R654))</f>
        <v/>
      </c>
      <c r="BA654" s="7">
        <f>IFERROR(AY654-VLOOKUP($E654,Assumptions!$A$40:$C$43,3,FALSE),"")</f>
        <v/>
      </c>
      <c r="BB654" s="3">
        <f>IFERROR(BA654/H654,"")</f>
        <v/>
      </c>
      <c r="BC654">
        <f>IF(AND($G654=TRUE,$E654="GKP"),AY654,"")</f>
        <v/>
      </c>
      <c r="BD654">
        <f>IF(AND($G654=TRUE,$E654="DEF"),AY654,"")</f>
        <v/>
      </c>
      <c r="BE654">
        <f>IF(AND($G654=TRUE,$E654="MID"),AY654,"")</f>
        <v/>
      </c>
      <c r="BF654">
        <f>IF(AND($G654=TRUE,$E654="FWD"),AY654,"")</f>
        <v/>
      </c>
      <c r="BG654" t="n">
        <v>2</v>
      </c>
      <c r="BH654" t="n">
        <v>2</v>
      </c>
      <c r="BI654" t="n">
        <v>1</v>
      </c>
      <c r="BJ654" t="n">
        <v>5</v>
      </c>
    </row>
    <row r="655">
      <c r="A655" t="inlineStr">
        <is>
          <t>Emmanuel Agbadou</t>
        </is>
      </c>
      <c r="C655" t="inlineStr">
        <is>
          <t>WOL</t>
        </is>
      </c>
      <c r="D655" t="b">
        <v>0</v>
      </c>
      <c r="F655" t="inlineStr">
        <is>
          <t>DEF</t>
        </is>
      </c>
      <c r="G655" t="b">
        <v>0</v>
      </c>
      <c r="H655" s="2" t="n"/>
      <c r="K655" s="2" t="n">
        <v>1101</v>
      </c>
      <c r="M655" s="3" t="n"/>
      <c r="N655" s="8" t="n">
        <v>1101</v>
      </c>
      <c r="O655" s="8" t="n">
        <v>0</v>
      </c>
      <c r="R655" s="6" t="n">
        <v>1101</v>
      </c>
      <c r="S655" t="inlineStr">
        <is>
          <t>25/26 actual</t>
        </is>
      </c>
      <c r="U655" s="6" t="n">
        <v>87.90000000000001</v>
      </c>
      <c r="V655" s="2" t="n">
        <v>11</v>
      </c>
      <c r="W655" s="7">
        <f>IF(N(U655)&lt;=0,0,MIN(Assumptions!$B$15,N(R655)/N(U655)))</f>
        <v/>
      </c>
      <c r="X655" s="6" t="n"/>
      <c r="Y655" s="3" t="n">
        <v>0.0468</v>
      </c>
      <c r="Z655" t="inlineStr">
        <is>
          <t>adjusted xGOT</t>
        </is>
      </c>
      <c r="AA655" s="3" t="n">
        <v>1</v>
      </c>
      <c r="AB655" s="3" t="n">
        <v>1.003</v>
      </c>
      <c r="AC655" s="3" t="n">
        <v>1.5</v>
      </c>
      <c r="AD655" s="3" t="n">
        <v>0.014</v>
      </c>
      <c r="AE655" s="3" t="n">
        <v>9.222</v>
      </c>
      <c r="AF655" s="3" t="n">
        <v>0</v>
      </c>
      <c r="AG655" s="3" t="n">
        <v>0</v>
      </c>
      <c r="AH655" s="3" t="n">
        <v>25</v>
      </c>
      <c r="AI655" s="3" t="n"/>
      <c r="AJ655" s="3" t="n"/>
      <c r="AK655" s="3" t="n"/>
      <c r="AL655" s="6" t="n">
        <v>0</v>
      </c>
      <c r="AM655" s="3" t="n">
        <v>0</v>
      </c>
      <c r="AN655" s="3" t="n">
        <v>0</v>
      </c>
      <c r="AO655" s="3" t="n">
        <v>0</v>
      </c>
      <c r="AP655" s="3">
        <f>N(X655)*N(BI655)</f>
        <v/>
      </c>
      <c r="AQ655" s="3" t="n">
        <v>0</v>
      </c>
      <c r="AR655" s="3" t="n">
        <v>0</v>
      </c>
      <c r="AS655" s="3" t="n">
        <v>0</v>
      </c>
      <c r="AT655" s="3" t="n">
        <v>0</v>
      </c>
      <c r="AU655" s="3">
        <f>SUM(AN655:AT655)</f>
        <v/>
      </c>
      <c r="AV655" s="7">
        <f>IF(OR(N(W655)&lt;=0,N(BG655)=0),0,N(W655)*IF(N(R655)/N(W655)&gt;=60,N(BG655),1))</f>
        <v/>
      </c>
      <c r="AW655" s="7">
        <f>N(W655)*N(AF655)*N(BH655)</f>
        <v/>
      </c>
      <c r="AX655" s="7">
        <f>N(AL655)*(Assumptions!$B$13*N(BJ655)-(1-Assumptions!$B$13)*Assumptions!$B$14)+N(AM655)</f>
        <v/>
      </c>
      <c r="AY655" s="7">
        <f>N(AU655)*N(R655)/90+N(AV655)+N(AW655)+N(AX655)</f>
        <v/>
      </c>
      <c r="AZ655" s="3">
        <f>IF(N(R655)&lt;=0,0,(N(AY655)-N(AX655))*90/N(R655))</f>
        <v/>
      </c>
      <c r="BA655" s="7">
        <f>IFERROR(AY655-VLOOKUP($E655,Assumptions!$A$40:$C$43,3,FALSE),"")</f>
        <v/>
      </c>
      <c r="BB655" s="3">
        <f>IFERROR(BA655/H655,"")</f>
        <v/>
      </c>
      <c r="BC655">
        <f>IF(AND($G655=TRUE,$E655="GKP"),AY655,"")</f>
        <v/>
      </c>
      <c r="BD655">
        <f>IF(AND($G655=TRUE,$E655="DEF"),AY655,"")</f>
        <v/>
      </c>
      <c r="BE655">
        <f>IF(AND($G655=TRUE,$E655="MID"),AY655,"")</f>
        <v/>
      </c>
      <c r="BF655">
        <f>IF(AND($G655=TRUE,$E655="FWD"),AY655,"")</f>
        <v/>
      </c>
      <c r="BG655" t="n">
        <v>0</v>
      </c>
      <c r="BH655" t="n">
        <v>0</v>
      </c>
      <c r="BI655" t="n">
        <v>0</v>
      </c>
      <c r="BJ655" t="n">
        <v>0</v>
      </c>
    </row>
    <row r="656">
      <c r="A656" t="inlineStr">
        <is>
          <t>Max Weiss</t>
        </is>
      </c>
      <c r="C656" t="inlineStr">
        <is>
          <t>BUR</t>
        </is>
      </c>
      <c r="D656" t="b">
        <v>0</v>
      </c>
      <c r="F656" t="inlineStr">
        <is>
          <t>GKP</t>
        </is>
      </c>
      <c r="G656" t="b">
        <v>0</v>
      </c>
      <c r="H656" s="2" t="n"/>
      <c r="K656" s="2" t="n">
        <v>270</v>
      </c>
      <c r="M656" s="3" t="n"/>
      <c r="N656" s="8" t="n">
        <v>270</v>
      </c>
      <c r="O656" s="8" t="n">
        <v>0</v>
      </c>
      <c r="R656" s="6" t="n">
        <v>270</v>
      </c>
      <c r="S656" t="inlineStr">
        <is>
          <t>25/26 actual</t>
        </is>
      </c>
      <c r="U656" s="6" t="n">
        <v>89.8</v>
      </c>
      <c r="V656" s="2" t="n">
        <v>3</v>
      </c>
      <c r="W656" s="7">
        <f>IF(N(U656)&lt;=0,0,MIN(Assumptions!$B$15,N(R656)/N(U656)))</f>
        <v/>
      </c>
      <c r="X656" s="6" t="n"/>
      <c r="Y656" s="3" t="n">
        <v>0</v>
      </c>
      <c r="Z656" t="inlineStr">
        <is>
          <t>blended xG</t>
        </is>
      </c>
      <c r="AA656" s="3" t="n">
        <v>1</v>
      </c>
      <c r="AB656" s="3" t="n">
        <v>1</v>
      </c>
      <c r="AC656" s="3" t="n">
        <v>0</v>
      </c>
      <c r="AD656" s="3" t="n">
        <v>0.0536</v>
      </c>
      <c r="AE656" s="3" t="n">
        <v>0</v>
      </c>
      <c r="AF656" s="3" t="n">
        <v>0</v>
      </c>
      <c r="AG656" s="3" t="n">
        <v>0</v>
      </c>
      <c r="AH656" s="3" t="n">
        <v>6</v>
      </c>
      <c r="AI656" s="3" t="n"/>
      <c r="AJ656" s="3" t="n"/>
      <c r="AK656" s="3" t="n"/>
      <c r="AL656" s="6" t="n">
        <v>0</v>
      </c>
      <c r="AM656" s="3" t="n">
        <v>0</v>
      </c>
      <c r="AN656" s="3" t="n">
        <v>0</v>
      </c>
      <c r="AO656" s="3" t="n">
        <v>0</v>
      </c>
      <c r="AP656" s="3">
        <f>N(X656)*N(BI656)</f>
        <v/>
      </c>
      <c r="AQ656" s="3" t="n">
        <v>0</v>
      </c>
      <c r="AR656" s="3" t="n">
        <v>0</v>
      </c>
      <c r="AS656" s="3" t="n">
        <v>0</v>
      </c>
      <c r="AT656" s="3" t="n">
        <v>0</v>
      </c>
      <c r="AU656" s="3">
        <f>SUM(AN656:AT656)</f>
        <v/>
      </c>
      <c r="AV656" s="7">
        <f>IF(OR(N(W656)&lt;=0,N(BG656)=0),0,N(W656)*IF(N(R656)/N(W656)&gt;=60,N(BG656),1))</f>
        <v/>
      </c>
      <c r="AW656" s="7">
        <f>N(W656)*N(AF656)*N(BH656)</f>
        <v/>
      </c>
      <c r="AX656" s="7">
        <f>N(AL656)*(Assumptions!$B$13*N(BJ656)-(1-Assumptions!$B$13)*Assumptions!$B$14)+N(AM656)</f>
        <v/>
      </c>
      <c r="AY656" s="7">
        <f>N(AU656)*N(R656)/90+N(AV656)+N(AW656)+N(AX656)</f>
        <v/>
      </c>
      <c r="AZ656" s="3">
        <f>IF(N(R656)&lt;=0,0,(N(AY656)-N(AX656))*90/N(R656))</f>
        <v/>
      </c>
      <c r="BA656" s="7">
        <f>IFERROR(AY656-VLOOKUP($E656,Assumptions!$A$40:$C$43,3,FALSE),"")</f>
        <v/>
      </c>
      <c r="BB656" s="3">
        <f>IFERROR(BA656/H656,"")</f>
        <v/>
      </c>
      <c r="BC656">
        <f>IF(AND($G656=TRUE,$E656="GKP"),AY656,"")</f>
        <v/>
      </c>
      <c r="BD656">
        <f>IF(AND($G656=TRUE,$E656="DEF"),AY656,"")</f>
        <v/>
      </c>
      <c r="BE656">
        <f>IF(AND($G656=TRUE,$E656="MID"),AY656,"")</f>
        <v/>
      </c>
      <c r="BF656">
        <f>IF(AND($G656=TRUE,$E656="FWD"),AY656,"")</f>
        <v/>
      </c>
      <c r="BG656" t="n">
        <v>0</v>
      </c>
      <c r="BH656" t="n">
        <v>0</v>
      </c>
      <c r="BI656" t="n">
        <v>0</v>
      </c>
      <c r="BJ656" t="n">
        <v>0</v>
      </c>
    </row>
    <row r="657">
      <c r="A657" t="inlineStr">
        <is>
          <t>Oliver Sonne</t>
        </is>
      </c>
      <c r="C657" t="inlineStr">
        <is>
          <t>BUR</t>
        </is>
      </c>
      <c r="D657" t="b">
        <v>0</v>
      </c>
      <c r="F657" t="inlineStr">
        <is>
          <t>DEF</t>
        </is>
      </c>
      <c r="G657" t="b">
        <v>0</v>
      </c>
      <c r="H657" s="2" t="n"/>
      <c r="K657" s="2" t="n">
        <v>165</v>
      </c>
      <c r="M657" s="3" t="n"/>
      <c r="N657" s="8" t="n">
        <v>165</v>
      </c>
      <c r="O657" s="8" t="n">
        <v>0</v>
      </c>
      <c r="R657" s="6" t="n">
        <v>165</v>
      </c>
      <c r="S657" t="inlineStr">
        <is>
          <t>25/26 actual</t>
        </is>
      </c>
      <c r="U657" s="6" t="n">
        <v>84.40000000000001</v>
      </c>
      <c r="V657" s="2" t="n">
        <v>1</v>
      </c>
      <c r="W657" s="7">
        <f>IF(N(U657)&lt;=0,0,MIN(Assumptions!$B$15,N(R657)/N(U657)))</f>
        <v/>
      </c>
      <c r="X657" s="6" t="n"/>
      <c r="Y657" s="3" t="n">
        <v>0.3125</v>
      </c>
      <c r="Z657" t="inlineStr">
        <is>
          <t>adjusted xGOT</t>
        </is>
      </c>
      <c r="AA657" s="3" t="n">
        <v>1</v>
      </c>
      <c r="AB657" s="3" t="n">
        <v>1.041</v>
      </c>
      <c r="AC657" s="3" t="n">
        <v>0.6</v>
      </c>
      <c r="AD657" s="3" t="n">
        <v>0.0147</v>
      </c>
      <c r="AE657" s="3" t="n">
        <v>6.972</v>
      </c>
      <c r="AF657" s="3" t="n">
        <v>0</v>
      </c>
      <c r="AG657" s="3" t="n">
        <v>0</v>
      </c>
      <c r="AH657" s="3" t="n">
        <v>8</v>
      </c>
      <c r="AI657" s="3" t="n"/>
      <c r="AJ657" s="3" t="n"/>
      <c r="AK657" s="3" t="n"/>
      <c r="AL657" s="6" t="n">
        <v>0</v>
      </c>
      <c r="AM657" s="3" t="n">
        <v>0</v>
      </c>
      <c r="AN657" s="3" t="n">
        <v>0</v>
      </c>
      <c r="AO657" s="3" t="n">
        <v>0</v>
      </c>
      <c r="AP657" s="3">
        <f>N(X657)*N(BI657)</f>
        <v/>
      </c>
      <c r="AQ657" s="3" t="n">
        <v>0</v>
      </c>
      <c r="AR657" s="3" t="n">
        <v>0</v>
      </c>
      <c r="AS657" s="3" t="n">
        <v>0</v>
      </c>
      <c r="AT657" s="3" t="n">
        <v>0</v>
      </c>
      <c r="AU657" s="3">
        <f>SUM(AN657:AT657)</f>
        <v/>
      </c>
      <c r="AV657" s="7">
        <f>IF(OR(N(W657)&lt;=0,N(BG657)=0),0,N(W657)*IF(N(R657)/N(W657)&gt;=60,N(BG657),1))</f>
        <v/>
      </c>
      <c r="AW657" s="7">
        <f>N(W657)*N(AF657)*N(BH657)</f>
        <v/>
      </c>
      <c r="AX657" s="7">
        <f>N(AL657)*(Assumptions!$B$13*N(BJ657)-(1-Assumptions!$B$13)*Assumptions!$B$14)+N(AM657)</f>
        <v/>
      </c>
      <c r="AY657" s="7">
        <f>N(AU657)*N(R657)/90+N(AV657)+N(AW657)+N(AX657)</f>
        <v/>
      </c>
      <c r="AZ657" s="3">
        <f>IF(N(R657)&lt;=0,0,(N(AY657)-N(AX657))*90/N(R657))</f>
        <v/>
      </c>
      <c r="BA657" s="7">
        <f>IFERROR(AY657-VLOOKUP($E657,Assumptions!$A$40:$C$43,3,FALSE),"")</f>
        <v/>
      </c>
      <c r="BB657" s="3">
        <f>IFERROR(BA657/H657,"")</f>
        <v/>
      </c>
      <c r="BC657">
        <f>IF(AND($G657=TRUE,$E657="GKP"),AY657,"")</f>
        <v/>
      </c>
      <c r="BD657">
        <f>IF(AND($G657=TRUE,$E657="DEF"),AY657,"")</f>
        <v/>
      </c>
      <c r="BE657">
        <f>IF(AND($G657=TRUE,$E657="MID"),AY657,"")</f>
        <v/>
      </c>
      <c r="BF657">
        <f>IF(AND($G657=TRUE,$E657="FWD"),AY657,"")</f>
        <v/>
      </c>
      <c r="BG657" t="n">
        <v>0</v>
      </c>
      <c r="BH657" t="n">
        <v>0</v>
      </c>
      <c r="BI657" t="n">
        <v>0</v>
      </c>
      <c r="BJ657" t="n">
        <v>0</v>
      </c>
    </row>
    <row r="658">
      <c r="A658" t="inlineStr">
        <is>
          <t>Tarik Muharemović</t>
        </is>
      </c>
      <c r="B658" t="inlineStr">
        <is>
          <t>LEE</t>
        </is>
      </c>
      <c r="D658" t="b">
        <v>0</v>
      </c>
      <c r="E658" t="inlineStr">
        <is>
          <t>DEF</t>
        </is>
      </c>
      <c r="G658" t="b">
        <v>1</v>
      </c>
      <c r="H658" s="2" t="n">
        <v>5</v>
      </c>
      <c r="I658" t="inlineStr">
        <is>
          <t>a</t>
        </is>
      </c>
      <c r="K658" s="2" t="n"/>
      <c r="M658" s="3" t="n">
        <v>3209</v>
      </c>
      <c r="N658" s="8" t="n">
        <v>3209</v>
      </c>
      <c r="O658" s="8" t="n">
        <v>0</v>
      </c>
      <c r="Q658" t="inlineStr">
        <is>
          <t>flat</t>
        </is>
      </c>
      <c r="R658" s="6" t="n">
        <v>3209</v>
      </c>
      <c r="S658" t="inlineStr">
        <is>
          <t>Solio</t>
        </is>
      </c>
      <c r="U658" s="6" t="n">
        <v>85</v>
      </c>
      <c r="V658" s="2" t="n"/>
      <c r="W658" s="7">
        <f>IF(N(U658)&lt;=0,0,MIN(Assumptions!$B$15,N(R658)/N(U658)))</f>
        <v/>
      </c>
      <c r="X658" s="6" t="n">
        <v>0.218</v>
      </c>
      <c r="Y658" s="3" t="n"/>
      <c r="Z658" t="inlineStr"/>
      <c r="AA658" s="3" t="n">
        <v>1</v>
      </c>
      <c r="AB658" s="3" t="n"/>
      <c r="AC658" s="3" t="n"/>
      <c r="AD658" s="3" t="n"/>
      <c r="AE658" s="3" t="n"/>
      <c r="AF658" s="3" t="n">
        <v>0</v>
      </c>
      <c r="AG658" s="3" t="n"/>
      <c r="AH658" s="3" t="n"/>
      <c r="AI658" s="3" t="n">
        <v>3.0611</v>
      </c>
      <c r="AJ658" s="3" t="n">
        <v>1.5875</v>
      </c>
      <c r="AK658" s="3" t="n">
        <v>-0.2045226422080557</v>
      </c>
      <c r="AL658" s="6" t="n">
        <v>0</v>
      </c>
      <c r="AM658" s="3" t="n">
        <v>0</v>
      </c>
      <c r="AN658" s="3" t="n">
        <v>0</v>
      </c>
      <c r="AO658" s="3" t="n">
        <v>0</v>
      </c>
      <c r="AP658" s="3">
        <f>N(X658)*N(BI658)</f>
        <v/>
      </c>
      <c r="AQ658" s="3" t="n">
        <v>0</v>
      </c>
      <c r="AR658" s="3" t="n">
        <v>0</v>
      </c>
      <c r="AS658" s="3" t="n">
        <v>-0.5541985260210861</v>
      </c>
      <c r="AT658" s="3" t="n">
        <v>-0.2045226422080557</v>
      </c>
      <c r="AU658" s="3">
        <f>SUM(AN658:AT658)</f>
        <v/>
      </c>
      <c r="AV658" s="7">
        <f>IF(OR(N(W658)&lt;=0,N(BG658)=0),0,N(W658)*IF(N(R658)/N(W658)&gt;=60,N(BG658),1))</f>
        <v/>
      </c>
      <c r="AW658" s="7">
        <f>N(W658)*N(AF658)*N(BH658)</f>
        <v/>
      </c>
      <c r="AX658" s="7">
        <f>N(AL658)*(Assumptions!$B$13*N(BJ658)-(1-Assumptions!$B$13)*Assumptions!$B$14)+N(AM658)</f>
        <v/>
      </c>
      <c r="AY658" s="7">
        <f>N(AU658)*N(R658)/90+N(AV658)+N(AW658)+N(AX658)</f>
        <v/>
      </c>
      <c r="AZ658" s="3">
        <f>IF(N(R658)&lt;=0,0,(N(AY658)-N(AX658))*90/N(R658))</f>
        <v/>
      </c>
      <c r="BA658" s="7">
        <f>IFERROR(AY658-VLOOKUP($E658,Assumptions!$A$40:$C$43,3,FALSE),"")</f>
        <v/>
      </c>
      <c r="BB658" s="3">
        <f>IFERROR(BA658/H658,"")</f>
        <v/>
      </c>
      <c r="BC658">
        <f>IF(AND($G658=TRUE,$E658="GKP"),AY658,"")</f>
        <v/>
      </c>
      <c r="BD658">
        <f>IF(AND($G658=TRUE,$E658="DEF"),AY658,"")</f>
        <v/>
      </c>
      <c r="BE658">
        <f>IF(AND($G658=TRUE,$E658="MID"),AY658,"")</f>
        <v/>
      </c>
      <c r="BF658">
        <f>IF(AND($G658=TRUE,$E658="FWD"),AY658,"")</f>
        <v/>
      </c>
      <c r="BG658" t="n">
        <v>2</v>
      </c>
      <c r="BH658" t="n">
        <v>2</v>
      </c>
      <c r="BI658" t="n">
        <v>4</v>
      </c>
      <c r="BJ658" t="n">
        <v>6</v>
      </c>
    </row>
    <row r="659">
      <c r="A659" t="inlineStr">
        <is>
          <t>Jackson Tchatchoua</t>
        </is>
      </c>
      <c r="C659" t="inlineStr">
        <is>
          <t>WOL</t>
        </is>
      </c>
      <c r="D659" t="b">
        <v>0</v>
      </c>
      <c r="F659" t="inlineStr">
        <is>
          <t>DEF</t>
        </is>
      </c>
      <c r="G659" t="b">
        <v>0</v>
      </c>
      <c r="H659" s="2" t="n"/>
      <c r="K659" s="2" t="n">
        <v>1837</v>
      </c>
      <c r="M659" s="3" t="n"/>
      <c r="N659" s="8" t="n">
        <v>1837</v>
      </c>
      <c r="O659" s="8" t="n">
        <v>0</v>
      </c>
      <c r="R659" s="6" t="n">
        <v>1837</v>
      </c>
      <c r="S659" t="inlineStr">
        <is>
          <t>25/26 actual</t>
        </is>
      </c>
      <c r="U659" s="6" t="n">
        <v>83.3</v>
      </c>
      <c r="V659" s="2" t="n">
        <v>19</v>
      </c>
      <c r="W659" s="7">
        <f>IF(N(U659)&lt;=0,0,MIN(Assumptions!$B$15,N(R659)/N(U659)))</f>
        <v/>
      </c>
      <c r="X659" s="6" t="n"/>
      <c r="Y659" s="3" t="n">
        <v>0.0159</v>
      </c>
      <c r="Z659" t="inlineStr">
        <is>
          <t>adjusted xGOT</t>
        </is>
      </c>
      <c r="AA659" s="3" t="n">
        <v>1</v>
      </c>
      <c r="AB659" s="3" t="n">
        <v>0.984</v>
      </c>
      <c r="AC659" s="3" t="n">
        <v>0.3</v>
      </c>
      <c r="AD659" s="3" t="n">
        <v>0.1099</v>
      </c>
      <c r="AE659" s="3" t="n">
        <v>5.972</v>
      </c>
      <c r="AF659" s="3" t="n">
        <v>0</v>
      </c>
      <c r="AG659" s="3" t="n">
        <v>0</v>
      </c>
      <c r="AH659" s="3" t="n">
        <v>48</v>
      </c>
      <c r="AI659" s="3" t="n"/>
      <c r="AJ659" s="3" t="n"/>
      <c r="AK659" s="3" t="n"/>
      <c r="AL659" s="6" t="n">
        <v>0</v>
      </c>
      <c r="AM659" s="3" t="n">
        <v>0</v>
      </c>
      <c r="AN659" s="3" t="n">
        <v>0</v>
      </c>
      <c r="AO659" s="3" t="n">
        <v>0</v>
      </c>
      <c r="AP659" s="3">
        <f>N(X659)*N(BI659)</f>
        <v/>
      </c>
      <c r="AQ659" s="3" t="n">
        <v>0</v>
      </c>
      <c r="AR659" s="3" t="n">
        <v>0</v>
      </c>
      <c r="AS659" s="3" t="n">
        <v>0</v>
      </c>
      <c r="AT659" s="3" t="n">
        <v>0</v>
      </c>
      <c r="AU659" s="3">
        <f>SUM(AN659:AT659)</f>
        <v/>
      </c>
      <c r="AV659" s="7">
        <f>IF(OR(N(W659)&lt;=0,N(BG659)=0),0,N(W659)*IF(N(R659)/N(W659)&gt;=60,N(BG659),1))</f>
        <v/>
      </c>
      <c r="AW659" s="7">
        <f>N(W659)*N(AF659)*N(BH659)</f>
        <v/>
      </c>
      <c r="AX659" s="7">
        <f>N(AL659)*(Assumptions!$B$13*N(BJ659)-(1-Assumptions!$B$13)*Assumptions!$B$14)+N(AM659)</f>
        <v/>
      </c>
      <c r="AY659" s="7">
        <f>N(AU659)*N(R659)/90+N(AV659)+N(AW659)+N(AX659)</f>
        <v/>
      </c>
      <c r="AZ659" s="3">
        <f>IF(N(R659)&lt;=0,0,(N(AY659)-N(AX659))*90/N(R659))</f>
        <v/>
      </c>
      <c r="BA659" s="7">
        <f>IFERROR(AY659-VLOOKUP($E659,Assumptions!$A$40:$C$43,3,FALSE),"")</f>
        <v/>
      </c>
      <c r="BB659" s="3">
        <f>IFERROR(BA659/H659,"")</f>
        <v/>
      </c>
      <c r="BC659">
        <f>IF(AND($G659=TRUE,$E659="GKP"),AY659,"")</f>
        <v/>
      </c>
      <c r="BD659">
        <f>IF(AND($G659=TRUE,$E659="DEF"),AY659,"")</f>
        <v/>
      </c>
      <c r="BE659">
        <f>IF(AND($G659=TRUE,$E659="MID"),AY659,"")</f>
        <v/>
      </c>
      <c r="BF659">
        <f>IF(AND($G659=TRUE,$E659="FWD"),AY659,"")</f>
        <v/>
      </c>
      <c r="BG659" t="n">
        <v>0</v>
      </c>
      <c r="BH659" t="n">
        <v>0</v>
      </c>
      <c r="BI659" t="n">
        <v>0</v>
      </c>
      <c r="BJ659" t="n">
        <v>0</v>
      </c>
    </row>
    <row r="660">
      <c r="A660" t="inlineStr">
        <is>
          <t>Kaden Rodney</t>
        </is>
      </c>
      <c r="C660" t="inlineStr">
        <is>
          <t>CRY</t>
        </is>
      </c>
      <c r="D660" t="b">
        <v>0</v>
      </c>
      <c r="F660" t="inlineStr">
        <is>
          <t>MID</t>
        </is>
      </c>
      <c r="G660" t="b">
        <v>0</v>
      </c>
      <c r="H660" s="2" t="n"/>
      <c r="K660" s="2" t="n">
        <v>3</v>
      </c>
      <c r="M660" s="3" t="n"/>
      <c r="N660" s="8" t="n">
        <v>3</v>
      </c>
      <c r="O660" s="8" t="n">
        <v>0</v>
      </c>
      <c r="R660" s="6" t="n">
        <v>3</v>
      </c>
      <c r="S660" t="inlineStr">
        <is>
          <t>25/26 actual</t>
        </is>
      </c>
      <c r="U660" s="6" t="n">
        <v>80.09999999999999</v>
      </c>
      <c r="V660" s="2" t="n">
        <v>0</v>
      </c>
      <c r="W660" s="7">
        <f>IF(N(U660)&lt;=0,0,MIN(Assumptions!$B$15,N(R660)/N(U660)))</f>
        <v/>
      </c>
      <c r="X660" s="6" t="n"/>
      <c r="Y660" s="3" t="n"/>
      <c r="Z660" t="inlineStr"/>
      <c r="AA660" s="3" t="n">
        <v>1</v>
      </c>
      <c r="AB660" s="3" t="n">
        <v>1</v>
      </c>
      <c r="AC660" s="3" t="n">
        <v>0</v>
      </c>
      <c r="AD660" s="3" t="n"/>
      <c r="AE660" s="3" t="n">
        <v>8.541</v>
      </c>
      <c r="AF660" s="3" t="n">
        <v>0</v>
      </c>
      <c r="AG660" s="3" t="n">
        <v>0</v>
      </c>
      <c r="AH660" s="3" t="n">
        <v>1</v>
      </c>
      <c r="AI660" s="3" t="n"/>
      <c r="AJ660" s="3" t="n"/>
      <c r="AK660" s="3" t="n"/>
      <c r="AL660" s="6" t="n">
        <v>0</v>
      </c>
      <c r="AM660" s="3" t="n">
        <v>0</v>
      </c>
      <c r="AN660" s="3" t="n">
        <v>0</v>
      </c>
      <c r="AO660" s="3" t="n">
        <v>0</v>
      </c>
      <c r="AP660" s="3">
        <f>N(X660)*N(BI660)</f>
        <v/>
      </c>
      <c r="AQ660" s="3" t="n">
        <v>0</v>
      </c>
      <c r="AR660" s="3" t="n">
        <v>0</v>
      </c>
      <c r="AS660" s="3" t="n">
        <v>0</v>
      </c>
      <c r="AT660" s="3" t="n">
        <v>0</v>
      </c>
      <c r="AU660" s="3">
        <f>SUM(AN660:AT660)</f>
        <v/>
      </c>
      <c r="AV660" s="7">
        <f>IF(OR(N(W660)&lt;=0,N(BG660)=0),0,N(W660)*IF(N(R660)/N(W660)&gt;=60,N(BG660),1))</f>
        <v/>
      </c>
      <c r="AW660" s="7">
        <f>N(W660)*N(AF660)*N(BH660)</f>
        <v/>
      </c>
      <c r="AX660" s="7">
        <f>N(AL660)*(Assumptions!$B$13*N(BJ660)-(1-Assumptions!$B$13)*Assumptions!$B$14)+N(AM660)</f>
        <v/>
      </c>
      <c r="AY660" s="7">
        <f>N(AU660)*N(R660)/90+N(AV660)+N(AW660)+N(AX660)</f>
        <v/>
      </c>
      <c r="AZ660" s="3">
        <f>IF(N(R660)&lt;=0,0,(N(AY660)-N(AX660))*90/N(R660))</f>
        <v/>
      </c>
      <c r="BA660" s="7">
        <f>IFERROR(AY660-VLOOKUP($E660,Assumptions!$A$40:$C$43,3,FALSE),"")</f>
        <v/>
      </c>
      <c r="BB660" s="3">
        <f>IFERROR(BA660/H660,"")</f>
        <v/>
      </c>
      <c r="BC660">
        <f>IF(AND($G660=TRUE,$E660="GKP"),AY660,"")</f>
        <v/>
      </c>
      <c r="BD660">
        <f>IF(AND($G660=TRUE,$E660="DEF"),AY660,"")</f>
        <v/>
      </c>
      <c r="BE660">
        <f>IF(AND($G660=TRUE,$E660="MID"),AY660,"")</f>
        <v/>
      </c>
      <c r="BF660">
        <f>IF(AND($G660=TRUE,$E660="FWD"),AY660,"")</f>
        <v/>
      </c>
      <c r="BG660" t="n">
        <v>0</v>
      </c>
      <c r="BH660" t="n">
        <v>0</v>
      </c>
      <c r="BI660" t="n">
        <v>0</v>
      </c>
      <c r="BJ660" t="n">
        <v>0</v>
      </c>
    </row>
    <row r="661">
      <c r="A661" t="inlineStr">
        <is>
          <t>Pablo</t>
        </is>
      </c>
      <c r="C661" t="inlineStr">
        <is>
          <t>WHU</t>
        </is>
      </c>
      <c r="D661" t="b">
        <v>0</v>
      </c>
      <c r="F661" t="inlineStr">
        <is>
          <t>FWD</t>
        </is>
      </c>
      <c r="G661" t="b">
        <v>0</v>
      </c>
      <c r="H661" s="2" t="n"/>
      <c r="K661" s="2" t="n">
        <v>826</v>
      </c>
      <c r="M661" s="3" t="n"/>
      <c r="N661" s="8" t="n">
        <v>826</v>
      </c>
      <c r="O661" s="8" t="n">
        <v>0</v>
      </c>
      <c r="R661" s="6" t="n">
        <v>826</v>
      </c>
      <c r="S661" t="inlineStr">
        <is>
          <t>25/26 actual</t>
        </is>
      </c>
      <c r="U661" s="6" t="n">
        <v>75.8</v>
      </c>
      <c r="V661" s="2" t="n">
        <v>10</v>
      </c>
      <c r="W661" s="7">
        <f>IF(N(U661)&lt;=0,0,MIN(Assumptions!$B$15,N(R661)/N(U661)))</f>
        <v/>
      </c>
      <c r="X661" s="6" t="n"/>
      <c r="Y661" s="3" t="n">
        <v>0.1074</v>
      </c>
      <c r="Z661" t="inlineStr">
        <is>
          <t>adjusted xGOT</t>
        </is>
      </c>
      <c r="AA661" s="3" t="n">
        <v>1</v>
      </c>
      <c r="AB661" s="3" t="n">
        <v>0.9389999999999999</v>
      </c>
      <c r="AC661" s="3" t="n">
        <v>1</v>
      </c>
      <c r="AD661" s="3" t="n">
        <v>0.1409</v>
      </c>
      <c r="AE661" s="3" t="n">
        <v>6.453</v>
      </c>
      <c r="AF661" s="3" t="n">
        <v>0</v>
      </c>
      <c r="AG661" s="3" t="n">
        <v>0</v>
      </c>
      <c r="AH661" s="3" t="n">
        <v>23</v>
      </c>
      <c r="AI661" s="3" t="n"/>
      <c r="AJ661" s="3" t="n"/>
      <c r="AK661" s="3" t="n"/>
      <c r="AL661" s="6" t="n">
        <v>0</v>
      </c>
      <c r="AM661" s="3" t="n">
        <v>0</v>
      </c>
      <c r="AN661" s="3" t="n">
        <v>0</v>
      </c>
      <c r="AO661" s="3" t="n">
        <v>0</v>
      </c>
      <c r="AP661" s="3">
        <f>N(X661)*N(BI661)</f>
        <v/>
      </c>
      <c r="AQ661" s="3" t="n">
        <v>0</v>
      </c>
      <c r="AR661" s="3" t="n">
        <v>0</v>
      </c>
      <c r="AS661" s="3" t="n">
        <v>0</v>
      </c>
      <c r="AT661" s="3" t="n">
        <v>0</v>
      </c>
      <c r="AU661" s="3">
        <f>SUM(AN661:AT661)</f>
        <v/>
      </c>
      <c r="AV661" s="7">
        <f>IF(OR(N(W661)&lt;=0,N(BG661)=0),0,N(W661)*IF(N(R661)/N(W661)&gt;=60,N(BG661),1))</f>
        <v/>
      </c>
      <c r="AW661" s="7">
        <f>N(W661)*N(AF661)*N(BH661)</f>
        <v/>
      </c>
      <c r="AX661" s="7">
        <f>N(AL661)*(Assumptions!$B$13*N(BJ661)-(1-Assumptions!$B$13)*Assumptions!$B$14)+N(AM661)</f>
        <v/>
      </c>
      <c r="AY661" s="7">
        <f>N(AU661)*N(R661)/90+N(AV661)+N(AW661)+N(AX661)</f>
        <v/>
      </c>
      <c r="AZ661" s="3">
        <f>IF(N(R661)&lt;=0,0,(N(AY661)-N(AX661))*90/N(R661))</f>
        <v/>
      </c>
      <c r="BA661" s="7">
        <f>IFERROR(AY661-VLOOKUP($E661,Assumptions!$A$40:$C$43,3,FALSE),"")</f>
        <v/>
      </c>
      <c r="BB661" s="3">
        <f>IFERROR(BA661/H661,"")</f>
        <v/>
      </c>
      <c r="BC661">
        <f>IF(AND($G661=TRUE,$E661="GKP"),AY661,"")</f>
        <v/>
      </c>
      <c r="BD661">
        <f>IF(AND($G661=TRUE,$E661="DEF"),AY661,"")</f>
        <v/>
      </c>
      <c r="BE661">
        <f>IF(AND($G661=TRUE,$E661="MID"),AY661,"")</f>
        <v/>
      </c>
      <c r="BF661">
        <f>IF(AND($G661=TRUE,$E661="FWD"),AY661,"")</f>
        <v/>
      </c>
      <c r="BG661" t="n">
        <v>0</v>
      </c>
      <c r="BH661" t="n">
        <v>0</v>
      </c>
      <c r="BI661" t="n">
        <v>0</v>
      </c>
      <c r="BJ661" t="n">
        <v>0</v>
      </c>
    </row>
    <row r="662">
      <c r="A662" t="inlineStr">
        <is>
          <t>Abdul Fatawu</t>
        </is>
      </c>
      <c r="B662" t="inlineStr">
        <is>
          <t>IPS</t>
        </is>
      </c>
      <c r="D662" t="b">
        <v>0</v>
      </c>
      <c r="E662" t="inlineStr">
        <is>
          <t>MID</t>
        </is>
      </c>
      <c r="G662" t="b">
        <v>1</v>
      </c>
      <c r="H662" s="2" t="n">
        <v>5.5</v>
      </c>
      <c r="I662" t="inlineStr">
        <is>
          <t>a</t>
        </is>
      </c>
      <c r="K662" s="2" t="n"/>
      <c r="M662" s="3" t="n">
        <v>2189</v>
      </c>
      <c r="N662" s="8" t="n">
        <v>2189</v>
      </c>
      <c r="O662" s="8" t="n">
        <v>0</v>
      </c>
      <c r="Q662" t="inlineStr">
        <is>
          <t>flat</t>
        </is>
      </c>
      <c r="R662" s="6" t="n">
        <v>2189</v>
      </c>
      <c r="S662" t="inlineStr">
        <is>
          <t>Solio</t>
        </is>
      </c>
      <c r="U662" s="6" t="n">
        <v>85</v>
      </c>
      <c r="V662" s="2" t="n"/>
      <c r="W662" s="7">
        <f>IF(N(U662)&lt;=0,0,MIN(Assumptions!$B$15,N(R662)/N(U662)))</f>
        <v/>
      </c>
      <c r="X662" s="6" t="n">
        <v>0.17</v>
      </c>
      <c r="Y662" s="3" t="n"/>
      <c r="Z662" t="inlineStr"/>
      <c r="AA662" s="3" t="n">
        <v>1</v>
      </c>
      <c r="AB662" s="3" t="n"/>
      <c r="AC662" s="3" t="n"/>
      <c r="AD662" s="3" t="n"/>
      <c r="AE662" s="3" t="n"/>
      <c r="AF662" s="3" t="n">
        <v>0</v>
      </c>
      <c r="AG662" s="3" t="n"/>
      <c r="AH662" s="3" t="n"/>
      <c r="AI662" s="3" t="n">
        <v>3.5741</v>
      </c>
      <c r="AJ662" s="3" t="n">
        <v>1.8319</v>
      </c>
      <c r="AK662" s="3" t="n">
        <v>-0.1774481848741362</v>
      </c>
      <c r="AL662" s="6" t="n">
        <v>0</v>
      </c>
      <c r="AM662" s="3" t="n">
        <v>0</v>
      </c>
      <c r="AN662" s="3" t="n">
        <v>0</v>
      </c>
      <c r="AO662" s="3" t="n">
        <v>0</v>
      </c>
      <c r="AP662" s="3">
        <f>N(X662)*N(BI662)</f>
        <v/>
      </c>
      <c r="AQ662" s="3" t="n">
        <v>0</v>
      </c>
      <c r="AR662" s="3" t="n">
        <v>0</v>
      </c>
      <c r="AS662" s="3" t="n">
        <v>-0</v>
      </c>
      <c r="AT662" s="3" t="n">
        <v>-0.1774481848741362</v>
      </c>
      <c r="AU662" s="3">
        <f>SUM(AN662:AT662)</f>
        <v/>
      </c>
      <c r="AV662" s="7">
        <f>IF(OR(N(W662)&lt;=0,N(BG662)=0),0,N(W662)*IF(N(R662)/N(W662)&gt;=60,N(BG662),1))</f>
        <v/>
      </c>
      <c r="AW662" s="7">
        <f>N(W662)*N(AF662)*N(BH662)</f>
        <v/>
      </c>
      <c r="AX662" s="7">
        <f>N(AL662)*(Assumptions!$B$13*N(BJ662)-(1-Assumptions!$B$13)*Assumptions!$B$14)+N(AM662)</f>
        <v/>
      </c>
      <c r="AY662" s="7">
        <f>N(AU662)*N(R662)/90+N(AV662)+N(AW662)+N(AX662)</f>
        <v/>
      </c>
      <c r="AZ662" s="3">
        <f>IF(N(R662)&lt;=0,0,(N(AY662)-N(AX662))*90/N(R662))</f>
        <v/>
      </c>
      <c r="BA662" s="7">
        <f>IFERROR(AY662-VLOOKUP($E662,Assumptions!$A$40:$C$43,3,FALSE),"")</f>
        <v/>
      </c>
      <c r="BB662" s="3">
        <f>IFERROR(BA662/H662,"")</f>
        <v/>
      </c>
      <c r="BC662">
        <f>IF(AND($G662=TRUE,$E662="GKP"),AY662,"")</f>
        <v/>
      </c>
      <c r="BD662">
        <f>IF(AND($G662=TRUE,$E662="DEF"),AY662,"")</f>
        <v/>
      </c>
      <c r="BE662">
        <f>IF(AND($G662=TRUE,$E662="MID"),AY662,"")</f>
        <v/>
      </c>
      <c r="BF662">
        <f>IF(AND($G662=TRUE,$E662="FWD"),AY662,"")</f>
        <v/>
      </c>
      <c r="BG662" t="n">
        <v>2</v>
      </c>
      <c r="BH662" t="n">
        <v>2</v>
      </c>
      <c r="BI662" t="n">
        <v>1</v>
      </c>
      <c r="BJ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N663" s="8" t="n"/>
      <c r="O663" s="8" t="n"/>
      <c r="R663" s="6" t="n"/>
      <c r="S663" t="inlineStr"/>
      <c r="U663" s="6" t="n">
        <v>85</v>
      </c>
      <c r="V663" s="2" t="n"/>
      <c r="W663" s="7">
        <f>IF(N(U663)&lt;=0,0,MIN(Assumptions!$B$15,N(R663)/N(U663)))</f>
        <v/>
      </c>
      <c r="X663" s="6" t="n">
        <v>0.143</v>
      </c>
      <c r="Y663" s="3" t="n"/>
      <c r="Z663" t="inlineStr"/>
      <c r="AA663" s="3" t="n">
        <v>1</v>
      </c>
      <c r="AB663" s="3" t="n"/>
      <c r="AC663" s="3" t="n"/>
      <c r="AD663" s="3" t="n"/>
      <c r="AE663" s="3" t="n"/>
      <c r="AF663" s="3" t="n">
        <v>0</v>
      </c>
      <c r="AG663" s="3" t="n"/>
      <c r="AH663" s="3" t="n"/>
      <c r="AI663" s="3" t="n">
        <v>3.9421</v>
      </c>
      <c r="AJ663" s="3" t="n">
        <v>1.99</v>
      </c>
      <c r="AK663" s="3" t="n">
        <v>-0.1743297292253898</v>
      </c>
      <c r="AL663" s="6" t="n">
        <v>0</v>
      </c>
      <c r="AM663" s="3" t="n">
        <v>0</v>
      </c>
      <c r="AN663" s="3" t="n">
        <v>0</v>
      </c>
      <c r="AO663" s="3" t="n">
        <v>0</v>
      </c>
      <c r="AP663" s="3">
        <f>N(X663)*N(BI663)</f>
        <v/>
      </c>
      <c r="AQ663" s="3" t="n">
        <v>0</v>
      </c>
      <c r="AR663" s="3" t="n">
        <v>0</v>
      </c>
      <c r="AS663" s="3" t="n">
        <v>-0</v>
      </c>
      <c r="AT663" s="3" t="n">
        <v>-0.1743297292253898</v>
      </c>
      <c r="AU663" s="3">
        <f>SUM(AN663:AT663)</f>
        <v/>
      </c>
      <c r="AV663" s="7">
        <f>IF(OR(N(W663)&lt;=0,N(BG663)=0),0,N(W663)*IF(N(R663)/N(W663)&gt;=60,N(BG663),1))</f>
        <v/>
      </c>
      <c r="AW663" s="7">
        <f>N(W663)*N(AF663)*N(BH663)</f>
        <v/>
      </c>
      <c r="AX663" s="7">
        <f>N(AL663)*(Assumptions!$B$13*N(BJ663)-(1-Assumptions!$B$13)*Assumptions!$B$14)+N(AM663)</f>
        <v/>
      </c>
      <c r="AY663" s="7">
        <f>N(AU663)*N(R663)/90+N(AV663)+N(AW663)+N(AX663)</f>
        <v/>
      </c>
      <c r="AZ663" s="3">
        <f>IF(N(R663)&lt;=0,0,(N(AY663)-N(AX663))*90/N(R663))</f>
        <v/>
      </c>
      <c r="BA663" s="7">
        <f>IFERROR(AY663-VLOOKUP($E663,Assumptions!$A$40:$C$43,3,FALSE),"")</f>
        <v/>
      </c>
      <c r="BB663" s="3">
        <f>IFERROR(BA663/H663,"")</f>
        <v/>
      </c>
      <c r="BC663">
        <f>IF(AND($G663=TRUE,$E663="GKP"),AY663,"")</f>
        <v/>
      </c>
      <c r="BD663">
        <f>IF(AND($G663=TRUE,$E663="DEF"),AY663,"")</f>
        <v/>
      </c>
      <c r="BE663">
        <f>IF(AND($G663=TRUE,$E663="MID"),AY663,"")</f>
        <v/>
      </c>
      <c r="BF663">
        <f>IF(AND($G663=TRUE,$E663="FWD"),AY663,"")</f>
        <v/>
      </c>
      <c r="BG663" t="n">
        <v>2</v>
      </c>
      <c r="BH663" t="n">
        <v>2</v>
      </c>
      <c r="BI663" t="n">
        <v>0</v>
      </c>
      <c r="BJ663" t="n">
        <v>4</v>
      </c>
    </row>
    <row r="664">
      <c r="A664" t="inlineStr">
        <is>
          <t>Ollie Scarles</t>
        </is>
      </c>
      <c r="C664" t="inlineStr">
        <is>
          <t>WHU</t>
        </is>
      </c>
      <c r="D664" t="b">
        <v>0</v>
      </c>
      <c r="F664" t="inlineStr">
        <is>
          <t>DEF</t>
        </is>
      </c>
      <c r="G664" t="b">
        <v>0</v>
      </c>
      <c r="H664" s="2" t="n"/>
      <c r="K664" s="2" t="n">
        <v>659</v>
      </c>
      <c r="M664" s="3" t="n"/>
      <c r="N664" s="8" t="n">
        <v>659</v>
      </c>
      <c r="O664" s="8" t="n">
        <v>0</v>
      </c>
      <c r="R664" s="6" t="n">
        <v>659</v>
      </c>
      <c r="S664" t="inlineStr">
        <is>
          <t>25/26 actual</t>
        </is>
      </c>
      <c r="U664" s="6" t="n">
        <v>77.8</v>
      </c>
      <c r="V664" s="2" t="n">
        <v>9</v>
      </c>
      <c r="W664" s="7">
        <f>IF(N(U664)&lt;=0,0,MIN(Assumptions!$B$15,N(R664)/N(U664)))</f>
        <v/>
      </c>
      <c r="X664" s="6" t="n"/>
      <c r="Y664" s="3" t="n">
        <v>0.0238</v>
      </c>
      <c r="Z664" t="inlineStr">
        <is>
          <t>adjusted xGOT</t>
        </is>
      </c>
      <c r="AA664" s="3" t="n">
        <v>1</v>
      </c>
      <c r="AB664" s="3" t="n">
        <v>0.965</v>
      </c>
      <c r="AC664" s="3" t="n">
        <v>0.3</v>
      </c>
      <c r="AD664" s="3" t="n">
        <v>0.1333</v>
      </c>
      <c r="AE664" s="3" t="n">
        <v>8.861000000000001</v>
      </c>
      <c r="AF664" s="3" t="n">
        <v>0</v>
      </c>
      <c r="AG664" s="3" t="n">
        <v>0</v>
      </c>
      <c r="AH664" s="3" t="n">
        <v>20</v>
      </c>
      <c r="AI664" s="3" t="n"/>
      <c r="AJ664" s="3" t="n"/>
      <c r="AK664" s="3" t="n"/>
      <c r="AL664" s="6" t="n">
        <v>0</v>
      </c>
      <c r="AM664" s="3" t="n">
        <v>0</v>
      </c>
      <c r="AN664" s="3" t="n">
        <v>0</v>
      </c>
      <c r="AO664" s="3" t="n">
        <v>0</v>
      </c>
      <c r="AP664" s="3">
        <f>N(X664)*N(BI664)</f>
        <v/>
      </c>
      <c r="AQ664" s="3" t="n">
        <v>0</v>
      </c>
      <c r="AR664" s="3" t="n">
        <v>0</v>
      </c>
      <c r="AS664" s="3" t="n">
        <v>0</v>
      </c>
      <c r="AT664" s="3" t="n">
        <v>0</v>
      </c>
      <c r="AU664" s="3">
        <f>SUM(AN664:AT664)</f>
        <v/>
      </c>
      <c r="AV664" s="7">
        <f>IF(OR(N(W664)&lt;=0,N(BG664)=0),0,N(W664)*IF(N(R664)/N(W664)&gt;=60,N(BG664),1))</f>
        <v/>
      </c>
      <c r="AW664" s="7">
        <f>N(W664)*N(AF664)*N(BH664)</f>
        <v/>
      </c>
      <c r="AX664" s="7">
        <f>N(AL664)*(Assumptions!$B$13*N(BJ664)-(1-Assumptions!$B$13)*Assumptions!$B$14)+N(AM664)</f>
        <v/>
      </c>
      <c r="AY664" s="7">
        <f>N(AU664)*N(R664)/90+N(AV664)+N(AW664)+N(AX664)</f>
        <v/>
      </c>
      <c r="AZ664" s="3">
        <f>IF(N(R664)&lt;=0,0,(N(AY664)-N(AX664))*90/N(R664))</f>
        <v/>
      </c>
      <c r="BA664" s="7">
        <f>IFERROR(AY664-VLOOKUP($E664,Assumptions!$A$40:$C$43,3,FALSE),"")</f>
        <v/>
      </c>
      <c r="BB664" s="3">
        <f>IFERROR(BA664/H664,"")</f>
        <v/>
      </c>
      <c r="BC664">
        <f>IF(AND($G664=TRUE,$E664="GKP"),AY664,"")</f>
        <v/>
      </c>
      <c r="BD664">
        <f>IF(AND($G664=TRUE,$E664="DEF"),AY664,"")</f>
        <v/>
      </c>
      <c r="BE664">
        <f>IF(AND($G664=TRUE,$E664="MID"),AY664,"")</f>
        <v/>
      </c>
      <c r="BF664">
        <f>IF(AND($G664=TRUE,$E664="FWD"),AY664,"")</f>
        <v/>
      </c>
      <c r="BG664" t="n">
        <v>0</v>
      </c>
      <c r="BH664" t="n">
        <v>0</v>
      </c>
      <c r="BI664" t="n">
        <v>0</v>
      </c>
      <c r="BJ664" t="n">
        <v>0</v>
      </c>
    </row>
    <row r="665">
      <c r="A665" t="inlineStr">
        <is>
          <t>Tyler Bindon</t>
        </is>
      </c>
      <c r="B665" t="inlineStr">
        <is>
          <t>NFO</t>
        </is>
      </c>
      <c r="D665" t="b">
        <v>0</v>
      </c>
      <c r="E665" t="inlineStr">
        <is>
          <t>DEF</t>
        </is>
      </c>
      <c r="G665" t="b">
        <v>1</v>
      </c>
      <c r="H665" s="2" t="n">
        <v>4</v>
      </c>
      <c r="I665" t="inlineStr">
        <is>
          <t>a</t>
        </is>
      </c>
      <c r="K665" s="2" t="n"/>
      <c r="M665" s="3" t="n">
        <v>0</v>
      </c>
      <c r="N665" s="8" t="n">
        <v>0</v>
      </c>
      <c r="O665" s="8" t="n">
        <v>0</v>
      </c>
      <c r="Q665" t="inlineStr">
        <is>
          <t>flat</t>
        </is>
      </c>
      <c r="R665" s="6" t="n">
        <v>0</v>
      </c>
      <c r="S665" t="inlineStr">
        <is>
          <t>Solio</t>
        </is>
      </c>
      <c r="U665" s="6" t="n">
        <v>85</v>
      </c>
      <c r="V665" s="2" t="n"/>
      <c r="W665" s="7">
        <f>IF(N(U665)&lt;=0,0,MIN(Assumptions!$B$15,N(R665)/N(U665)))</f>
        <v/>
      </c>
      <c r="X665" s="6" t="n">
        <v>0.224</v>
      </c>
      <c r="Y665" s="3" t="n"/>
      <c r="Z665" t="inlineStr"/>
      <c r="AA665" s="3" t="n">
        <v>1</v>
      </c>
      <c r="AB665" s="3" t="n"/>
      <c r="AC665" s="3" t="n"/>
      <c r="AD665" s="3" t="n"/>
      <c r="AE665" s="3" t="n"/>
      <c r="AF665" s="3" t="n">
        <v>0</v>
      </c>
      <c r="AG665" s="3" t="n"/>
      <c r="AH665" s="3" t="n"/>
      <c r="AI665" s="3" t="n">
        <v>3.1134</v>
      </c>
      <c r="AJ665" s="3" t="n">
        <v>1.5588</v>
      </c>
      <c r="AK665" s="3" t="n">
        <v>-0.2045226422080557</v>
      </c>
      <c r="AL665" s="6" t="n">
        <v>0</v>
      </c>
      <c r="AM665" s="3" t="n">
        <v>0</v>
      </c>
      <c r="AN665" s="3" t="n">
        <v>0</v>
      </c>
      <c r="AO665" s="3" t="n">
        <v>0</v>
      </c>
      <c r="AP665" s="3">
        <f>N(X665)*N(BI665)</f>
        <v/>
      </c>
      <c r="AQ665" s="3" t="n">
        <v>0</v>
      </c>
      <c r="AR665" s="3" t="n">
        <v>0</v>
      </c>
      <c r="AS665" s="3" t="n">
        <v>-0.5404658182244797</v>
      </c>
      <c r="AT665" s="3" t="n">
        <v>-0.2045226422080557</v>
      </c>
      <c r="AU665" s="3">
        <f>SUM(AN665:AT665)</f>
        <v/>
      </c>
      <c r="AV665" s="7">
        <f>IF(OR(N(W665)&lt;=0,N(BG665)=0),0,N(W665)*IF(N(R665)/N(W665)&gt;=60,N(BG665),1))</f>
        <v/>
      </c>
      <c r="AW665" s="7">
        <f>N(W665)*N(AF665)*N(BH665)</f>
        <v/>
      </c>
      <c r="AX665" s="7">
        <f>N(AL665)*(Assumptions!$B$13*N(BJ665)-(1-Assumptions!$B$13)*Assumptions!$B$14)+N(AM665)</f>
        <v/>
      </c>
      <c r="AY665" s="7">
        <f>N(AU665)*N(R665)/90+N(AV665)+N(AW665)+N(AX665)</f>
        <v/>
      </c>
      <c r="AZ665" s="3">
        <f>IF(N(R665)&lt;=0,0,(N(AY665)-N(AX665))*90/N(R665))</f>
        <v/>
      </c>
      <c r="BA665" s="7">
        <f>IFERROR(AY665-VLOOKUP($E665,Assumptions!$A$40:$C$43,3,FALSE),"")</f>
        <v/>
      </c>
      <c r="BB665" s="3">
        <f>IFERROR(BA665/H665,"")</f>
        <v/>
      </c>
      <c r="BC665">
        <f>IF(AND($G665=TRUE,$E665="GKP"),AY665,"")</f>
        <v/>
      </c>
      <c r="BD665">
        <f>IF(AND($G665=TRUE,$E665="DEF"),AY665,"")</f>
        <v/>
      </c>
      <c r="BE665">
        <f>IF(AND($G665=TRUE,$E665="MID"),AY665,"")</f>
        <v/>
      </c>
      <c r="BF665">
        <f>IF(AND($G665=TRUE,$E665="FWD"),AY665,"")</f>
        <v/>
      </c>
      <c r="BG665" t="n">
        <v>2</v>
      </c>
      <c r="BH665" t="n">
        <v>2</v>
      </c>
      <c r="BI665" t="n">
        <v>4</v>
      </c>
      <c r="BJ665" t="n">
        <v>6</v>
      </c>
    </row>
    <row r="666">
      <c r="A666" t="inlineStr">
        <is>
          <t>Aurèle Amenda</t>
        </is>
      </c>
      <c r="B666" t="inlineStr">
        <is>
          <t>COV</t>
        </is>
      </c>
      <c r="D666" t="b">
        <v>0</v>
      </c>
      <c r="E666" t="inlineStr">
        <is>
          <t>DEF</t>
        </is>
      </c>
      <c r="G666" t="b">
        <v>1</v>
      </c>
      <c r="H666" s="2" t="n">
        <v>4</v>
      </c>
      <c r="I666" t="inlineStr">
        <is>
          <t>a</t>
        </is>
      </c>
      <c r="K666" s="2" t="n"/>
      <c r="M666" s="3" t="n">
        <v>2725</v>
      </c>
      <c r="N666" s="8" t="n">
        <v>2725</v>
      </c>
      <c r="O666" s="8" t="n">
        <v>0</v>
      </c>
      <c r="Q666" t="inlineStr">
        <is>
          <t>flat</t>
        </is>
      </c>
      <c r="R666" s="6" t="n">
        <v>2725</v>
      </c>
      <c r="S666" t="inlineStr">
        <is>
          <t>Solio</t>
        </is>
      </c>
      <c r="U666" s="6" t="n">
        <v>85</v>
      </c>
      <c r="V666" s="2" t="n"/>
      <c r="W666" s="7">
        <f>IF(N(U666)&lt;=0,0,MIN(Assumptions!$B$15,N(R666)/N(U666)))</f>
        <v/>
      </c>
      <c r="X666" s="6" t="n">
        <v>0.17</v>
      </c>
      <c r="Y666" s="3" t="n"/>
      <c r="Z666" t="inlineStr"/>
      <c r="AA666" s="3" t="n">
        <v>1</v>
      </c>
      <c r="AB666" s="3" t="n"/>
      <c r="AC666" s="3" t="n"/>
      <c r="AD666" s="3" t="n"/>
      <c r="AE666" s="3" t="n"/>
      <c r="AF666" s="3" t="n">
        <v>0</v>
      </c>
      <c r="AG666" s="3" t="n"/>
      <c r="AH666" s="3" t="n"/>
      <c r="AI666" s="3" t="n">
        <v>3.6194</v>
      </c>
      <c r="AJ666" s="3" t="n">
        <v>1.8271</v>
      </c>
      <c r="AK666" s="3" t="n">
        <v>-0.2045226422080557</v>
      </c>
      <c r="AL666" s="6" t="n">
        <v>0</v>
      </c>
      <c r="AM666" s="3" t="n">
        <v>0</v>
      </c>
      <c r="AN666" s="3" t="n">
        <v>0</v>
      </c>
      <c r="AO666" s="3" t="n">
        <v>0</v>
      </c>
      <c r="AP666" s="3">
        <f>N(X666)*N(BI666)</f>
        <v/>
      </c>
      <c r="AQ666" s="3" t="n">
        <v>0</v>
      </c>
      <c r="AR666" s="3" t="n">
        <v>0</v>
      </c>
      <c r="AS666" s="3" t="n">
        <v>-0.670020548738316</v>
      </c>
      <c r="AT666" s="3" t="n">
        <v>-0.2045226422080557</v>
      </c>
      <c r="AU666" s="3">
        <f>SUM(AN666:AT666)</f>
        <v/>
      </c>
      <c r="AV666" s="7">
        <f>IF(OR(N(W666)&lt;=0,N(BG666)=0),0,N(W666)*IF(N(R666)/N(W666)&gt;=60,N(BG666),1))</f>
        <v/>
      </c>
      <c r="AW666" s="7">
        <f>N(W666)*N(AF666)*N(BH666)</f>
        <v/>
      </c>
      <c r="AX666" s="7">
        <f>N(AL666)*(Assumptions!$B$13*N(BJ666)-(1-Assumptions!$B$13)*Assumptions!$B$14)+N(AM666)</f>
        <v/>
      </c>
      <c r="AY666" s="7">
        <f>N(AU666)*N(R666)/90+N(AV666)+N(AW666)+N(AX666)</f>
        <v/>
      </c>
      <c r="AZ666" s="3">
        <f>IF(N(R666)&lt;=0,0,(N(AY666)-N(AX666))*90/N(R666))</f>
        <v/>
      </c>
      <c r="BA666" s="7">
        <f>IFERROR(AY666-VLOOKUP($E666,Assumptions!$A$40:$C$43,3,FALSE),"")</f>
        <v/>
      </c>
      <c r="BB666" s="3">
        <f>IFERROR(BA666/H666,"")</f>
        <v/>
      </c>
      <c r="BC666">
        <f>IF(AND($G666=TRUE,$E666="GKP"),AY666,"")</f>
        <v/>
      </c>
      <c r="BD666">
        <f>IF(AND($G666=TRUE,$E666="DEF"),AY666,"")</f>
        <v/>
      </c>
      <c r="BE666">
        <f>IF(AND($G666=TRUE,$E666="MID"),AY666,"")</f>
        <v/>
      </c>
      <c r="BF666">
        <f>IF(AND($G666=TRUE,$E666="FWD"),AY666,"")</f>
        <v/>
      </c>
      <c r="BG666" t="n">
        <v>2</v>
      </c>
      <c r="BH666" t="n">
        <v>2</v>
      </c>
      <c r="BI666" t="n">
        <v>4</v>
      </c>
      <c r="BJ666" t="n">
        <v>6</v>
      </c>
    </row>
    <row r="667">
      <c r="A667" t="inlineStr">
        <is>
          <t>Mohamed Belloumi</t>
        </is>
      </c>
      <c r="B667" t="inlineStr">
        <is>
          <t>HUL</t>
        </is>
      </c>
      <c r="D667" t="b">
        <v>0</v>
      </c>
      <c r="E667" t="inlineStr">
        <is>
          <t>MID</t>
        </is>
      </c>
      <c r="G667" t="b">
        <v>1</v>
      </c>
      <c r="H667" s="2" t="n">
        <v>5</v>
      </c>
      <c r="I667" t="inlineStr">
        <is>
          <t>a</t>
        </is>
      </c>
      <c r="K667" s="2" t="n"/>
      <c r="M667" s="3" t="n">
        <v>2257</v>
      </c>
      <c r="N667" s="8" t="n">
        <v>2257</v>
      </c>
      <c r="O667" s="8" t="n">
        <v>0</v>
      </c>
      <c r="Q667" t="inlineStr">
        <is>
          <t>flat</t>
        </is>
      </c>
      <c r="R667" s="6" t="n">
        <v>2257</v>
      </c>
      <c r="S667" t="inlineStr">
        <is>
          <t>Solio</t>
        </is>
      </c>
      <c r="U667" s="6" t="n">
        <v>85</v>
      </c>
      <c r="V667" s="2" t="n"/>
      <c r="W667" s="7">
        <f>IF(N(U667)&lt;=0,0,MIN(Assumptions!$B$15,N(R667)/N(U667)))</f>
        <v/>
      </c>
      <c r="X667" s="6" t="n">
        <v>0.143</v>
      </c>
      <c r="Y667" s="3" t="n"/>
      <c r="Z667" t="inlineStr"/>
      <c r="AA667" s="3" t="n">
        <v>1</v>
      </c>
      <c r="AB667" s="3" t="n"/>
      <c r="AC667" s="3" t="n"/>
      <c r="AD667" s="3" t="n"/>
      <c r="AE667" s="3" t="n"/>
      <c r="AF667" s="3" t="n">
        <v>0</v>
      </c>
      <c r="AG667" s="3" t="n"/>
      <c r="AH667" s="3" t="n"/>
      <c r="AI667" s="3" t="n">
        <v>3.9421</v>
      </c>
      <c r="AJ667" s="3" t="n">
        <v>1.99</v>
      </c>
      <c r="AK667" s="3" t="n">
        <v>-0.2160434166173144</v>
      </c>
      <c r="AL667" s="6" t="n">
        <v>0</v>
      </c>
      <c r="AM667" s="3" t="n">
        <v>0</v>
      </c>
      <c r="AN667" s="3" t="n">
        <v>0</v>
      </c>
      <c r="AO667" s="3" t="n">
        <v>0</v>
      </c>
      <c r="AP667" s="3">
        <f>N(X667)*N(BI667)</f>
        <v/>
      </c>
      <c r="AQ667" s="3" t="n">
        <v>0</v>
      </c>
      <c r="AR667" s="3" t="n">
        <v>0</v>
      </c>
      <c r="AS667" s="3" t="n">
        <v>-0</v>
      </c>
      <c r="AT667" s="3" t="n">
        <v>-0.2160434166173144</v>
      </c>
      <c r="AU667" s="3">
        <f>SUM(AN667:AT667)</f>
        <v/>
      </c>
      <c r="AV667" s="7">
        <f>IF(OR(N(W667)&lt;=0,N(BG667)=0),0,N(W667)*IF(N(R667)/N(W667)&gt;=60,N(BG667),1))</f>
        <v/>
      </c>
      <c r="AW667" s="7">
        <f>N(W667)*N(AF667)*N(BH667)</f>
        <v/>
      </c>
      <c r="AX667" s="7">
        <f>N(AL667)*(Assumptions!$B$13*N(BJ667)-(1-Assumptions!$B$13)*Assumptions!$B$14)+N(AM667)</f>
        <v/>
      </c>
      <c r="AY667" s="7">
        <f>N(AU667)*N(R667)/90+N(AV667)+N(AW667)+N(AX667)</f>
        <v/>
      </c>
      <c r="AZ667" s="3">
        <f>IF(N(R667)&lt;=0,0,(N(AY667)-N(AX667))*90/N(R667))</f>
        <v/>
      </c>
      <c r="BA667" s="7">
        <f>IFERROR(AY667-VLOOKUP($E667,Assumptions!$A$40:$C$43,3,FALSE),"")</f>
        <v/>
      </c>
      <c r="BB667" s="3">
        <f>IFERROR(BA667/H667,"")</f>
        <v/>
      </c>
      <c r="BC667">
        <f>IF(AND($G667=TRUE,$E667="GKP"),AY667,"")</f>
        <v/>
      </c>
      <c r="BD667">
        <f>IF(AND($G667=TRUE,$E667="DEF"),AY667,"")</f>
        <v/>
      </c>
      <c r="BE667">
        <f>IF(AND($G667=TRUE,$E667="MID"),AY667,"")</f>
        <v/>
      </c>
      <c r="BF667">
        <f>IF(AND($G667=TRUE,$E667="FWD"),AY667,"")</f>
        <v/>
      </c>
      <c r="BG667" t="n">
        <v>2</v>
      </c>
      <c r="BH667" t="n">
        <v>2</v>
      </c>
      <c r="BI667" t="n">
        <v>1</v>
      </c>
      <c r="BJ667" t="n">
        <v>5</v>
      </c>
    </row>
    <row r="668">
      <c r="A668" t="inlineStr">
        <is>
          <t>Valentín Barco</t>
        </is>
      </c>
      <c r="B668" t="inlineStr">
        <is>
          <t>CHE</t>
        </is>
      </c>
      <c r="D668" t="b">
        <v>0</v>
      </c>
      <c r="E668" t="inlineStr">
        <is>
          <t>MID</t>
        </is>
      </c>
      <c r="G668" t="b">
        <v>1</v>
      </c>
      <c r="H668" s="2" t="n">
        <v>5.5</v>
      </c>
      <c r="I668" t="inlineStr">
        <is>
          <t>a</t>
        </is>
      </c>
      <c r="K668" s="2" t="n"/>
      <c r="M668" s="3" t="n">
        <v>315</v>
      </c>
      <c r="N668" s="8" t="n">
        <v>315</v>
      </c>
      <c r="O668" s="8" t="n">
        <v>0</v>
      </c>
      <c r="Q668" t="inlineStr">
        <is>
          <t>flat</t>
        </is>
      </c>
      <c r="R668" s="6" t="n">
        <v>315</v>
      </c>
      <c r="S668" t="inlineStr">
        <is>
          <t>Solio</t>
        </is>
      </c>
      <c r="U668" s="6" t="n">
        <v>85</v>
      </c>
      <c r="V668" s="2" t="n"/>
      <c r="W668" s="7">
        <f>IF(N(U668)&lt;=0,0,MIN(Assumptions!$B$15,N(R668)/N(U668)))</f>
        <v/>
      </c>
      <c r="X668" s="6" t="n">
        <v>0.322</v>
      </c>
      <c r="Y668" s="3" t="n"/>
      <c r="Z668" t="inlineStr"/>
      <c r="AA668" s="3" t="n">
        <v>1</v>
      </c>
      <c r="AB668" s="3" t="n"/>
      <c r="AC668" s="3" t="n"/>
      <c r="AD668" s="3" t="n"/>
      <c r="AE668" s="3" t="n"/>
      <c r="AF668" s="3" t="n">
        <v>0</v>
      </c>
      <c r="AG668" s="3" t="n"/>
      <c r="AH668" s="3" t="n"/>
      <c r="AI668" s="3" t="n">
        <v>2.4232</v>
      </c>
      <c r="AJ668" s="3" t="n">
        <v>1.1851</v>
      </c>
      <c r="AK668" s="3" t="n">
        <v>-0.2234100738777944</v>
      </c>
      <c r="AL668" s="6" t="n">
        <v>0</v>
      </c>
      <c r="AM668" s="3" t="n">
        <v>0</v>
      </c>
      <c r="AN668" s="3" t="n">
        <v>0</v>
      </c>
      <c r="AO668" s="3" t="n">
        <v>0</v>
      </c>
      <c r="AP668" s="3">
        <f>N(X668)*N(BI668)</f>
        <v/>
      </c>
      <c r="AQ668" s="3" t="n">
        <v>0</v>
      </c>
      <c r="AR668" s="3" t="n">
        <v>0</v>
      </c>
      <c r="AS668" s="3" t="n">
        <v>-0</v>
      </c>
      <c r="AT668" s="3" t="n">
        <v>-0.2234100738777944</v>
      </c>
      <c r="AU668" s="3">
        <f>SUM(AN668:AT668)</f>
        <v/>
      </c>
      <c r="AV668" s="7">
        <f>IF(OR(N(W668)&lt;=0,N(BG668)=0),0,N(W668)*IF(N(R668)/N(W668)&gt;=60,N(BG668),1))</f>
        <v/>
      </c>
      <c r="AW668" s="7">
        <f>N(W668)*N(AF668)*N(BH668)</f>
        <v/>
      </c>
      <c r="AX668" s="7">
        <f>N(AL668)*(Assumptions!$B$13*N(BJ668)-(1-Assumptions!$B$13)*Assumptions!$B$14)+N(AM668)</f>
        <v/>
      </c>
      <c r="AY668" s="7">
        <f>N(AU668)*N(R668)/90+N(AV668)+N(AW668)+N(AX668)</f>
        <v/>
      </c>
      <c r="AZ668" s="3">
        <f>IF(N(R668)&lt;=0,0,(N(AY668)-N(AX668))*90/N(R668))</f>
        <v/>
      </c>
      <c r="BA668" s="7">
        <f>IFERROR(AY668-VLOOKUP($E668,Assumptions!$A$40:$C$43,3,FALSE),"")</f>
        <v/>
      </c>
      <c r="BB668" s="3">
        <f>IFERROR(BA668/H668,"")</f>
        <v/>
      </c>
      <c r="BC668">
        <f>IF(AND($G668=TRUE,$E668="GKP"),AY668,"")</f>
        <v/>
      </c>
      <c r="BD668">
        <f>IF(AND($G668=TRUE,$E668="DEF"),AY668,"")</f>
        <v/>
      </c>
      <c r="BE668">
        <f>IF(AND($G668=TRUE,$E668="MID"),AY668,"")</f>
        <v/>
      </c>
      <c r="BF668">
        <f>IF(AND($G668=TRUE,$E668="FWD"),AY668,"")</f>
        <v/>
      </c>
      <c r="BG668" t="n">
        <v>2</v>
      </c>
      <c r="BH668" t="n">
        <v>2</v>
      </c>
      <c r="BI668" t="n">
        <v>1</v>
      </c>
      <c r="BJ668" t="n">
        <v>5</v>
      </c>
    </row>
    <row r="669">
      <c r="A669" t="inlineStr">
        <is>
          <t>Emersonn Correia da Silva</t>
        </is>
      </c>
      <c r="B669" t="inlineStr">
        <is>
          <t>IPS</t>
        </is>
      </c>
      <c r="D669" t="b">
        <v>0</v>
      </c>
      <c r="E669" t="inlineStr">
        <is>
          <t>FWD</t>
        </is>
      </c>
      <c r="G669" t="b">
        <v>1</v>
      </c>
      <c r="H669" s="2" t="n">
        <v>5.5</v>
      </c>
      <c r="I669" t="inlineStr">
        <is>
          <t>a</t>
        </is>
      </c>
      <c r="K669" s="2" t="n"/>
      <c r="M669" s="3" t="n">
        <v>2366</v>
      </c>
      <c r="N669" s="8" t="n">
        <v>2366</v>
      </c>
      <c r="O669" s="8" t="n">
        <v>0</v>
      </c>
      <c r="Q669" t="inlineStr">
        <is>
          <t>flat</t>
        </is>
      </c>
      <c r="R669" s="6" t="n">
        <v>2366</v>
      </c>
      <c r="S669" t="inlineStr">
        <is>
          <t>Solio</t>
        </is>
      </c>
      <c r="U669" s="6" t="n">
        <v>85</v>
      </c>
      <c r="V669" s="2" t="n"/>
      <c r="W669" s="7">
        <f>IF(N(U669)&lt;=0,0,MIN(Assumptions!$B$15,N(R669)/N(U669)))</f>
        <v/>
      </c>
      <c r="X669" s="6" t="n">
        <v>0.17</v>
      </c>
      <c r="Y669" s="3" t="n"/>
      <c r="Z669" t="inlineStr"/>
      <c r="AA669" s="3" t="n">
        <v>1</v>
      </c>
      <c r="AB669" s="3" t="n"/>
      <c r="AC669" s="3" t="n"/>
      <c r="AD669" s="3" t="n"/>
      <c r="AE669" s="3" t="n"/>
      <c r="AF669" s="3" t="n">
        <v>0</v>
      </c>
      <c r="AG669" s="3" t="n"/>
      <c r="AH669" s="3" t="n"/>
      <c r="AI669" s="3" t="n">
        <v>3.5741</v>
      </c>
      <c r="AJ669" s="3" t="n">
        <v>1.8319</v>
      </c>
      <c r="AK669" s="3" t="n">
        <v>-0.174691292596322</v>
      </c>
      <c r="AL669" s="6" t="n">
        <v>1.585577986957572</v>
      </c>
      <c r="AM669" s="3" t="n">
        <v>0</v>
      </c>
      <c r="AN669" s="3" t="n">
        <v>0</v>
      </c>
      <c r="AO669" s="3" t="n">
        <v>0</v>
      </c>
      <c r="AP669" s="3">
        <f>N(X669)*N(BI669)</f>
        <v/>
      </c>
      <c r="AQ669" s="3" t="n">
        <v>0</v>
      </c>
      <c r="AR669" s="3" t="n">
        <v>0</v>
      </c>
      <c r="AS669" s="3" t="n">
        <v>-0</v>
      </c>
      <c r="AT669" s="3" t="n">
        <v>-0.174691292596322</v>
      </c>
      <c r="AU669" s="3">
        <f>SUM(AN669:AT669)</f>
        <v/>
      </c>
      <c r="AV669" s="7">
        <f>IF(OR(N(W669)&lt;=0,N(BG669)=0),0,N(W669)*IF(N(R669)/N(W669)&gt;=60,N(BG669),1))</f>
        <v/>
      </c>
      <c r="AW669" s="7">
        <f>N(W669)*N(AF669)*N(BH669)</f>
        <v/>
      </c>
      <c r="AX669" s="7">
        <f>N(AL669)*(Assumptions!$B$13*N(BJ669)-(1-Assumptions!$B$13)*Assumptions!$B$14)+N(AM669)</f>
        <v/>
      </c>
      <c r="AY669" s="7">
        <f>N(AU669)*N(R669)/90+N(AV669)+N(AW669)+N(AX669)</f>
        <v/>
      </c>
      <c r="AZ669" s="3">
        <f>IF(N(R669)&lt;=0,0,(N(AY669)-N(AX669))*90/N(R669))</f>
        <v/>
      </c>
      <c r="BA669" s="7">
        <f>IFERROR(AY669-VLOOKUP($E669,Assumptions!$A$40:$C$43,3,FALSE),"")</f>
        <v/>
      </c>
      <c r="BB669" s="3">
        <f>IFERROR(BA669/H669,"")</f>
        <v/>
      </c>
      <c r="BC669">
        <f>IF(AND($G669=TRUE,$E669="GKP"),AY669,"")</f>
        <v/>
      </c>
      <c r="BD669">
        <f>IF(AND($G669=TRUE,$E669="DEF"),AY669,"")</f>
        <v/>
      </c>
      <c r="BE669">
        <f>IF(AND($G669=TRUE,$E669="MID"),AY669,"")</f>
        <v/>
      </c>
      <c r="BF669">
        <f>IF(AND($G669=TRUE,$E669="FWD"),AY669,"")</f>
        <v/>
      </c>
      <c r="BG669" t="n">
        <v>2</v>
      </c>
      <c r="BH669" t="n">
        <v>2</v>
      </c>
      <c r="BI669" t="n">
        <v>0</v>
      </c>
      <c r="BJ669" t="n">
        <v>4</v>
      </c>
    </row>
    <row r="670">
      <c r="A670" t="inlineStr">
        <is>
          <t>Kayne van Oevelen</t>
        </is>
      </c>
      <c r="B670" t="inlineStr">
        <is>
          <t>IPS</t>
        </is>
      </c>
      <c r="D670" t="b">
        <v>0</v>
      </c>
      <c r="E670" t="inlineStr">
        <is>
          <t>GKP</t>
        </is>
      </c>
      <c r="G670" t="b">
        <v>1</v>
      </c>
      <c r="H670" s="2" t="n">
        <v>4.5</v>
      </c>
      <c r="I670" t="inlineStr">
        <is>
          <t>a</t>
        </is>
      </c>
      <c r="K670" s="2" t="n"/>
      <c r="M670" s="3" t="n">
        <v>35</v>
      </c>
      <c r="N670" s="8" t="n">
        <v>35</v>
      </c>
      <c r="O670" s="8" t="n">
        <v>0</v>
      </c>
      <c r="Q670" t="inlineStr">
        <is>
          <t>flat</t>
        </is>
      </c>
      <c r="R670" s="6" t="n">
        <v>35</v>
      </c>
      <c r="S670" t="inlineStr">
        <is>
          <t>Solio</t>
        </is>
      </c>
      <c r="U670" s="6" t="n">
        <v>85</v>
      </c>
      <c r="V670" s="2" t="n"/>
      <c r="W670" s="7">
        <f>IF(N(U670)&lt;=0,0,MIN(Assumptions!$B$15,N(R670)/N(U670)))</f>
        <v/>
      </c>
      <c r="X670" s="6" t="n">
        <v>0.17</v>
      </c>
      <c r="Y670" s="3" t="n"/>
      <c r="Z670" t="inlineStr"/>
      <c r="AA670" s="3" t="n">
        <v>1</v>
      </c>
      <c r="AB670" s="3" t="n"/>
      <c r="AC670" s="3" t="n"/>
      <c r="AD670" s="3" t="n"/>
      <c r="AE670" s="3" t="n">
        <v>0</v>
      </c>
      <c r="AF670" s="3" t="n">
        <v>0</v>
      </c>
      <c r="AG670" s="3" t="n"/>
      <c r="AH670" s="3" t="n"/>
      <c r="AI670" s="3" t="n">
        <v>3.5741</v>
      </c>
      <c r="AJ670" s="3" t="n">
        <v>1.8319</v>
      </c>
      <c r="AK670" s="3" t="n">
        <v>-0.0763216474948735</v>
      </c>
      <c r="AL670" s="6" t="n">
        <v>0</v>
      </c>
      <c r="AM670" s="3" t="n">
        <v>0.0400226050740512</v>
      </c>
      <c r="AN670" s="3" t="n">
        <v>0</v>
      </c>
      <c r="AO670" s="3" t="n">
        <v>0</v>
      </c>
      <c r="AP670" s="3">
        <f>N(X670)*N(BI670)</f>
        <v/>
      </c>
      <c r="AQ670" s="3" t="n">
        <v>0</v>
      </c>
      <c r="AR670" s="3" t="n">
        <v>0.8565116974562608</v>
      </c>
      <c r="AS670" s="3" t="n">
        <v>-0.6723587286814016</v>
      </c>
      <c r="AT670" s="3" t="n">
        <v>-0.0763216474948735</v>
      </c>
      <c r="AU670" s="3">
        <f>SUM(AN670:AT670)</f>
        <v/>
      </c>
      <c r="AV670" s="7">
        <f>IF(OR(N(W670)&lt;=0,N(BG670)=0),0,N(W670)*IF(N(R670)/N(W670)&gt;=60,N(BG670),1))</f>
        <v/>
      </c>
      <c r="AW670" s="7">
        <f>N(W670)*N(AF670)*N(BH670)</f>
        <v/>
      </c>
      <c r="AX670" s="7">
        <f>N(AL670)*(Assumptions!$B$13*N(BJ670)-(1-Assumptions!$B$13)*Assumptions!$B$14)+N(AM670)</f>
        <v/>
      </c>
      <c r="AY670" s="7">
        <f>N(AU670)*N(R670)/90+N(AV670)+N(AW670)+N(AX670)</f>
        <v/>
      </c>
      <c r="AZ670" s="3">
        <f>IF(N(R670)&lt;=0,0,(N(AY670)-N(AX670))*90/N(R670))</f>
        <v/>
      </c>
      <c r="BA670" s="7">
        <f>IFERROR(AY670-VLOOKUP($E670,Assumptions!$A$40:$C$43,3,FALSE),"")</f>
        <v/>
      </c>
      <c r="BB670" s="3">
        <f>IFERROR(BA670/H670,"")</f>
        <v/>
      </c>
      <c r="BC670">
        <f>IF(AND($G670=TRUE,$E670="GKP"),AY670,"")</f>
        <v/>
      </c>
      <c r="BD670">
        <f>IF(AND($G670=TRUE,$E670="DEF"),AY670,"")</f>
        <v/>
      </c>
      <c r="BE670">
        <f>IF(AND($G670=TRUE,$E670="MID"),AY670,"")</f>
        <v/>
      </c>
      <c r="BF670">
        <f>IF(AND($G670=TRUE,$E670="FWD"),AY670,"")</f>
        <v/>
      </c>
      <c r="BG670" t="n">
        <v>2</v>
      </c>
      <c r="BH670" t="n">
        <v>0</v>
      </c>
      <c r="BI670" t="n">
        <v>4</v>
      </c>
      <c r="BJ670" t="n">
        <v>10</v>
      </c>
    </row>
    <row r="671">
      <c r="A671" t="inlineStr">
        <is>
          <t>Lucas Pires</t>
        </is>
      </c>
      <c r="C671" t="inlineStr">
        <is>
          <t>BUR</t>
        </is>
      </c>
      <c r="D671" t="b">
        <v>0</v>
      </c>
      <c r="F671" t="inlineStr">
        <is>
          <t>DEF</t>
        </is>
      </c>
      <c r="G671" t="b">
        <v>0</v>
      </c>
      <c r="H671" s="2" t="n"/>
      <c r="K671" s="2" t="n">
        <v>1406</v>
      </c>
      <c r="M671" s="3" t="n"/>
      <c r="N671" s="8" t="n">
        <v>1406</v>
      </c>
      <c r="O671" s="8" t="n">
        <v>0</v>
      </c>
      <c r="R671" s="6" t="n">
        <v>1406</v>
      </c>
      <c r="S671" t="inlineStr">
        <is>
          <t>25/26 actual</t>
        </is>
      </c>
      <c r="U671" s="6" t="n">
        <v>88.09999999999999</v>
      </c>
      <c r="V671" s="2" t="n">
        <v>14</v>
      </c>
      <c r="W671" s="7">
        <f>IF(N(U671)&lt;=0,0,MIN(Assumptions!$B$15,N(R671)/N(U671)))</f>
        <v/>
      </c>
      <c r="X671" s="6" t="n"/>
      <c r="Y671" s="3" t="n">
        <v>0.0371</v>
      </c>
      <c r="Z671" t="inlineStr">
        <is>
          <t>adjusted xGOT</t>
        </is>
      </c>
      <c r="AA671" s="3" t="n">
        <v>1</v>
      </c>
      <c r="AB671" s="3" t="n">
        <v>0.965</v>
      </c>
      <c r="AC671" s="3" t="n">
        <v>0.6</v>
      </c>
      <c r="AD671" s="3" t="n">
        <v>0.0973</v>
      </c>
      <c r="AE671" s="3" t="n">
        <v>6.543</v>
      </c>
      <c r="AF671" s="3" t="n">
        <v>0</v>
      </c>
      <c r="AG671" s="3" t="n">
        <v>0</v>
      </c>
      <c r="AH671" s="3" t="n">
        <v>34</v>
      </c>
      <c r="AI671" s="3" t="n"/>
      <c r="AJ671" s="3" t="n"/>
      <c r="AK671" s="3" t="n"/>
      <c r="AL671" s="6" t="n">
        <v>0</v>
      </c>
      <c r="AM671" s="3" t="n">
        <v>0</v>
      </c>
      <c r="AN671" s="3" t="n">
        <v>0</v>
      </c>
      <c r="AO671" s="3" t="n">
        <v>0</v>
      </c>
      <c r="AP671" s="3">
        <f>N(X671)*N(BI671)</f>
        <v/>
      </c>
      <c r="AQ671" s="3" t="n">
        <v>0</v>
      </c>
      <c r="AR671" s="3" t="n">
        <v>0</v>
      </c>
      <c r="AS671" s="3" t="n">
        <v>0</v>
      </c>
      <c r="AT671" s="3" t="n">
        <v>0</v>
      </c>
      <c r="AU671" s="3">
        <f>SUM(AN671:AT671)</f>
        <v/>
      </c>
      <c r="AV671" s="7">
        <f>IF(OR(N(W671)&lt;=0,N(BG671)=0),0,N(W671)*IF(N(R671)/N(W671)&gt;=60,N(BG671),1))</f>
        <v/>
      </c>
      <c r="AW671" s="7">
        <f>N(W671)*N(AF671)*N(BH671)</f>
        <v/>
      </c>
      <c r="AX671" s="7">
        <f>N(AL671)*(Assumptions!$B$13*N(BJ671)-(1-Assumptions!$B$13)*Assumptions!$B$14)+N(AM671)</f>
        <v/>
      </c>
      <c r="AY671" s="7">
        <f>N(AU671)*N(R671)/90+N(AV671)+N(AW671)+N(AX671)</f>
        <v/>
      </c>
      <c r="AZ671" s="3">
        <f>IF(N(R671)&lt;=0,0,(N(AY671)-N(AX671))*90/N(R671))</f>
        <v/>
      </c>
      <c r="BA671" s="7">
        <f>IFERROR(AY671-VLOOKUP($E671,Assumptions!$A$40:$C$43,3,FALSE),"")</f>
        <v/>
      </c>
      <c r="BB671" s="3">
        <f>IFERROR(BA671/H671,"")</f>
        <v/>
      </c>
      <c r="BC671">
        <f>IF(AND($G671=TRUE,$E671="GKP"),AY671,"")</f>
        <v/>
      </c>
      <c r="BD671">
        <f>IF(AND($G671=TRUE,$E671="DEF"),AY671,"")</f>
        <v/>
      </c>
      <c r="BE671">
        <f>IF(AND($G671=TRUE,$E671="MID"),AY671,"")</f>
        <v/>
      </c>
      <c r="BF671">
        <f>IF(AND($G671=TRUE,$E671="FWD"),AY671,"")</f>
        <v/>
      </c>
      <c r="BG671" t="n">
        <v>0</v>
      </c>
      <c r="BH671" t="n">
        <v>0</v>
      </c>
      <c r="BI671" t="n">
        <v>0</v>
      </c>
      <c r="BJ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N672" s="8" t="n"/>
      <c r="O672" s="8" t="n"/>
      <c r="R672" s="6" t="n"/>
      <c r="S672" t="inlineStr"/>
      <c r="U672" s="6" t="n">
        <v>85</v>
      </c>
      <c r="V672" s="2" t="n"/>
      <c r="W672" s="7">
        <f>IF(N(U672)&lt;=0,0,MIN(Assumptions!$B$15,N(R672)/N(U672)))</f>
        <v/>
      </c>
      <c r="X672" s="6" t="n">
        <v>0.17</v>
      </c>
      <c r="Y672" s="3" t="n"/>
      <c r="Z672" t="inlineStr"/>
      <c r="AA672" s="3" t="n">
        <v>1</v>
      </c>
      <c r="AB672" s="3" t="n"/>
      <c r="AC672" s="3" t="n"/>
      <c r="AD672" s="3" t="n"/>
      <c r="AE672" s="3" t="n"/>
      <c r="AF672" s="3" t="n">
        <v>0</v>
      </c>
      <c r="AG672" s="3" t="n"/>
      <c r="AH672" s="3" t="n"/>
      <c r="AI672" s="3" t="n">
        <v>3.6194</v>
      </c>
      <c r="AJ672" s="3" t="n">
        <v>1.8271</v>
      </c>
      <c r="AK672" s="3" t="n">
        <v>-0.174691292596322</v>
      </c>
      <c r="AL672" s="6" t="n">
        <v>0</v>
      </c>
      <c r="AM672" s="3" t="n">
        <v>0</v>
      </c>
      <c r="AN672" s="3" t="n">
        <v>0</v>
      </c>
      <c r="AO672" s="3" t="n">
        <v>0</v>
      </c>
      <c r="AP672" s="3">
        <f>N(X672)*N(BI672)</f>
        <v/>
      </c>
      <c r="AQ672" s="3" t="n">
        <v>0</v>
      </c>
      <c r="AR672" s="3" t="n">
        <v>0</v>
      </c>
      <c r="AS672" s="3" t="n">
        <v>-0</v>
      </c>
      <c r="AT672" s="3" t="n">
        <v>-0.174691292596322</v>
      </c>
      <c r="AU672" s="3">
        <f>SUM(AN672:AT672)</f>
        <v/>
      </c>
      <c r="AV672" s="7">
        <f>IF(OR(N(W672)&lt;=0,N(BG672)=0),0,N(W672)*IF(N(R672)/N(W672)&gt;=60,N(BG672),1))</f>
        <v/>
      </c>
      <c r="AW672" s="7">
        <f>N(W672)*N(AF672)*N(BH672)</f>
        <v/>
      </c>
      <c r="AX672" s="7">
        <f>N(AL672)*(Assumptions!$B$13*N(BJ672)-(1-Assumptions!$B$13)*Assumptions!$B$14)+N(AM672)</f>
        <v/>
      </c>
      <c r="AY672" s="7">
        <f>N(AU672)*N(R672)/90+N(AV672)+N(AW672)+N(AX672)</f>
        <v/>
      </c>
      <c r="AZ672" s="3">
        <f>IF(N(R672)&lt;=0,0,(N(AY672)-N(AX672))*90/N(R672))</f>
        <v/>
      </c>
      <c r="BA672" s="7">
        <f>IFERROR(AY672-VLOOKUP($E672,Assumptions!$A$40:$C$43,3,FALSE),"")</f>
        <v/>
      </c>
      <c r="BB672" s="3">
        <f>IFERROR(BA672/H672,"")</f>
        <v/>
      </c>
      <c r="BC672">
        <f>IF(AND($G672=TRUE,$E672="GKP"),AY672,"")</f>
        <v/>
      </c>
      <c r="BD672">
        <f>IF(AND($G672=TRUE,$E672="DEF"),AY672,"")</f>
        <v/>
      </c>
      <c r="BE672">
        <f>IF(AND($G672=TRUE,$E672="MID"),AY672,"")</f>
        <v/>
      </c>
      <c r="BF672">
        <f>IF(AND($G672=TRUE,$E672="FWD"),AY672,"")</f>
        <v/>
      </c>
      <c r="BG672" t="n">
        <v>2</v>
      </c>
      <c r="BH672" t="n">
        <v>2</v>
      </c>
      <c r="BI672" t="n">
        <v>0</v>
      </c>
      <c r="BJ672" t="n">
        <v>4</v>
      </c>
    </row>
    <row r="673">
      <c r="A673" t="inlineStr">
        <is>
          <t>Jaydon Banel</t>
        </is>
      </c>
      <c r="C673" t="inlineStr">
        <is>
          <t>BUR</t>
        </is>
      </c>
      <c r="D673" t="b">
        <v>0</v>
      </c>
      <c r="F673" t="inlineStr">
        <is>
          <t>MID</t>
        </is>
      </c>
      <c r="G673" t="b">
        <v>0</v>
      </c>
      <c r="H673" s="2" t="n"/>
      <c r="K673" s="2" t="n">
        <v>9</v>
      </c>
      <c r="M673" s="3" t="n"/>
      <c r="N673" s="8" t="n">
        <v>9</v>
      </c>
      <c r="O673" s="8" t="n">
        <v>0</v>
      </c>
      <c r="R673" s="6" t="n">
        <v>9</v>
      </c>
      <c r="S673" t="inlineStr">
        <is>
          <t>25/26 actual</t>
        </is>
      </c>
      <c r="U673" s="6" t="n">
        <v>80.09999999999999</v>
      </c>
      <c r="V673" s="2" t="n">
        <v>0</v>
      </c>
      <c r="W673" s="7">
        <f>IF(N(U673)&lt;=0,0,MIN(Assumptions!$B$15,N(R673)/N(U673)))</f>
        <v/>
      </c>
      <c r="X673" s="6" t="n"/>
      <c r="Y673" s="3" t="n">
        <v>0</v>
      </c>
      <c r="Z673" t="inlineStr">
        <is>
          <t>blended xG</t>
        </is>
      </c>
      <c r="AA673" s="3" t="n">
        <v>1</v>
      </c>
      <c r="AB673" s="3" t="n">
        <v>1</v>
      </c>
      <c r="AC673" s="3" t="n">
        <v>0</v>
      </c>
      <c r="AD673" s="3" t="n">
        <v>0</v>
      </c>
      <c r="AE673" s="3" t="n">
        <v>8.471</v>
      </c>
      <c r="AF673" s="3" t="n">
        <v>0</v>
      </c>
      <c r="AG673" s="3" t="n">
        <v>0</v>
      </c>
      <c r="AH673" s="3" t="n">
        <v>1</v>
      </c>
      <c r="AI673" s="3" t="n"/>
      <c r="AJ673" s="3" t="n"/>
      <c r="AK673" s="3" t="n"/>
      <c r="AL673" s="6" t="n">
        <v>0</v>
      </c>
      <c r="AM673" s="3" t="n">
        <v>0</v>
      </c>
      <c r="AN673" s="3" t="n">
        <v>0</v>
      </c>
      <c r="AO673" s="3" t="n">
        <v>0</v>
      </c>
      <c r="AP673" s="3">
        <f>N(X673)*N(BI673)</f>
        <v/>
      </c>
      <c r="AQ673" s="3" t="n">
        <v>0</v>
      </c>
      <c r="AR673" s="3" t="n">
        <v>0</v>
      </c>
      <c r="AS673" s="3" t="n">
        <v>0</v>
      </c>
      <c r="AT673" s="3" t="n">
        <v>0</v>
      </c>
      <c r="AU673" s="3">
        <f>SUM(AN673:AT673)</f>
        <v/>
      </c>
      <c r="AV673" s="7">
        <f>IF(OR(N(W673)&lt;=0,N(BG673)=0),0,N(W673)*IF(N(R673)/N(W673)&gt;=60,N(BG673),1))</f>
        <v/>
      </c>
      <c r="AW673" s="7">
        <f>N(W673)*N(AF673)*N(BH673)</f>
        <v/>
      </c>
      <c r="AX673" s="7">
        <f>N(AL673)*(Assumptions!$B$13*N(BJ673)-(1-Assumptions!$B$13)*Assumptions!$B$14)+N(AM673)</f>
        <v/>
      </c>
      <c r="AY673" s="7">
        <f>N(AU673)*N(R673)/90+N(AV673)+N(AW673)+N(AX673)</f>
        <v/>
      </c>
      <c r="AZ673" s="3">
        <f>IF(N(R673)&lt;=0,0,(N(AY673)-N(AX673))*90/N(R673))</f>
        <v/>
      </c>
      <c r="BA673" s="7">
        <f>IFERROR(AY673-VLOOKUP($E673,Assumptions!$A$40:$C$43,3,FALSE),"")</f>
        <v/>
      </c>
      <c r="BB673" s="3">
        <f>IFERROR(BA673/H673,"")</f>
        <v/>
      </c>
      <c r="BC673">
        <f>IF(AND($G673=TRUE,$E673="GKP"),AY673,"")</f>
        <v/>
      </c>
      <c r="BD673">
        <f>IF(AND($G673=TRUE,$E673="DEF"),AY673,"")</f>
        <v/>
      </c>
      <c r="BE673">
        <f>IF(AND($G673=TRUE,$E673="MID"),AY673,"")</f>
        <v/>
      </c>
      <c r="BF673">
        <f>IF(AND($G673=TRUE,$E673="FWD"),AY673,"")</f>
        <v/>
      </c>
      <c r="BG673" t="n">
        <v>0</v>
      </c>
      <c r="BH673" t="n">
        <v>0</v>
      </c>
      <c r="BI673" t="n">
        <v>0</v>
      </c>
      <c r="BJ673" t="n">
        <v>0</v>
      </c>
    </row>
    <row r="674">
      <c r="A674" t="inlineStr">
        <is>
          <t>Jahnoah Markelo</t>
        </is>
      </c>
      <c r="B674" t="inlineStr">
        <is>
          <t>COV</t>
        </is>
      </c>
      <c r="D674" t="b">
        <v>0</v>
      </c>
      <c r="E674" t="inlineStr">
        <is>
          <t>FWD</t>
        </is>
      </c>
      <c r="G674" t="b">
        <v>1</v>
      </c>
      <c r="H674" s="2" t="n">
        <v>5</v>
      </c>
      <c r="I674" t="inlineStr">
        <is>
          <t>a</t>
        </is>
      </c>
      <c r="K674" s="2" t="n"/>
      <c r="M674" s="3" t="n">
        <v>0</v>
      </c>
      <c r="N674" s="8" t="n">
        <v>0</v>
      </c>
      <c r="O674" s="8" t="n">
        <v>0</v>
      </c>
      <c r="Q674" t="inlineStr">
        <is>
          <t>flat</t>
        </is>
      </c>
      <c r="R674" s="6" t="n">
        <v>0</v>
      </c>
      <c r="S674" t="inlineStr">
        <is>
          <t>Solio</t>
        </is>
      </c>
      <c r="U674" s="6" t="n">
        <v>85</v>
      </c>
      <c r="V674" s="2" t="n"/>
      <c r="W674" s="7">
        <f>IF(N(U674)&lt;=0,0,MIN(Assumptions!$B$15,N(R674)/N(U674)))</f>
        <v/>
      </c>
      <c r="X674" s="6" t="n">
        <v>0.17</v>
      </c>
      <c r="Y674" s="3" t="n"/>
      <c r="Z674" t="inlineStr"/>
      <c r="AA674" s="3" t="n">
        <v>1</v>
      </c>
      <c r="AB674" s="3" t="n"/>
      <c r="AC674" s="3" t="n"/>
      <c r="AD674" s="3" t="n"/>
      <c r="AE674" s="3" t="n"/>
      <c r="AF674" s="3" t="n">
        <v>0</v>
      </c>
      <c r="AG674" s="3" t="n"/>
      <c r="AH674" s="3" t="n"/>
      <c r="AI674" s="3" t="n">
        <v>3.6194</v>
      </c>
      <c r="AJ674" s="3" t="n">
        <v>1.8271</v>
      </c>
      <c r="AK674" s="3" t="n">
        <v>-0.174691292596322</v>
      </c>
      <c r="AL674" s="6" t="n">
        <v>0</v>
      </c>
      <c r="AM674" s="3" t="n">
        <v>0</v>
      </c>
      <c r="AN674" s="3" t="n">
        <v>0</v>
      </c>
      <c r="AO674" s="3" t="n">
        <v>0</v>
      </c>
      <c r="AP674" s="3">
        <f>N(X674)*N(BI674)</f>
        <v/>
      </c>
      <c r="AQ674" s="3" t="n">
        <v>0</v>
      </c>
      <c r="AR674" s="3" t="n">
        <v>0</v>
      </c>
      <c r="AS674" s="3" t="n">
        <v>-0</v>
      </c>
      <c r="AT674" s="3" t="n">
        <v>-0.174691292596322</v>
      </c>
      <c r="AU674" s="3">
        <f>SUM(AN674:AT674)</f>
        <v/>
      </c>
      <c r="AV674" s="7">
        <f>IF(OR(N(W674)&lt;=0,N(BG674)=0),0,N(W674)*IF(N(R674)/N(W674)&gt;=60,N(BG674),1))</f>
        <v/>
      </c>
      <c r="AW674" s="7">
        <f>N(W674)*N(AF674)*N(BH674)</f>
        <v/>
      </c>
      <c r="AX674" s="7">
        <f>N(AL674)*(Assumptions!$B$13*N(BJ674)-(1-Assumptions!$B$13)*Assumptions!$B$14)+N(AM674)</f>
        <v/>
      </c>
      <c r="AY674" s="7">
        <f>N(AU674)*N(R674)/90+N(AV674)+N(AW674)+N(AX674)</f>
        <v/>
      </c>
      <c r="AZ674" s="3">
        <f>IF(N(R674)&lt;=0,0,(N(AY674)-N(AX674))*90/N(R674))</f>
        <v/>
      </c>
      <c r="BA674" s="7">
        <f>IFERROR(AY674-VLOOKUP($E674,Assumptions!$A$40:$C$43,3,FALSE),"")</f>
        <v/>
      </c>
      <c r="BB674" s="3">
        <f>IFERROR(BA674/H674,"")</f>
        <v/>
      </c>
      <c r="BC674">
        <f>IF(AND($G674=TRUE,$E674="GKP"),AY674,"")</f>
        <v/>
      </c>
      <c r="BD674">
        <f>IF(AND($G674=TRUE,$E674="DEF"),AY674,"")</f>
        <v/>
      </c>
      <c r="BE674">
        <f>IF(AND($G674=TRUE,$E674="MID"),AY674,"")</f>
        <v/>
      </c>
      <c r="BF674">
        <f>IF(AND($G674=TRUE,$E674="FWD"),AY674,"")</f>
        <v/>
      </c>
      <c r="BG674" t="n">
        <v>2</v>
      </c>
      <c r="BH674" t="n">
        <v>2</v>
      </c>
      <c r="BI674" t="n">
        <v>0</v>
      </c>
      <c r="BJ674" t="n">
        <v>4</v>
      </c>
    </row>
    <row r="675">
      <c r="A675" t="inlineStr">
        <is>
          <t>Gonzalo García</t>
        </is>
      </c>
      <c r="B675" t="inlineStr">
        <is>
          <t>FUL</t>
        </is>
      </c>
      <c r="D675" t="b">
        <v>0</v>
      </c>
      <c r="E675" t="inlineStr">
        <is>
          <t>FWD</t>
        </is>
      </c>
      <c r="G675" t="b">
        <v>1</v>
      </c>
      <c r="H675" s="2" t="n">
        <v>6</v>
      </c>
      <c r="I675" t="inlineStr">
        <is>
          <t>a</t>
        </is>
      </c>
      <c r="K675" s="2" t="n"/>
      <c r="M675" s="3" t="n">
        <v>2696</v>
      </c>
      <c r="N675" s="8" t="n">
        <v>2696</v>
      </c>
      <c r="O675" s="8" t="n">
        <v>0</v>
      </c>
      <c r="Q675" t="inlineStr">
        <is>
          <t>flat</t>
        </is>
      </c>
      <c r="R675" s="6" t="n">
        <v>2696</v>
      </c>
      <c r="S675" t="inlineStr">
        <is>
          <t>Solio</t>
        </is>
      </c>
      <c r="U675" s="6" t="n">
        <v>85</v>
      </c>
      <c r="V675" s="2" t="n"/>
      <c r="W675" s="7">
        <f>IF(N(U675)&lt;=0,0,MIN(Assumptions!$B$15,N(R675)/N(U675)))</f>
        <v/>
      </c>
      <c r="X675" s="6" t="n">
        <v>0.214</v>
      </c>
      <c r="Y675" s="3" t="n"/>
      <c r="Z675" t="inlineStr"/>
      <c r="AA675" s="3" t="n">
        <v>1</v>
      </c>
      <c r="AB675" s="3" t="n"/>
      <c r="AC675" s="3" t="n"/>
      <c r="AD675" s="3" t="n"/>
      <c r="AE675" s="3" t="n"/>
      <c r="AF675" s="3" t="n">
        <v>0</v>
      </c>
      <c r="AG675" s="3" t="n"/>
      <c r="AH675" s="3" t="n"/>
      <c r="AI675" s="3" t="n">
        <v>3.22</v>
      </c>
      <c r="AJ675" s="3" t="n">
        <v>1.6019</v>
      </c>
      <c r="AK675" s="3" t="n">
        <v>-0.174691292596322</v>
      </c>
      <c r="AL675" s="6" t="n">
        <v>3.327363353167932</v>
      </c>
      <c r="AM675" s="3" t="n">
        <v>0</v>
      </c>
      <c r="AN675" s="3" t="n">
        <v>0</v>
      </c>
      <c r="AO675" s="3" t="n">
        <v>0</v>
      </c>
      <c r="AP675" s="3">
        <f>N(X675)*N(BI675)</f>
        <v/>
      </c>
      <c r="AQ675" s="3" t="n">
        <v>0</v>
      </c>
      <c r="AR675" s="3" t="n">
        <v>0</v>
      </c>
      <c r="AS675" s="3" t="n">
        <v>-0</v>
      </c>
      <c r="AT675" s="3" t="n">
        <v>-0.174691292596322</v>
      </c>
      <c r="AU675" s="3">
        <f>SUM(AN675:AT675)</f>
        <v/>
      </c>
      <c r="AV675" s="7">
        <f>IF(OR(N(W675)&lt;=0,N(BG675)=0),0,N(W675)*IF(N(R675)/N(W675)&gt;=60,N(BG675),1))</f>
        <v/>
      </c>
      <c r="AW675" s="7">
        <f>N(W675)*N(AF675)*N(BH675)</f>
        <v/>
      </c>
      <c r="AX675" s="7">
        <f>N(AL675)*(Assumptions!$B$13*N(BJ675)-(1-Assumptions!$B$13)*Assumptions!$B$14)+N(AM675)</f>
        <v/>
      </c>
      <c r="AY675" s="7">
        <f>N(AU675)*N(R675)/90+N(AV675)+N(AW675)+N(AX675)</f>
        <v/>
      </c>
      <c r="AZ675" s="3">
        <f>IF(N(R675)&lt;=0,0,(N(AY675)-N(AX675))*90/N(R675))</f>
        <v/>
      </c>
      <c r="BA675" s="7">
        <f>IFERROR(AY675-VLOOKUP($E675,Assumptions!$A$40:$C$43,3,FALSE),"")</f>
        <v/>
      </c>
      <c r="BB675" s="3">
        <f>IFERROR(BA675/H675,"")</f>
        <v/>
      </c>
      <c r="BC675">
        <f>IF(AND($G675=TRUE,$E675="GKP"),AY675,"")</f>
        <v/>
      </c>
      <c r="BD675">
        <f>IF(AND($G675=TRUE,$E675="DEF"),AY675,"")</f>
        <v/>
      </c>
      <c r="BE675">
        <f>IF(AND($G675=TRUE,$E675="MID"),AY675,"")</f>
        <v/>
      </c>
      <c r="BF675">
        <f>IF(AND($G675=TRUE,$E675="FWD"),AY675,"")</f>
        <v/>
      </c>
      <c r="BG675" t="n">
        <v>2</v>
      </c>
      <c r="BH675" t="n">
        <v>2</v>
      </c>
      <c r="BI675" t="n">
        <v>0</v>
      </c>
      <c r="BJ675" t="n">
        <v>4</v>
      </c>
    </row>
    <row r="676">
      <c r="A676" t="inlineStr">
        <is>
          <t>Álex Jiménez</t>
        </is>
      </c>
      <c r="C676" t="inlineStr">
        <is>
          <t>BOU</t>
        </is>
      </c>
      <c r="D676" t="b">
        <v>0</v>
      </c>
      <c r="F676" t="inlineStr">
        <is>
          <t>DEF</t>
        </is>
      </c>
      <c r="G676" t="b">
        <v>0</v>
      </c>
      <c r="H676" s="2" t="n"/>
      <c r="K676" s="2" t="n">
        <v>2323</v>
      </c>
      <c r="M676" s="3" t="n"/>
      <c r="N676" s="8" t="n">
        <v>2323</v>
      </c>
      <c r="O676" s="8" t="n">
        <v>0</v>
      </c>
      <c r="R676" s="6" t="n">
        <v>2323</v>
      </c>
      <c r="S676" t="inlineStr">
        <is>
          <t>25/26 actual</t>
        </is>
      </c>
      <c r="U676" s="6" t="n">
        <v>84.09999999999999</v>
      </c>
      <c r="V676" s="2" t="n">
        <v>26</v>
      </c>
      <c r="W676" s="7">
        <f>IF(N(U676)&lt;=0,0,MIN(Assumptions!$B$15,N(R676)/N(U676)))</f>
        <v/>
      </c>
      <c r="X676" s="6" t="n"/>
      <c r="Y676" s="3" t="n">
        <v>0.0423</v>
      </c>
      <c r="Z676" t="inlineStr">
        <is>
          <t>adjusted xGOT</t>
        </is>
      </c>
      <c r="AA676" s="3" t="n">
        <v>1</v>
      </c>
      <c r="AB676" s="3" t="n">
        <v>1.001</v>
      </c>
      <c r="AC676" s="3" t="n">
        <v>1.1</v>
      </c>
      <c r="AD676" s="3" t="n">
        <v>0.066</v>
      </c>
      <c r="AE676" s="3" t="n">
        <v>6.212</v>
      </c>
      <c r="AF676" s="3" t="n">
        <v>0</v>
      </c>
      <c r="AG676" s="3" t="n">
        <v>0.1162</v>
      </c>
      <c r="AH676" s="3" t="n">
        <v>56</v>
      </c>
      <c r="AI676" s="3" t="n"/>
      <c r="AJ676" s="3" t="n"/>
      <c r="AK676" s="3" t="n"/>
      <c r="AL676" s="6" t="n">
        <v>0</v>
      </c>
      <c r="AM676" s="3" t="n">
        <v>0</v>
      </c>
      <c r="AN676" s="3" t="n">
        <v>0</v>
      </c>
      <c r="AO676" s="3" t="n">
        <v>0</v>
      </c>
      <c r="AP676" s="3">
        <f>N(X676)*N(BI676)</f>
        <v/>
      </c>
      <c r="AQ676" s="3" t="n">
        <v>0</v>
      </c>
      <c r="AR676" s="3" t="n">
        <v>0</v>
      </c>
      <c r="AS676" s="3" t="n">
        <v>0</v>
      </c>
      <c r="AT676" s="3" t="n">
        <v>0</v>
      </c>
      <c r="AU676" s="3">
        <f>SUM(AN676:AT676)</f>
        <v/>
      </c>
      <c r="AV676" s="7">
        <f>IF(OR(N(W676)&lt;=0,N(BG676)=0),0,N(W676)*IF(N(R676)/N(W676)&gt;=60,N(BG676),1))</f>
        <v/>
      </c>
      <c r="AW676" s="7">
        <f>N(W676)*N(AF676)*N(BH676)</f>
        <v/>
      </c>
      <c r="AX676" s="7">
        <f>N(AL676)*(Assumptions!$B$13*N(BJ676)-(1-Assumptions!$B$13)*Assumptions!$B$14)+N(AM676)</f>
        <v/>
      </c>
      <c r="AY676" s="7">
        <f>N(AU676)*N(R676)/90+N(AV676)+N(AW676)+N(AX676)</f>
        <v/>
      </c>
      <c r="AZ676" s="3">
        <f>IF(N(R676)&lt;=0,0,(N(AY676)-N(AX676))*90/N(R676))</f>
        <v/>
      </c>
      <c r="BA676" s="7">
        <f>IFERROR(AY676-VLOOKUP($E676,Assumptions!$A$40:$C$43,3,FALSE),"")</f>
        <v/>
      </c>
      <c r="BB676" s="3">
        <f>IFERROR(BA676/H676,"")</f>
        <v/>
      </c>
      <c r="BC676">
        <f>IF(AND($G676=TRUE,$E676="GKP"),AY676,"")</f>
        <v/>
      </c>
      <c r="BD676">
        <f>IF(AND($G676=TRUE,$E676="DEF"),AY676,"")</f>
        <v/>
      </c>
      <c r="BE676">
        <f>IF(AND($G676=TRUE,$E676="MID"),AY676,"")</f>
        <v/>
      </c>
      <c r="BF676">
        <f>IF(AND($G676=TRUE,$E676="FWD"),AY676,"")</f>
        <v/>
      </c>
      <c r="BG676" t="n">
        <v>0</v>
      </c>
      <c r="BH676" t="n">
        <v>0</v>
      </c>
      <c r="BI676" t="n">
        <v>0</v>
      </c>
      <c r="BJ676" t="n">
        <v>0</v>
      </c>
    </row>
    <row r="677">
      <c r="A677" t="inlineStr">
        <is>
          <t>Victor Munoz</t>
        </is>
      </c>
      <c r="B677" t="inlineStr">
        <is>
          <t>LIV</t>
        </is>
      </c>
      <c r="D677" t="b">
        <v>0</v>
      </c>
      <c r="E677" t="inlineStr">
        <is>
          <t>MID</t>
        </is>
      </c>
      <c r="G677" t="b">
        <v>1</v>
      </c>
      <c r="H677" s="2" t="n">
        <v>6.5</v>
      </c>
      <c r="I677" t="inlineStr">
        <is>
          <t>a</t>
        </is>
      </c>
      <c r="K677" s="2" t="n"/>
      <c r="M677" s="3" t="n">
        <v>796</v>
      </c>
      <c r="N677" s="4" t="n">
        <v>1600</v>
      </c>
      <c r="O677" s="4" t="n">
        <v>804</v>
      </c>
      <c r="P677" s="5" t="inlineStr">
        <is>
          <t>medium</t>
        </is>
      </c>
      <c r="Q677" t="inlineStr">
        <is>
          <t>flat</t>
        </is>
      </c>
      <c r="R677" s="6" t="n">
        <v>1600</v>
      </c>
      <c r="S677" t="inlineStr">
        <is>
          <t>research</t>
        </is>
      </c>
      <c r="T677" s="5" t="inlineStr">
        <is>
          <t>Solio gives Liverpool's £34.7m first signing of the Iraola regime only 796 minutes. He is named at left wing in This Is Anfield's Anfield 'dress rehearsal for Newcastle' XI (Alisson; Frimpong, Araujo, Van Dijk, Kerkez; Gravenberch, Szoboszlai; Ngumoha, Wirtz, Munoz; Isak), and the Premier League's own preview has him occupying left wing in Iraola's 4-2-3-1. Held below a full starter's allocation because he returned late from winning the World Cup with Spain and because Liverpool are still chasing Bradley Barcola as a first-choice left winger.</t>
        </is>
      </c>
      <c r="U677" s="6" t="n">
        <v>85</v>
      </c>
      <c r="V677" s="2" t="n"/>
      <c r="W677" s="7">
        <f>IF(N(U677)&lt;=0,0,MIN(Assumptions!$B$15,N(R677)/N(U677)))</f>
        <v/>
      </c>
      <c r="X677" s="6" t="n">
        <v>0.342</v>
      </c>
      <c r="Y677" s="3" t="n"/>
      <c r="Z677" t="inlineStr"/>
      <c r="AA677" s="3" t="n">
        <v>1</v>
      </c>
      <c r="AB677" s="3" t="n"/>
      <c r="AC677" s="3" t="n"/>
      <c r="AD677" s="3" t="n"/>
      <c r="AE677" s="3" t="n"/>
      <c r="AF677" s="3" t="n">
        <v>0</v>
      </c>
      <c r="AG677" s="3" t="n"/>
      <c r="AH677" s="3" t="n"/>
      <c r="AI677" s="3" t="n">
        <v>2.409</v>
      </c>
      <c r="AJ677" s="3" t="n">
        <v>1.1228</v>
      </c>
      <c r="AK677" s="3" t="n">
        <v>-0.2160434166173144</v>
      </c>
      <c r="AL677" s="6" t="n">
        <v>0</v>
      </c>
      <c r="AM677" s="3" t="n">
        <v>0</v>
      </c>
      <c r="AN677" s="3" t="n">
        <v>0</v>
      </c>
      <c r="AO677" s="3" t="n">
        <v>0</v>
      </c>
      <c r="AP677" s="3">
        <f>N(X677)*N(BI677)</f>
        <v/>
      </c>
      <c r="AQ677" s="3" t="n">
        <v>0</v>
      </c>
      <c r="AR677" s="3" t="n">
        <v>0</v>
      </c>
      <c r="AS677" s="3" t="n">
        <v>-0</v>
      </c>
      <c r="AT677" s="3" t="n">
        <v>-0.2160434166173144</v>
      </c>
      <c r="AU677" s="3">
        <f>SUM(AN677:AT677)</f>
        <v/>
      </c>
      <c r="AV677" s="7">
        <f>IF(OR(N(W677)&lt;=0,N(BG677)=0),0,N(W677)*IF(N(R677)/N(W677)&gt;=60,N(BG677),1))</f>
        <v/>
      </c>
      <c r="AW677" s="7">
        <f>N(W677)*N(AF677)*N(BH677)</f>
        <v/>
      </c>
      <c r="AX677" s="7">
        <f>N(AL677)*(Assumptions!$B$13*N(BJ677)-(1-Assumptions!$B$13)*Assumptions!$B$14)+N(AM677)</f>
        <v/>
      </c>
      <c r="AY677" s="7">
        <f>N(AU677)*N(R677)/90+N(AV677)+N(AW677)+N(AX677)</f>
        <v/>
      </c>
      <c r="AZ677" s="3">
        <f>IF(N(R677)&lt;=0,0,(N(AY677)-N(AX677))*90/N(R677))</f>
        <v/>
      </c>
      <c r="BA677" s="7">
        <f>IFERROR(AY677-VLOOKUP($E677,Assumptions!$A$40:$C$43,3,FALSE),"")</f>
        <v/>
      </c>
      <c r="BB677" s="3">
        <f>IFERROR(BA677/H677,"")</f>
        <v/>
      </c>
      <c r="BC677">
        <f>IF(AND($G677=TRUE,$E677="GKP"),AY677,"")</f>
        <v/>
      </c>
      <c r="BD677">
        <f>IF(AND($G677=TRUE,$E677="DEF"),AY677,"")</f>
        <v/>
      </c>
      <c r="BE677">
        <f>IF(AND($G677=TRUE,$E677="MID"),AY677,"")</f>
        <v/>
      </c>
      <c r="BF677">
        <f>IF(AND($G677=TRUE,$E677="FWD"),AY677,"")</f>
        <v/>
      </c>
      <c r="BG677" t="n">
        <v>2</v>
      </c>
      <c r="BH677" t="n">
        <v>2</v>
      </c>
      <c r="BI677" t="n">
        <v>1</v>
      </c>
      <c r="BJ677" t="n">
        <v>5</v>
      </c>
    </row>
    <row r="678">
      <c r="A678" t="inlineStr">
        <is>
          <t>Jens Hjertø-Dahl</t>
        </is>
      </c>
      <c r="B678" t="inlineStr">
        <is>
          <t>HUL</t>
        </is>
      </c>
      <c r="D678" t="b">
        <v>0</v>
      </c>
      <c r="E678" t="inlineStr">
        <is>
          <t>MID</t>
        </is>
      </c>
      <c r="G678" t="b">
        <v>1</v>
      </c>
      <c r="H678" s="2" t="n">
        <v>5</v>
      </c>
      <c r="I678" t="inlineStr">
        <is>
          <t>a</t>
        </is>
      </c>
      <c r="K678" s="2" t="n"/>
      <c r="M678" s="3" t="n">
        <v>1750</v>
      </c>
      <c r="N678" s="8" t="n">
        <v>1750</v>
      </c>
      <c r="O678" s="8" t="n">
        <v>0</v>
      </c>
      <c r="Q678" t="inlineStr">
        <is>
          <t>flat</t>
        </is>
      </c>
      <c r="R678" s="6" t="n">
        <v>1750</v>
      </c>
      <c r="S678" t="inlineStr">
        <is>
          <t>Solio</t>
        </is>
      </c>
      <c r="U678" s="6" t="n">
        <v>85</v>
      </c>
      <c r="V678" s="2" t="n"/>
      <c r="W678" s="7">
        <f>IF(N(U678)&lt;=0,0,MIN(Assumptions!$B$15,N(R678)/N(U678)))</f>
        <v/>
      </c>
      <c r="X678" s="6" t="n">
        <v>0.143</v>
      </c>
      <c r="Y678" s="3" t="n"/>
      <c r="Z678" t="inlineStr"/>
      <c r="AA678" s="3" t="n">
        <v>1</v>
      </c>
      <c r="AB678" s="3" t="n"/>
      <c r="AC678" s="3" t="n"/>
      <c r="AD678" s="3" t="n"/>
      <c r="AE678" s="3" t="n"/>
      <c r="AF678" s="3" t="n">
        <v>0</v>
      </c>
      <c r="AG678" s="3" t="n"/>
      <c r="AH678" s="3" t="n"/>
      <c r="AI678" s="3" t="n">
        <v>3.9421</v>
      </c>
      <c r="AJ678" s="3" t="n">
        <v>1.99</v>
      </c>
      <c r="AK678" s="3" t="n">
        <v>-0.2160434166173144</v>
      </c>
      <c r="AL678" s="6" t="n">
        <v>0</v>
      </c>
      <c r="AM678" s="3" t="n">
        <v>0</v>
      </c>
      <c r="AN678" s="3" t="n">
        <v>0</v>
      </c>
      <c r="AO678" s="3" t="n">
        <v>0</v>
      </c>
      <c r="AP678" s="3">
        <f>N(X678)*N(BI678)</f>
        <v/>
      </c>
      <c r="AQ678" s="3" t="n">
        <v>0</v>
      </c>
      <c r="AR678" s="3" t="n">
        <v>0</v>
      </c>
      <c r="AS678" s="3" t="n">
        <v>-0</v>
      </c>
      <c r="AT678" s="3" t="n">
        <v>-0.2160434166173144</v>
      </c>
      <c r="AU678" s="3">
        <f>SUM(AN678:AT678)</f>
        <v/>
      </c>
      <c r="AV678" s="7">
        <f>IF(OR(N(W678)&lt;=0,N(BG678)=0),0,N(W678)*IF(N(R678)/N(W678)&gt;=60,N(BG678),1))</f>
        <v/>
      </c>
      <c r="AW678" s="7">
        <f>N(W678)*N(AF678)*N(BH678)</f>
        <v/>
      </c>
      <c r="AX678" s="7">
        <f>N(AL678)*(Assumptions!$B$13*N(BJ678)-(1-Assumptions!$B$13)*Assumptions!$B$14)+N(AM678)</f>
        <v/>
      </c>
      <c r="AY678" s="7">
        <f>N(AU678)*N(R678)/90+N(AV678)+N(AW678)+N(AX678)</f>
        <v/>
      </c>
      <c r="AZ678" s="3">
        <f>IF(N(R678)&lt;=0,0,(N(AY678)-N(AX678))*90/N(R678))</f>
        <v/>
      </c>
      <c r="BA678" s="7">
        <f>IFERROR(AY678-VLOOKUP($E678,Assumptions!$A$40:$C$43,3,FALSE),"")</f>
        <v/>
      </c>
      <c r="BB678" s="3">
        <f>IFERROR(BA678/H678,"")</f>
        <v/>
      </c>
      <c r="BC678">
        <f>IF(AND($G678=TRUE,$E678="GKP"),AY678,"")</f>
        <v/>
      </c>
      <c r="BD678">
        <f>IF(AND($G678=TRUE,$E678="DEF"),AY678,"")</f>
        <v/>
      </c>
      <c r="BE678">
        <f>IF(AND($G678=TRUE,$E678="MID"),AY678,"")</f>
        <v/>
      </c>
      <c r="BF678">
        <f>IF(AND($G678=TRUE,$E678="FWD"),AY678,"")</f>
        <v/>
      </c>
      <c r="BG678" t="n">
        <v>2</v>
      </c>
      <c r="BH678" t="n">
        <v>2</v>
      </c>
      <c r="BI678" t="n">
        <v>1</v>
      </c>
      <c r="BJ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s="8" t="n">
        <v>88</v>
      </c>
      <c r="O679" s="8" t="n">
        <v>0</v>
      </c>
      <c r="Q679" t="inlineStr">
        <is>
          <t>flat</t>
        </is>
      </c>
      <c r="R679" s="6" t="n">
        <v>88</v>
      </c>
      <c r="S679" t="inlineStr">
        <is>
          <t>Solio</t>
        </is>
      </c>
      <c r="U679" s="6" t="n">
        <v>85</v>
      </c>
      <c r="V679" s="2" t="n"/>
      <c r="W679" s="7">
        <f>IF(N(U679)&lt;=0,0,MIN(Assumptions!$B$15,N(R679)/N(U679)))</f>
        <v/>
      </c>
      <c r="X679" s="6" t="n">
        <v>0.143</v>
      </c>
      <c r="Y679" s="3" t="n"/>
      <c r="Z679" t="inlineStr"/>
      <c r="AA679" s="3" t="n">
        <v>1</v>
      </c>
      <c r="AB679" s="3" t="n"/>
      <c r="AC679" s="3" t="n"/>
      <c r="AD679" s="3" t="n"/>
      <c r="AE679" s="3" t="n"/>
      <c r="AF679" s="3" t="n">
        <v>0</v>
      </c>
      <c r="AG679" s="3" t="n"/>
      <c r="AH679" s="3" t="n"/>
      <c r="AI679" s="3" t="n">
        <v>3.9421</v>
      </c>
      <c r="AJ679" s="3" t="n">
        <v>1.99</v>
      </c>
      <c r="AK679" s="3" t="n">
        <v>-0.2160434166173144</v>
      </c>
      <c r="AL679" s="6" t="n">
        <v>0</v>
      </c>
      <c r="AM679" s="3" t="n">
        <v>0</v>
      </c>
      <c r="AN679" s="3" t="n">
        <v>0</v>
      </c>
      <c r="AO679" s="3" t="n">
        <v>0</v>
      </c>
      <c r="AP679" s="3">
        <f>N(X679)*N(BI679)</f>
        <v/>
      </c>
      <c r="AQ679" s="3" t="n">
        <v>0</v>
      </c>
      <c r="AR679" s="3" t="n">
        <v>0</v>
      </c>
      <c r="AS679" s="3" t="n">
        <v>-0</v>
      </c>
      <c r="AT679" s="3" t="n">
        <v>-0.2160434166173144</v>
      </c>
      <c r="AU679" s="3">
        <f>SUM(AN679:AT679)</f>
        <v/>
      </c>
      <c r="AV679" s="7">
        <f>IF(OR(N(W679)&lt;=0,N(BG679)=0),0,N(W679)*IF(N(R679)/N(W679)&gt;=60,N(BG679),1))</f>
        <v/>
      </c>
      <c r="AW679" s="7">
        <f>N(W679)*N(AF679)*N(BH679)</f>
        <v/>
      </c>
      <c r="AX679" s="7">
        <f>N(AL679)*(Assumptions!$B$13*N(BJ679)-(1-Assumptions!$B$13)*Assumptions!$B$14)+N(AM679)</f>
        <v/>
      </c>
      <c r="AY679" s="7">
        <f>N(AU679)*N(R679)/90+N(AV679)+N(AW679)+N(AX679)</f>
        <v/>
      </c>
      <c r="AZ679" s="3">
        <f>IF(N(R679)&lt;=0,0,(N(AY679)-N(AX679))*90/N(R679))</f>
        <v/>
      </c>
      <c r="BA679" s="7">
        <f>IFERROR(AY679-VLOOKUP($E679,Assumptions!$A$40:$C$43,3,FALSE),"")</f>
        <v/>
      </c>
      <c r="BB679" s="3">
        <f>IFERROR(BA679/H679,"")</f>
        <v/>
      </c>
      <c r="BC679">
        <f>IF(AND($G679=TRUE,$E679="GKP"),AY679,"")</f>
        <v/>
      </c>
      <c r="BD679">
        <f>IF(AND($G679=TRUE,$E679="DEF"),AY679,"")</f>
        <v/>
      </c>
      <c r="BE679">
        <f>IF(AND($G679=TRUE,$E679="MID"),AY679,"")</f>
        <v/>
      </c>
      <c r="BF679">
        <f>IF(AND($G679=TRUE,$E679="FWD"),AY679,"")</f>
        <v/>
      </c>
      <c r="BG679" t="n">
        <v>2</v>
      </c>
      <c r="BH679" t="n">
        <v>2</v>
      </c>
      <c r="BI679" t="n">
        <v>1</v>
      </c>
      <c r="BJ679" t="n">
        <v>5</v>
      </c>
    </row>
    <row r="680">
      <c r="A680" t="inlineStr">
        <is>
          <t>Ewen Jaouen</t>
        </is>
      </c>
      <c r="B680" t="inlineStr">
        <is>
          <t>NEW</t>
        </is>
      </c>
      <c r="D680" t="b">
        <v>0</v>
      </c>
      <c r="E680" t="inlineStr">
        <is>
          <t>GKP</t>
        </is>
      </c>
      <c r="G680" t="b">
        <v>1</v>
      </c>
      <c r="H680" s="2" t="n">
        <v>4.5</v>
      </c>
      <c r="I680" t="inlineStr">
        <is>
          <t>a</t>
        </is>
      </c>
      <c r="K680" s="2" t="n"/>
      <c r="M680" s="3" t="n">
        <v>34</v>
      </c>
      <c r="N680" s="8" t="n">
        <v>34</v>
      </c>
      <c r="O680" s="8" t="n">
        <v>0</v>
      </c>
      <c r="Q680" t="inlineStr">
        <is>
          <t>flat</t>
        </is>
      </c>
      <c r="R680" s="6" t="n">
        <v>34</v>
      </c>
      <c r="S680" t="inlineStr">
        <is>
          <t>Solio</t>
        </is>
      </c>
      <c r="U680" s="6" t="n">
        <v>85</v>
      </c>
      <c r="V680" s="2" t="n"/>
      <c r="W680" s="7">
        <f>IF(N(U680)&lt;=0,0,MIN(Assumptions!$B$15,N(R680)/N(U680)))</f>
        <v/>
      </c>
      <c r="X680" s="6" t="n">
        <v>0.248</v>
      </c>
      <c r="Y680" s="3" t="n"/>
      <c r="Z680" t="inlineStr"/>
      <c r="AA680" s="3" t="n">
        <v>1</v>
      </c>
      <c r="AB680" s="3" t="n"/>
      <c r="AC680" s="3" t="n"/>
      <c r="AD680" s="3" t="n"/>
      <c r="AE680" s="3" t="n">
        <v>0</v>
      </c>
      <c r="AF680" s="3" t="n">
        <v>0</v>
      </c>
      <c r="AG680" s="3" t="n"/>
      <c r="AH680" s="3" t="n"/>
      <c r="AI680" s="3" t="n">
        <v>3.0912</v>
      </c>
      <c r="AJ680" s="3" t="n">
        <v>1.4534</v>
      </c>
      <c r="AK680" s="3" t="n">
        <v>-0.0763216474948735</v>
      </c>
      <c r="AL680" s="6" t="n">
        <v>0</v>
      </c>
      <c r="AM680" s="3" t="n">
        <v>0.0308459158642866</v>
      </c>
      <c r="AN680" s="3" t="n">
        <v>0</v>
      </c>
      <c r="AO680" s="3" t="n">
        <v>0</v>
      </c>
      <c r="AP680" s="3">
        <f>N(X680)*N(BI680)</f>
        <v/>
      </c>
      <c r="AQ680" s="3" t="n">
        <v>0</v>
      </c>
      <c r="AR680" s="3" t="n">
        <v>0.6950146973483665</v>
      </c>
      <c r="AS680" s="3" t="n">
        <v>-0.4903625828545308</v>
      </c>
      <c r="AT680" s="3" t="n">
        <v>-0.0763216474948735</v>
      </c>
      <c r="AU680" s="3">
        <f>SUM(AN680:AT680)</f>
        <v/>
      </c>
      <c r="AV680" s="7">
        <f>IF(OR(N(W680)&lt;=0,N(BG680)=0),0,N(W680)*IF(N(R680)/N(W680)&gt;=60,N(BG680),1))</f>
        <v/>
      </c>
      <c r="AW680" s="7">
        <f>N(W680)*N(AF680)*N(BH680)</f>
        <v/>
      </c>
      <c r="AX680" s="7">
        <f>N(AL680)*(Assumptions!$B$13*N(BJ680)-(1-Assumptions!$B$13)*Assumptions!$B$14)+N(AM680)</f>
        <v/>
      </c>
      <c r="AY680" s="7">
        <f>N(AU680)*N(R680)/90+N(AV680)+N(AW680)+N(AX680)</f>
        <v/>
      </c>
      <c r="AZ680" s="3">
        <f>IF(N(R680)&lt;=0,0,(N(AY680)-N(AX680))*90/N(R680))</f>
        <v/>
      </c>
      <c r="BA680" s="7">
        <f>IFERROR(AY680-VLOOKUP($E680,Assumptions!$A$40:$C$43,3,FALSE),"")</f>
        <v/>
      </c>
      <c r="BB680" s="3">
        <f>IFERROR(BA680/H680,"")</f>
        <v/>
      </c>
      <c r="BC680">
        <f>IF(AND($G680=TRUE,$E680="GKP"),AY680,"")</f>
        <v/>
      </c>
      <c r="BD680">
        <f>IF(AND($G680=TRUE,$E680="DEF"),AY680,"")</f>
        <v/>
      </c>
      <c r="BE680">
        <f>IF(AND($G680=TRUE,$E680="MID"),AY680,"")</f>
        <v/>
      </c>
      <c r="BF680">
        <f>IF(AND($G680=TRUE,$E680="FWD"),AY680,"")</f>
        <v/>
      </c>
      <c r="BG680" t="n">
        <v>2</v>
      </c>
      <c r="BH680" t="n">
        <v>0</v>
      </c>
      <c r="BI680" t="n">
        <v>4</v>
      </c>
      <c r="BJ680" t="n">
        <v>10</v>
      </c>
    </row>
    <row r="681">
      <c r="A681" t="inlineStr">
        <is>
          <t>Sindre Walle Egeli</t>
        </is>
      </c>
      <c r="B681" t="inlineStr">
        <is>
          <t>IPS</t>
        </is>
      </c>
      <c r="D681" t="b">
        <v>0</v>
      </c>
      <c r="E681" t="inlineStr">
        <is>
          <t>FWD</t>
        </is>
      </c>
      <c r="G681" t="b">
        <v>1</v>
      </c>
      <c r="H681" s="2" t="n">
        <v>4.5</v>
      </c>
      <c r="I681" t="inlineStr">
        <is>
          <t>a</t>
        </is>
      </c>
      <c r="K681" s="2" t="n"/>
      <c r="M681" s="3" t="n">
        <v>616</v>
      </c>
      <c r="N681" s="8" t="n">
        <v>616</v>
      </c>
      <c r="O681" s="8" t="n">
        <v>0</v>
      </c>
      <c r="Q681" t="inlineStr">
        <is>
          <t>flat</t>
        </is>
      </c>
      <c r="R681" s="6" t="n">
        <v>616</v>
      </c>
      <c r="S681" t="inlineStr">
        <is>
          <t>Solio</t>
        </is>
      </c>
      <c r="U681" s="6" t="n">
        <v>85</v>
      </c>
      <c r="V681" s="2" t="n"/>
      <c r="W681" s="7">
        <f>IF(N(U681)&lt;=0,0,MIN(Assumptions!$B$15,N(R681)/N(U681)))</f>
        <v/>
      </c>
      <c r="X681" s="6" t="n">
        <v>0.17</v>
      </c>
      <c r="Y681" s="3" t="n"/>
      <c r="Z681" t="inlineStr"/>
      <c r="AA681" s="3" t="n">
        <v>1</v>
      </c>
      <c r="AB681" s="3" t="n"/>
      <c r="AC681" s="3" t="n"/>
      <c r="AD681" s="3" t="n"/>
      <c r="AE681" s="3" t="n"/>
      <c r="AF681" s="3" t="n">
        <v>0</v>
      </c>
      <c r="AG681" s="3" t="n"/>
      <c r="AH681" s="3" t="n"/>
      <c r="AI681" s="3" t="n">
        <v>3.5741</v>
      </c>
      <c r="AJ681" s="3" t="n">
        <v>1.8319</v>
      </c>
      <c r="AK681" s="3" t="n">
        <v>-0.174691292596322</v>
      </c>
      <c r="AL681" s="6" t="n">
        <v>0</v>
      </c>
      <c r="AM681" s="3" t="n">
        <v>0</v>
      </c>
      <c r="AN681" s="3" t="n">
        <v>0</v>
      </c>
      <c r="AO681" s="3" t="n">
        <v>0</v>
      </c>
      <c r="AP681" s="3">
        <f>N(X681)*N(BI681)</f>
        <v/>
      </c>
      <c r="AQ681" s="3" t="n">
        <v>0</v>
      </c>
      <c r="AR681" s="3" t="n">
        <v>0</v>
      </c>
      <c r="AS681" s="3" t="n">
        <v>-0</v>
      </c>
      <c r="AT681" s="3" t="n">
        <v>-0.174691292596322</v>
      </c>
      <c r="AU681" s="3">
        <f>SUM(AN681:AT681)</f>
        <v/>
      </c>
      <c r="AV681" s="7">
        <f>IF(OR(N(W681)&lt;=0,N(BG681)=0),0,N(W681)*IF(N(R681)/N(W681)&gt;=60,N(BG681),1))</f>
        <v/>
      </c>
      <c r="AW681" s="7">
        <f>N(W681)*N(AF681)*N(BH681)</f>
        <v/>
      </c>
      <c r="AX681" s="7">
        <f>N(AL681)*(Assumptions!$B$13*N(BJ681)-(1-Assumptions!$B$13)*Assumptions!$B$14)+N(AM681)</f>
        <v/>
      </c>
      <c r="AY681" s="7">
        <f>N(AU681)*N(R681)/90+N(AV681)+N(AW681)+N(AX681)</f>
        <v/>
      </c>
      <c r="AZ681" s="3">
        <f>IF(N(R681)&lt;=0,0,(N(AY681)-N(AX681))*90/N(R681))</f>
        <v/>
      </c>
      <c r="BA681" s="7">
        <f>IFERROR(AY681-VLOOKUP($E681,Assumptions!$A$40:$C$43,3,FALSE),"")</f>
        <v/>
      </c>
      <c r="BB681" s="3">
        <f>IFERROR(BA681/H681,"")</f>
        <v/>
      </c>
      <c r="BC681">
        <f>IF(AND($G681=TRUE,$E681="GKP"),AY681,"")</f>
        <v/>
      </c>
      <c r="BD681">
        <f>IF(AND($G681=TRUE,$E681="DEF"),AY681,"")</f>
        <v/>
      </c>
      <c r="BE681">
        <f>IF(AND($G681=TRUE,$E681="MID"),AY681,"")</f>
        <v/>
      </c>
      <c r="BF681">
        <f>IF(AND($G681=TRUE,$E681="FWD"),AY681,"")</f>
        <v/>
      </c>
      <c r="BG681" t="n">
        <v>2</v>
      </c>
      <c r="BH681" t="n">
        <v>2</v>
      </c>
      <c r="BI681" t="n">
        <v>0</v>
      </c>
      <c r="BJ681" t="n">
        <v>4</v>
      </c>
    </row>
    <row r="682">
      <c r="A682" t="inlineStr">
        <is>
          <t>Jamaldeen Jimoh-Aloba</t>
        </is>
      </c>
      <c r="C682" t="inlineStr">
        <is>
          <t>AVL</t>
        </is>
      </c>
      <c r="D682" t="b">
        <v>0</v>
      </c>
      <c r="F682" t="inlineStr">
        <is>
          <t>MID</t>
        </is>
      </c>
      <c r="G682" t="b">
        <v>0</v>
      </c>
      <c r="H682" s="2" t="n"/>
      <c r="K682" s="2" t="n">
        <v>8</v>
      </c>
      <c r="M682" s="3" t="n"/>
      <c r="N682" s="8" t="n">
        <v>8</v>
      </c>
      <c r="O682" s="8" t="n">
        <v>0</v>
      </c>
      <c r="R682" s="6" t="n">
        <v>8</v>
      </c>
      <c r="S682" t="inlineStr">
        <is>
          <t>25/26 actual</t>
        </is>
      </c>
      <c r="U682" s="6" t="n">
        <v>80.09999999999999</v>
      </c>
      <c r="V682" s="2" t="n">
        <v>0</v>
      </c>
      <c r="W682" s="7">
        <f>IF(N(U682)&lt;=0,0,MIN(Assumptions!$B$15,N(R682)/N(U682)))</f>
        <v/>
      </c>
      <c r="X682" s="6" t="n"/>
      <c r="Y682" s="3" t="n"/>
      <c r="Z682" t="inlineStr"/>
      <c r="AA682" s="3" t="n">
        <v>1</v>
      </c>
      <c r="AB682" s="3" t="n">
        <v>1</v>
      </c>
      <c r="AC682" s="3" t="n">
        <v>0</v>
      </c>
      <c r="AD682" s="3" t="n"/>
      <c r="AE682" s="3" t="n">
        <v>8.606</v>
      </c>
      <c r="AF682" s="3" t="n">
        <v>0</v>
      </c>
      <c r="AG682" s="3" t="n">
        <v>0</v>
      </c>
      <c r="AH682" s="3" t="n">
        <v>1</v>
      </c>
      <c r="AI682" s="3" t="n"/>
      <c r="AJ682" s="3" t="n"/>
      <c r="AK682" s="3" t="n"/>
      <c r="AL682" s="6" t="n">
        <v>0</v>
      </c>
      <c r="AM682" s="3" t="n">
        <v>0</v>
      </c>
      <c r="AN682" s="3" t="n">
        <v>0</v>
      </c>
      <c r="AO682" s="3" t="n">
        <v>0</v>
      </c>
      <c r="AP682" s="3">
        <f>N(X682)*N(BI682)</f>
        <v/>
      </c>
      <c r="AQ682" s="3" t="n">
        <v>0</v>
      </c>
      <c r="AR682" s="3" t="n">
        <v>0</v>
      </c>
      <c r="AS682" s="3" t="n">
        <v>0</v>
      </c>
      <c r="AT682" s="3" t="n">
        <v>0</v>
      </c>
      <c r="AU682" s="3">
        <f>SUM(AN682:AT682)</f>
        <v/>
      </c>
      <c r="AV682" s="7">
        <f>IF(OR(N(W682)&lt;=0,N(BG682)=0),0,N(W682)*IF(N(R682)/N(W682)&gt;=60,N(BG682),1))</f>
        <v/>
      </c>
      <c r="AW682" s="7">
        <f>N(W682)*N(AF682)*N(BH682)</f>
        <v/>
      </c>
      <c r="AX682" s="7">
        <f>N(AL682)*(Assumptions!$B$13*N(BJ682)-(1-Assumptions!$B$13)*Assumptions!$B$14)+N(AM682)</f>
        <v/>
      </c>
      <c r="AY682" s="7">
        <f>N(AU682)*N(R682)/90+N(AV682)+N(AW682)+N(AX682)</f>
        <v/>
      </c>
      <c r="AZ682" s="3">
        <f>IF(N(R682)&lt;=0,0,(N(AY682)-N(AX682))*90/N(R682))</f>
        <v/>
      </c>
      <c r="BA682" s="7">
        <f>IFERROR(AY682-VLOOKUP($E682,Assumptions!$A$40:$C$43,3,FALSE),"")</f>
        <v/>
      </c>
      <c r="BB682" s="3">
        <f>IFERROR(BA682/H682,"")</f>
        <v/>
      </c>
      <c r="BC682">
        <f>IF(AND($G682=TRUE,$E682="GKP"),AY682,"")</f>
        <v/>
      </c>
      <c r="BD682">
        <f>IF(AND($G682=TRUE,$E682="DEF"),AY682,"")</f>
        <v/>
      </c>
      <c r="BE682">
        <f>IF(AND($G682=TRUE,$E682="MID"),AY682,"")</f>
        <v/>
      </c>
      <c r="BF682">
        <f>IF(AND($G682=TRUE,$E682="FWD"),AY682,"")</f>
        <v/>
      </c>
      <c r="BG682" t="n">
        <v>0</v>
      </c>
      <c r="BH682" t="n">
        <v>0</v>
      </c>
      <c r="BI682" t="n">
        <v>0</v>
      </c>
      <c r="BJ682" t="n">
        <v>0</v>
      </c>
    </row>
    <row r="683">
      <c r="A683" t="inlineStr">
        <is>
          <t>Álvaro Rodríguez</t>
        </is>
      </c>
      <c r="B683" t="inlineStr">
        <is>
          <t>BOU</t>
        </is>
      </c>
      <c r="D683" t="b">
        <v>0</v>
      </c>
      <c r="E683" t="inlineStr">
        <is>
          <t>FWD</t>
        </is>
      </c>
      <c r="G683" t="b">
        <v>1</v>
      </c>
      <c r="H683" s="2" t="n">
        <v>6</v>
      </c>
      <c r="I683" t="inlineStr">
        <is>
          <t>a</t>
        </is>
      </c>
      <c r="K683" s="2" t="n"/>
      <c r="M683" s="3" t="n">
        <v>719</v>
      </c>
      <c r="N683" s="4" t="n">
        <v>1350</v>
      </c>
      <c r="O683" s="4" t="n">
        <v>631</v>
      </c>
      <c r="P683" s="5" t="inlineStr">
        <is>
          <t>medium</t>
        </is>
      </c>
      <c r="Q683" t="inlineStr">
        <is>
          <t>flat</t>
        </is>
      </c>
      <c r="R683" s="6" t="n">
        <v>1350</v>
      </c>
      <c r="S683" t="inlineStr">
        <is>
          <t>research</t>
        </is>
      </c>
      <c r="T683" s="5" t="inlineStr">
        <is>
          <t>A c.GBP 25.7m striker signed 14 Jul on a five-year deal, explicitly briefed as competition for Evanilson and as Enes Unal's successor in the relief-striker role. With Kroupi out until roughly the turn of the year and Unal now sold, he is the only backup centre-forward at the club for the first third of the season, on top of a Europa League league phase. 719 minutes is a bench-warmer's allocation for a club-record-bracket signing. Held to 1350 rather than higher because he is currently a 75% doubt with an unspecified injury and missed both the Betis and Mainz friendlies.</t>
        </is>
      </c>
      <c r="U683" s="6" t="n">
        <v>85</v>
      </c>
      <c r="V683" s="2" t="n"/>
      <c r="W683" s="7">
        <f>IF(N(U683)&lt;=0,0,MIN(Assumptions!$B$15,N(R683)/N(U683)))</f>
        <v/>
      </c>
      <c r="X683" s="6" t="n">
        <v>0.23</v>
      </c>
      <c r="Y683" s="3" t="n"/>
      <c r="Z683" t="inlineStr"/>
      <c r="AA683" s="3" t="n">
        <v>1</v>
      </c>
      <c r="AB683" s="3" t="n"/>
      <c r="AC683" s="3" t="n"/>
      <c r="AD683" s="3" t="n"/>
      <c r="AE683" s="3" t="n"/>
      <c r="AF683" s="3" t="n">
        <v>0</v>
      </c>
      <c r="AG683" s="3" t="n"/>
      <c r="AH683" s="3" t="n"/>
      <c r="AI683" s="3" t="n">
        <v>3.0957</v>
      </c>
      <c r="AJ683" s="3" t="n">
        <v>1.53</v>
      </c>
      <c r="AK683" s="3" t="n">
        <v>-0.174691292596322</v>
      </c>
      <c r="AL683" s="6" t="n">
        <v>0</v>
      </c>
      <c r="AM683" s="3" t="n">
        <v>0</v>
      </c>
      <c r="AN683" s="3" t="n">
        <v>0</v>
      </c>
      <c r="AO683" s="3" t="n">
        <v>0</v>
      </c>
      <c r="AP683" s="3">
        <f>N(X683)*N(BI683)</f>
        <v/>
      </c>
      <c r="AQ683" s="3" t="n">
        <v>0</v>
      </c>
      <c r="AR683" s="3" t="n">
        <v>0</v>
      </c>
      <c r="AS683" s="3" t="n">
        <v>-0</v>
      </c>
      <c r="AT683" s="3" t="n">
        <v>-0.174691292596322</v>
      </c>
      <c r="AU683" s="3">
        <f>SUM(AN683:AT683)</f>
        <v/>
      </c>
      <c r="AV683" s="7">
        <f>IF(OR(N(W683)&lt;=0,N(BG683)=0),0,N(W683)*IF(N(R683)/N(W683)&gt;=60,N(BG683),1))</f>
        <v/>
      </c>
      <c r="AW683" s="7">
        <f>N(W683)*N(AF683)*N(BH683)</f>
        <v/>
      </c>
      <c r="AX683" s="7">
        <f>N(AL683)*(Assumptions!$B$13*N(BJ683)-(1-Assumptions!$B$13)*Assumptions!$B$14)+N(AM683)</f>
        <v/>
      </c>
      <c r="AY683" s="7">
        <f>N(AU683)*N(R683)/90+N(AV683)+N(AW683)+N(AX683)</f>
        <v/>
      </c>
      <c r="AZ683" s="3">
        <f>IF(N(R683)&lt;=0,0,(N(AY683)-N(AX683))*90/N(R683))</f>
        <v/>
      </c>
      <c r="BA683" s="7">
        <f>IFERROR(AY683-VLOOKUP($E683,Assumptions!$A$40:$C$43,3,FALSE),"")</f>
        <v/>
      </c>
      <c r="BB683" s="3">
        <f>IFERROR(BA683/H683,"")</f>
        <v/>
      </c>
      <c r="BC683">
        <f>IF(AND($G683=TRUE,$E683="GKP"),AY683,"")</f>
        <v/>
      </c>
      <c r="BD683">
        <f>IF(AND($G683=TRUE,$E683="DEF"),AY683,"")</f>
        <v/>
      </c>
      <c r="BE683">
        <f>IF(AND($G683=TRUE,$E683="MID"),AY683,"")</f>
        <v/>
      </c>
      <c r="BF683">
        <f>IF(AND($G683=TRUE,$E683="FWD"),AY683,"")</f>
        <v/>
      </c>
      <c r="BG683" t="n">
        <v>2</v>
      </c>
      <c r="BH683" t="n">
        <v>2</v>
      </c>
      <c r="BI683" t="n">
        <v>0</v>
      </c>
      <c r="BJ683" t="n">
        <v>4</v>
      </c>
    </row>
    <row r="684">
      <c r="A684" t="inlineStr">
        <is>
          <t>Eliezer Mayenda</t>
        </is>
      </c>
      <c r="C684" t="inlineStr">
        <is>
          <t>SUN</t>
        </is>
      </c>
      <c r="D684" t="b">
        <v>0</v>
      </c>
      <c r="F684" t="inlineStr">
        <is>
          <t>FWD</t>
        </is>
      </c>
      <c r="G684" t="b">
        <v>0</v>
      </c>
      <c r="H684" s="2" t="n"/>
      <c r="K684" s="2" t="n">
        <v>756</v>
      </c>
      <c r="M684" s="3" t="n"/>
      <c r="N684" s="8" t="n">
        <v>756</v>
      </c>
      <c r="O684" s="8" t="n">
        <v>0</v>
      </c>
      <c r="R684" s="6" t="n">
        <v>756</v>
      </c>
      <c r="S684" t="inlineStr">
        <is>
          <t>25/26 actual</t>
        </is>
      </c>
      <c r="U684" s="6" t="n">
        <v>76.40000000000001</v>
      </c>
      <c r="V684" s="2" t="n">
        <v>8</v>
      </c>
      <c r="W684" s="7">
        <f>IF(N(U684)&lt;=0,0,MIN(Assumptions!$B$15,N(R684)/N(U684)))</f>
        <v/>
      </c>
      <c r="X684" s="6" t="n"/>
      <c r="Y684" s="3" t="n">
        <v>0.2954</v>
      </c>
      <c r="Z684" t="inlineStr">
        <is>
          <t>adjusted xGOT</t>
        </is>
      </c>
      <c r="AA684" s="3" t="n">
        <v>1</v>
      </c>
      <c r="AB684" s="3" t="n">
        <v>1.165</v>
      </c>
      <c r="AC684" s="3" t="n">
        <v>2.1</v>
      </c>
      <c r="AD684" s="3" t="n">
        <v>0.08840000000000001</v>
      </c>
      <c r="AE684" s="3" t="n">
        <v>3.937</v>
      </c>
      <c r="AF684" s="3" t="n">
        <v>0</v>
      </c>
      <c r="AG684" s="3" t="n">
        <v>0.5952</v>
      </c>
      <c r="AH684" s="3" t="n">
        <v>27</v>
      </c>
      <c r="AI684" s="3" t="n"/>
      <c r="AJ684" s="3" t="n"/>
      <c r="AK684" s="3" t="n"/>
      <c r="AL684" s="6" t="n">
        <v>0</v>
      </c>
      <c r="AM684" s="3" t="n">
        <v>0</v>
      </c>
      <c r="AN684" s="3" t="n">
        <v>0</v>
      </c>
      <c r="AO684" s="3" t="n">
        <v>0</v>
      </c>
      <c r="AP684" s="3">
        <f>N(X684)*N(BI684)</f>
        <v/>
      </c>
      <c r="AQ684" s="3" t="n">
        <v>0</v>
      </c>
      <c r="AR684" s="3" t="n">
        <v>0</v>
      </c>
      <c r="AS684" s="3" t="n">
        <v>0</v>
      </c>
      <c r="AT684" s="3" t="n">
        <v>0</v>
      </c>
      <c r="AU684" s="3">
        <f>SUM(AN684:AT684)</f>
        <v/>
      </c>
      <c r="AV684" s="7">
        <f>IF(OR(N(W684)&lt;=0,N(BG684)=0),0,N(W684)*IF(N(R684)/N(W684)&gt;=60,N(BG684),1))</f>
        <v/>
      </c>
      <c r="AW684" s="7">
        <f>N(W684)*N(AF684)*N(BH684)</f>
        <v/>
      </c>
      <c r="AX684" s="7">
        <f>N(AL684)*(Assumptions!$B$13*N(BJ684)-(1-Assumptions!$B$13)*Assumptions!$B$14)+N(AM684)</f>
        <v/>
      </c>
      <c r="AY684" s="7">
        <f>N(AU684)*N(R684)/90+N(AV684)+N(AW684)+N(AX684)</f>
        <v/>
      </c>
      <c r="AZ684" s="3">
        <f>IF(N(R684)&lt;=0,0,(N(AY684)-N(AX684))*90/N(R684))</f>
        <v/>
      </c>
      <c r="BA684" s="7">
        <f>IFERROR(AY684-VLOOKUP($E684,Assumptions!$A$40:$C$43,3,FALSE),"")</f>
        <v/>
      </c>
      <c r="BB684" s="3">
        <f>IFERROR(BA684/H684,"")</f>
        <v/>
      </c>
      <c r="BC684">
        <f>IF(AND($G684=TRUE,$E684="GKP"),AY684,"")</f>
        <v/>
      </c>
      <c r="BD684">
        <f>IF(AND($G684=TRUE,$E684="DEF"),AY684,"")</f>
        <v/>
      </c>
      <c r="BE684">
        <f>IF(AND($G684=TRUE,$E684="MID"),AY684,"")</f>
        <v/>
      </c>
      <c r="BF684">
        <f>IF(AND($G684=TRUE,$E684="FWD"),AY684,"")</f>
        <v/>
      </c>
      <c r="BG684" t="n">
        <v>0</v>
      </c>
      <c r="BH684" t="n">
        <v>0</v>
      </c>
      <c r="BI684" t="n">
        <v>0</v>
      </c>
      <c r="BJ684" t="n">
        <v>0</v>
      </c>
    </row>
    <row r="685">
      <c r="A685" t="inlineStr">
        <is>
          <t>Soungoutou Magassa</t>
        </is>
      </c>
      <c r="C685" t="inlineStr">
        <is>
          <t>WHU</t>
        </is>
      </c>
      <c r="D685" t="b">
        <v>0</v>
      </c>
      <c r="F685" t="inlineStr">
        <is>
          <t>MID</t>
        </is>
      </c>
      <c r="G685" t="b">
        <v>0</v>
      </c>
      <c r="H685" s="2" t="n"/>
      <c r="K685" s="2" t="n">
        <v>979</v>
      </c>
      <c r="M685" s="3" t="n"/>
      <c r="N685" s="8" t="n">
        <v>979</v>
      </c>
      <c r="O685" s="8" t="n">
        <v>0</v>
      </c>
      <c r="R685" s="6" t="n">
        <v>979</v>
      </c>
      <c r="S685" t="inlineStr">
        <is>
          <t>25/26 actual</t>
        </is>
      </c>
      <c r="U685" s="6" t="n">
        <v>76.8</v>
      </c>
      <c r="V685" s="2" t="n">
        <v>11</v>
      </c>
      <c r="W685" s="7">
        <f>IF(N(U685)&lt;=0,0,MIN(Assumptions!$B$15,N(R685)/N(U685)))</f>
        <v/>
      </c>
      <c r="X685" s="6" t="n"/>
      <c r="Y685" s="3" t="n">
        <v>0.0431</v>
      </c>
      <c r="Z685" t="inlineStr">
        <is>
          <t>adjusted xGOT</t>
        </is>
      </c>
      <c r="AA685" s="3" t="n">
        <v>1</v>
      </c>
      <c r="AB685" s="3" t="n">
        <v>1.066</v>
      </c>
      <c r="AC685" s="3" t="n">
        <v>0.4</v>
      </c>
      <c r="AD685" s="3" t="n">
        <v>0.06859999999999999</v>
      </c>
      <c r="AE685" s="3" t="n">
        <v>10.411</v>
      </c>
      <c r="AF685" s="3" t="n">
        <v>0</v>
      </c>
      <c r="AG685" s="3" t="n">
        <v>0.1839</v>
      </c>
      <c r="AH685" s="3" t="n">
        <v>31</v>
      </c>
      <c r="AI685" s="3" t="n"/>
      <c r="AJ685" s="3" t="n"/>
      <c r="AK685" s="3" t="n"/>
      <c r="AL685" s="6" t="n">
        <v>0</v>
      </c>
      <c r="AM685" s="3" t="n">
        <v>0</v>
      </c>
      <c r="AN685" s="3" t="n">
        <v>0</v>
      </c>
      <c r="AO685" s="3" t="n">
        <v>0</v>
      </c>
      <c r="AP685" s="3">
        <f>N(X685)*N(BI685)</f>
        <v/>
      </c>
      <c r="AQ685" s="3" t="n">
        <v>0</v>
      </c>
      <c r="AR685" s="3" t="n">
        <v>0</v>
      </c>
      <c r="AS685" s="3" t="n">
        <v>0</v>
      </c>
      <c r="AT685" s="3" t="n">
        <v>0</v>
      </c>
      <c r="AU685" s="3">
        <f>SUM(AN685:AT685)</f>
        <v/>
      </c>
      <c r="AV685" s="7">
        <f>IF(OR(N(W685)&lt;=0,N(BG685)=0),0,N(W685)*IF(N(R685)/N(W685)&gt;=60,N(BG685),1))</f>
        <v/>
      </c>
      <c r="AW685" s="7">
        <f>N(W685)*N(AF685)*N(BH685)</f>
        <v/>
      </c>
      <c r="AX685" s="7">
        <f>N(AL685)*(Assumptions!$B$13*N(BJ685)-(1-Assumptions!$B$13)*Assumptions!$B$14)+N(AM685)</f>
        <v/>
      </c>
      <c r="AY685" s="7">
        <f>N(AU685)*N(R685)/90+N(AV685)+N(AW685)+N(AX685)</f>
        <v/>
      </c>
      <c r="AZ685" s="3">
        <f>IF(N(R685)&lt;=0,0,(N(AY685)-N(AX685))*90/N(R685))</f>
        <v/>
      </c>
      <c r="BA685" s="7">
        <f>IFERROR(AY685-VLOOKUP($E685,Assumptions!$A$40:$C$43,3,FALSE),"")</f>
        <v/>
      </c>
      <c r="BB685" s="3">
        <f>IFERROR(BA685/H685,"")</f>
        <v/>
      </c>
      <c r="BC685">
        <f>IF(AND($G685=TRUE,$E685="GKP"),AY685,"")</f>
        <v/>
      </c>
      <c r="BD685">
        <f>IF(AND($G685=TRUE,$E685="DEF"),AY685,"")</f>
        <v/>
      </c>
      <c r="BE685">
        <f>IF(AND($G685=TRUE,$E685="MID"),AY685,"")</f>
        <v/>
      </c>
      <c r="BF685">
        <f>IF(AND($G685=TRUE,$E685="FWD"),AY685,"")</f>
        <v/>
      </c>
      <c r="BG685" t="n">
        <v>0</v>
      </c>
      <c r="BH685" t="n">
        <v>0</v>
      </c>
      <c r="BI685" t="n">
        <v>0</v>
      </c>
      <c r="BJ685" t="n">
        <v>0</v>
      </c>
    </row>
    <row r="686">
      <c r="A686" t="inlineStr">
        <is>
          <t>Callum Marshall</t>
        </is>
      </c>
      <c r="C686" t="inlineStr">
        <is>
          <t>WHU</t>
        </is>
      </c>
      <c r="D686" t="b">
        <v>0</v>
      </c>
      <c r="F686" t="inlineStr">
        <is>
          <t>FWD</t>
        </is>
      </c>
      <c r="G686" t="b">
        <v>0</v>
      </c>
      <c r="H686" s="2" t="n"/>
      <c r="K686" s="2" t="n">
        <v>58</v>
      </c>
      <c r="M686" s="3" t="n"/>
      <c r="N686" s="8" t="n">
        <v>58</v>
      </c>
      <c r="O686" s="8" t="n">
        <v>0</v>
      </c>
      <c r="R686" s="6" t="n">
        <v>58</v>
      </c>
      <c r="S686" t="inlineStr">
        <is>
          <t>25/26 actual</t>
        </is>
      </c>
      <c r="U686" s="6" t="n">
        <v>78.5</v>
      </c>
      <c r="V686" s="2" t="n">
        <v>0</v>
      </c>
      <c r="W686" s="7">
        <f>IF(N(U686)&lt;=0,0,MIN(Assumptions!$B$15,N(R686)/N(U686)))</f>
        <v/>
      </c>
      <c r="X686" s="6" t="n"/>
      <c r="Y686" s="3" t="n">
        <v>0.1986</v>
      </c>
      <c r="Z686" t="inlineStr">
        <is>
          <t>adjusted xGOT</t>
        </is>
      </c>
      <c r="AA686" s="3" t="n">
        <v>1</v>
      </c>
      <c r="AB686" s="3" t="n">
        <v>0.984</v>
      </c>
      <c r="AC686" s="3" t="n">
        <v>0.1</v>
      </c>
      <c r="AD686" s="3" t="n">
        <v>0</v>
      </c>
      <c r="AE686" s="3" t="n">
        <v>4.783</v>
      </c>
      <c r="AF686" s="3" t="n">
        <v>0</v>
      </c>
      <c r="AG686" s="3" t="n">
        <v>0</v>
      </c>
      <c r="AH686" s="3" t="n">
        <v>2</v>
      </c>
      <c r="AI686" s="3" t="n"/>
      <c r="AJ686" s="3" t="n"/>
      <c r="AK686" s="3" t="n"/>
      <c r="AL686" s="6" t="n">
        <v>0</v>
      </c>
      <c r="AM686" s="3" t="n">
        <v>0</v>
      </c>
      <c r="AN686" s="3" t="n">
        <v>0</v>
      </c>
      <c r="AO686" s="3" t="n">
        <v>0</v>
      </c>
      <c r="AP686" s="3">
        <f>N(X686)*N(BI686)</f>
        <v/>
      </c>
      <c r="AQ686" s="3" t="n">
        <v>0</v>
      </c>
      <c r="AR686" s="3" t="n">
        <v>0</v>
      </c>
      <c r="AS686" s="3" t="n">
        <v>0</v>
      </c>
      <c r="AT686" s="3" t="n">
        <v>0</v>
      </c>
      <c r="AU686" s="3">
        <f>SUM(AN686:AT686)</f>
        <v/>
      </c>
      <c r="AV686" s="7">
        <f>IF(OR(N(W686)&lt;=0,N(BG686)=0),0,N(W686)*IF(N(R686)/N(W686)&gt;=60,N(BG686),1))</f>
        <v/>
      </c>
      <c r="AW686" s="7">
        <f>N(W686)*N(AF686)*N(BH686)</f>
        <v/>
      </c>
      <c r="AX686" s="7">
        <f>N(AL686)*(Assumptions!$B$13*N(BJ686)-(1-Assumptions!$B$13)*Assumptions!$B$14)+N(AM686)</f>
        <v/>
      </c>
      <c r="AY686" s="7">
        <f>N(AU686)*N(R686)/90+N(AV686)+N(AW686)+N(AX686)</f>
        <v/>
      </c>
      <c r="AZ686" s="3">
        <f>IF(N(R686)&lt;=0,0,(N(AY686)-N(AX686))*90/N(R686))</f>
        <v/>
      </c>
      <c r="BA686" s="7">
        <f>IFERROR(AY686-VLOOKUP($E686,Assumptions!$A$40:$C$43,3,FALSE),"")</f>
        <v/>
      </c>
      <c r="BB686" s="3">
        <f>IFERROR(BA686/H686,"")</f>
        <v/>
      </c>
      <c r="BC686">
        <f>IF(AND($G686=TRUE,$E686="GKP"),AY686,"")</f>
        <v/>
      </c>
      <c r="BD686">
        <f>IF(AND($G686=TRUE,$E686="DEF"),AY686,"")</f>
        <v/>
      </c>
      <c r="BE686">
        <f>IF(AND($G686=TRUE,$E686="MID"),AY686,"")</f>
        <v/>
      </c>
      <c r="BF686">
        <f>IF(AND($G686=TRUE,$E686="FWD"),AY686,"")</f>
        <v/>
      </c>
      <c r="BG686" t="n">
        <v>0</v>
      </c>
      <c r="BH686" t="n">
        <v>0</v>
      </c>
      <c r="BI686" t="n">
        <v>0</v>
      </c>
      <c r="BJ686" t="n">
        <v>0</v>
      </c>
    </row>
    <row r="687">
      <c r="A687" t="inlineStr">
        <is>
          <t>Joe Knight</t>
        </is>
      </c>
      <c r="C687" t="inlineStr">
        <is>
          <t>BHA</t>
        </is>
      </c>
      <c r="D687" t="b">
        <v>0</v>
      </c>
      <c r="F687" t="inlineStr">
        <is>
          <t>MID</t>
        </is>
      </c>
      <c r="G687" t="b">
        <v>0</v>
      </c>
      <c r="H687" s="2" t="n"/>
      <c r="K687" s="2" t="n">
        <v>1</v>
      </c>
      <c r="M687" s="3" t="n"/>
      <c r="N687" s="8" t="n">
        <v>1</v>
      </c>
      <c r="O687" s="8" t="n">
        <v>0</v>
      </c>
      <c r="R687" s="6" t="n">
        <v>1</v>
      </c>
      <c r="S687" t="inlineStr">
        <is>
          <t>25/26 actual</t>
        </is>
      </c>
      <c r="U687" s="6" t="n">
        <v>80.09999999999999</v>
      </c>
      <c r="V687" s="2" t="n">
        <v>0</v>
      </c>
      <c r="W687" s="7">
        <f>IF(N(U687)&lt;=0,0,MIN(Assumptions!$B$15,N(R687)/N(U687)))</f>
        <v/>
      </c>
      <c r="X687" s="6" t="n"/>
      <c r="Y687" s="3" t="n">
        <v>0</v>
      </c>
      <c r="Z687" t="inlineStr">
        <is>
          <t>blended xG</t>
        </is>
      </c>
      <c r="AA687" s="3" t="n">
        <v>1</v>
      </c>
      <c r="AB687" s="3" t="n">
        <v>1</v>
      </c>
      <c r="AC687" s="3" t="n">
        <v>0</v>
      </c>
      <c r="AD687" s="3" t="n">
        <v>0</v>
      </c>
      <c r="AE687" s="3" t="n">
        <v>8.565</v>
      </c>
      <c r="AF687" s="3" t="n">
        <v>0</v>
      </c>
      <c r="AG687" s="3" t="n">
        <v>0</v>
      </c>
      <c r="AH687" s="3" t="n">
        <v>1</v>
      </c>
      <c r="AI687" s="3" t="n"/>
      <c r="AJ687" s="3" t="n"/>
      <c r="AK687" s="3" t="n"/>
      <c r="AL687" s="6" t="n">
        <v>0</v>
      </c>
      <c r="AM687" s="3" t="n">
        <v>0</v>
      </c>
      <c r="AN687" s="3" t="n">
        <v>0</v>
      </c>
      <c r="AO687" s="3" t="n">
        <v>0</v>
      </c>
      <c r="AP687" s="3">
        <f>N(X687)*N(BI687)</f>
        <v/>
      </c>
      <c r="AQ687" s="3" t="n">
        <v>0</v>
      </c>
      <c r="AR687" s="3" t="n">
        <v>0</v>
      </c>
      <c r="AS687" s="3" t="n">
        <v>0</v>
      </c>
      <c r="AT687" s="3" t="n">
        <v>0</v>
      </c>
      <c r="AU687" s="3">
        <f>SUM(AN687:AT687)</f>
        <v/>
      </c>
      <c r="AV687" s="7">
        <f>IF(OR(N(W687)&lt;=0,N(BG687)=0),0,N(W687)*IF(N(R687)/N(W687)&gt;=60,N(BG687),1))</f>
        <v/>
      </c>
      <c r="AW687" s="7">
        <f>N(W687)*N(AF687)*N(BH687)</f>
        <v/>
      </c>
      <c r="AX687" s="7">
        <f>N(AL687)*(Assumptions!$B$13*N(BJ687)-(1-Assumptions!$B$13)*Assumptions!$B$14)+N(AM687)</f>
        <v/>
      </c>
      <c r="AY687" s="7">
        <f>N(AU687)*N(R687)/90+N(AV687)+N(AW687)+N(AX687)</f>
        <v/>
      </c>
      <c r="AZ687" s="3">
        <f>IF(N(R687)&lt;=0,0,(N(AY687)-N(AX687))*90/N(R687))</f>
        <v/>
      </c>
      <c r="BA687" s="7">
        <f>IFERROR(AY687-VLOOKUP($E687,Assumptions!$A$40:$C$43,3,FALSE),"")</f>
        <v/>
      </c>
      <c r="BB687" s="3">
        <f>IFERROR(BA687/H687,"")</f>
        <v/>
      </c>
      <c r="BC687">
        <f>IF(AND($G687=TRUE,$E687="GKP"),AY687,"")</f>
        <v/>
      </c>
      <c r="BD687">
        <f>IF(AND($G687=TRUE,$E687="DEF"),AY687,"")</f>
        <v/>
      </c>
      <c r="BE687">
        <f>IF(AND($G687=TRUE,$E687="MID"),AY687,"")</f>
        <v/>
      </c>
      <c r="BF687">
        <f>IF(AND($G687=TRUE,$E687="FWD"),AY687,"")</f>
        <v/>
      </c>
      <c r="BG687" t="n">
        <v>0</v>
      </c>
      <c r="BH687" t="n">
        <v>0</v>
      </c>
      <c r="BI687" t="n">
        <v>0</v>
      </c>
      <c r="BJ687" t="n">
        <v>0</v>
      </c>
    </row>
    <row r="688">
      <c r="A688" t="inlineStr">
        <is>
          <t>Ousmane Diomande</t>
        </is>
      </c>
      <c r="B688" t="inlineStr">
        <is>
          <t>NFO</t>
        </is>
      </c>
      <c r="D688" t="b">
        <v>0</v>
      </c>
      <c r="E688" t="inlineStr">
        <is>
          <t>DEF</t>
        </is>
      </c>
      <c r="G688" t="b">
        <v>1</v>
      </c>
      <c r="H688" s="2" t="n">
        <v>5.5</v>
      </c>
      <c r="I688" t="inlineStr">
        <is>
          <t>a</t>
        </is>
      </c>
      <c r="K688" s="2" t="n"/>
      <c r="M688" s="3" t="n">
        <v>2861</v>
      </c>
      <c r="N688" s="4" t="n">
        <v>2700</v>
      </c>
      <c r="O688" s="4" t="n">
        <v>-161</v>
      </c>
      <c r="P688" s="5" t="inlineStr">
        <is>
          <t>medium</t>
        </is>
      </c>
      <c r="Q688" t="inlineStr">
        <is>
          <t>flat</t>
        </is>
      </c>
      <c r="R688" s="6" t="n">
        <v>2700</v>
      </c>
      <c r="S688" t="inlineStr">
        <is>
          <t>research</t>
        </is>
      </c>
      <c r="T688" s="5" t="inlineStr">
        <is>
          <t>Signed from Sporting CP on 11 Aug 2026 and started the next day, so the starting role is right. Trimmed only for first-season-in-England adaptation and the fact that Morato and Jair Cunha are established alternatives in the same back three.</t>
        </is>
      </c>
      <c r="U688" s="6" t="n">
        <v>85</v>
      </c>
      <c r="V688" s="2" t="n"/>
      <c r="W688" s="7">
        <f>IF(N(U688)&lt;=0,0,MIN(Assumptions!$B$15,N(R688)/N(U688)))</f>
        <v/>
      </c>
      <c r="X688" s="6" t="n">
        <v>0.224</v>
      </c>
      <c r="Y688" s="3" t="n"/>
      <c r="Z688" t="inlineStr"/>
      <c r="AA688" s="3" t="n">
        <v>1</v>
      </c>
      <c r="AB688" s="3" t="n"/>
      <c r="AC688" s="3" t="n"/>
      <c r="AD688" s="3" t="n"/>
      <c r="AE688" s="3" t="n"/>
      <c r="AF688" s="3" t="n">
        <v>0</v>
      </c>
      <c r="AG688" s="3" t="n"/>
      <c r="AH688" s="3" t="n"/>
      <c r="AI688" s="3" t="n">
        <v>3.1134</v>
      </c>
      <c r="AJ688" s="3" t="n">
        <v>1.5588</v>
      </c>
      <c r="AK688" s="3" t="n">
        <v>-0.2045226422080557</v>
      </c>
      <c r="AL688" s="6" t="n">
        <v>0</v>
      </c>
      <c r="AM688" s="3" t="n">
        <v>0</v>
      </c>
      <c r="AN688" s="3" t="n">
        <v>0</v>
      </c>
      <c r="AO688" s="3" t="n">
        <v>0</v>
      </c>
      <c r="AP688" s="3">
        <f>N(X688)*N(BI688)</f>
        <v/>
      </c>
      <c r="AQ688" s="3" t="n">
        <v>0</v>
      </c>
      <c r="AR688" s="3" t="n">
        <v>0</v>
      </c>
      <c r="AS688" s="3" t="n">
        <v>-0.5404658182244797</v>
      </c>
      <c r="AT688" s="3" t="n">
        <v>-0.2045226422080557</v>
      </c>
      <c r="AU688" s="3">
        <f>SUM(AN688:AT688)</f>
        <v/>
      </c>
      <c r="AV688" s="7">
        <f>IF(OR(N(W688)&lt;=0,N(BG688)=0),0,N(W688)*IF(N(R688)/N(W688)&gt;=60,N(BG688),1))</f>
        <v/>
      </c>
      <c r="AW688" s="7">
        <f>N(W688)*N(AF688)*N(BH688)</f>
        <v/>
      </c>
      <c r="AX688" s="7">
        <f>N(AL688)*(Assumptions!$B$13*N(BJ688)-(1-Assumptions!$B$13)*Assumptions!$B$14)+N(AM688)</f>
        <v/>
      </c>
      <c r="AY688" s="7">
        <f>N(AU688)*N(R688)/90+N(AV688)+N(AW688)+N(AX688)</f>
        <v/>
      </c>
      <c r="AZ688" s="3">
        <f>IF(N(R688)&lt;=0,0,(N(AY688)-N(AX688))*90/N(R688))</f>
        <v/>
      </c>
      <c r="BA688" s="7">
        <f>IFERROR(AY688-VLOOKUP($E688,Assumptions!$A$40:$C$43,3,FALSE),"")</f>
        <v/>
      </c>
      <c r="BB688" s="3">
        <f>IFERROR(BA688/H688,"")</f>
        <v/>
      </c>
      <c r="BC688">
        <f>IF(AND($G688=TRUE,$E688="GKP"),AY688,"")</f>
        <v/>
      </c>
      <c r="BD688">
        <f>IF(AND($G688=TRUE,$E688="DEF"),AY688,"")</f>
        <v/>
      </c>
      <c r="BE688">
        <f>IF(AND($G688=TRUE,$E688="MID"),AY688,"")</f>
        <v/>
      </c>
      <c r="BF688">
        <f>IF(AND($G688=TRUE,$E688="FWD"),AY688,"")</f>
        <v/>
      </c>
      <c r="BG688" t="n">
        <v>2</v>
      </c>
      <c r="BH688" t="n">
        <v>2</v>
      </c>
      <c r="BI688" t="n">
        <v>4</v>
      </c>
      <c r="BJ688" t="n">
        <v>6</v>
      </c>
    </row>
    <row r="689">
      <c r="A689" t="inlineStr">
        <is>
          <t>César Palacios</t>
        </is>
      </c>
      <c r="B689" t="inlineStr">
        <is>
          <t>FUL</t>
        </is>
      </c>
      <c r="D689" t="b">
        <v>0</v>
      </c>
      <c r="E689" t="inlineStr">
        <is>
          <t>MID</t>
        </is>
      </c>
      <c r="G689" t="b">
        <v>1</v>
      </c>
      <c r="H689" s="2" t="n">
        <v>5.5</v>
      </c>
      <c r="I689" t="inlineStr">
        <is>
          <t>a</t>
        </is>
      </c>
      <c r="K689" s="2" t="n"/>
      <c r="M689" s="3" t="n">
        <v>1072</v>
      </c>
      <c r="N689" s="4" t="n">
        <v>1400</v>
      </c>
      <c r="O689" s="4" t="n">
        <v>328</v>
      </c>
      <c r="P689" s="5" t="inlineStr">
        <is>
          <t>medium</t>
        </is>
      </c>
      <c r="Q689" t="inlineStr">
        <is>
          <t>flat</t>
        </is>
      </c>
      <c r="R689" s="6" t="n">
        <v>1400</v>
      </c>
      <c r="S689" t="inlineStr">
        <is>
          <t>research</t>
        </is>
      </c>
      <c r="T689" s="5" t="inlineStr">
        <is>
          <t>Signed from Real Madrid 3 Aug 2026 in the €50m double deal with Gonzalo Garcia; Arbeloa's personal signing from Real Madrid Castilla and handed the No.8 shirt. Started two of the last three friendlies including the final dress rehearsal v Stuttgart on 15 Aug. Solio's 1072 (and a 5 Aug scouting read of 'bench minutes initially') pre-dates those two starts.</t>
        </is>
      </c>
      <c r="U689" s="6" t="n">
        <v>85</v>
      </c>
      <c r="V689" s="2" t="n"/>
      <c r="W689" s="7">
        <f>IF(N(U689)&lt;=0,0,MIN(Assumptions!$B$15,N(R689)/N(U689)))</f>
        <v/>
      </c>
      <c r="X689" s="6" t="n">
        <v>0.214</v>
      </c>
      <c r="Y689" s="3" t="n"/>
      <c r="Z689" t="inlineStr"/>
      <c r="AA689" s="3" t="n">
        <v>1</v>
      </c>
      <c r="AB689" s="3" t="n"/>
      <c r="AC689" s="3" t="n"/>
      <c r="AD689" s="3" t="n"/>
      <c r="AE689" s="3" t="n"/>
      <c r="AF689" s="3" t="n">
        <v>0</v>
      </c>
      <c r="AG689" s="3" t="n"/>
      <c r="AH689" s="3" t="n"/>
      <c r="AI689" s="3" t="n">
        <v>3.22</v>
      </c>
      <c r="AJ689" s="3" t="n">
        <v>1.6019</v>
      </c>
      <c r="AK689" s="3" t="n">
        <v>-0.2160434166173144</v>
      </c>
      <c r="AL689" s="6" t="n">
        <v>0</v>
      </c>
      <c r="AM689" s="3" t="n">
        <v>0</v>
      </c>
      <c r="AN689" s="3" t="n">
        <v>0</v>
      </c>
      <c r="AO689" s="3" t="n">
        <v>0</v>
      </c>
      <c r="AP689" s="3">
        <f>N(X689)*N(BI689)</f>
        <v/>
      </c>
      <c r="AQ689" s="3" t="n">
        <v>0</v>
      </c>
      <c r="AR689" s="3" t="n">
        <v>0</v>
      </c>
      <c r="AS689" s="3" t="n">
        <v>-0</v>
      </c>
      <c r="AT689" s="3" t="n">
        <v>-0.2160434166173144</v>
      </c>
      <c r="AU689" s="3">
        <f>SUM(AN689:AT689)</f>
        <v/>
      </c>
      <c r="AV689" s="7">
        <f>IF(OR(N(W689)&lt;=0,N(BG689)=0),0,N(W689)*IF(N(R689)/N(W689)&gt;=60,N(BG689),1))</f>
        <v/>
      </c>
      <c r="AW689" s="7">
        <f>N(W689)*N(AF689)*N(BH689)</f>
        <v/>
      </c>
      <c r="AX689" s="7">
        <f>N(AL689)*(Assumptions!$B$13*N(BJ689)-(1-Assumptions!$B$13)*Assumptions!$B$14)+N(AM689)</f>
        <v/>
      </c>
      <c r="AY689" s="7">
        <f>N(AU689)*N(R689)/90+N(AV689)+N(AW689)+N(AX689)</f>
        <v/>
      </c>
      <c r="AZ689" s="3">
        <f>IF(N(R689)&lt;=0,0,(N(AY689)-N(AX689))*90/N(R689))</f>
        <v/>
      </c>
      <c r="BA689" s="7">
        <f>IFERROR(AY689-VLOOKUP($E689,Assumptions!$A$40:$C$43,3,FALSE),"")</f>
        <v/>
      </c>
      <c r="BB689" s="3">
        <f>IFERROR(BA689/H689,"")</f>
        <v/>
      </c>
      <c r="BC689">
        <f>IF(AND($G689=TRUE,$E689="GKP"),AY689,"")</f>
        <v/>
      </c>
      <c r="BD689">
        <f>IF(AND($G689=TRUE,$E689="DEF"),AY689,"")</f>
        <v/>
      </c>
      <c r="BE689">
        <f>IF(AND($G689=TRUE,$E689="MID"),AY689,"")</f>
        <v/>
      </c>
      <c r="BF689">
        <f>IF(AND($G689=TRUE,$E689="FWD"),AY689,"")</f>
        <v/>
      </c>
      <c r="BG689" t="n">
        <v>2</v>
      </c>
      <c r="BH689" t="n">
        <v>2</v>
      </c>
      <c r="BI689" t="n">
        <v>1</v>
      </c>
      <c r="BJ689" t="n">
        <v>5</v>
      </c>
    </row>
    <row r="690">
      <c r="A690" t="inlineStr">
        <is>
          <t>Luis Guilherme</t>
        </is>
      </c>
      <c r="C690" t="inlineStr">
        <is>
          <t>WHU</t>
        </is>
      </c>
      <c r="D690" t="b">
        <v>0</v>
      </c>
      <c r="F690" t="inlineStr">
        <is>
          <t>MID</t>
        </is>
      </c>
      <c r="G690" t="b">
        <v>0</v>
      </c>
      <c r="H690" s="2" t="n"/>
      <c r="K690" s="2" t="n">
        <v>121</v>
      </c>
      <c r="M690" s="3" t="n"/>
      <c r="N690" s="8" t="n">
        <v>121</v>
      </c>
      <c r="O690" s="8" t="n">
        <v>0</v>
      </c>
      <c r="R690" s="6" t="n">
        <v>121</v>
      </c>
      <c r="S690" t="inlineStr">
        <is>
          <t>25/26 actual</t>
        </is>
      </c>
      <c r="U690" s="6" t="n">
        <v>76.90000000000001</v>
      </c>
      <c r="V690" s="2" t="n">
        <v>1</v>
      </c>
      <c r="W690" s="7">
        <f>IF(N(U690)&lt;=0,0,MIN(Assumptions!$B$15,N(R690)/N(U690)))</f>
        <v/>
      </c>
      <c r="X690" s="6" t="n"/>
      <c r="Y690" s="3" t="n">
        <v>0.0498</v>
      </c>
      <c r="Z690" t="inlineStr">
        <is>
          <t>adjusted xGOT</t>
        </is>
      </c>
      <c r="AA690" s="3" t="n">
        <v>1</v>
      </c>
      <c r="AB690" s="3" t="n">
        <v>0.954</v>
      </c>
      <c r="AC690" s="3" t="n">
        <v>0.5</v>
      </c>
      <c r="AD690" s="3" t="n">
        <v>0.0385</v>
      </c>
      <c r="AE690" s="3" t="n">
        <v>8.52</v>
      </c>
      <c r="AF690" s="3" t="n">
        <v>0</v>
      </c>
      <c r="AG690" s="3" t="n">
        <v>0</v>
      </c>
      <c r="AH690" s="3" t="n">
        <v>5</v>
      </c>
      <c r="AI690" s="3" t="n"/>
      <c r="AJ690" s="3" t="n"/>
      <c r="AK690" s="3" t="n"/>
      <c r="AL690" s="6" t="n">
        <v>0</v>
      </c>
      <c r="AM690" s="3" t="n">
        <v>0</v>
      </c>
      <c r="AN690" s="3" t="n">
        <v>0</v>
      </c>
      <c r="AO690" s="3" t="n">
        <v>0</v>
      </c>
      <c r="AP690" s="3">
        <f>N(X690)*N(BI690)</f>
        <v/>
      </c>
      <c r="AQ690" s="3" t="n">
        <v>0</v>
      </c>
      <c r="AR690" s="3" t="n">
        <v>0</v>
      </c>
      <c r="AS690" s="3" t="n">
        <v>0</v>
      </c>
      <c r="AT690" s="3" t="n">
        <v>0</v>
      </c>
      <c r="AU690" s="3">
        <f>SUM(AN690:AT690)</f>
        <v/>
      </c>
      <c r="AV690" s="7">
        <f>IF(OR(N(W690)&lt;=0,N(BG690)=0),0,N(W690)*IF(N(R690)/N(W690)&gt;=60,N(BG690),1))</f>
        <v/>
      </c>
      <c r="AW690" s="7">
        <f>N(W690)*N(AF690)*N(BH690)</f>
        <v/>
      </c>
      <c r="AX690" s="7">
        <f>N(AL690)*(Assumptions!$B$13*N(BJ690)-(1-Assumptions!$B$13)*Assumptions!$B$14)+N(AM690)</f>
        <v/>
      </c>
      <c r="AY690" s="7">
        <f>N(AU690)*N(R690)/90+N(AV690)+N(AW690)+N(AX690)</f>
        <v/>
      </c>
      <c r="AZ690" s="3">
        <f>IF(N(R690)&lt;=0,0,(N(AY690)-N(AX690))*90/N(R690))</f>
        <v/>
      </c>
      <c r="BA690" s="7">
        <f>IFERROR(AY690-VLOOKUP($E690,Assumptions!$A$40:$C$43,3,FALSE),"")</f>
        <v/>
      </c>
      <c r="BB690" s="3">
        <f>IFERROR(BA690/H690,"")</f>
        <v/>
      </c>
      <c r="BC690">
        <f>IF(AND($G690=TRUE,$E690="GKP"),AY690,"")</f>
        <v/>
      </c>
      <c r="BD690">
        <f>IF(AND($G690=TRUE,$E690="DEF"),AY690,"")</f>
        <v/>
      </c>
      <c r="BE690">
        <f>IF(AND($G690=TRUE,$E690="MID"),AY690,"")</f>
        <v/>
      </c>
      <c r="BF690">
        <f>IF(AND($G690=TRUE,$E690="FWD"),AY690,"")</f>
        <v/>
      </c>
      <c r="BG690" t="n">
        <v>0</v>
      </c>
      <c r="BH690" t="n">
        <v>0</v>
      </c>
      <c r="BI690" t="n">
        <v>0</v>
      </c>
      <c r="BJ690" t="n">
        <v>0</v>
      </c>
    </row>
    <row r="691">
      <c r="A691" t="inlineStr">
        <is>
          <t>Miguel Brau</t>
        </is>
      </c>
      <c r="B691" t="inlineStr">
        <is>
          <t>COV</t>
        </is>
      </c>
      <c r="D691" t="b">
        <v>0</v>
      </c>
      <c r="E691" t="inlineStr">
        <is>
          <t>DEF</t>
        </is>
      </c>
      <c r="G691" t="b">
        <v>1</v>
      </c>
      <c r="H691" s="2" t="n">
        <v>4</v>
      </c>
      <c r="I691" t="inlineStr">
        <is>
          <t>a</t>
        </is>
      </c>
      <c r="K691" s="2" t="n"/>
      <c r="M691" s="3" t="n">
        <v>0</v>
      </c>
      <c r="N691" s="8" t="n">
        <v>0</v>
      </c>
      <c r="O691" s="8" t="n">
        <v>0</v>
      </c>
      <c r="Q691" t="inlineStr">
        <is>
          <t>flat</t>
        </is>
      </c>
      <c r="R691" s="6" t="n">
        <v>0</v>
      </c>
      <c r="S691" t="inlineStr">
        <is>
          <t>Solio</t>
        </is>
      </c>
      <c r="U691" s="6" t="n">
        <v>85</v>
      </c>
      <c r="V691" s="2" t="n"/>
      <c r="W691" s="7">
        <f>IF(N(U691)&lt;=0,0,MIN(Assumptions!$B$15,N(R691)/N(U691)))</f>
        <v/>
      </c>
      <c r="X691" s="6" t="n">
        <v>0.17</v>
      </c>
      <c r="Y691" s="3" t="n"/>
      <c r="Z691" t="inlineStr"/>
      <c r="AA691" s="3" t="n">
        <v>1</v>
      </c>
      <c r="AB691" s="3" t="n"/>
      <c r="AC691" s="3" t="n"/>
      <c r="AD691" s="3" t="n"/>
      <c r="AE691" s="3" t="n"/>
      <c r="AF691" s="3" t="n">
        <v>0</v>
      </c>
      <c r="AG691" s="3" t="n"/>
      <c r="AH691" s="3" t="n"/>
      <c r="AI691" s="3" t="n">
        <v>3.6194</v>
      </c>
      <c r="AJ691" s="3" t="n">
        <v>1.8271</v>
      </c>
      <c r="AK691" s="3" t="n">
        <v>-0.2045226422080557</v>
      </c>
      <c r="AL691" s="6" t="n">
        <v>0</v>
      </c>
      <c r="AM691" s="3" t="n">
        <v>0</v>
      </c>
      <c r="AN691" s="3" t="n">
        <v>0</v>
      </c>
      <c r="AO691" s="3" t="n">
        <v>0</v>
      </c>
      <c r="AP691" s="3">
        <f>N(X691)*N(BI691)</f>
        <v/>
      </c>
      <c r="AQ691" s="3" t="n">
        <v>0</v>
      </c>
      <c r="AR691" s="3" t="n">
        <v>0</v>
      </c>
      <c r="AS691" s="3" t="n">
        <v>-0.670020548738316</v>
      </c>
      <c r="AT691" s="3" t="n">
        <v>-0.2045226422080557</v>
      </c>
      <c r="AU691" s="3">
        <f>SUM(AN691:AT691)</f>
        <v/>
      </c>
      <c r="AV691" s="7">
        <f>IF(OR(N(W691)&lt;=0,N(BG691)=0),0,N(W691)*IF(N(R691)/N(W691)&gt;=60,N(BG691),1))</f>
        <v/>
      </c>
      <c r="AW691" s="7">
        <f>N(W691)*N(AF691)*N(BH691)</f>
        <v/>
      </c>
      <c r="AX691" s="7">
        <f>N(AL691)*(Assumptions!$B$13*N(BJ691)-(1-Assumptions!$B$13)*Assumptions!$B$14)+N(AM691)</f>
        <v/>
      </c>
      <c r="AY691" s="7">
        <f>N(AU691)*N(R691)/90+N(AV691)+N(AW691)+N(AX691)</f>
        <v/>
      </c>
      <c r="AZ691" s="3">
        <f>IF(N(R691)&lt;=0,0,(N(AY691)-N(AX691))*90/N(R691))</f>
        <v/>
      </c>
      <c r="BA691" s="7">
        <f>IFERROR(AY691-VLOOKUP($E691,Assumptions!$A$40:$C$43,3,FALSE),"")</f>
        <v/>
      </c>
      <c r="BB691" s="3">
        <f>IFERROR(BA691/H691,"")</f>
        <v/>
      </c>
      <c r="BC691">
        <f>IF(AND($G691=TRUE,$E691="GKP"),AY691,"")</f>
        <v/>
      </c>
      <c r="BD691">
        <f>IF(AND($G691=TRUE,$E691="DEF"),AY691,"")</f>
        <v/>
      </c>
      <c r="BE691">
        <f>IF(AND($G691=TRUE,$E691="MID"),AY691,"")</f>
        <v/>
      </c>
      <c r="BF691">
        <f>IF(AND($G691=TRUE,$E691="FWD"),AY691,"")</f>
        <v/>
      </c>
      <c r="BG691" t="n">
        <v>2</v>
      </c>
      <c r="BH691" t="n">
        <v>2</v>
      </c>
      <c r="BI691" t="n">
        <v>4</v>
      </c>
      <c r="BJ691" t="n">
        <v>6</v>
      </c>
    </row>
    <row r="692">
      <c r="A692" t="inlineStr">
        <is>
          <t>Kosta Nedeljkovic</t>
        </is>
      </c>
      <c r="B692" t="inlineStr">
        <is>
          <t>AVL</t>
        </is>
      </c>
      <c r="D692" t="b">
        <v>0</v>
      </c>
      <c r="E692" t="inlineStr">
        <is>
          <t>DEF</t>
        </is>
      </c>
      <c r="G692" t="b">
        <v>1</v>
      </c>
      <c r="H692" s="2" t="n">
        <v>4</v>
      </c>
      <c r="I692" t="inlineStr">
        <is>
          <t>a</t>
        </is>
      </c>
      <c r="K692" s="2" t="n"/>
      <c r="M692" s="3" t="n">
        <v>0</v>
      </c>
      <c r="N692" s="4" t="n">
        <v>200</v>
      </c>
      <c r="O692" s="4" t="n">
        <v>200</v>
      </c>
      <c r="P692" s="5" t="inlineStr">
        <is>
          <t>low</t>
        </is>
      </c>
      <c r="Q692" t="inlineStr">
        <is>
          <t>flat</t>
        </is>
      </c>
      <c r="R692" s="6" t="n">
        <v>200</v>
      </c>
      <c r="S692" t="inlineStr">
        <is>
          <t>research</t>
        </is>
      </c>
      <c r="T692" s="5" t="inlineStr">
        <is>
          <t>Solio has him at zero, but he is back from his RB Leipzig loan, is listed in the 2026/27 first-team squad, was in the Super Cup squad and started at right-back against Monchengladbach - and Andres Garcia's loan to Getafe left the deputy right-back slot vacant. Kept low because Rangers want him on loan and Villa are chasing Wan-Bissaka, either of which would take this back to zero.</t>
        </is>
      </c>
      <c r="U692" s="6" t="n">
        <v>85</v>
      </c>
      <c r="V692" s="2" t="n"/>
      <c r="W692" s="7">
        <f>IF(N(U692)&lt;=0,0,MIN(Assumptions!$B$15,N(R692)/N(U692)))</f>
        <v/>
      </c>
      <c r="X692" s="6" t="n">
        <v>0.273</v>
      </c>
      <c r="Y692" s="3" t="n"/>
      <c r="Z692" t="inlineStr"/>
      <c r="AA692" s="3" t="n">
        <v>1</v>
      </c>
      <c r="AB692" s="3" t="n"/>
      <c r="AC692" s="3" t="n"/>
      <c r="AD692" s="3" t="n"/>
      <c r="AE692" s="3" t="n"/>
      <c r="AF692" s="3" t="n">
        <v>0</v>
      </c>
      <c r="AG692" s="3" t="n"/>
      <c r="AH692" s="3" t="n"/>
      <c r="AI692" s="3" t="n">
        <v>2.7451</v>
      </c>
      <c r="AJ692" s="3" t="n">
        <v>1.3575</v>
      </c>
      <c r="AK692" s="3" t="n">
        <v>-0.1957236914779764</v>
      </c>
      <c r="AL692" s="6" t="n">
        <v>0</v>
      </c>
      <c r="AM692" s="3" t="n">
        <v>0</v>
      </c>
      <c r="AN692" s="3" t="n">
        <v>0</v>
      </c>
      <c r="AO692" s="3" t="n">
        <v>0</v>
      </c>
      <c r="AP692" s="3">
        <f>N(X692)*N(BI692)</f>
        <v/>
      </c>
      <c r="AQ692" s="3" t="n">
        <v>0</v>
      </c>
      <c r="AR692" s="3" t="n">
        <v>0</v>
      </c>
      <c r="AS692" s="3" t="n">
        <v>-0.4453012382517575</v>
      </c>
      <c r="AT692" s="3" t="n">
        <v>-0.1957236914779764</v>
      </c>
      <c r="AU692" s="3">
        <f>SUM(AN692:AT692)</f>
        <v/>
      </c>
      <c r="AV692" s="7">
        <f>IF(OR(N(W692)&lt;=0,N(BG692)=0),0,N(W692)*IF(N(R692)/N(W692)&gt;=60,N(BG692),1))</f>
        <v/>
      </c>
      <c r="AW692" s="7">
        <f>N(W692)*N(AF692)*N(BH692)</f>
        <v/>
      </c>
      <c r="AX692" s="7">
        <f>N(AL692)*(Assumptions!$B$13*N(BJ692)-(1-Assumptions!$B$13)*Assumptions!$B$14)+N(AM692)</f>
        <v/>
      </c>
      <c r="AY692" s="7">
        <f>N(AU692)*N(R692)/90+N(AV692)+N(AW692)+N(AX692)</f>
        <v/>
      </c>
      <c r="AZ692" s="3">
        <f>IF(N(R692)&lt;=0,0,(N(AY692)-N(AX692))*90/N(R692))</f>
        <v/>
      </c>
      <c r="BA692" s="7">
        <f>IFERROR(AY692-VLOOKUP($E692,Assumptions!$A$40:$C$43,3,FALSE),"")</f>
        <v/>
      </c>
      <c r="BB692" s="3">
        <f>IFERROR(BA692/H692,"")</f>
        <v/>
      </c>
      <c r="BC692">
        <f>IF(AND($G692=TRUE,$E692="GKP"),AY692,"")</f>
        <v/>
      </c>
      <c r="BD692">
        <f>IF(AND($G692=TRUE,$E692="DEF"),AY692,"")</f>
        <v/>
      </c>
      <c r="BE692">
        <f>IF(AND($G692=TRUE,$E692="MID"),AY692,"")</f>
        <v/>
      </c>
      <c r="BF692">
        <f>IF(AND($G692=TRUE,$E692="FWD"),AY692,"")</f>
        <v/>
      </c>
      <c r="BG692" t="n">
        <v>2</v>
      </c>
      <c r="BH692" t="n">
        <v>2</v>
      </c>
      <c r="BI692" t="n">
        <v>4</v>
      </c>
      <c r="BJ692" t="n">
        <v>6</v>
      </c>
    </row>
    <row r="693">
      <c r="A693" t="inlineStr">
        <is>
          <t>Geovany Quenda</t>
        </is>
      </c>
      <c r="B693" t="inlineStr">
        <is>
          <t>CHE</t>
        </is>
      </c>
      <c r="D693" t="b">
        <v>0</v>
      </c>
      <c r="E693" t="inlineStr">
        <is>
          <t>MID</t>
        </is>
      </c>
      <c r="G693" t="b">
        <v>1</v>
      </c>
      <c r="H693" s="2" t="n">
        <v>5.5</v>
      </c>
      <c r="I693" t="inlineStr">
        <is>
          <t>a</t>
        </is>
      </c>
      <c r="K693" s="2" t="n"/>
      <c r="M693" s="3" t="n">
        <v>866</v>
      </c>
      <c r="N693" s="8" t="n">
        <v>866</v>
      </c>
      <c r="O693" s="8" t="n">
        <v>0</v>
      </c>
      <c r="Q693" t="inlineStr">
        <is>
          <t>flat</t>
        </is>
      </c>
      <c r="R693" s="6" t="n">
        <v>866</v>
      </c>
      <c r="S693" t="inlineStr">
        <is>
          <t>Solio</t>
        </is>
      </c>
      <c r="U693" s="6" t="n">
        <v>85</v>
      </c>
      <c r="V693" s="2" t="n"/>
      <c r="W693" s="7">
        <f>IF(N(U693)&lt;=0,0,MIN(Assumptions!$B$15,N(R693)/N(U693)))</f>
        <v/>
      </c>
      <c r="X693" s="6" t="n">
        <v>0.322</v>
      </c>
      <c r="Y693" s="3" t="n"/>
      <c r="Z693" t="inlineStr"/>
      <c r="AA693" s="3" t="n">
        <v>1</v>
      </c>
      <c r="AB693" s="3" t="n"/>
      <c r="AC693" s="3" t="n"/>
      <c r="AD693" s="3" t="n"/>
      <c r="AE693" s="3" t="n"/>
      <c r="AF693" s="3" t="n">
        <v>0</v>
      </c>
      <c r="AG693" s="3" t="n"/>
      <c r="AH693" s="3" t="n"/>
      <c r="AI693" s="3" t="n">
        <v>2.4232</v>
      </c>
      <c r="AJ693" s="3" t="n">
        <v>1.1851</v>
      </c>
      <c r="AK693" s="3" t="n">
        <v>-0.2160434166173144</v>
      </c>
      <c r="AL693" s="6" t="n">
        <v>0</v>
      </c>
      <c r="AM693" s="3" t="n">
        <v>0</v>
      </c>
      <c r="AN693" s="3" t="n">
        <v>0</v>
      </c>
      <c r="AO693" s="3" t="n">
        <v>0</v>
      </c>
      <c r="AP693" s="3">
        <f>N(X693)*N(BI693)</f>
        <v/>
      </c>
      <c r="AQ693" s="3" t="n">
        <v>0</v>
      </c>
      <c r="AR693" s="3" t="n">
        <v>0</v>
      </c>
      <c r="AS693" s="3" t="n">
        <v>-0</v>
      </c>
      <c r="AT693" s="3" t="n">
        <v>-0.2160434166173144</v>
      </c>
      <c r="AU693" s="3">
        <f>SUM(AN693:AT693)</f>
        <v/>
      </c>
      <c r="AV693" s="7">
        <f>IF(OR(N(W693)&lt;=0,N(BG693)=0),0,N(W693)*IF(N(R693)/N(W693)&gt;=60,N(BG693),1))</f>
        <v/>
      </c>
      <c r="AW693" s="7">
        <f>N(W693)*N(AF693)*N(BH693)</f>
        <v/>
      </c>
      <c r="AX693" s="7">
        <f>N(AL693)*(Assumptions!$B$13*N(BJ693)-(1-Assumptions!$B$13)*Assumptions!$B$14)+N(AM693)</f>
        <v/>
      </c>
      <c r="AY693" s="7">
        <f>N(AU693)*N(R693)/90+N(AV693)+N(AW693)+N(AX693)</f>
        <v/>
      </c>
      <c r="AZ693" s="3">
        <f>IF(N(R693)&lt;=0,0,(N(AY693)-N(AX693))*90/N(R693))</f>
        <v/>
      </c>
      <c r="BA693" s="7">
        <f>IFERROR(AY693-VLOOKUP($E693,Assumptions!$A$40:$C$43,3,FALSE),"")</f>
        <v/>
      </c>
      <c r="BB693" s="3">
        <f>IFERROR(BA693/H693,"")</f>
        <v/>
      </c>
      <c r="BC693">
        <f>IF(AND($G693=TRUE,$E693="GKP"),AY693,"")</f>
        <v/>
      </c>
      <c r="BD693">
        <f>IF(AND($G693=TRUE,$E693="DEF"),AY693,"")</f>
        <v/>
      </c>
      <c r="BE693">
        <f>IF(AND($G693=TRUE,$E693="MID"),AY693,"")</f>
        <v/>
      </c>
      <c r="BF693">
        <f>IF(AND($G693=TRUE,$E693="FWD"),AY693,"")</f>
        <v/>
      </c>
      <c r="BG693" t="n">
        <v>2</v>
      </c>
      <c r="BH693" t="n">
        <v>2</v>
      </c>
      <c r="BI693" t="n">
        <v>1</v>
      </c>
      <c r="BJ693" t="n">
        <v>5</v>
      </c>
    </row>
    <row r="694">
      <c r="A694" t="inlineStr">
        <is>
          <t>Tom Edozie</t>
        </is>
      </c>
      <c r="C694" t="inlineStr">
        <is>
          <t>WOL</t>
        </is>
      </c>
      <c r="D694" t="b">
        <v>0</v>
      </c>
      <c r="F694" t="inlineStr">
        <is>
          <t>MID</t>
        </is>
      </c>
      <c r="G694" t="b">
        <v>0</v>
      </c>
      <c r="H694" s="2" t="n"/>
      <c r="K694" s="2" t="n">
        <v>12</v>
      </c>
      <c r="M694" s="3" t="n"/>
      <c r="N694" s="8" t="n">
        <v>12</v>
      </c>
      <c r="O694" s="8" t="n">
        <v>0</v>
      </c>
      <c r="R694" s="6" t="n">
        <v>12</v>
      </c>
      <c r="S694" t="inlineStr">
        <is>
          <t>25/26 actual</t>
        </is>
      </c>
      <c r="U694" s="6" t="n">
        <v>80.09999999999999</v>
      </c>
      <c r="V694" s="2" t="n">
        <v>0</v>
      </c>
      <c r="W694" s="7">
        <f>IF(N(U694)&lt;=0,0,MIN(Assumptions!$B$15,N(R694)/N(U694)))</f>
        <v/>
      </c>
      <c r="X694" s="6" t="n"/>
      <c r="Y694" s="3" t="n">
        <v>1.845</v>
      </c>
      <c r="Z694" t="inlineStr">
        <is>
          <t>adjusted xGOT</t>
        </is>
      </c>
      <c r="AA694" s="3" t="n">
        <v>1</v>
      </c>
      <c r="AB694" s="3" t="n">
        <v>1.069</v>
      </c>
      <c r="AC694" s="3" t="n">
        <v>0.2</v>
      </c>
      <c r="AD694" s="3" t="n"/>
      <c r="AE694" s="3" t="n">
        <v>8.558999999999999</v>
      </c>
      <c r="AF694" s="3" t="n">
        <v>0</v>
      </c>
      <c r="AG694" s="3" t="n">
        <v>0</v>
      </c>
      <c r="AH694" s="3" t="n">
        <v>3</v>
      </c>
      <c r="AI694" s="3" t="n"/>
      <c r="AJ694" s="3" t="n"/>
      <c r="AK694" s="3" t="n"/>
      <c r="AL694" s="6" t="n">
        <v>0</v>
      </c>
      <c r="AM694" s="3" t="n">
        <v>0</v>
      </c>
      <c r="AN694" s="3" t="n">
        <v>0</v>
      </c>
      <c r="AO694" s="3" t="n">
        <v>0</v>
      </c>
      <c r="AP694" s="3">
        <f>N(X694)*N(BI694)</f>
        <v/>
      </c>
      <c r="AQ694" s="3" t="n">
        <v>0</v>
      </c>
      <c r="AR694" s="3" t="n">
        <v>0</v>
      </c>
      <c r="AS694" s="3" t="n">
        <v>0</v>
      </c>
      <c r="AT694" s="3" t="n">
        <v>0</v>
      </c>
      <c r="AU694" s="3">
        <f>SUM(AN694:AT694)</f>
        <v/>
      </c>
      <c r="AV694" s="7">
        <f>IF(OR(N(W694)&lt;=0,N(BG694)=0),0,N(W694)*IF(N(R694)/N(W694)&gt;=60,N(BG694),1))</f>
        <v/>
      </c>
      <c r="AW694" s="7">
        <f>N(W694)*N(AF694)*N(BH694)</f>
        <v/>
      </c>
      <c r="AX694" s="7">
        <f>N(AL694)*(Assumptions!$B$13*N(BJ694)-(1-Assumptions!$B$13)*Assumptions!$B$14)+N(AM694)</f>
        <v/>
      </c>
      <c r="AY694" s="7">
        <f>N(AU694)*N(R694)/90+N(AV694)+N(AW694)+N(AX694)</f>
        <v/>
      </c>
      <c r="AZ694" s="3">
        <f>IF(N(R694)&lt;=0,0,(N(AY694)-N(AX694))*90/N(R694))</f>
        <v/>
      </c>
      <c r="BA694" s="7">
        <f>IFERROR(AY694-VLOOKUP($E694,Assumptions!$A$40:$C$43,3,FALSE),"")</f>
        <v/>
      </c>
      <c r="BB694" s="3">
        <f>IFERROR(BA694/H694,"")</f>
        <v/>
      </c>
      <c r="BC694">
        <f>IF(AND($G694=TRUE,$E694="GKP"),AY694,"")</f>
        <v/>
      </c>
      <c r="BD694">
        <f>IF(AND($G694=TRUE,$E694="DEF"),AY694,"")</f>
        <v/>
      </c>
      <c r="BE694">
        <f>IF(AND($G694=TRUE,$E694="MID"),AY694,"")</f>
        <v/>
      </c>
      <c r="BF694">
        <f>IF(AND($G694=TRUE,$E694="FWD"),AY694,"")</f>
        <v/>
      </c>
      <c r="BG694" t="n">
        <v>0</v>
      </c>
      <c r="BH694" t="n">
        <v>0</v>
      </c>
      <c r="BI694" t="n">
        <v>0</v>
      </c>
      <c r="BJ694" t="n">
        <v>0</v>
      </c>
    </row>
    <row r="695">
      <c r="A695" t="inlineStr">
        <is>
          <t>Lucas Herrington</t>
        </is>
      </c>
      <c r="B695" t="inlineStr">
        <is>
          <t>HUL</t>
        </is>
      </c>
      <c r="D695" t="b">
        <v>0</v>
      </c>
      <c r="E695" t="inlineStr">
        <is>
          <t>DEF</t>
        </is>
      </c>
      <c r="G695" t="b">
        <v>1</v>
      </c>
      <c r="H695" s="2" t="n">
        <v>4</v>
      </c>
      <c r="I695" t="inlineStr">
        <is>
          <t>a</t>
        </is>
      </c>
      <c r="K695" s="2" t="n"/>
      <c r="M695" s="3" t="n">
        <v>0</v>
      </c>
      <c r="N695" s="8" t="n">
        <v>0</v>
      </c>
      <c r="O695" s="8" t="n">
        <v>0</v>
      </c>
      <c r="Q695" t="inlineStr">
        <is>
          <t>flat</t>
        </is>
      </c>
      <c r="R695" s="6" t="n">
        <v>0</v>
      </c>
      <c r="S695" t="inlineStr">
        <is>
          <t>Solio</t>
        </is>
      </c>
      <c r="U695" s="6" t="n">
        <v>85</v>
      </c>
      <c r="V695" s="2" t="n"/>
      <c r="W695" s="7">
        <f>IF(N(U695)&lt;=0,0,MIN(Assumptions!$B$15,N(R695)/N(U695)))</f>
        <v/>
      </c>
      <c r="X695" s="6" t="n">
        <v>0.143</v>
      </c>
      <c r="Y695" s="3" t="n"/>
      <c r="Z695" t="inlineStr"/>
      <c r="AA695" s="3" t="n">
        <v>1</v>
      </c>
      <c r="AB695" s="3" t="n"/>
      <c r="AC695" s="3" t="n"/>
      <c r="AD695" s="3" t="n"/>
      <c r="AE695" s="3" t="n"/>
      <c r="AF695" s="3" t="n">
        <v>0</v>
      </c>
      <c r="AG695" s="3" t="n"/>
      <c r="AH695" s="3" t="n"/>
      <c r="AI695" s="3" t="n">
        <v>3.9421</v>
      </c>
      <c r="AJ695" s="3" t="n">
        <v>1.99</v>
      </c>
      <c r="AK695" s="3" t="n">
        <v>-0.2045226422080557</v>
      </c>
      <c r="AL695" s="6" t="n">
        <v>0</v>
      </c>
      <c r="AM695" s="3" t="n">
        <v>0</v>
      </c>
      <c r="AN695" s="3" t="n">
        <v>0</v>
      </c>
      <c r="AO695" s="3" t="n">
        <v>0</v>
      </c>
      <c r="AP695" s="3">
        <f>N(X695)*N(BI695)</f>
        <v/>
      </c>
      <c r="AQ695" s="3" t="n">
        <v>0</v>
      </c>
      <c r="AR695" s="3" t="n">
        <v>0</v>
      </c>
      <c r="AS695" s="3" t="n">
        <v>-0.7496714098286652</v>
      </c>
      <c r="AT695" s="3" t="n">
        <v>-0.2045226422080557</v>
      </c>
      <c r="AU695" s="3">
        <f>SUM(AN695:AT695)</f>
        <v/>
      </c>
      <c r="AV695" s="7">
        <f>IF(OR(N(W695)&lt;=0,N(BG695)=0),0,N(W695)*IF(N(R695)/N(W695)&gt;=60,N(BG695),1))</f>
        <v/>
      </c>
      <c r="AW695" s="7">
        <f>N(W695)*N(AF695)*N(BH695)</f>
        <v/>
      </c>
      <c r="AX695" s="7">
        <f>N(AL695)*(Assumptions!$B$13*N(BJ695)-(1-Assumptions!$B$13)*Assumptions!$B$14)+N(AM695)</f>
        <v/>
      </c>
      <c r="AY695" s="7">
        <f>N(AU695)*N(R695)/90+N(AV695)+N(AW695)+N(AX695)</f>
        <v/>
      </c>
      <c r="AZ695" s="3">
        <f>IF(N(R695)&lt;=0,0,(N(AY695)-N(AX695))*90/N(R695))</f>
        <v/>
      </c>
      <c r="BA695" s="7">
        <f>IFERROR(AY695-VLOOKUP($E695,Assumptions!$A$40:$C$43,3,FALSE),"")</f>
        <v/>
      </c>
      <c r="BB695" s="3">
        <f>IFERROR(BA695/H695,"")</f>
        <v/>
      </c>
      <c r="BC695">
        <f>IF(AND($G695=TRUE,$E695="GKP"),AY695,"")</f>
        <v/>
      </c>
      <c r="BD695">
        <f>IF(AND($G695=TRUE,$E695="DEF"),AY695,"")</f>
        <v/>
      </c>
      <c r="BE695">
        <f>IF(AND($G695=TRUE,$E695="MID"),AY695,"")</f>
        <v/>
      </c>
      <c r="BF695">
        <f>IF(AND($G695=TRUE,$E695="FWD"),AY695,"")</f>
        <v/>
      </c>
      <c r="BG695" t="n">
        <v>2</v>
      </c>
      <c r="BH695" t="n">
        <v>2</v>
      </c>
      <c r="BI695" t="n">
        <v>4</v>
      </c>
      <c r="BJ695" t="n">
        <v>6</v>
      </c>
    </row>
    <row r="696">
      <c r="A696" t="inlineStr">
        <is>
          <t>Ezra Mayers</t>
        </is>
      </c>
      <c r="C696" t="inlineStr">
        <is>
          <t>WHU</t>
        </is>
      </c>
      <c r="D696" t="b">
        <v>0</v>
      </c>
      <c r="F696" t="inlineStr">
        <is>
          <t>DEF</t>
        </is>
      </c>
      <c r="G696" t="b">
        <v>0</v>
      </c>
      <c r="H696" s="2" t="n"/>
      <c r="K696" s="2" t="n">
        <v>113</v>
      </c>
      <c r="M696" s="3" t="n"/>
      <c r="N696" s="8" t="n">
        <v>113</v>
      </c>
      <c r="O696" s="8" t="n">
        <v>0</v>
      </c>
      <c r="R696" s="6" t="n">
        <v>113</v>
      </c>
      <c r="S696" t="inlineStr">
        <is>
          <t>25/26 actual</t>
        </is>
      </c>
      <c r="U696" s="6" t="n">
        <v>85.5</v>
      </c>
      <c r="V696" s="2" t="n">
        <v>0</v>
      </c>
      <c r="W696" s="7">
        <f>IF(N(U696)&lt;=0,0,MIN(Assumptions!$B$15,N(R696)/N(U696)))</f>
        <v/>
      </c>
      <c r="X696" s="6" t="n"/>
      <c r="Y696" s="3" t="n">
        <v>0.094</v>
      </c>
      <c r="Z696" t="inlineStr">
        <is>
          <t>adjusted xGOT</t>
        </is>
      </c>
      <c r="AA696" s="3" t="n">
        <v>1</v>
      </c>
      <c r="AB696" s="3" t="n">
        <v>0.985</v>
      </c>
      <c r="AC696" s="3" t="n">
        <v>0.1</v>
      </c>
      <c r="AD696" s="3" t="n">
        <v>0.0927</v>
      </c>
      <c r="AE696" s="3" t="n">
        <v>7.183</v>
      </c>
      <c r="AF696" s="3" t="n">
        <v>0</v>
      </c>
      <c r="AG696" s="3" t="n">
        <v>0</v>
      </c>
      <c r="AH696" s="3" t="n">
        <v>6</v>
      </c>
      <c r="AI696" s="3" t="n"/>
      <c r="AJ696" s="3" t="n"/>
      <c r="AK696" s="3" t="n"/>
      <c r="AL696" s="6" t="n">
        <v>0</v>
      </c>
      <c r="AM696" s="3" t="n">
        <v>0</v>
      </c>
      <c r="AN696" s="3" t="n">
        <v>0</v>
      </c>
      <c r="AO696" s="3" t="n">
        <v>0</v>
      </c>
      <c r="AP696" s="3">
        <f>N(X696)*N(BI696)</f>
        <v/>
      </c>
      <c r="AQ696" s="3" t="n">
        <v>0</v>
      </c>
      <c r="AR696" s="3" t="n">
        <v>0</v>
      </c>
      <c r="AS696" s="3" t="n">
        <v>0</v>
      </c>
      <c r="AT696" s="3" t="n">
        <v>0</v>
      </c>
      <c r="AU696" s="3">
        <f>SUM(AN696:AT696)</f>
        <v/>
      </c>
      <c r="AV696" s="7">
        <f>IF(OR(N(W696)&lt;=0,N(BG696)=0),0,N(W696)*IF(N(R696)/N(W696)&gt;=60,N(BG696),1))</f>
        <v/>
      </c>
      <c r="AW696" s="7">
        <f>N(W696)*N(AF696)*N(BH696)</f>
        <v/>
      </c>
      <c r="AX696" s="7">
        <f>N(AL696)*(Assumptions!$B$13*N(BJ696)-(1-Assumptions!$B$13)*Assumptions!$B$14)+N(AM696)</f>
        <v/>
      </c>
      <c r="AY696" s="7">
        <f>N(AU696)*N(R696)/90+N(AV696)+N(AW696)+N(AX696)</f>
        <v/>
      </c>
      <c r="AZ696" s="3">
        <f>IF(N(R696)&lt;=0,0,(N(AY696)-N(AX696))*90/N(R696))</f>
        <v/>
      </c>
      <c r="BA696" s="7">
        <f>IFERROR(AY696-VLOOKUP($E696,Assumptions!$A$40:$C$43,3,FALSE),"")</f>
        <v/>
      </c>
      <c r="BB696" s="3">
        <f>IFERROR(BA696/H696,"")</f>
        <v/>
      </c>
      <c r="BC696">
        <f>IF(AND($G696=TRUE,$E696="GKP"),AY696,"")</f>
        <v/>
      </c>
      <c r="BD696">
        <f>IF(AND($G696=TRUE,$E696="DEF"),AY696,"")</f>
        <v/>
      </c>
      <c r="BE696">
        <f>IF(AND($G696=TRUE,$E696="MID"),AY696,"")</f>
        <v/>
      </c>
      <c r="BF696">
        <f>IF(AND($G696=TRUE,$E696="FWD"),AY696,"")</f>
        <v/>
      </c>
      <c r="BG696" t="n">
        <v>0</v>
      </c>
      <c r="BH696" t="n">
        <v>0</v>
      </c>
      <c r="BI696" t="n">
        <v>0</v>
      </c>
      <c r="BJ696" t="n">
        <v>0</v>
      </c>
    </row>
    <row r="697">
      <c r="A697" t="inlineStr">
        <is>
          <t>Romelle Donovan</t>
        </is>
      </c>
      <c r="C697" t="inlineStr">
        <is>
          <t>BRE</t>
        </is>
      </c>
      <c r="D697" t="b">
        <v>0</v>
      </c>
      <c r="F697" t="inlineStr">
        <is>
          <t>MID</t>
        </is>
      </c>
      <c r="G697" t="b">
        <v>0</v>
      </c>
      <c r="H697" s="2" t="n"/>
      <c r="K697" s="2" t="n">
        <v>38</v>
      </c>
      <c r="M697" s="3" t="n"/>
      <c r="N697" s="8" t="n">
        <v>38</v>
      </c>
      <c r="O697" s="8" t="n">
        <v>0</v>
      </c>
      <c r="R697" s="6" t="n">
        <v>38</v>
      </c>
      <c r="S697" t="inlineStr">
        <is>
          <t>25/26 actual</t>
        </is>
      </c>
      <c r="U697" s="6" t="n">
        <v>80.09999999999999</v>
      </c>
      <c r="V697" s="2" t="n">
        <v>0</v>
      </c>
      <c r="W697" s="7">
        <f>IF(N(U697)&lt;=0,0,MIN(Assumptions!$B$15,N(R697)/N(U697)))</f>
        <v/>
      </c>
      <c r="X697" s="6" t="n"/>
      <c r="Y697" s="3" t="n">
        <v>0.2108</v>
      </c>
      <c r="Z697" t="inlineStr">
        <is>
          <t>adjusted xGOT</t>
        </is>
      </c>
      <c r="AA697" s="3" t="n">
        <v>1</v>
      </c>
      <c r="AB697" s="3" t="n">
        <v>0.989</v>
      </c>
      <c r="AC697" s="3" t="n">
        <v>0.1</v>
      </c>
      <c r="AD697" s="3" t="n">
        <v>0.0759</v>
      </c>
      <c r="AE697" s="3" t="n">
        <v>8.741</v>
      </c>
      <c r="AF697" s="3" t="n">
        <v>0</v>
      </c>
      <c r="AG697" s="3" t="n">
        <v>0</v>
      </c>
      <c r="AH697" s="3" t="n">
        <v>4</v>
      </c>
      <c r="AI697" s="3" t="n"/>
      <c r="AJ697" s="3" t="n"/>
      <c r="AK697" s="3" t="n"/>
      <c r="AL697" s="6" t="n">
        <v>0</v>
      </c>
      <c r="AM697" s="3" t="n">
        <v>0</v>
      </c>
      <c r="AN697" s="3" t="n">
        <v>0</v>
      </c>
      <c r="AO697" s="3" t="n">
        <v>0</v>
      </c>
      <c r="AP697" s="3">
        <f>N(X697)*N(BI697)</f>
        <v/>
      </c>
      <c r="AQ697" s="3" t="n">
        <v>0</v>
      </c>
      <c r="AR697" s="3" t="n">
        <v>0</v>
      </c>
      <c r="AS697" s="3" t="n">
        <v>0</v>
      </c>
      <c r="AT697" s="3" t="n">
        <v>0</v>
      </c>
      <c r="AU697" s="3">
        <f>SUM(AN697:AT697)</f>
        <v/>
      </c>
      <c r="AV697" s="7">
        <f>IF(OR(N(W697)&lt;=0,N(BG697)=0),0,N(W697)*IF(N(R697)/N(W697)&gt;=60,N(BG697),1))</f>
        <v/>
      </c>
      <c r="AW697" s="7">
        <f>N(W697)*N(AF697)*N(BH697)</f>
        <v/>
      </c>
      <c r="AX697" s="7">
        <f>N(AL697)*(Assumptions!$B$13*N(BJ697)-(1-Assumptions!$B$13)*Assumptions!$B$14)+N(AM697)</f>
        <v/>
      </c>
      <c r="AY697" s="7">
        <f>N(AU697)*N(R697)/90+N(AV697)+N(AW697)+N(AX697)</f>
        <v/>
      </c>
      <c r="AZ697" s="3">
        <f>IF(N(R697)&lt;=0,0,(N(AY697)-N(AX697))*90/N(R697))</f>
        <v/>
      </c>
      <c r="BA697" s="7">
        <f>IFERROR(AY697-VLOOKUP($E697,Assumptions!$A$40:$C$43,3,FALSE),"")</f>
        <v/>
      </c>
      <c r="BB697" s="3">
        <f>IFERROR(BA697/H697,"")</f>
        <v/>
      </c>
      <c r="BC697">
        <f>IF(AND($G697=TRUE,$E697="GKP"),AY697,"")</f>
        <v/>
      </c>
      <c r="BD697">
        <f>IF(AND($G697=TRUE,$E697="DEF"),AY697,"")</f>
        <v/>
      </c>
      <c r="BE697">
        <f>IF(AND($G697=TRUE,$E697="MID"),AY697,"")</f>
        <v/>
      </c>
      <c r="BF697">
        <f>IF(AND($G697=TRUE,$E697="FWD"),AY697,"")</f>
        <v/>
      </c>
      <c r="BG697" t="n">
        <v>0</v>
      </c>
      <c r="BH697" t="n">
        <v>0</v>
      </c>
      <c r="BI697" t="n">
        <v>0</v>
      </c>
      <c r="BJ697" t="n">
        <v>0</v>
      </c>
    </row>
    <row r="698">
      <c r="A698" t="inlineStr">
        <is>
          <t>Jeremy Jacquet</t>
        </is>
      </c>
      <c r="B698" t="inlineStr">
        <is>
          <t>LIV</t>
        </is>
      </c>
      <c r="D698" t="b">
        <v>0</v>
      </c>
      <c r="E698" t="inlineStr">
        <is>
          <t>DEF</t>
        </is>
      </c>
      <c r="G698" t="b">
        <v>1</v>
      </c>
      <c r="H698" s="2" t="n">
        <v>5</v>
      </c>
      <c r="I698" t="inlineStr">
        <is>
          <t>a</t>
        </is>
      </c>
      <c r="K698" s="2" t="n"/>
      <c r="M698" s="3" t="n">
        <v>1442</v>
      </c>
      <c r="N698" s="4" t="n">
        <v>1000</v>
      </c>
      <c r="O698" s="4" t="n">
        <v>-442</v>
      </c>
      <c r="P698" s="5" t="inlineStr">
        <is>
          <t>medium</t>
        </is>
      </c>
      <c r="Q698" t="inlineStr">
        <is>
          <t>flat</t>
        </is>
      </c>
      <c r="R698" s="6" t="n">
        <v>1000</v>
      </c>
      <c r="S698" t="inlineStr">
        <is>
          <t>research</t>
        </is>
      </c>
      <c r="T698" s="5" t="inlineStr">
        <is>
          <t>Jacquet has been out since a shoulder injury in February, sat out all three US friendlies, and only rejoined full training on 12 August. Iraola on 9 August: 'He's taking a little bit more time than we expected.' This Is Anfield says Newcastle is 'looking too far ahead' for him and lists him as minutes-managed. He should displace Araujo later in the season, but not from the start, so Solio's 1442 starts him too early.</t>
        </is>
      </c>
      <c r="U698" s="6" t="n">
        <v>85</v>
      </c>
      <c r="V698" s="2" t="n"/>
      <c r="W698" s="7">
        <f>IF(N(U698)&lt;=0,0,MIN(Assumptions!$B$15,N(R698)/N(U698)))</f>
        <v/>
      </c>
      <c r="X698" s="6" t="n">
        <v>0.342</v>
      </c>
      <c r="Y698" s="3" t="n"/>
      <c r="Z698" t="inlineStr"/>
      <c r="AA698" s="3" t="n">
        <v>1</v>
      </c>
      <c r="AB698" s="3" t="n"/>
      <c r="AC698" s="3" t="n"/>
      <c r="AD698" s="3" t="n"/>
      <c r="AE698" s="3" t="n"/>
      <c r="AF698" s="3" t="n">
        <v>0</v>
      </c>
      <c r="AG698" s="3" t="n"/>
      <c r="AH698" s="3" t="n"/>
      <c r="AI698" s="3" t="n">
        <v>2.409</v>
      </c>
      <c r="AJ698" s="3" t="n">
        <v>1.1228</v>
      </c>
      <c r="AK698" s="3" t="n">
        <v>-0.2045226422080557</v>
      </c>
      <c r="AL698" s="6" t="n">
        <v>0</v>
      </c>
      <c r="AM698" s="3" t="n">
        <v>0</v>
      </c>
      <c r="AN698" s="3" t="n">
        <v>0</v>
      </c>
      <c r="AO698" s="3" t="n">
        <v>0</v>
      </c>
      <c r="AP698" s="3">
        <f>N(X698)*N(BI698)</f>
        <v/>
      </c>
      <c r="AQ698" s="3" t="n">
        <v>0</v>
      </c>
      <c r="AR698" s="3" t="n">
        <v>0</v>
      </c>
      <c r="AS698" s="3" t="n">
        <v>-0.3378660007281162</v>
      </c>
      <c r="AT698" s="3" t="n">
        <v>-0.2045226422080557</v>
      </c>
      <c r="AU698" s="3">
        <f>SUM(AN698:AT698)</f>
        <v/>
      </c>
      <c r="AV698" s="7">
        <f>IF(OR(N(W698)&lt;=0,N(BG698)=0),0,N(W698)*IF(N(R698)/N(W698)&gt;=60,N(BG698),1))</f>
        <v/>
      </c>
      <c r="AW698" s="7">
        <f>N(W698)*N(AF698)*N(BH698)</f>
        <v/>
      </c>
      <c r="AX698" s="7">
        <f>N(AL698)*(Assumptions!$B$13*N(BJ698)-(1-Assumptions!$B$13)*Assumptions!$B$14)+N(AM698)</f>
        <v/>
      </c>
      <c r="AY698" s="7">
        <f>N(AU698)*N(R698)/90+N(AV698)+N(AW698)+N(AX698)</f>
        <v/>
      </c>
      <c r="AZ698" s="3">
        <f>IF(N(R698)&lt;=0,0,(N(AY698)-N(AX698))*90/N(R698))</f>
        <v/>
      </c>
      <c r="BA698" s="7">
        <f>IFERROR(AY698-VLOOKUP($E698,Assumptions!$A$40:$C$43,3,FALSE),"")</f>
        <v/>
      </c>
      <c r="BB698" s="3">
        <f>IFERROR(BA698/H698,"")</f>
        <v/>
      </c>
      <c r="BC698">
        <f>IF(AND($G698=TRUE,$E698="GKP"),AY698,"")</f>
        <v/>
      </c>
      <c r="BD698">
        <f>IF(AND($G698=TRUE,$E698="DEF"),AY698,"")</f>
        <v/>
      </c>
      <c r="BE698">
        <f>IF(AND($G698=TRUE,$E698="MID"),AY698,"")</f>
        <v/>
      </c>
      <c r="BF698">
        <f>IF(AND($G698=TRUE,$E698="FWD"),AY698,"")</f>
        <v/>
      </c>
      <c r="BG698" t="n">
        <v>2</v>
      </c>
      <c r="BH698" t="n">
        <v>2</v>
      </c>
      <c r="BI698" t="n">
        <v>4</v>
      </c>
      <c r="BJ698" t="n">
        <v>6</v>
      </c>
    </row>
    <row r="699">
      <c r="A699" t="inlineStr">
        <is>
          <t>Ben Winterburn</t>
        </is>
      </c>
      <c r="C699" t="inlineStr">
        <is>
          <t>BOU</t>
        </is>
      </c>
      <c r="D699" t="b">
        <v>0</v>
      </c>
      <c r="F699" t="inlineStr">
        <is>
          <t>MID</t>
        </is>
      </c>
      <c r="G699" t="b">
        <v>0</v>
      </c>
      <c r="H699" s="2" t="n"/>
      <c r="K699" s="2" t="n">
        <v>6</v>
      </c>
      <c r="M699" s="3" t="n"/>
      <c r="N699" s="8" t="n">
        <v>6</v>
      </c>
      <c r="O699" s="8" t="n">
        <v>0</v>
      </c>
      <c r="R699" s="6" t="n">
        <v>6</v>
      </c>
      <c r="S699" t="inlineStr">
        <is>
          <t>25/26 actual</t>
        </is>
      </c>
      <c r="U699" s="6" t="n">
        <v>80.09999999999999</v>
      </c>
      <c r="V699" s="2" t="n">
        <v>0</v>
      </c>
      <c r="W699" s="7">
        <f>IF(N(U699)&lt;=0,0,MIN(Assumptions!$B$15,N(R699)/N(U699)))</f>
        <v/>
      </c>
      <c r="X699" s="6" t="n"/>
      <c r="Y699" s="3" t="n"/>
      <c r="Z699" t="inlineStr"/>
      <c r="AA699" s="3" t="n">
        <v>1</v>
      </c>
      <c r="AB699" s="3" t="n">
        <v>1</v>
      </c>
      <c r="AC699" s="3" t="n">
        <v>0</v>
      </c>
      <c r="AD699" s="3" t="n"/>
      <c r="AE699" s="3" t="n">
        <v>8.506</v>
      </c>
      <c r="AF699" s="3" t="n">
        <v>0</v>
      </c>
      <c r="AG699" s="3" t="n">
        <v>0</v>
      </c>
      <c r="AH699" s="3" t="n">
        <v>1</v>
      </c>
      <c r="AI699" s="3" t="n"/>
      <c r="AJ699" s="3" t="n"/>
      <c r="AK699" s="3" t="n"/>
      <c r="AL699" s="6" t="n">
        <v>0</v>
      </c>
      <c r="AM699" s="3" t="n">
        <v>0</v>
      </c>
      <c r="AN699" s="3" t="n">
        <v>0</v>
      </c>
      <c r="AO699" s="3" t="n">
        <v>0</v>
      </c>
      <c r="AP699" s="3">
        <f>N(X699)*N(BI699)</f>
        <v/>
      </c>
      <c r="AQ699" s="3" t="n">
        <v>0</v>
      </c>
      <c r="AR699" s="3" t="n">
        <v>0</v>
      </c>
      <c r="AS699" s="3" t="n">
        <v>0</v>
      </c>
      <c r="AT699" s="3" t="n">
        <v>0</v>
      </c>
      <c r="AU699" s="3">
        <f>SUM(AN699:AT699)</f>
        <v/>
      </c>
      <c r="AV699" s="7">
        <f>IF(OR(N(W699)&lt;=0,N(BG699)=0),0,N(W699)*IF(N(R699)/N(W699)&gt;=60,N(BG699),1))</f>
        <v/>
      </c>
      <c r="AW699" s="7">
        <f>N(W699)*N(AF699)*N(BH699)</f>
        <v/>
      </c>
      <c r="AX699" s="7">
        <f>N(AL699)*(Assumptions!$B$13*N(BJ699)-(1-Assumptions!$B$13)*Assumptions!$B$14)+N(AM699)</f>
        <v/>
      </c>
      <c r="AY699" s="7">
        <f>N(AU699)*N(R699)/90+N(AV699)+N(AW699)+N(AX699)</f>
        <v/>
      </c>
      <c r="AZ699" s="3">
        <f>IF(N(R699)&lt;=0,0,(N(AY699)-N(AX699))*90/N(R699))</f>
        <v/>
      </c>
      <c r="BA699" s="7">
        <f>IFERROR(AY699-VLOOKUP($E699,Assumptions!$A$40:$C$43,3,FALSE),"")</f>
        <v/>
      </c>
      <c r="BB699" s="3">
        <f>IFERROR(BA699/H699,"")</f>
        <v/>
      </c>
      <c r="BC699">
        <f>IF(AND($G699=TRUE,$E699="GKP"),AY699,"")</f>
        <v/>
      </c>
      <c r="BD699">
        <f>IF(AND($G699=TRUE,$E699="DEF"),AY699,"")</f>
        <v/>
      </c>
      <c r="BE699">
        <f>IF(AND($G699=TRUE,$E699="MID"),AY699,"")</f>
        <v/>
      </c>
      <c r="BF699">
        <f>IF(AND($G699=TRUE,$E699="FWD"),AY699,"")</f>
        <v/>
      </c>
      <c r="BG699" t="n">
        <v>0</v>
      </c>
      <c r="BH699" t="n">
        <v>0</v>
      </c>
      <c r="BI699" t="n">
        <v>0</v>
      </c>
      <c r="BJ699" t="n">
        <v>0</v>
      </c>
    </row>
    <row r="700">
      <c r="A700" t="inlineStr">
        <is>
          <t>Nobel Mendy</t>
        </is>
      </c>
      <c r="B700" t="inlineStr">
        <is>
          <t>HUL</t>
        </is>
      </c>
      <c r="D700" t="b">
        <v>0</v>
      </c>
      <c r="E700" t="inlineStr">
        <is>
          <t>DEF</t>
        </is>
      </c>
      <c r="G700" t="b">
        <v>1</v>
      </c>
      <c r="H700" s="2" t="n">
        <v>4</v>
      </c>
      <c r="I700" t="inlineStr">
        <is>
          <t>a</t>
        </is>
      </c>
      <c r="K700" s="2" t="n"/>
      <c r="M700" s="3" t="n">
        <v>0</v>
      </c>
      <c r="N700" s="8" t="n">
        <v>0</v>
      </c>
      <c r="O700" s="8" t="n">
        <v>0</v>
      </c>
      <c r="Q700" t="inlineStr">
        <is>
          <t>flat</t>
        </is>
      </c>
      <c r="R700" s="6" t="n">
        <v>0</v>
      </c>
      <c r="S700" t="inlineStr">
        <is>
          <t>Solio</t>
        </is>
      </c>
      <c r="U700" s="6" t="n">
        <v>85</v>
      </c>
      <c r="V700" s="2" t="n"/>
      <c r="W700" s="7">
        <f>IF(N(U700)&lt;=0,0,MIN(Assumptions!$B$15,N(R700)/N(U700)))</f>
        <v/>
      </c>
      <c r="X700" s="6" t="n">
        <v>0.143</v>
      </c>
      <c r="Y700" s="3" t="n"/>
      <c r="Z700" t="inlineStr"/>
      <c r="AA700" s="3" t="n">
        <v>1</v>
      </c>
      <c r="AB700" s="3" t="n"/>
      <c r="AC700" s="3" t="n"/>
      <c r="AD700" s="3" t="n"/>
      <c r="AE700" s="3" t="n"/>
      <c r="AF700" s="3" t="n">
        <v>0</v>
      </c>
      <c r="AG700" s="3" t="n"/>
      <c r="AH700" s="3" t="n"/>
      <c r="AI700" s="3" t="n">
        <v>3.9421</v>
      </c>
      <c r="AJ700" s="3" t="n">
        <v>1.99</v>
      </c>
      <c r="AK700" s="3" t="n">
        <v>-0.2045226422080557</v>
      </c>
      <c r="AL700" s="6" t="n">
        <v>0</v>
      </c>
      <c r="AM700" s="3" t="n">
        <v>0</v>
      </c>
      <c r="AN700" s="3" t="n">
        <v>0</v>
      </c>
      <c r="AO700" s="3" t="n">
        <v>0</v>
      </c>
      <c r="AP700" s="3">
        <f>N(X700)*N(BI700)</f>
        <v/>
      </c>
      <c r="AQ700" s="3" t="n">
        <v>0</v>
      </c>
      <c r="AR700" s="3" t="n">
        <v>0</v>
      </c>
      <c r="AS700" s="3" t="n">
        <v>-0.7496714098286652</v>
      </c>
      <c r="AT700" s="3" t="n">
        <v>-0.2045226422080557</v>
      </c>
      <c r="AU700" s="3">
        <f>SUM(AN700:AT700)</f>
        <v/>
      </c>
      <c r="AV700" s="7">
        <f>IF(OR(N(W700)&lt;=0,N(BG700)=0),0,N(W700)*IF(N(R700)/N(W700)&gt;=60,N(BG700),1))</f>
        <v/>
      </c>
      <c r="AW700" s="7">
        <f>N(W700)*N(AF700)*N(BH700)</f>
        <v/>
      </c>
      <c r="AX700" s="7">
        <f>N(AL700)*(Assumptions!$B$13*N(BJ700)-(1-Assumptions!$B$13)*Assumptions!$B$14)+N(AM700)</f>
        <v/>
      </c>
      <c r="AY700" s="7">
        <f>N(AU700)*N(R700)/90+N(AV700)+N(AW700)+N(AX700)</f>
        <v/>
      </c>
      <c r="AZ700" s="3">
        <f>IF(N(R700)&lt;=0,0,(N(AY700)-N(AX700))*90/N(R700))</f>
        <v/>
      </c>
      <c r="BA700" s="7">
        <f>IFERROR(AY700-VLOOKUP($E700,Assumptions!$A$40:$C$43,3,FALSE),"")</f>
        <v/>
      </c>
      <c r="BB700" s="3">
        <f>IFERROR(BA700/H700,"")</f>
        <v/>
      </c>
      <c r="BC700">
        <f>IF(AND($G700=TRUE,$E700="GKP"),AY700,"")</f>
        <v/>
      </c>
      <c r="BD700">
        <f>IF(AND($G700=TRUE,$E700="DEF"),AY700,"")</f>
        <v/>
      </c>
      <c r="BE700">
        <f>IF(AND($G700=TRUE,$E700="MID"),AY700,"")</f>
        <v/>
      </c>
      <c r="BF700">
        <f>IF(AND($G700=TRUE,$E700="FWD"),AY700,"")</f>
        <v/>
      </c>
      <c r="BG700" t="n">
        <v>2</v>
      </c>
      <c r="BH700" t="n">
        <v>2</v>
      </c>
      <c r="BI700" t="n">
        <v>4</v>
      </c>
      <c r="BJ700" t="n">
        <v>6</v>
      </c>
    </row>
    <row r="701">
      <c r="A701" t="inlineStr">
        <is>
          <t>Elliot Stroud</t>
        </is>
      </c>
      <c r="B701" t="inlineStr">
        <is>
          <t>HUL</t>
        </is>
      </c>
      <c r="D701" t="b">
        <v>0</v>
      </c>
      <c r="E701" t="inlineStr">
        <is>
          <t>MID</t>
        </is>
      </c>
      <c r="G701" t="b">
        <v>1</v>
      </c>
      <c r="H701" s="2" t="n">
        <v>5</v>
      </c>
      <c r="I701" t="inlineStr">
        <is>
          <t>a</t>
        </is>
      </c>
      <c r="K701" s="2" t="n"/>
      <c r="M701" s="3" t="n">
        <v>2554</v>
      </c>
      <c r="N701" s="8" t="n">
        <v>2554</v>
      </c>
      <c r="O701" s="8" t="n">
        <v>0</v>
      </c>
      <c r="Q701" t="inlineStr">
        <is>
          <t>flat</t>
        </is>
      </c>
      <c r="R701" s="6" t="n">
        <v>2554</v>
      </c>
      <c r="S701" t="inlineStr">
        <is>
          <t>Solio</t>
        </is>
      </c>
      <c r="U701" s="6" t="n">
        <v>85</v>
      </c>
      <c r="V701" s="2" t="n"/>
      <c r="W701" s="7">
        <f>IF(N(U701)&lt;=0,0,MIN(Assumptions!$B$15,N(R701)/N(U701)))</f>
        <v/>
      </c>
      <c r="X701" s="6" t="n">
        <v>0.143</v>
      </c>
      <c r="Y701" s="3" t="n"/>
      <c r="Z701" t="inlineStr"/>
      <c r="AA701" s="3" t="n">
        <v>1</v>
      </c>
      <c r="AB701" s="3" t="n"/>
      <c r="AC701" s="3" t="n"/>
      <c r="AD701" s="3" t="n"/>
      <c r="AE701" s="3" t="n"/>
      <c r="AF701" s="3" t="n">
        <v>0</v>
      </c>
      <c r="AG701" s="3" t="n"/>
      <c r="AH701" s="3" t="n"/>
      <c r="AI701" s="3" t="n">
        <v>3.9421</v>
      </c>
      <c r="AJ701" s="3" t="n">
        <v>1.99</v>
      </c>
      <c r="AK701" s="3" t="n">
        <v>-0.2160434166173144</v>
      </c>
      <c r="AL701" s="6" t="n">
        <v>0</v>
      </c>
      <c r="AM701" s="3" t="n">
        <v>0</v>
      </c>
      <c r="AN701" s="3" t="n">
        <v>0</v>
      </c>
      <c r="AO701" s="3" t="n">
        <v>0</v>
      </c>
      <c r="AP701" s="3">
        <f>N(X701)*N(BI701)</f>
        <v/>
      </c>
      <c r="AQ701" s="3" t="n">
        <v>0</v>
      </c>
      <c r="AR701" s="3" t="n">
        <v>0</v>
      </c>
      <c r="AS701" s="3" t="n">
        <v>-0</v>
      </c>
      <c r="AT701" s="3" t="n">
        <v>-0.2160434166173144</v>
      </c>
      <c r="AU701" s="3">
        <f>SUM(AN701:AT701)</f>
        <v/>
      </c>
      <c r="AV701" s="7">
        <f>IF(OR(N(W701)&lt;=0,N(BG701)=0),0,N(W701)*IF(N(R701)/N(W701)&gt;=60,N(BG701),1))</f>
        <v/>
      </c>
      <c r="AW701" s="7">
        <f>N(W701)*N(AF701)*N(BH701)</f>
        <v/>
      </c>
      <c r="AX701" s="7">
        <f>N(AL701)*(Assumptions!$B$13*N(BJ701)-(1-Assumptions!$B$13)*Assumptions!$B$14)+N(AM701)</f>
        <v/>
      </c>
      <c r="AY701" s="7">
        <f>N(AU701)*N(R701)/90+N(AV701)+N(AW701)+N(AX701)</f>
        <v/>
      </c>
      <c r="AZ701" s="3">
        <f>IF(N(R701)&lt;=0,0,(N(AY701)-N(AX701))*90/N(R701))</f>
        <v/>
      </c>
      <c r="BA701" s="7">
        <f>IFERROR(AY701-VLOOKUP($E701,Assumptions!$A$40:$C$43,3,FALSE),"")</f>
        <v/>
      </c>
      <c r="BB701" s="3">
        <f>IFERROR(BA701/H701,"")</f>
        <v/>
      </c>
      <c r="BC701">
        <f>IF(AND($G701=TRUE,$E701="GKP"),AY701,"")</f>
        <v/>
      </c>
      <c r="BD701">
        <f>IF(AND($G701=TRUE,$E701="DEF"),AY701,"")</f>
        <v/>
      </c>
      <c r="BE701">
        <f>IF(AND($G701=TRUE,$E701="MID"),AY701,"")</f>
        <v/>
      </c>
      <c r="BF701">
        <f>IF(AND($G701=TRUE,$E701="FWD"),AY701,"")</f>
        <v/>
      </c>
      <c r="BG701" t="n">
        <v>2</v>
      </c>
      <c r="BH701" t="n">
        <v>2</v>
      </c>
      <c r="BI701" t="n">
        <v>1</v>
      </c>
      <c r="BJ701" t="n">
        <v>5</v>
      </c>
    </row>
    <row r="702">
      <c r="A702" t="inlineStr">
        <is>
          <t>Bazoumana Touré</t>
        </is>
      </c>
      <c r="B702" t="inlineStr">
        <is>
          <t>NEW</t>
        </is>
      </c>
      <c r="D702" t="b">
        <v>0</v>
      </c>
      <c r="E702" t="inlineStr">
        <is>
          <t>MID</t>
        </is>
      </c>
      <c r="G702" t="b">
        <v>1</v>
      </c>
      <c r="H702" s="2" t="n">
        <v>6</v>
      </c>
      <c r="I702" t="inlineStr">
        <is>
          <t>a</t>
        </is>
      </c>
      <c r="K702" s="2" t="n"/>
      <c r="M702" s="3" t="n">
        <v>1197</v>
      </c>
      <c r="N702" s="4" t="n">
        <v>1400</v>
      </c>
      <c r="O702" s="4" t="n">
        <v>203</v>
      </c>
      <c r="P702" s="5" t="inlineStr">
        <is>
          <t>medium</t>
        </is>
      </c>
      <c r="Q702" t="inlineStr">
        <is>
          <t>flat</t>
        </is>
      </c>
      <c r="R702" s="6" t="n">
        <v>1400</v>
      </c>
      <c r="S702" t="inlineStr">
        <is>
          <t>research</t>
        </is>
      </c>
      <c r="T702" s="5" t="inlineStr">
        <is>
          <t>A GBP 42.8m signing from Hoffenheim on 5 Jul 2026, explicitly bought to help fill the hole left by Anthony Gordon's sale, who started on the left v Everton in Jaissle's second match. Raised only slightly: he is 20, has no Premier League record, and Harvey Barnes signed a new contract and started the other friendly on that flank.</t>
        </is>
      </c>
      <c r="U702" s="6" t="n">
        <v>85</v>
      </c>
      <c r="V702" s="2" t="n"/>
      <c r="W702" s="7">
        <f>IF(N(U702)&lt;=0,0,MIN(Assumptions!$B$15,N(R702)/N(U702)))</f>
        <v/>
      </c>
      <c r="X702" s="6" t="n">
        <v>0.248</v>
      </c>
      <c r="Y702" s="3" t="n"/>
      <c r="Z702" t="inlineStr"/>
      <c r="AA702" s="3" t="n">
        <v>1</v>
      </c>
      <c r="AB702" s="3" t="n"/>
      <c r="AC702" s="3" t="n"/>
      <c r="AD702" s="3" t="n"/>
      <c r="AE702" s="3" t="n"/>
      <c r="AF702" s="3" t="n">
        <v>0</v>
      </c>
      <c r="AG702" s="3" t="n"/>
      <c r="AH702" s="3" t="n"/>
      <c r="AI702" s="3" t="n">
        <v>3.0912</v>
      </c>
      <c r="AJ702" s="3" t="n">
        <v>1.4534</v>
      </c>
      <c r="AK702" s="3" t="n">
        <v>-0.2160434166173144</v>
      </c>
      <c r="AL702" s="6" t="n">
        <v>0</v>
      </c>
      <c r="AM702" s="3" t="n">
        <v>0</v>
      </c>
      <c r="AN702" s="3" t="n">
        <v>0</v>
      </c>
      <c r="AO702" s="3" t="n">
        <v>0</v>
      </c>
      <c r="AP702" s="3">
        <f>N(X702)*N(BI702)</f>
        <v/>
      </c>
      <c r="AQ702" s="3" t="n">
        <v>0</v>
      </c>
      <c r="AR702" s="3" t="n">
        <v>0</v>
      </c>
      <c r="AS702" s="3" t="n">
        <v>-0</v>
      </c>
      <c r="AT702" s="3" t="n">
        <v>-0.2160434166173144</v>
      </c>
      <c r="AU702" s="3">
        <f>SUM(AN702:AT702)</f>
        <v/>
      </c>
      <c r="AV702" s="7">
        <f>IF(OR(N(W702)&lt;=0,N(BG702)=0),0,N(W702)*IF(N(R702)/N(W702)&gt;=60,N(BG702),1))</f>
        <v/>
      </c>
      <c r="AW702" s="7">
        <f>N(W702)*N(AF702)*N(BH702)</f>
        <v/>
      </c>
      <c r="AX702" s="7">
        <f>N(AL702)*(Assumptions!$B$13*N(BJ702)-(1-Assumptions!$B$13)*Assumptions!$B$14)+N(AM702)</f>
        <v/>
      </c>
      <c r="AY702" s="7">
        <f>N(AU702)*N(R702)/90+N(AV702)+N(AW702)+N(AX702)</f>
        <v/>
      </c>
      <c r="AZ702" s="3">
        <f>IF(N(R702)&lt;=0,0,(N(AY702)-N(AX702))*90/N(R702))</f>
        <v/>
      </c>
      <c r="BA702" s="7">
        <f>IFERROR(AY702-VLOOKUP($E702,Assumptions!$A$40:$C$43,3,FALSE),"")</f>
        <v/>
      </c>
      <c r="BB702" s="3">
        <f>IFERROR(BA702/H702,"")</f>
        <v/>
      </c>
      <c r="BC702">
        <f>IF(AND($G702=TRUE,$E702="GKP"),AY702,"")</f>
        <v/>
      </c>
      <c r="BD702">
        <f>IF(AND($G702=TRUE,$E702="DEF"),AY702,"")</f>
        <v/>
      </c>
      <c r="BE702">
        <f>IF(AND($G702=TRUE,$E702="MID"),AY702,"")</f>
        <v/>
      </c>
      <c r="BF702">
        <f>IF(AND($G702=TRUE,$E702="FWD"),AY702,"")</f>
        <v/>
      </c>
      <c r="BG702" t="n">
        <v>2</v>
      </c>
      <c r="BH702" t="n">
        <v>2</v>
      </c>
      <c r="BI702" t="n">
        <v>1</v>
      </c>
      <c r="BJ702" t="n">
        <v>5</v>
      </c>
    </row>
    <row r="703">
      <c r="A703" t="inlineStr">
        <is>
          <t>El Hadji Malick Diouf</t>
        </is>
      </c>
      <c r="C703" t="inlineStr">
        <is>
          <t>WHU</t>
        </is>
      </c>
      <c r="D703" t="b">
        <v>0</v>
      </c>
      <c r="F703" t="inlineStr">
        <is>
          <t>DEF</t>
        </is>
      </c>
      <c r="G703" t="b">
        <v>0</v>
      </c>
      <c r="H703" s="2" t="n"/>
      <c r="K703" s="2" t="n">
        <v>2711</v>
      </c>
      <c r="M703" s="3" t="n"/>
      <c r="N703" s="8" t="n">
        <v>2711</v>
      </c>
      <c r="O703" s="8" t="n">
        <v>0</v>
      </c>
      <c r="R703" s="6" t="n">
        <v>2711</v>
      </c>
      <c r="S703" t="inlineStr">
        <is>
          <t>25/26 actual</t>
        </is>
      </c>
      <c r="U703" s="6" t="n">
        <v>87.40000000000001</v>
      </c>
      <c r="V703" s="2" t="n">
        <v>30</v>
      </c>
      <c r="W703" s="7">
        <f>IF(N(U703)&lt;=0,0,MIN(Assumptions!$B$15,N(R703)/N(U703)))</f>
        <v/>
      </c>
      <c r="X703" s="6" t="n"/>
      <c r="Y703" s="3" t="n">
        <v>0.0179</v>
      </c>
      <c r="Z703" t="inlineStr">
        <is>
          <t>adjusted xGOT</t>
        </is>
      </c>
      <c r="AA703" s="3" t="n">
        <v>1</v>
      </c>
      <c r="AB703" s="3" t="n">
        <v>0.945</v>
      </c>
      <c r="AC703" s="3" t="n">
        <v>0.6</v>
      </c>
      <c r="AD703" s="3" t="n">
        <v>0.108</v>
      </c>
      <c r="AE703" s="3" t="n">
        <v>7</v>
      </c>
      <c r="AF703" s="3" t="n">
        <v>0</v>
      </c>
      <c r="AG703" s="3" t="n">
        <v>0.09959999999999999</v>
      </c>
      <c r="AH703" s="3" t="n">
        <v>62</v>
      </c>
      <c r="AI703" s="3" t="n"/>
      <c r="AJ703" s="3" t="n"/>
      <c r="AK703" s="3" t="n"/>
      <c r="AL703" s="6" t="n">
        <v>0</v>
      </c>
      <c r="AM703" s="3" t="n">
        <v>0</v>
      </c>
      <c r="AN703" s="3" t="n">
        <v>0</v>
      </c>
      <c r="AO703" s="3" t="n">
        <v>0</v>
      </c>
      <c r="AP703" s="3">
        <f>N(X703)*N(BI703)</f>
        <v/>
      </c>
      <c r="AQ703" s="3" t="n">
        <v>0</v>
      </c>
      <c r="AR703" s="3" t="n">
        <v>0</v>
      </c>
      <c r="AS703" s="3" t="n">
        <v>0</v>
      </c>
      <c r="AT703" s="3" t="n">
        <v>0</v>
      </c>
      <c r="AU703" s="3">
        <f>SUM(AN703:AT703)</f>
        <v/>
      </c>
      <c r="AV703" s="7">
        <f>IF(OR(N(W703)&lt;=0,N(BG703)=0),0,N(W703)*IF(N(R703)/N(W703)&gt;=60,N(BG703),1))</f>
        <v/>
      </c>
      <c r="AW703" s="7">
        <f>N(W703)*N(AF703)*N(BH703)</f>
        <v/>
      </c>
      <c r="AX703" s="7">
        <f>N(AL703)*(Assumptions!$B$13*N(BJ703)-(1-Assumptions!$B$13)*Assumptions!$B$14)+N(AM703)</f>
        <v/>
      </c>
      <c r="AY703" s="7">
        <f>N(AU703)*N(R703)/90+N(AV703)+N(AW703)+N(AX703)</f>
        <v/>
      </c>
      <c r="AZ703" s="3">
        <f>IF(N(R703)&lt;=0,0,(N(AY703)-N(AX703))*90/N(R703))</f>
        <v/>
      </c>
      <c r="BA703" s="7">
        <f>IFERROR(AY703-VLOOKUP($E703,Assumptions!$A$40:$C$43,3,FALSE),"")</f>
        <v/>
      </c>
      <c r="BB703" s="3">
        <f>IFERROR(BA703/H703,"")</f>
        <v/>
      </c>
      <c r="BC703">
        <f>IF(AND($G703=TRUE,$E703="GKP"),AY703,"")</f>
        <v/>
      </c>
      <c r="BD703">
        <f>IF(AND($G703=TRUE,$E703="DEF"),AY703,"")</f>
        <v/>
      </c>
      <c r="BE703">
        <f>IF(AND($G703=TRUE,$E703="MID"),AY703,"")</f>
        <v/>
      </c>
      <c r="BF703">
        <f>IF(AND($G703=TRUE,$E703="FWD"),AY703,"")</f>
        <v/>
      </c>
      <c r="BG703" t="n">
        <v>0</v>
      </c>
      <c r="BH703" t="n">
        <v>0</v>
      </c>
      <c r="BI703" t="n">
        <v>0</v>
      </c>
      <c r="BJ703" t="n">
        <v>0</v>
      </c>
    </row>
    <row r="704">
      <c r="A704" t="inlineStr">
        <is>
          <t>Johan Manzambi</t>
        </is>
      </c>
      <c r="B704" t="inlineStr">
        <is>
          <t>AVL</t>
        </is>
      </c>
      <c r="D704" t="b">
        <v>0</v>
      </c>
      <c r="E704" t="inlineStr">
        <is>
          <t>MID</t>
        </is>
      </c>
      <c r="G704" t="b">
        <v>1</v>
      </c>
      <c r="H704" s="2" t="n">
        <v>6</v>
      </c>
      <c r="I704" t="inlineStr">
        <is>
          <t>a</t>
        </is>
      </c>
      <c r="K704" s="2" t="n"/>
      <c r="M704" s="3" t="n">
        <v>2069</v>
      </c>
      <c r="N704" s="4" t="n">
        <v>1750</v>
      </c>
      <c r="O704" s="4" t="n">
        <v>-319</v>
      </c>
      <c r="P704" s="5" t="inlineStr">
        <is>
          <t>medium</t>
        </is>
      </c>
      <c r="Q704" t="inlineStr">
        <is>
          <t>flat</t>
        </is>
      </c>
      <c r="R704" s="6" t="n">
        <v>1750</v>
      </c>
      <c r="S704" t="inlineStr">
        <is>
          <t>research</t>
        </is>
      </c>
      <c r="T704" s="5" t="inlineStr">
        <is>
          <t>Has a knee injury carried over from the World Cup, has not appeared in pre-season at all, and was still not ready for the 15 August friendly. A GBP 52m signing who will play a lot once fit, but he starts behind schedule, has no Premier League record and has to adapt to Emery's system from a standing start.</t>
        </is>
      </c>
      <c r="U704" s="6" t="n">
        <v>85</v>
      </c>
      <c r="V704" s="2" t="n"/>
      <c r="W704" s="7">
        <f>IF(N(U704)&lt;=0,0,MIN(Assumptions!$B$15,N(R704)/N(U704)))</f>
        <v/>
      </c>
      <c r="X704" s="6" t="n">
        <v>0.273</v>
      </c>
      <c r="Y704" s="3" t="n"/>
      <c r="Z704" t="inlineStr"/>
      <c r="AA704" s="3" t="n">
        <v>1</v>
      </c>
      <c r="AB704" s="3" t="n"/>
      <c r="AC704" s="3" t="n"/>
      <c r="AD704" s="3" t="n"/>
      <c r="AE704" s="3" t="n"/>
      <c r="AF704" s="3" t="n">
        <v>0</v>
      </c>
      <c r="AG704" s="3" t="n"/>
      <c r="AH704" s="3" t="n"/>
      <c r="AI704" s="3" t="n">
        <v>2.7451</v>
      </c>
      <c r="AJ704" s="3" t="n">
        <v>1.3575</v>
      </c>
      <c r="AK704" s="3" t="n">
        <v>-0.2160434166173144</v>
      </c>
      <c r="AL704" s="6" t="n">
        <v>0</v>
      </c>
      <c r="AM704" s="3" t="n">
        <v>0</v>
      </c>
      <c r="AN704" s="3" t="n">
        <v>0</v>
      </c>
      <c r="AO704" s="3" t="n">
        <v>0</v>
      </c>
      <c r="AP704" s="3">
        <f>N(X704)*N(BI704)</f>
        <v/>
      </c>
      <c r="AQ704" s="3" t="n">
        <v>0</v>
      </c>
      <c r="AR704" s="3" t="n">
        <v>0</v>
      </c>
      <c r="AS704" s="3" t="n">
        <v>-0</v>
      </c>
      <c r="AT704" s="3" t="n">
        <v>-0.2160434166173144</v>
      </c>
      <c r="AU704" s="3">
        <f>SUM(AN704:AT704)</f>
        <v/>
      </c>
      <c r="AV704" s="7">
        <f>IF(OR(N(W704)&lt;=0,N(BG704)=0),0,N(W704)*IF(N(R704)/N(W704)&gt;=60,N(BG704),1))</f>
        <v/>
      </c>
      <c r="AW704" s="7">
        <f>N(W704)*N(AF704)*N(BH704)</f>
        <v/>
      </c>
      <c r="AX704" s="7">
        <f>N(AL704)*(Assumptions!$B$13*N(BJ704)-(1-Assumptions!$B$13)*Assumptions!$B$14)+N(AM704)</f>
        <v/>
      </c>
      <c r="AY704" s="7">
        <f>N(AU704)*N(R704)/90+N(AV704)+N(AW704)+N(AX704)</f>
        <v/>
      </c>
      <c r="AZ704" s="3">
        <f>IF(N(R704)&lt;=0,0,(N(AY704)-N(AX704))*90/N(R704))</f>
        <v/>
      </c>
      <c r="BA704" s="7">
        <f>IFERROR(AY704-VLOOKUP($E704,Assumptions!$A$40:$C$43,3,FALSE),"")</f>
        <v/>
      </c>
      <c r="BB704" s="3">
        <f>IFERROR(BA704/H704,"")</f>
        <v/>
      </c>
      <c r="BC704">
        <f>IF(AND($G704=TRUE,$E704="GKP"),AY704,"")</f>
        <v/>
      </c>
      <c r="BD704">
        <f>IF(AND($G704=TRUE,$E704="DEF"),AY704,"")</f>
        <v/>
      </c>
      <c r="BE704">
        <f>IF(AND($G704=TRUE,$E704="MID"),AY704,"")</f>
        <v/>
      </c>
      <c r="BF704">
        <f>IF(AND($G704=TRUE,$E704="FWD"),AY704,"")</f>
        <v/>
      </c>
      <c r="BG704" t="n">
        <v>2</v>
      </c>
      <c r="BH704" t="n">
        <v>2</v>
      </c>
      <c r="BI704" t="n">
        <v>1</v>
      </c>
      <c r="BJ704" t="n">
        <v>5</v>
      </c>
    </row>
    <row r="705">
      <c r="A705" t="inlineStr">
        <is>
          <t>Jesse Derry</t>
        </is>
      </c>
      <c r="C705" t="inlineStr">
        <is>
          <t>CHE</t>
        </is>
      </c>
      <c r="D705" t="b">
        <v>0</v>
      </c>
      <c r="F705" t="inlineStr">
        <is>
          <t>MID</t>
        </is>
      </c>
      <c r="G705" t="b">
        <v>0</v>
      </c>
      <c r="H705" s="2" t="n"/>
      <c r="K705" s="2" t="n">
        <v>44</v>
      </c>
      <c r="M705" s="3" t="n"/>
      <c r="N705" s="8" t="n">
        <v>44</v>
      </c>
      <c r="O705" s="8" t="n">
        <v>0</v>
      </c>
      <c r="R705" s="6" t="n">
        <v>44</v>
      </c>
      <c r="S705" t="inlineStr">
        <is>
          <t>25/26 actual</t>
        </is>
      </c>
      <c r="U705" s="6" t="n">
        <v>76.90000000000001</v>
      </c>
      <c r="V705" s="2" t="n">
        <v>1</v>
      </c>
      <c r="W705" s="7">
        <f>IF(N(U705)&lt;=0,0,MIN(Assumptions!$B$15,N(R705)/N(U705)))</f>
        <v/>
      </c>
      <c r="X705" s="6" t="n"/>
      <c r="Y705" s="3" t="n">
        <v>0.2045</v>
      </c>
      <c r="Z705" t="inlineStr">
        <is>
          <t>adjusted xGOT</t>
        </is>
      </c>
      <c r="AA705" s="3" t="n">
        <v>1</v>
      </c>
      <c r="AB705" s="3" t="n">
        <v>1</v>
      </c>
      <c r="AC705" s="3" t="n">
        <v>0.1</v>
      </c>
      <c r="AD705" s="3" t="n">
        <v>0</v>
      </c>
      <c r="AE705" s="3" t="n">
        <v>8.425000000000001</v>
      </c>
      <c r="AF705" s="3" t="n">
        <v>0</v>
      </c>
      <c r="AG705" s="3" t="n">
        <v>0</v>
      </c>
      <c r="AH705" s="3" t="n">
        <v>1</v>
      </c>
      <c r="AI705" s="3" t="n"/>
      <c r="AJ705" s="3" t="n"/>
      <c r="AK705" s="3" t="n"/>
      <c r="AL705" s="6" t="n">
        <v>0</v>
      </c>
      <c r="AM705" s="3" t="n">
        <v>0</v>
      </c>
      <c r="AN705" s="3" t="n">
        <v>0</v>
      </c>
      <c r="AO705" s="3" t="n">
        <v>0</v>
      </c>
      <c r="AP705" s="3">
        <f>N(X705)*N(BI705)</f>
        <v/>
      </c>
      <c r="AQ705" s="3" t="n">
        <v>0</v>
      </c>
      <c r="AR705" s="3" t="n">
        <v>0</v>
      </c>
      <c r="AS705" s="3" t="n">
        <v>0</v>
      </c>
      <c r="AT705" s="3" t="n">
        <v>0</v>
      </c>
      <c r="AU705" s="3">
        <f>SUM(AN705:AT705)</f>
        <v/>
      </c>
      <c r="AV705" s="7">
        <f>IF(OR(N(W705)&lt;=0,N(BG705)=0),0,N(W705)*IF(N(R705)/N(W705)&gt;=60,N(BG705),1))</f>
        <v/>
      </c>
      <c r="AW705" s="7">
        <f>N(W705)*N(AF705)*N(BH705)</f>
        <v/>
      </c>
      <c r="AX705" s="7">
        <f>N(AL705)*(Assumptions!$B$13*N(BJ705)-(1-Assumptions!$B$13)*Assumptions!$B$14)+N(AM705)</f>
        <v/>
      </c>
      <c r="AY705" s="7">
        <f>N(AU705)*N(R705)/90+N(AV705)+N(AW705)+N(AX705)</f>
        <v/>
      </c>
      <c r="AZ705" s="3">
        <f>IF(N(R705)&lt;=0,0,(N(AY705)-N(AX705))*90/N(R705))</f>
        <v/>
      </c>
      <c r="BA705" s="7">
        <f>IFERROR(AY705-VLOOKUP($E705,Assumptions!$A$40:$C$43,3,FALSE),"")</f>
        <v/>
      </c>
      <c r="BB705" s="3">
        <f>IFERROR(BA705/H705,"")</f>
        <v/>
      </c>
      <c r="BC705">
        <f>IF(AND($G705=TRUE,$E705="GKP"),AY705,"")</f>
        <v/>
      </c>
      <c r="BD705">
        <f>IF(AND($G705=TRUE,$E705="DEF"),AY705,"")</f>
        <v/>
      </c>
      <c r="BE705">
        <f>IF(AND($G705=TRUE,$E705="MID"),AY705,"")</f>
        <v/>
      </c>
      <c r="BF705">
        <f>IF(AND($G705=TRUE,$E705="FWD"),AY705,"")</f>
        <v/>
      </c>
      <c r="BG705" t="n">
        <v>0</v>
      </c>
      <c r="BH705" t="n">
        <v>0</v>
      </c>
      <c r="BI705" t="n">
        <v>0</v>
      </c>
      <c r="BJ705" t="n">
        <v>0</v>
      </c>
    </row>
    <row r="706">
      <c r="A706" t="inlineStr">
        <is>
          <t>Marco Palestra</t>
        </is>
      </c>
      <c r="B706" t="inlineStr">
        <is>
          <t>CHE</t>
        </is>
      </c>
      <c r="D706" t="b">
        <v>0</v>
      </c>
      <c r="E706" t="inlineStr">
        <is>
          <t>DEF</t>
        </is>
      </c>
      <c r="G706" t="b">
        <v>1</v>
      </c>
      <c r="H706" s="2" t="n">
        <v>5.5</v>
      </c>
      <c r="I706" t="inlineStr">
        <is>
          <t>a</t>
        </is>
      </c>
      <c r="K706" s="2" t="n"/>
      <c r="M706" s="3" t="n">
        <v>2588</v>
      </c>
      <c r="N706" s="8" t="n">
        <v>2588</v>
      </c>
      <c r="O706" s="8" t="n">
        <v>0</v>
      </c>
      <c r="Q706" t="inlineStr">
        <is>
          <t>flat</t>
        </is>
      </c>
      <c r="R706" s="6" t="n">
        <v>2588</v>
      </c>
      <c r="S706" t="inlineStr">
        <is>
          <t>Solio</t>
        </is>
      </c>
      <c r="U706" s="6" t="n">
        <v>85</v>
      </c>
      <c r="V706" s="2" t="n"/>
      <c r="W706" s="7">
        <f>IF(N(U706)&lt;=0,0,MIN(Assumptions!$B$15,N(R706)/N(U706)))</f>
        <v/>
      </c>
      <c r="X706" s="6" t="n">
        <v>0.322</v>
      </c>
      <c r="Y706" s="3" t="n"/>
      <c r="Z706" t="inlineStr"/>
      <c r="AA706" s="3" t="n">
        <v>1</v>
      </c>
      <c r="AB706" s="3" t="n"/>
      <c r="AC706" s="3" t="n"/>
      <c r="AD706" s="3" t="n"/>
      <c r="AE706" s="3" t="n"/>
      <c r="AF706" s="3" t="n">
        <v>0</v>
      </c>
      <c r="AG706" s="3" t="n"/>
      <c r="AH706" s="3" t="n"/>
      <c r="AI706" s="3" t="n">
        <v>2.4232</v>
      </c>
      <c r="AJ706" s="3" t="n">
        <v>1.1851</v>
      </c>
      <c r="AK706" s="3" t="n">
        <v>-0.2045226422080557</v>
      </c>
      <c r="AL706" s="6" t="n">
        <v>0</v>
      </c>
      <c r="AM706" s="3" t="n">
        <v>0</v>
      </c>
      <c r="AN706" s="3" t="n">
        <v>0</v>
      </c>
      <c r="AO706" s="3" t="n">
        <v>0</v>
      </c>
      <c r="AP706" s="3">
        <f>N(X706)*N(BI706)</f>
        <v/>
      </c>
      <c r="AQ706" s="3" t="n">
        <v>0</v>
      </c>
      <c r="AR706" s="3" t="n">
        <v>0</v>
      </c>
      <c r="AS706" s="3" t="n">
        <v>-0.365915508000572</v>
      </c>
      <c r="AT706" s="3" t="n">
        <v>-0.2045226422080557</v>
      </c>
      <c r="AU706" s="3">
        <f>SUM(AN706:AT706)</f>
        <v/>
      </c>
      <c r="AV706" s="7">
        <f>IF(OR(N(W706)&lt;=0,N(BG706)=0),0,N(W706)*IF(N(R706)/N(W706)&gt;=60,N(BG706),1))</f>
        <v/>
      </c>
      <c r="AW706" s="7">
        <f>N(W706)*N(AF706)*N(BH706)</f>
        <v/>
      </c>
      <c r="AX706" s="7">
        <f>N(AL706)*(Assumptions!$B$13*N(BJ706)-(1-Assumptions!$B$13)*Assumptions!$B$14)+N(AM706)</f>
        <v/>
      </c>
      <c r="AY706" s="7">
        <f>N(AU706)*N(R706)/90+N(AV706)+N(AW706)+N(AX706)</f>
        <v/>
      </c>
      <c r="AZ706" s="3">
        <f>IF(N(R706)&lt;=0,0,(N(AY706)-N(AX706))*90/N(R706))</f>
        <v/>
      </c>
      <c r="BA706" s="7">
        <f>IFERROR(AY706-VLOOKUP($E706,Assumptions!$A$40:$C$43,3,FALSE),"")</f>
        <v/>
      </c>
      <c r="BB706" s="3">
        <f>IFERROR(BA706/H706,"")</f>
        <v/>
      </c>
      <c r="BC706">
        <f>IF(AND($G706=TRUE,$E706="GKP"),AY706,"")</f>
        <v/>
      </c>
      <c r="BD706">
        <f>IF(AND($G706=TRUE,$E706="DEF"),AY706,"")</f>
        <v/>
      </c>
      <c r="BE706">
        <f>IF(AND($G706=TRUE,$E706="MID"),AY706,"")</f>
        <v/>
      </c>
      <c r="BF706">
        <f>IF(AND($G706=TRUE,$E706="FWD"),AY706,"")</f>
        <v/>
      </c>
      <c r="BG706" t="n">
        <v>2</v>
      </c>
      <c r="BH706" t="n">
        <v>2</v>
      </c>
      <c r="BI706" t="n">
        <v>4</v>
      </c>
      <c r="BJ706" t="n">
        <v>6</v>
      </c>
    </row>
    <row r="707">
      <c r="A707" t="inlineStr">
        <is>
          <t>Kaine Andrews</t>
        </is>
      </c>
      <c r="B707" t="inlineStr">
        <is>
          <t>COV</t>
        </is>
      </c>
      <c r="D707" t="b">
        <v>0</v>
      </c>
      <c r="E707" t="inlineStr">
        <is>
          <t>MID</t>
        </is>
      </c>
      <c r="G707" t="b">
        <v>1</v>
      </c>
      <c r="H707" s="2" t="n">
        <v>4.5</v>
      </c>
      <c r="I707" t="inlineStr">
        <is>
          <t>a</t>
        </is>
      </c>
      <c r="K707" s="2" t="n"/>
      <c r="M707" s="3" t="n">
        <v>0</v>
      </c>
      <c r="N707" s="8" t="n">
        <v>0</v>
      </c>
      <c r="O707" s="8" t="n">
        <v>0</v>
      </c>
      <c r="Q707" t="inlineStr">
        <is>
          <t>flat</t>
        </is>
      </c>
      <c r="R707" s="6" t="n">
        <v>0</v>
      </c>
      <c r="S707" t="inlineStr">
        <is>
          <t>Solio</t>
        </is>
      </c>
      <c r="U707" s="6" t="n">
        <v>85</v>
      </c>
      <c r="V707" s="2" t="n"/>
      <c r="W707" s="7">
        <f>IF(N(U707)&lt;=0,0,MIN(Assumptions!$B$15,N(R707)/N(U707)))</f>
        <v/>
      </c>
      <c r="X707" s="6" t="n">
        <v>0.17</v>
      </c>
      <c r="Y707" s="3" t="n"/>
      <c r="Z707" t="inlineStr"/>
      <c r="AA707" s="3" t="n">
        <v>1</v>
      </c>
      <c r="AB707" s="3" t="n"/>
      <c r="AC707" s="3" t="n"/>
      <c r="AD707" s="3" t="n"/>
      <c r="AE707" s="3" t="n"/>
      <c r="AF707" s="3" t="n">
        <v>0</v>
      </c>
      <c r="AG707" s="3" t="n"/>
      <c r="AH707" s="3" t="n"/>
      <c r="AI707" s="3" t="n">
        <v>3.6194</v>
      </c>
      <c r="AJ707" s="3" t="n">
        <v>1.8271</v>
      </c>
      <c r="AK707" s="3" t="n">
        <v>-0.2160434166173144</v>
      </c>
      <c r="AL707" s="6" t="n">
        <v>0</v>
      </c>
      <c r="AM707" s="3" t="n">
        <v>0</v>
      </c>
      <c r="AN707" s="3" t="n">
        <v>0</v>
      </c>
      <c r="AO707" s="3" t="n">
        <v>0</v>
      </c>
      <c r="AP707" s="3">
        <f>N(X707)*N(BI707)</f>
        <v/>
      </c>
      <c r="AQ707" s="3" t="n">
        <v>0</v>
      </c>
      <c r="AR707" s="3" t="n">
        <v>0</v>
      </c>
      <c r="AS707" s="3" t="n">
        <v>-0</v>
      </c>
      <c r="AT707" s="3" t="n">
        <v>-0.2160434166173144</v>
      </c>
      <c r="AU707" s="3">
        <f>SUM(AN707:AT707)</f>
        <v/>
      </c>
      <c r="AV707" s="7">
        <f>IF(OR(N(W707)&lt;=0,N(BG707)=0),0,N(W707)*IF(N(R707)/N(W707)&gt;=60,N(BG707),1))</f>
        <v/>
      </c>
      <c r="AW707" s="7">
        <f>N(W707)*N(AF707)*N(BH707)</f>
        <v/>
      </c>
      <c r="AX707" s="7">
        <f>N(AL707)*(Assumptions!$B$13*N(BJ707)-(1-Assumptions!$B$13)*Assumptions!$B$14)+N(AM707)</f>
        <v/>
      </c>
      <c r="AY707" s="7">
        <f>N(AU707)*N(R707)/90+N(AV707)+N(AW707)+N(AX707)</f>
        <v/>
      </c>
      <c r="AZ707" s="3">
        <f>IF(N(R707)&lt;=0,0,(N(AY707)-N(AX707))*90/N(R707))</f>
        <v/>
      </c>
      <c r="BA707" s="7">
        <f>IFERROR(AY707-VLOOKUP($E707,Assumptions!$A$40:$C$43,3,FALSE),"")</f>
        <v/>
      </c>
      <c r="BB707" s="3">
        <f>IFERROR(BA707/H707,"")</f>
        <v/>
      </c>
      <c r="BC707">
        <f>IF(AND($G707=TRUE,$E707="GKP"),AY707,"")</f>
        <v/>
      </c>
      <c r="BD707">
        <f>IF(AND($G707=TRUE,$E707="DEF"),AY707,"")</f>
        <v/>
      </c>
      <c r="BE707">
        <f>IF(AND($G707=TRUE,$E707="MID"),AY707,"")</f>
        <v/>
      </c>
      <c r="BF707">
        <f>IF(AND($G707=TRUE,$E707="FWD"),AY707,"")</f>
        <v/>
      </c>
      <c r="BG707" t="n">
        <v>2</v>
      </c>
      <c r="BH707" t="n">
        <v>2</v>
      </c>
      <c r="BI707" t="n">
        <v>1</v>
      </c>
      <c r="BJ707" t="n">
        <v>5</v>
      </c>
    </row>
    <row r="708">
      <c r="A708" t="inlineStr">
        <is>
          <t>Mohamadou Kanté</t>
        </is>
      </c>
      <c r="C708" t="inlineStr">
        <is>
          <t>WHU</t>
        </is>
      </c>
      <c r="D708" t="b">
        <v>0</v>
      </c>
      <c r="F708" t="inlineStr">
        <is>
          <t>MID</t>
        </is>
      </c>
      <c r="G708" t="b">
        <v>0</v>
      </c>
      <c r="H708" s="2" t="n"/>
      <c r="K708" s="2" t="n">
        <v>67</v>
      </c>
      <c r="M708" s="3" t="n"/>
      <c r="N708" s="8" t="n">
        <v>67</v>
      </c>
      <c r="O708" s="8" t="n">
        <v>0</v>
      </c>
      <c r="R708" s="6" t="n">
        <v>67</v>
      </c>
      <c r="S708" t="inlineStr">
        <is>
          <t>25/26 actual</t>
        </is>
      </c>
      <c r="U708" s="6" t="n">
        <v>80.09999999999999</v>
      </c>
      <c r="V708" s="2" t="n">
        <v>0</v>
      </c>
      <c r="W708" s="7">
        <f>IF(N(U708)&lt;=0,0,MIN(Assumptions!$B$15,N(R708)/N(U708)))</f>
        <v/>
      </c>
      <c r="X708" s="6" t="n"/>
      <c r="Y708" s="3" t="n">
        <v>0.0927</v>
      </c>
      <c r="Z708" t="inlineStr">
        <is>
          <t>adjusted xGOT</t>
        </is>
      </c>
      <c r="AA708" s="3" t="n">
        <v>1</v>
      </c>
      <c r="AB708" s="3" t="n">
        <v>0.991</v>
      </c>
      <c r="AC708" s="3" t="n">
        <v>0.1</v>
      </c>
      <c r="AD708" s="3" t="n">
        <v>0.1476</v>
      </c>
      <c r="AE708" s="3" t="n">
        <v>9.677</v>
      </c>
      <c r="AF708" s="3" t="n">
        <v>0</v>
      </c>
      <c r="AG708" s="3" t="n">
        <v>0</v>
      </c>
      <c r="AH708" s="3" t="n">
        <v>11</v>
      </c>
      <c r="AI708" s="3" t="n"/>
      <c r="AJ708" s="3" t="n"/>
      <c r="AK708" s="3" t="n"/>
      <c r="AL708" s="6" t="n">
        <v>0</v>
      </c>
      <c r="AM708" s="3" t="n">
        <v>0</v>
      </c>
      <c r="AN708" s="3" t="n">
        <v>0</v>
      </c>
      <c r="AO708" s="3" t="n">
        <v>0</v>
      </c>
      <c r="AP708" s="3">
        <f>N(X708)*N(BI708)</f>
        <v/>
      </c>
      <c r="AQ708" s="3" t="n">
        <v>0</v>
      </c>
      <c r="AR708" s="3" t="n">
        <v>0</v>
      </c>
      <c r="AS708" s="3" t="n">
        <v>0</v>
      </c>
      <c r="AT708" s="3" t="n">
        <v>0</v>
      </c>
      <c r="AU708" s="3">
        <f>SUM(AN708:AT708)</f>
        <v/>
      </c>
      <c r="AV708" s="7">
        <f>IF(OR(N(W708)&lt;=0,N(BG708)=0),0,N(W708)*IF(N(R708)/N(W708)&gt;=60,N(BG708),1))</f>
        <v/>
      </c>
      <c r="AW708" s="7">
        <f>N(W708)*N(AF708)*N(BH708)</f>
        <v/>
      </c>
      <c r="AX708" s="7">
        <f>N(AL708)*(Assumptions!$B$13*N(BJ708)-(1-Assumptions!$B$13)*Assumptions!$B$14)+N(AM708)</f>
        <v/>
      </c>
      <c r="AY708" s="7">
        <f>N(AU708)*N(R708)/90+N(AV708)+N(AW708)+N(AX708)</f>
        <v/>
      </c>
      <c r="AZ708" s="3">
        <f>IF(N(R708)&lt;=0,0,(N(AY708)-N(AX708))*90/N(R708))</f>
        <v/>
      </c>
      <c r="BA708" s="7">
        <f>IFERROR(AY708-VLOOKUP($E708,Assumptions!$A$40:$C$43,3,FALSE),"")</f>
        <v/>
      </c>
      <c r="BB708" s="3">
        <f>IFERROR(BA708/H708,"")</f>
        <v/>
      </c>
      <c r="BC708">
        <f>IF(AND($G708=TRUE,$E708="GKP"),AY708,"")</f>
        <v/>
      </c>
      <c r="BD708">
        <f>IF(AND($G708=TRUE,$E708="DEF"),AY708,"")</f>
        <v/>
      </c>
      <c r="BE708">
        <f>IF(AND($G708=TRUE,$E708="MID"),AY708,"")</f>
        <v/>
      </c>
      <c r="BF708">
        <f>IF(AND($G708=TRUE,$E708="FWD"),AY708,"")</f>
        <v/>
      </c>
      <c r="BG708" t="n">
        <v>0</v>
      </c>
      <c r="BH708" t="n">
        <v>0</v>
      </c>
      <c r="BI708" t="n">
        <v>0</v>
      </c>
      <c r="BJ708" t="n">
        <v>0</v>
      </c>
    </row>
    <row r="709">
      <c r="A709" t="inlineStr">
        <is>
          <t>Aladji Bamba</t>
        </is>
      </c>
      <c r="B709" t="inlineStr">
        <is>
          <t>NEW</t>
        </is>
      </c>
      <c r="D709" t="b">
        <v>0</v>
      </c>
      <c r="E709" t="inlineStr">
        <is>
          <t>MID</t>
        </is>
      </c>
      <c r="G709" t="b">
        <v>1</v>
      </c>
      <c r="H709" s="2" t="n">
        <v>5</v>
      </c>
      <c r="I709" t="inlineStr">
        <is>
          <t>a</t>
        </is>
      </c>
      <c r="K709" s="2" t="n"/>
      <c r="M709" s="3" t="n">
        <v>2018</v>
      </c>
      <c r="N709" s="8" t="n">
        <v>2018</v>
      </c>
      <c r="O709" s="8" t="n">
        <v>0</v>
      </c>
      <c r="Q709" t="inlineStr">
        <is>
          <t>flat</t>
        </is>
      </c>
      <c r="R709" s="6" t="n">
        <v>2018</v>
      </c>
      <c r="S709" t="inlineStr">
        <is>
          <t>Solio</t>
        </is>
      </c>
      <c r="U709" s="6" t="n">
        <v>85</v>
      </c>
      <c r="V709" s="2" t="n"/>
      <c r="W709" s="7">
        <f>IF(N(U709)&lt;=0,0,MIN(Assumptions!$B$15,N(R709)/N(U709)))</f>
        <v/>
      </c>
      <c r="X709" s="6" t="n">
        <v>0.248</v>
      </c>
      <c r="Y709" s="3" t="n"/>
      <c r="Z709" t="inlineStr"/>
      <c r="AA709" s="3" t="n">
        <v>1</v>
      </c>
      <c r="AB709" s="3" t="n"/>
      <c r="AC709" s="3" t="n"/>
      <c r="AD709" s="3" t="n"/>
      <c r="AE709" s="3" t="n"/>
      <c r="AF709" s="3" t="n">
        <v>0</v>
      </c>
      <c r="AG709" s="3" t="n"/>
      <c r="AH709" s="3" t="n"/>
      <c r="AI709" s="3" t="n">
        <v>3.0912</v>
      </c>
      <c r="AJ709" s="3" t="n">
        <v>1.4534</v>
      </c>
      <c r="AK709" s="3" t="n">
        <v>-0.2160434166173144</v>
      </c>
      <c r="AL709" s="6" t="n">
        <v>0</v>
      </c>
      <c r="AM709" s="3" t="n">
        <v>0</v>
      </c>
      <c r="AN709" s="3" t="n">
        <v>0</v>
      </c>
      <c r="AO709" s="3" t="n">
        <v>0</v>
      </c>
      <c r="AP709" s="3">
        <f>N(X709)*N(BI709)</f>
        <v/>
      </c>
      <c r="AQ709" s="3" t="n">
        <v>0</v>
      </c>
      <c r="AR709" s="3" t="n">
        <v>0</v>
      </c>
      <c r="AS709" s="3" t="n">
        <v>-0</v>
      </c>
      <c r="AT709" s="3" t="n">
        <v>-0.2160434166173144</v>
      </c>
      <c r="AU709" s="3">
        <f>SUM(AN709:AT709)</f>
        <v/>
      </c>
      <c r="AV709" s="7">
        <f>IF(OR(N(W709)&lt;=0,N(BG709)=0),0,N(W709)*IF(N(R709)/N(W709)&gt;=60,N(BG709),1))</f>
        <v/>
      </c>
      <c r="AW709" s="7">
        <f>N(W709)*N(AF709)*N(BH709)</f>
        <v/>
      </c>
      <c r="AX709" s="7">
        <f>N(AL709)*(Assumptions!$B$13*N(BJ709)-(1-Assumptions!$B$13)*Assumptions!$B$14)+N(AM709)</f>
        <v/>
      </c>
      <c r="AY709" s="7">
        <f>N(AU709)*N(R709)/90+N(AV709)+N(AW709)+N(AX709)</f>
        <v/>
      </c>
      <c r="AZ709" s="3">
        <f>IF(N(R709)&lt;=0,0,(N(AY709)-N(AX709))*90/N(R709))</f>
        <v/>
      </c>
      <c r="BA709" s="7">
        <f>IFERROR(AY709-VLOOKUP($E709,Assumptions!$A$40:$C$43,3,FALSE),"")</f>
        <v/>
      </c>
      <c r="BB709" s="3">
        <f>IFERROR(BA709/H709,"")</f>
        <v/>
      </c>
      <c r="BC709">
        <f>IF(AND($G709=TRUE,$E709="GKP"),AY709,"")</f>
        <v/>
      </c>
      <c r="BD709">
        <f>IF(AND($G709=TRUE,$E709="DEF"),AY709,"")</f>
        <v/>
      </c>
      <c r="BE709">
        <f>IF(AND($G709=TRUE,$E709="MID"),AY709,"")</f>
        <v/>
      </c>
      <c r="BF709">
        <f>IF(AND($G709=TRUE,$E709="FWD"),AY709,"")</f>
        <v/>
      </c>
      <c r="BG709" t="n">
        <v>2</v>
      </c>
      <c r="BH709" t="n">
        <v>2</v>
      </c>
      <c r="BI709" t="n">
        <v>1</v>
      </c>
      <c r="BJ709" t="n">
        <v>5</v>
      </c>
    </row>
    <row r="710">
      <c r="A710" t="inlineStr">
        <is>
          <t>Sean Steur</t>
        </is>
      </c>
      <c r="B710" t="inlineStr">
        <is>
          <t>NEW</t>
        </is>
      </c>
      <c r="D710" t="b">
        <v>0</v>
      </c>
      <c r="E710" t="inlineStr">
        <is>
          <t>MID</t>
        </is>
      </c>
      <c r="G710" t="b">
        <v>1</v>
      </c>
      <c r="H710" s="2" t="n">
        <v>5</v>
      </c>
      <c r="I710" t="inlineStr">
        <is>
          <t>a</t>
        </is>
      </c>
      <c r="K710" s="2" t="n"/>
      <c r="M710" s="3" t="n">
        <v>1379</v>
      </c>
      <c r="N710" s="4" t="n">
        <v>1080</v>
      </c>
      <c r="O710" s="4" t="n">
        <v>-299</v>
      </c>
      <c r="P710" s="5" t="inlineStr">
        <is>
          <t>medium</t>
        </is>
      </c>
      <c r="Q710" t="inlineStr">
        <is>
          <t>flat</t>
        </is>
      </c>
      <c r="R710" s="6" t="n">
        <v>1080</v>
      </c>
      <c r="S710" t="inlineStr">
        <is>
          <t>research</t>
        </is>
      </c>
      <c r="T710" s="5" t="inlineStr">
        <is>
          <t>Steur is 18, arrived from Ajax on 9 Jul 2026 with no Premier League record, and Newcastle are actively pursuing an experienced central midfielder (Hojbjerg reported furthest advanced at around GBP 13m, with Palhinha also targeted) precisely to shield him and Bamba. The Mag judged him likely too young for the Liverpool opener. Offset by the fact he did start v Leverkusen, so the cut is modest.</t>
        </is>
      </c>
      <c r="U710" s="6" t="n">
        <v>85</v>
      </c>
      <c r="V710" s="2" t="n"/>
      <c r="W710" s="7">
        <f>IF(N(U710)&lt;=0,0,MIN(Assumptions!$B$15,N(R710)/N(U710)))</f>
        <v/>
      </c>
      <c r="X710" s="6" t="n">
        <v>0.248</v>
      </c>
      <c r="Y710" s="3" t="n"/>
      <c r="Z710" t="inlineStr"/>
      <c r="AA710" s="3" t="n">
        <v>1</v>
      </c>
      <c r="AB710" s="3" t="n"/>
      <c r="AC710" s="3" t="n"/>
      <c r="AD710" s="3" t="n"/>
      <c r="AE710" s="3" t="n"/>
      <c r="AF710" s="3" t="n">
        <v>0</v>
      </c>
      <c r="AG710" s="3" t="n"/>
      <c r="AH710" s="3" t="n"/>
      <c r="AI710" s="3" t="n">
        <v>3.0912</v>
      </c>
      <c r="AJ710" s="3" t="n">
        <v>1.4534</v>
      </c>
      <c r="AK710" s="3" t="n">
        <v>-0.2160434166173144</v>
      </c>
      <c r="AL710" s="6" t="n">
        <v>0</v>
      </c>
      <c r="AM710" s="3" t="n">
        <v>0</v>
      </c>
      <c r="AN710" s="3" t="n">
        <v>0</v>
      </c>
      <c r="AO710" s="3" t="n">
        <v>0</v>
      </c>
      <c r="AP710" s="3">
        <f>N(X710)*N(BI710)</f>
        <v/>
      </c>
      <c r="AQ710" s="3" t="n">
        <v>0</v>
      </c>
      <c r="AR710" s="3" t="n">
        <v>0</v>
      </c>
      <c r="AS710" s="3" t="n">
        <v>-0</v>
      </c>
      <c r="AT710" s="3" t="n">
        <v>-0.2160434166173144</v>
      </c>
      <c r="AU710" s="3">
        <f>SUM(AN710:AT710)</f>
        <v/>
      </c>
      <c r="AV710" s="7">
        <f>IF(OR(N(W710)&lt;=0,N(BG710)=0),0,N(W710)*IF(N(R710)/N(W710)&gt;=60,N(BG710),1))</f>
        <v/>
      </c>
      <c r="AW710" s="7">
        <f>N(W710)*N(AF710)*N(BH710)</f>
        <v/>
      </c>
      <c r="AX710" s="7">
        <f>N(AL710)*(Assumptions!$B$13*N(BJ710)-(1-Assumptions!$B$13)*Assumptions!$B$14)+N(AM710)</f>
        <v/>
      </c>
      <c r="AY710" s="7">
        <f>N(AU710)*N(R710)/90+N(AV710)+N(AW710)+N(AX710)</f>
        <v/>
      </c>
      <c r="AZ710" s="3">
        <f>IF(N(R710)&lt;=0,0,(N(AY710)-N(AX710))*90/N(R710))</f>
        <v/>
      </c>
      <c r="BA710" s="7">
        <f>IFERROR(AY710-VLOOKUP($E710,Assumptions!$A$40:$C$43,3,FALSE),"")</f>
        <v/>
      </c>
      <c r="BB710" s="3">
        <f>IFERROR(BA710/H710,"")</f>
        <v/>
      </c>
      <c r="BC710">
        <f>IF(AND($G710=TRUE,$E710="GKP"),AY710,"")</f>
        <v/>
      </c>
      <c r="BD710">
        <f>IF(AND($G710=TRUE,$E710="DEF"),AY710,"")</f>
        <v/>
      </c>
      <c r="BE710">
        <f>IF(AND($G710=TRUE,$E710="MID"),AY710,"")</f>
        <v/>
      </c>
      <c r="BF710">
        <f>IF(AND($G710=TRUE,$E710="FWD"),AY710,"")</f>
        <v/>
      </c>
      <c r="BG710" t="n">
        <v>2</v>
      </c>
      <c r="BH710" t="n">
        <v>2</v>
      </c>
      <c r="BI710" t="n">
        <v>1</v>
      </c>
      <c r="BJ710" t="n">
        <v>5</v>
      </c>
    </row>
    <row r="711">
      <c r="A711" t="inlineStr">
        <is>
          <t>Pedro Lima</t>
        </is>
      </c>
      <c r="C711" t="inlineStr">
        <is>
          <t>WOL</t>
        </is>
      </c>
      <c r="D711" t="b">
        <v>0</v>
      </c>
      <c r="F711" t="inlineStr">
        <is>
          <t>DEF</t>
        </is>
      </c>
      <c r="G711" t="b">
        <v>0</v>
      </c>
      <c r="H711" s="2" t="n"/>
      <c r="K711" s="2" t="n">
        <v>259</v>
      </c>
      <c r="M711" s="3" t="n"/>
      <c r="N711" s="8" t="n">
        <v>259</v>
      </c>
      <c r="O711" s="8" t="n">
        <v>0</v>
      </c>
      <c r="R711" s="6" t="n">
        <v>259</v>
      </c>
      <c r="S711" t="inlineStr">
        <is>
          <t>25/26 actual</t>
        </is>
      </c>
      <c r="U711" s="6" t="n">
        <v>80.8</v>
      </c>
      <c r="V711" s="2" t="n">
        <v>3</v>
      </c>
      <c r="W711" s="7">
        <f>IF(N(U711)&lt;=0,0,MIN(Assumptions!$B$15,N(R711)/N(U711)))</f>
        <v/>
      </c>
      <c r="X711" s="6" t="n"/>
      <c r="Y711" s="3" t="n">
        <v>0.1216</v>
      </c>
      <c r="Z711" t="inlineStr">
        <is>
          <t>adjusted xGOT</t>
        </is>
      </c>
      <c r="AA711" s="3" t="n">
        <v>1</v>
      </c>
      <c r="AB711" s="3" t="n">
        <v>0.999</v>
      </c>
      <c r="AC711" s="3" t="n">
        <v>0.4</v>
      </c>
      <c r="AD711" s="3" t="n">
        <v>0.07530000000000001</v>
      </c>
      <c r="AE711" s="3" t="n">
        <v>7.414</v>
      </c>
      <c r="AF711" s="3" t="n">
        <v>0</v>
      </c>
      <c r="AG711" s="3" t="n">
        <v>0</v>
      </c>
      <c r="AH711" s="3" t="n">
        <v>11</v>
      </c>
      <c r="AI711" s="3" t="n"/>
      <c r="AJ711" s="3" t="n"/>
      <c r="AK711" s="3" t="n"/>
      <c r="AL711" s="6" t="n">
        <v>0</v>
      </c>
      <c r="AM711" s="3" t="n">
        <v>0</v>
      </c>
      <c r="AN711" s="3" t="n">
        <v>0</v>
      </c>
      <c r="AO711" s="3" t="n">
        <v>0</v>
      </c>
      <c r="AP711" s="3">
        <f>N(X711)*N(BI711)</f>
        <v/>
      </c>
      <c r="AQ711" s="3" t="n">
        <v>0</v>
      </c>
      <c r="AR711" s="3" t="n">
        <v>0</v>
      </c>
      <c r="AS711" s="3" t="n">
        <v>0</v>
      </c>
      <c r="AT711" s="3" t="n">
        <v>0</v>
      </c>
      <c r="AU711" s="3">
        <f>SUM(AN711:AT711)</f>
        <v/>
      </c>
      <c r="AV711" s="7">
        <f>IF(OR(N(W711)&lt;=0,N(BG711)=0),0,N(W711)*IF(N(R711)/N(W711)&gt;=60,N(BG711),1))</f>
        <v/>
      </c>
      <c r="AW711" s="7">
        <f>N(W711)*N(AF711)*N(BH711)</f>
        <v/>
      </c>
      <c r="AX711" s="7">
        <f>N(AL711)*(Assumptions!$B$13*N(BJ711)-(1-Assumptions!$B$13)*Assumptions!$B$14)+N(AM711)</f>
        <v/>
      </c>
      <c r="AY711" s="7">
        <f>N(AU711)*N(R711)/90+N(AV711)+N(AW711)+N(AX711)</f>
        <v/>
      </c>
      <c r="AZ711" s="3">
        <f>IF(N(R711)&lt;=0,0,(N(AY711)-N(AX711))*90/N(R711))</f>
        <v/>
      </c>
      <c r="BA711" s="7">
        <f>IFERROR(AY711-VLOOKUP($E711,Assumptions!$A$40:$C$43,3,FALSE),"")</f>
        <v/>
      </c>
      <c r="BB711" s="3">
        <f>IFERROR(BA711/H711,"")</f>
        <v/>
      </c>
      <c r="BC711">
        <f>IF(AND($G711=TRUE,$E711="GKP"),AY711,"")</f>
        <v/>
      </c>
      <c r="BD711">
        <f>IF(AND($G711=TRUE,$E711="DEF"),AY711,"")</f>
        <v/>
      </c>
      <c r="BE711">
        <f>IF(AND($G711=TRUE,$E711="MID"),AY711,"")</f>
        <v/>
      </c>
      <c r="BF711">
        <f>IF(AND($G711=TRUE,$E711="FWD"),AY711,"")</f>
        <v/>
      </c>
      <c r="BG711" t="n">
        <v>0</v>
      </c>
      <c r="BH711" t="n">
        <v>0</v>
      </c>
      <c r="BI711" t="n">
        <v>0</v>
      </c>
      <c r="BJ711" t="n">
        <v>0</v>
      </c>
    </row>
    <row r="712">
      <c r="A712" t="inlineStr">
        <is>
          <t>Fer López</t>
        </is>
      </c>
      <c r="C712" t="inlineStr">
        <is>
          <t>WOL</t>
        </is>
      </c>
      <c r="D712" t="b">
        <v>0</v>
      </c>
      <c r="F712" t="inlineStr">
        <is>
          <t>MID</t>
        </is>
      </c>
      <c r="G712" t="b">
        <v>0</v>
      </c>
      <c r="H712" s="2" t="n"/>
      <c r="K712" s="2" t="n">
        <v>229</v>
      </c>
      <c r="M712" s="3" t="n"/>
      <c r="N712" s="8" t="n">
        <v>229</v>
      </c>
      <c r="O712" s="8" t="n">
        <v>0</v>
      </c>
      <c r="R712" s="6" t="n">
        <v>229</v>
      </c>
      <c r="S712" t="inlineStr">
        <is>
          <t>25/26 actual</t>
        </is>
      </c>
      <c r="U712" s="6" t="n">
        <v>75.8</v>
      </c>
      <c r="V712" s="2" t="n">
        <v>2</v>
      </c>
      <c r="W712" s="7">
        <f>IF(N(U712)&lt;=0,0,MIN(Assumptions!$B$15,N(R712)/N(U712)))</f>
        <v/>
      </c>
      <c r="X712" s="6" t="n"/>
      <c r="Y712" s="3" t="n">
        <v>0.0633</v>
      </c>
      <c r="Z712" t="inlineStr">
        <is>
          <t>adjusted xGOT</t>
        </is>
      </c>
      <c r="AA712" s="3" t="n">
        <v>1</v>
      </c>
      <c r="AB712" s="3" t="n">
        <v>1.005</v>
      </c>
      <c r="AC712" s="3" t="n">
        <v>0.2</v>
      </c>
      <c r="AD712" s="3" t="n">
        <v>0.2012</v>
      </c>
      <c r="AE712" s="3" t="n">
        <v>7.653</v>
      </c>
      <c r="AF712" s="3" t="n">
        <v>0</v>
      </c>
      <c r="AG712" s="3" t="n">
        <v>0</v>
      </c>
      <c r="AH712" s="3" t="n">
        <v>10</v>
      </c>
      <c r="AI712" s="3" t="n"/>
      <c r="AJ712" s="3" t="n"/>
      <c r="AK712" s="3" t="n"/>
      <c r="AL712" s="6" t="n">
        <v>0</v>
      </c>
      <c r="AM712" s="3" t="n">
        <v>0</v>
      </c>
      <c r="AN712" s="3" t="n">
        <v>0</v>
      </c>
      <c r="AO712" s="3" t="n">
        <v>0</v>
      </c>
      <c r="AP712" s="3">
        <f>N(X712)*N(BI712)</f>
        <v/>
      </c>
      <c r="AQ712" s="3" t="n">
        <v>0</v>
      </c>
      <c r="AR712" s="3" t="n">
        <v>0</v>
      </c>
      <c r="AS712" s="3" t="n">
        <v>0</v>
      </c>
      <c r="AT712" s="3" t="n">
        <v>0</v>
      </c>
      <c r="AU712" s="3">
        <f>SUM(AN712:AT712)</f>
        <v/>
      </c>
      <c r="AV712" s="7">
        <f>IF(OR(N(W712)&lt;=0,N(BG712)=0),0,N(W712)*IF(N(R712)/N(W712)&gt;=60,N(BG712),1))</f>
        <v/>
      </c>
      <c r="AW712" s="7">
        <f>N(W712)*N(AF712)*N(BH712)</f>
        <v/>
      </c>
      <c r="AX712" s="7">
        <f>N(AL712)*(Assumptions!$B$13*N(BJ712)-(1-Assumptions!$B$13)*Assumptions!$B$14)+N(AM712)</f>
        <v/>
      </c>
      <c r="AY712" s="7">
        <f>N(AU712)*N(R712)/90+N(AV712)+N(AW712)+N(AX712)</f>
        <v/>
      </c>
      <c r="AZ712" s="3">
        <f>IF(N(R712)&lt;=0,0,(N(AY712)-N(AX712))*90/N(R712))</f>
        <v/>
      </c>
      <c r="BA712" s="7">
        <f>IFERROR(AY712-VLOOKUP($E712,Assumptions!$A$40:$C$43,3,FALSE),"")</f>
        <v/>
      </c>
      <c r="BB712" s="3">
        <f>IFERROR(BA712/H712,"")</f>
        <v/>
      </c>
      <c r="BC712">
        <f>IF(AND($G712=TRUE,$E712="GKP"),AY712,"")</f>
        <v/>
      </c>
      <c r="BD712">
        <f>IF(AND($G712=TRUE,$E712="DEF"),AY712,"")</f>
        <v/>
      </c>
      <c r="BE712">
        <f>IF(AND($G712=TRUE,$E712="MID"),AY712,"")</f>
        <v/>
      </c>
      <c r="BF712">
        <f>IF(AND($G712=TRUE,$E712="FWD"),AY712,"")</f>
        <v/>
      </c>
      <c r="BG712" t="n">
        <v>0</v>
      </c>
      <c r="BH712" t="n">
        <v>0</v>
      </c>
      <c r="BI712" t="n">
        <v>0</v>
      </c>
      <c r="BJ712" t="n">
        <v>0</v>
      </c>
    </row>
    <row r="713">
      <c r="A713" t="inlineStr">
        <is>
          <t>Mateus Mané</t>
        </is>
      </c>
      <c r="C713" t="inlineStr">
        <is>
          <t>WOL</t>
        </is>
      </c>
      <c r="D713" t="b">
        <v>0</v>
      </c>
      <c r="F713" t="inlineStr">
        <is>
          <t>FWD</t>
        </is>
      </c>
      <c r="G713" t="b">
        <v>0</v>
      </c>
      <c r="H713" s="2" t="n"/>
      <c r="K713" s="2" t="n">
        <v>1790</v>
      </c>
      <c r="M713" s="3" t="n"/>
      <c r="N713" s="8" t="n">
        <v>1790</v>
      </c>
      <c r="O713" s="8" t="n">
        <v>0</v>
      </c>
      <c r="R713" s="6" t="n">
        <v>1790</v>
      </c>
      <c r="S713" t="inlineStr">
        <is>
          <t>25/26 actual</t>
        </is>
      </c>
      <c r="U713" s="6" t="n">
        <v>82.8</v>
      </c>
      <c r="V713" s="2" t="n">
        <v>19</v>
      </c>
      <c r="W713" s="7">
        <f>IF(N(U713)&lt;=0,0,MIN(Assumptions!$B$15,N(R713)/N(U713)))</f>
        <v/>
      </c>
      <c r="X713" s="6" t="n"/>
      <c r="Y713" s="3" t="n">
        <v>0.1151</v>
      </c>
      <c r="Z713" t="inlineStr">
        <is>
          <t>adjusted xGOT</t>
        </is>
      </c>
      <c r="AA713" s="3" t="n">
        <v>1</v>
      </c>
      <c r="AB713" s="3" t="n">
        <v>1.139</v>
      </c>
      <c r="AC713" s="3" t="n">
        <v>2</v>
      </c>
      <c r="AD713" s="3" t="n">
        <v>0.165</v>
      </c>
      <c r="AE713" s="3" t="n">
        <v>6.295</v>
      </c>
      <c r="AF713" s="3" t="n">
        <v>0</v>
      </c>
      <c r="AG713" s="3" t="n">
        <v>0.4525</v>
      </c>
      <c r="AH713" s="3" t="n">
        <v>45</v>
      </c>
      <c r="AI713" s="3" t="n"/>
      <c r="AJ713" s="3" t="n"/>
      <c r="AK713" s="3" t="n"/>
      <c r="AL713" s="6" t="n">
        <v>0</v>
      </c>
      <c r="AM713" s="3" t="n">
        <v>0</v>
      </c>
      <c r="AN713" s="3" t="n">
        <v>0</v>
      </c>
      <c r="AO713" s="3" t="n">
        <v>0</v>
      </c>
      <c r="AP713" s="3">
        <f>N(X713)*N(BI713)</f>
        <v/>
      </c>
      <c r="AQ713" s="3" t="n">
        <v>0</v>
      </c>
      <c r="AR713" s="3" t="n">
        <v>0</v>
      </c>
      <c r="AS713" s="3" t="n">
        <v>0</v>
      </c>
      <c r="AT713" s="3" t="n">
        <v>0</v>
      </c>
      <c r="AU713" s="3">
        <f>SUM(AN713:AT713)</f>
        <v/>
      </c>
      <c r="AV713" s="7">
        <f>IF(OR(N(W713)&lt;=0,N(BG713)=0),0,N(W713)*IF(N(R713)/N(W713)&gt;=60,N(BG713),1))</f>
        <v/>
      </c>
      <c r="AW713" s="7">
        <f>N(W713)*N(AF713)*N(BH713)</f>
        <v/>
      </c>
      <c r="AX713" s="7">
        <f>N(AL713)*(Assumptions!$B$13*N(BJ713)-(1-Assumptions!$B$13)*Assumptions!$B$14)+N(AM713)</f>
        <v/>
      </c>
      <c r="AY713" s="7">
        <f>N(AU713)*N(R713)/90+N(AV713)+N(AW713)+N(AX713)</f>
        <v/>
      </c>
      <c r="AZ713" s="3">
        <f>IF(N(R713)&lt;=0,0,(N(AY713)-N(AX713))*90/N(R713))</f>
        <v/>
      </c>
      <c r="BA713" s="7">
        <f>IFERROR(AY713-VLOOKUP($E713,Assumptions!$A$40:$C$43,3,FALSE),"")</f>
        <v/>
      </c>
      <c r="BB713" s="3">
        <f>IFERROR(BA713/H713,"")</f>
        <v/>
      </c>
      <c r="BC713">
        <f>IF(AND($G713=TRUE,$E713="GKP"),AY713,"")</f>
        <v/>
      </c>
      <c r="BD713">
        <f>IF(AND($G713=TRUE,$E713="DEF"),AY713,"")</f>
        <v/>
      </c>
      <c r="BE713">
        <f>IF(AND($G713=TRUE,$E713="MID"),AY713,"")</f>
        <v/>
      </c>
      <c r="BF713">
        <f>IF(AND($G713=TRUE,$E713="FWD"),AY713,"")</f>
        <v/>
      </c>
      <c r="BG713" t="n">
        <v>0</v>
      </c>
      <c r="BH713" t="n">
        <v>0</v>
      </c>
      <c r="BI713" t="n">
        <v>0</v>
      </c>
      <c r="BJ713" t="n">
        <v>0</v>
      </c>
    </row>
    <row r="714">
      <c r="A714" t="inlineStr">
        <is>
          <t>Jeremy Monga</t>
        </is>
      </c>
      <c r="B714" t="inlineStr">
        <is>
          <t>MCI</t>
        </is>
      </c>
      <c r="D714" t="b">
        <v>0</v>
      </c>
      <c r="E714" t="inlineStr">
        <is>
          <t>MID</t>
        </is>
      </c>
      <c r="G714" t="b">
        <v>1</v>
      </c>
      <c r="H714" s="2" t="n">
        <v>5</v>
      </c>
      <c r="I714" t="inlineStr">
        <is>
          <t>a</t>
        </is>
      </c>
      <c r="K714" s="2" t="n"/>
      <c r="M714" s="3" t="n">
        <v>0</v>
      </c>
      <c r="N714" s="8" t="n">
        <v>0</v>
      </c>
      <c r="O714" s="8" t="n">
        <v>0</v>
      </c>
      <c r="Q714" t="inlineStr">
        <is>
          <t>flat</t>
        </is>
      </c>
      <c r="R714" s="6" t="n">
        <v>0</v>
      </c>
      <c r="S714" t="inlineStr">
        <is>
          <t>Solio</t>
        </is>
      </c>
      <c r="U714" s="6" t="n">
        <v>85</v>
      </c>
      <c r="V714" s="2" t="n"/>
      <c r="W714" s="7">
        <f>IF(N(U714)&lt;=0,0,MIN(Assumptions!$B$15,N(R714)/N(U714)))</f>
        <v/>
      </c>
      <c r="X714" s="6" t="n">
        <v>0.371</v>
      </c>
      <c r="Y714" s="3" t="n"/>
      <c r="Z714" t="inlineStr"/>
      <c r="AA714" s="3" t="n">
        <v>1</v>
      </c>
      <c r="AB714" s="3" t="n"/>
      <c r="AC714" s="3" t="n"/>
      <c r="AD714" s="3" t="n"/>
      <c r="AE714" s="3" t="n"/>
      <c r="AF714" s="3" t="n">
        <v>0</v>
      </c>
      <c r="AG714" s="3" t="n"/>
      <c r="AH714" s="3" t="n"/>
      <c r="AI714" s="3" t="n">
        <v>1.9737</v>
      </c>
      <c r="AJ714" s="3" t="n">
        <v>1.0365</v>
      </c>
      <c r="AK714" s="3" t="n">
        <v>-0.2076849682258277</v>
      </c>
      <c r="AL714" s="6" t="n">
        <v>0</v>
      </c>
      <c r="AM714" s="3" t="n">
        <v>0</v>
      </c>
      <c r="AN714" s="3" t="n">
        <v>0</v>
      </c>
      <c r="AO714" s="3" t="n">
        <v>0</v>
      </c>
      <c r="AP714" s="3">
        <f>N(X714)*N(BI714)</f>
        <v/>
      </c>
      <c r="AQ714" s="3" t="n">
        <v>0</v>
      </c>
      <c r="AR714" s="3" t="n">
        <v>0</v>
      </c>
      <c r="AS714" s="3" t="n">
        <v>-0</v>
      </c>
      <c r="AT714" s="3" t="n">
        <v>-0.2076849682258277</v>
      </c>
      <c r="AU714" s="3">
        <f>SUM(AN714:AT714)</f>
        <v/>
      </c>
      <c r="AV714" s="7">
        <f>IF(OR(N(W714)&lt;=0,N(BG714)=0),0,N(W714)*IF(N(R714)/N(W714)&gt;=60,N(BG714),1))</f>
        <v/>
      </c>
      <c r="AW714" s="7">
        <f>N(W714)*N(AF714)*N(BH714)</f>
        <v/>
      </c>
      <c r="AX714" s="7">
        <f>N(AL714)*(Assumptions!$B$13*N(BJ714)-(1-Assumptions!$B$13)*Assumptions!$B$14)+N(AM714)</f>
        <v/>
      </c>
      <c r="AY714" s="7">
        <f>N(AU714)*N(R714)/90+N(AV714)+N(AW714)+N(AX714)</f>
        <v/>
      </c>
      <c r="AZ714" s="3">
        <f>IF(N(R714)&lt;=0,0,(N(AY714)-N(AX714))*90/N(R714))</f>
        <v/>
      </c>
      <c r="BA714" s="7">
        <f>IFERROR(AY714-VLOOKUP($E714,Assumptions!$A$40:$C$43,3,FALSE),"")</f>
        <v/>
      </c>
      <c r="BB714" s="3">
        <f>IFERROR(BA714/H714,"")</f>
        <v/>
      </c>
      <c r="BC714">
        <f>IF(AND($G714=TRUE,$E714="GKP"),AY714,"")</f>
        <v/>
      </c>
      <c r="BD714">
        <f>IF(AND($G714=TRUE,$E714="DEF"),AY714,"")</f>
        <v/>
      </c>
      <c r="BE714">
        <f>IF(AND($G714=TRUE,$E714="MID"),AY714,"")</f>
        <v/>
      </c>
      <c r="BF714">
        <f>IF(AND($G714=TRUE,$E714="FWD"),AY714,"")</f>
        <v/>
      </c>
      <c r="BG714" t="n">
        <v>2</v>
      </c>
      <c r="BH714" t="n">
        <v>2</v>
      </c>
      <c r="BI714" t="n">
        <v>1</v>
      </c>
      <c r="BJ714" t="n">
        <v>5</v>
      </c>
    </row>
    <row r="715">
      <c r="A715" t="inlineStr">
        <is>
          <t>Cathal McCarthy</t>
        </is>
      </c>
      <c r="B715" t="inlineStr">
        <is>
          <t>HUL</t>
        </is>
      </c>
      <c r="D715" t="b">
        <v>0</v>
      </c>
      <c r="E715" t="inlineStr">
        <is>
          <t>DEF</t>
        </is>
      </c>
      <c r="G715" t="b">
        <v>1</v>
      </c>
      <c r="H715" s="2" t="n">
        <v>4</v>
      </c>
      <c r="I715" t="inlineStr">
        <is>
          <t>a</t>
        </is>
      </c>
      <c r="K715" s="2" t="n"/>
      <c r="M715" s="3" t="n">
        <v>10</v>
      </c>
      <c r="N715" s="8" t="n">
        <v>10</v>
      </c>
      <c r="O715" s="8" t="n">
        <v>0</v>
      </c>
      <c r="Q715" t="inlineStr">
        <is>
          <t>flat</t>
        </is>
      </c>
      <c r="R715" s="6" t="n">
        <v>10</v>
      </c>
      <c r="S715" t="inlineStr">
        <is>
          <t>Solio</t>
        </is>
      </c>
      <c r="U715" s="6" t="n">
        <v>85</v>
      </c>
      <c r="V715" s="2" t="n"/>
      <c r="W715" s="7">
        <f>IF(N(U715)&lt;=0,0,MIN(Assumptions!$B$15,N(R715)/N(U715)))</f>
        <v/>
      </c>
      <c r="X715" s="6" t="n">
        <v>0.143</v>
      </c>
      <c r="Y715" s="3" t="n"/>
      <c r="Z715" t="inlineStr"/>
      <c r="AA715" s="3" t="n">
        <v>1</v>
      </c>
      <c r="AB715" s="3" t="n"/>
      <c r="AC715" s="3" t="n"/>
      <c r="AD715" s="3" t="n"/>
      <c r="AE715" s="3" t="n"/>
      <c r="AF715" s="3" t="n">
        <v>0</v>
      </c>
      <c r="AG715" s="3" t="n"/>
      <c r="AH715" s="3" t="n"/>
      <c r="AI715" s="3" t="n">
        <v>3.9421</v>
      </c>
      <c r="AJ715" s="3" t="n">
        <v>1.99</v>
      </c>
      <c r="AK715" s="3" t="n">
        <v>-0.2045226422080557</v>
      </c>
      <c r="AL715" s="6" t="n">
        <v>0</v>
      </c>
      <c r="AM715" s="3" t="n">
        <v>0</v>
      </c>
      <c r="AN715" s="3" t="n">
        <v>0</v>
      </c>
      <c r="AO715" s="3" t="n">
        <v>0</v>
      </c>
      <c r="AP715" s="3">
        <f>N(X715)*N(BI715)</f>
        <v/>
      </c>
      <c r="AQ715" s="3" t="n">
        <v>0</v>
      </c>
      <c r="AR715" s="3" t="n">
        <v>0</v>
      </c>
      <c r="AS715" s="3" t="n">
        <v>-0.7496714098286652</v>
      </c>
      <c r="AT715" s="3" t="n">
        <v>-0.2045226422080557</v>
      </c>
      <c r="AU715" s="3">
        <f>SUM(AN715:AT715)</f>
        <v/>
      </c>
      <c r="AV715" s="7">
        <f>IF(OR(N(W715)&lt;=0,N(BG715)=0),0,N(W715)*IF(N(R715)/N(W715)&gt;=60,N(BG715),1))</f>
        <v/>
      </c>
      <c r="AW715" s="7">
        <f>N(W715)*N(AF715)*N(BH715)</f>
        <v/>
      </c>
      <c r="AX715" s="7">
        <f>N(AL715)*(Assumptions!$B$13*N(BJ715)-(1-Assumptions!$B$13)*Assumptions!$B$14)+N(AM715)</f>
        <v/>
      </c>
      <c r="AY715" s="7">
        <f>N(AU715)*N(R715)/90+N(AV715)+N(AW715)+N(AX715)</f>
        <v/>
      </c>
      <c r="AZ715" s="3">
        <f>IF(N(R715)&lt;=0,0,(N(AY715)-N(AX715))*90/N(R715))</f>
        <v/>
      </c>
      <c r="BA715" s="7">
        <f>IFERROR(AY715-VLOOKUP($E715,Assumptions!$A$40:$C$43,3,FALSE),"")</f>
        <v/>
      </c>
      <c r="BB715" s="3">
        <f>IFERROR(BA715/H715,"")</f>
        <v/>
      </c>
      <c r="BC715">
        <f>IF(AND($G715=TRUE,$E715="GKP"),AY715,"")</f>
        <v/>
      </c>
      <c r="BD715">
        <f>IF(AND($G715=TRUE,$E715="DEF"),AY715,"")</f>
        <v/>
      </c>
      <c r="BE715">
        <f>IF(AND($G715=TRUE,$E715="MID"),AY715,"")</f>
        <v/>
      </c>
      <c r="BF715">
        <f>IF(AND($G715=TRUE,$E715="FWD"),AY715,"")</f>
        <v/>
      </c>
      <c r="BG715" t="n">
        <v>2</v>
      </c>
      <c r="BH715" t="n">
        <v>2</v>
      </c>
      <c r="BI715" t="n">
        <v>4</v>
      </c>
      <c r="BJ715" t="n">
        <v>6</v>
      </c>
    </row>
    <row r="716">
      <c r="A716" t="inlineStr">
        <is>
          <t>Caleb Yirenkyi</t>
        </is>
      </c>
      <c r="B716" t="inlineStr">
        <is>
          <t>COV</t>
        </is>
      </c>
      <c r="D716" t="b">
        <v>0</v>
      </c>
      <c r="E716" t="inlineStr">
        <is>
          <t>MID</t>
        </is>
      </c>
      <c r="G716" t="b">
        <v>1</v>
      </c>
      <c r="H716" s="2" t="n">
        <v>5</v>
      </c>
      <c r="I716" t="inlineStr">
        <is>
          <t>a</t>
        </is>
      </c>
      <c r="K716" s="2" t="n"/>
      <c r="M716" s="3" t="n">
        <v>2696</v>
      </c>
      <c r="N716" s="8" t="n">
        <v>2696</v>
      </c>
      <c r="O716" s="8" t="n">
        <v>0</v>
      </c>
      <c r="Q716" t="inlineStr">
        <is>
          <t>flat</t>
        </is>
      </c>
      <c r="R716" s="6" t="n">
        <v>2696</v>
      </c>
      <c r="S716" t="inlineStr">
        <is>
          <t>Solio</t>
        </is>
      </c>
      <c r="U716" s="6" t="n">
        <v>85</v>
      </c>
      <c r="V716" s="2" t="n"/>
      <c r="W716" s="7">
        <f>IF(N(U716)&lt;=0,0,MIN(Assumptions!$B$15,N(R716)/N(U716)))</f>
        <v/>
      </c>
      <c r="X716" s="6" t="n">
        <v>0.17</v>
      </c>
      <c r="Y716" s="3" t="n"/>
      <c r="Z716" t="inlineStr"/>
      <c r="AA716" s="3" t="n">
        <v>1</v>
      </c>
      <c r="AB716" s="3" t="n"/>
      <c r="AC716" s="3" t="n"/>
      <c r="AD716" s="3" t="n"/>
      <c r="AE716" s="3" t="n"/>
      <c r="AF716" s="3" t="n">
        <v>0</v>
      </c>
      <c r="AG716" s="3" t="n"/>
      <c r="AH716" s="3" t="n"/>
      <c r="AI716" s="3" t="n">
        <v>3.6194</v>
      </c>
      <c r="AJ716" s="3" t="n">
        <v>1.8271</v>
      </c>
      <c r="AK716" s="3" t="n">
        <v>-0.2160434166173144</v>
      </c>
      <c r="AL716" s="6" t="n">
        <v>0</v>
      </c>
      <c r="AM716" s="3" t="n">
        <v>0</v>
      </c>
      <c r="AN716" s="3" t="n">
        <v>0</v>
      </c>
      <c r="AO716" s="3" t="n">
        <v>0</v>
      </c>
      <c r="AP716" s="3">
        <f>N(X716)*N(BI716)</f>
        <v/>
      </c>
      <c r="AQ716" s="3" t="n">
        <v>0</v>
      </c>
      <c r="AR716" s="3" t="n">
        <v>0</v>
      </c>
      <c r="AS716" s="3" t="n">
        <v>-0</v>
      </c>
      <c r="AT716" s="3" t="n">
        <v>-0.2160434166173144</v>
      </c>
      <c r="AU716" s="3">
        <f>SUM(AN716:AT716)</f>
        <v/>
      </c>
      <c r="AV716" s="7">
        <f>IF(OR(N(W716)&lt;=0,N(BG716)=0),0,N(W716)*IF(N(R716)/N(W716)&gt;=60,N(BG716),1))</f>
        <v/>
      </c>
      <c r="AW716" s="7">
        <f>N(W716)*N(AF716)*N(BH716)</f>
        <v/>
      </c>
      <c r="AX716" s="7">
        <f>N(AL716)*(Assumptions!$B$13*N(BJ716)-(1-Assumptions!$B$13)*Assumptions!$B$14)+N(AM716)</f>
        <v/>
      </c>
      <c r="AY716" s="7">
        <f>N(AU716)*N(R716)/90+N(AV716)+N(AW716)+N(AX716)</f>
        <v/>
      </c>
      <c r="AZ716" s="3">
        <f>IF(N(R716)&lt;=0,0,(N(AY716)-N(AX716))*90/N(R716))</f>
        <v/>
      </c>
      <c r="BA716" s="7">
        <f>IFERROR(AY716-VLOOKUP($E716,Assumptions!$A$40:$C$43,3,FALSE),"")</f>
        <v/>
      </c>
      <c r="BB716" s="3">
        <f>IFERROR(BA716/H716,"")</f>
        <v/>
      </c>
      <c r="BC716">
        <f>IF(AND($G716=TRUE,$E716="GKP"),AY716,"")</f>
        <v/>
      </c>
      <c r="BD716">
        <f>IF(AND($G716=TRUE,$E716="DEF"),AY716,"")</f>
        <v/>
      </c>
      <c r="BE716">
        <f>IF(AND($G716=TRUE,$E716="MID"),AY716,"")</f>
        <v/>
      </c>
      <c r="BF716">
        <f>IF(AND($G716=TRUE,$E716="FWD"),AY716,"")</f>
        <v/>
      </c>
      <c r="BG716" t="n">
        <v>2</v>
      </c>
      <c r="BH716" t="n">
        <v>2</v>
      </c>
      <c r="BI716" t="n">
        <v>1</v>
      </c>
      <c r="BJ716" t="n">
        <v>5</v>
      </c>
    </row>
    <row r="717">
      <c r="A717" t="inlineStr">
        <is>
          <t>George Shepherd</t>
        </is>
      </c>
      <c r="B717" t="inlineStr">
        <is>
          <t>COV</t>
        </is>
      </c>
      <c r="D717" t="b">
        <v>0</v>
      </c>
      <c r="E717" t="inlineStr">
        <is>
          <t>MID</t>
        </is>
      </c>
      <c r="G717" t="b">
        <v>1</v>
      </c>
      <c r="H717" s="2" t="n">
        <v>4.5</v>
      </c>
      <c r="I717" t="inlineStr">
        <is>
          <t>a</t>
        </is>
      </c>
      <c r="K717" s="2" t="n"/>
      <c r="M717" s="3" t="n">
        <v>0</v>
      </c>
      <c r="N717" s="8" t="n">
        <v>0</v>
      </c>
      <c r="O717" s="8" t="n">
        <v>0</v>
      </c>
      <c r="Q717" t="inlineStr">
        <is>
          <t>flat</t>
        </is>
      </c>
      <c r="R717" s="6" t="n">
        <v>0</v>
      </c>
      <c r="S717" t="inlineStr">
        <is>
          <t>Solio</t>
        </is>
      </c>
      <c r="U717" s="6" t="n">
        <v>85</v>
      </c>
      <c r="V717" s="2" t="n"/>
      <c r="W717" s="7">
        <f>IF(N(U717)&lt;=0,0,MIN(Assumptions!$B$15,N(R717)/N(U717)))</f>
        <v/>
      </c>
      <c r="X717" s="6" t="n">
        <v>0.17</v>
      </c>
      <c r="Y717" s="3" t="n"/>
      <c r="Z717" t="inlineStr"/>
      <c r="AA717" s="3" t="n">
        <v>1</v>
      </c>
      <c r="AB717" s="3" t="n"/>
      <c r="AC717" s="3" t="n"/>
      <c r="AD717" s="3" t="n"/>
      <c r="AE717" s="3" t="n"/>
      <c r="AF717" s="3" t="n">
        <v>0</v>
      </c>
      <c r="AG717" s="3" t="n"/>
      <c r="AH717" s="3" t="n"/>
      <c r="AI717" s="3" t="n">
        <v>3.6194</v>
      </c>
      <c r="AJ717" s="3" t="n">
        <v>1.8271</v>
      </c>
      <c r="AK717" s="3" t="n">
        <v>-0.2160434166173144</v>
      </c>
      <c r="AL717" s="6" t="n">
        <v>0</v>
      </c>
      <c r="AM717" s="3" t="n">
        <v>0</v>
      </c>
      <c r="AN717" s="3" t="n">
        <v>0</v>
      </c>
      <c r="AO717" s="3" t="n">
        <v>0</v>
      </c>
      <c r="AP717" s="3">
        <f>N(X717)*N(BI717)</f>
        <v/>
      </c>
      <c r="AQ717" s="3" t="n">
        <v>0</v>
      </c>
      <c r="AR717" s="3" t="n">
        <v>0</v>
      </c>
      <c r="AS717" s="3" t="n">
        <v>-0</v>
      </c>
      <c r="AT717" s="3" t="n">
        <v>-0.2160434166173144</v>
      </c>
      <c r="AU717" s="3">
        <f>SUM(AN717:AT717)</f>
        <v/>
      </c>
      <c r="AV717" s="7">
        <f>IF(OR(N(W717)&lt;=0,N(BG717)=0),0,N(W717)*IF(N(R717)/N(W717)&gt;=60,N(BG717),1))</f>
        <v/>
      </c>
      <c r="AW717" s="7">
        <f>N(W717)*N(AF717)*N(BH717)</f>
        <v/>
      </c>
      <c r="AX717" s="7">
        <f>N(AL717)*(Assumptions!$B$13*N(BJ717)-(1-Assumptions!$B$13)*Assumptions!$B$14)+N(AM717)</f>
        <v/>
      </c>
      <c r="AY717" s="7">
        <f>N(AU717)*N(R717)/90+N(AV717)+N(AW717)+N(AX717)</f>
        <v/>
      </c>
      <c r="AZ717" s="3">
        <f>IF(N(R717)&lt;=0,0,(N(AY717)-N(AX717))*90/N(R717))</f>
        <v/>
      </c>
      <c r="BA717" s="7">
        <f>IFERROR(AY717-VLOOKUP($E717,Assumptions!$A$40:$C$43,3,FALSE),"")</f>
        <v/>
      </c>
      <c r="BB717" s="3">
        <f>IFERROR(BA717/H717,"")</f>
        <v/>
      </c>
      <c r="BC717">
        <f>IF(AND($G717=TRUE,$E717="GKP"),AY717,"")</f>
        <v/>
      </c>
      <c r="BD717">
        <f>IF(AND($G717=TRUE,$E717="DEF"),AY717,"")</f>
        <v/>
      </c>
      <c r="BE717">
        <f>IF(AND($G717=TRUE,$E717="MID"),AY717,"")</f>
        <v/>
      </c>
      <c r="BF717">
        <f>IF(AND($G717=TRUE,$E717="FWD"),AY717,"")</f>
        <v/>
      </c>
      <c r="BG717" t="n">
        <v>2</v>
      </c>
      <c r="BH717" t="n">
        <v>2</v>
      </c>
      <c r="BI717" t="n">
        <v>1</v>
      </c>
      <c r="BJ717" t="n">
        <v>5</v>
      </c>
    </row>
    <row r="718">
      <c r="A718" t="inlineStr">
        <is>
          <t>Jerome Abbey</t>
        </is>
      </c>
      <c r="C718" t="inlineStr">
        <is>
          <t>WOL</t>
        </is>
      </c>
      <c r="D718" t="b">
        <v>0</v>
      </c>
      <c r="F718" t="inlineStr">
        <is>
          <t>MID</t>
        </is>
      </c>
      <c r="G718" t="b">
        <v>0</v>
      </c>
      <c r="H718" s="2" t="n"/>
      <c r="K718" s="2" t="n">
        <v>16</v>
      </c>
      <c r="M718" s="3" t="n"/>
      <c r="N718" s="8" t="n">
        <v>16</v>
      </c>
      <c r="O718" s="8" t="n">
        <v>0</v>
      </c>
      <c r="R718" s="6" t="n">
        <v>16</v>
      </c>
      <c r="S718" t="inlineStr">
        <is>
          <t>25/26 actual</t>
        </is>
      </c>
      <c r="U718" s="6" t="n">
        <v>80.09999999999999</v>
      </c>
      <c r="V718" s="2" t="n">
        <v>0</v>
      </c>
      <c r="W718" s="7">
        <f>IF(N(U718)&lt;=0,0,MIN(Assumptions!$B$15,N(R718)/N(U718)))</f>
        <v/>
      </c>
      <c r="X718" s="6" t="n"/>
      <c r="Y718" s="3" t="n"/>
      <c r="Z718" t="inlineStr"/>
      <c r="AA718" s="3" t="n">
        <v>1</v>
      </c>
      <c r="AB718" s="3" t="n">
        <v>1</v>
      </c>
      <c r="AC718" s="3" t="n">
        <v>0</v>
      </c>
      <c r="AD718" s="3" t="n"/>
      <c r="AE718" s="3" t="n">
        <v>8.635</v>
      </c>
      <c r="AF718" s="3" t="n">
        <v>0</v>
      </c>
      <c r="AG718" s="3" t="n">
        <v>0</v>
      </c>
      <c r="AH718" s="3" t="n">
        <v>1</v>
      </c>
      <c r="AI718" s="3" t="n"/>
      <c r="AJ718" s="3" t="n"/>
      <c r="AK718" s="3" t="n"/>
      <c r="AL718" s="6" t="n">
        <v>0</v>
      </c>
      <c r="AM718" s="3" t="n">
        <v>0</v>
      </c>
      <c r="AN718" s="3" t="n">
        <v>0</v>
      </c>
      <c r="AO718" s="3" t="n">
        <v>0</v>
      </c>
      <c r="AP718" s="3">
        <f>N(X718)*N(BI718)</f>
        <v/>
      </c>
      <c r="AQ718" s="3" t="n">
        <v>0</v>
      </c>
      <c r="AR718" s="3" t="n">
        <v>0</v>
      </c>
      <c r="AS718" s="3" t="n">
        <v>0</v>
      </c>
      <c r="AT718" s="3" t="n">
        <v>0</v>
      </c>
      <c r="AU718" s="3">
        <f>SUM(AN718:AT718)</f>
        <v/>
      </c>
      <c r="AV718" s="7">
        <f>IF(OR(N(W718)&lt;=0,N(BG718)=0),0,N(W718)*IF(N(R718)/N(W718)&gt;=60,N(BG718),1))</f>
        <v/>
      </c>
      <c r="AW718" s="7">
        <f>N(W718)*N(AF718)*N(BH718)</f>
        <v/>
      </c>
      <c r="AX718" s="7">
        <f>N(AL718)*(Assumptions!$B$13*N(BJ718)-(1-Assumptions!$B$13)*Assumptions!$B$14)+N(AM718)</f>
        <v/>
      </c>
      <c r="AY718" s="7">
        <f>N(AU718)*N(R718)/90+N(AV718)+N(AW718)+N(AX718)</f>
        <v/>
      </c>
      <c r="AZ718" s="3">
        <f>IF(N(R718)&lt;=0,0,(N(AY718)-N(AX718))*90/N(R718))</f>
        <v/>
      </c>
      <c r="BA718" s="7">
        <f>IFERROR(AY718-VLOOKUP($E718,Assumptions!$A$40:$C$43,3,FALSE),"")</f>
        <v/>
      </c>
      <c r="BB718" s="3">
        <f>IFERROR(BA718/H718,"")</f>
        <v/>
      </c>
      <c r="BC718">
        <f>IF(AND($G718=TRUE,$E718="GKP"),AY718,"")</f>
        <v/>
      </c>
      <c r="BD718">
        <f>IF(AND($G718=TRUE,$E718="DEF"),AY718,"")</f>
        <v/>
      </c>
      <c r="BE718">
        <f>IF(AND($G718=TRUE,$E718="MID"),AY718,"")</f>
        <v/>
      </c>
      <c r="BF718">
        <f>IF(AND($G718=TRUE,$E718="FWD"),AY718,"")</f>
        <v/>
      </c>
      <c r="BG718" t="n">
        <v>0</v>
      </c>
      <c r="BH718" t="n">
        <v>0</v>
      </c>
      <c r="BI718" t="n">
        <v>0</v>
      </c>
      <c r="BJ718" t="n">
        <v>0</v>
      </c>
    </row>
    <row r="719">
      <c r="A719" t="inlineStr">
        <is>
          <t>Brian Madjo</t>
        </is>
      </c>
      <c r="B719" t="inlineStr">
        <is>
          <t>AVL</t>
        </is>
      </c>
      <c r="D719" t="b">
        <v>0</v>
      </c>
      <c r="E719" t="inlineStr">
        <is>
          <t>FWD</t>
        </is>
      </c>
      <c r="G719" t="b">
        <v>1</v>
      </c>
      <c r="H719" s="2" t="n">
        <v>5.5</v>
      </c>
      <c r="I719" t="inlineStr">
        <is>
          <t>a</t>
        </is>
      </c>
      <c r="K719" s="2" t="n"/>
      <c r="M719" s="3" t="n">
        <v>247</v>
      </c>
      <c r="N719" s="4" t="n">
        <v>100</v>
      </c>
      <c r="O719" s="4" t="n">
        <v>-147</v>
      </c>
      <c r="P719" s="5" t="inlineStr">
        <is>
          <t>medium</t>
        </is>
      </c>
      <c r="Q719" t="inlineStr">
        <is>
          <t>flat</t>
        </is>
      </c>
      <c r="R719" s="6" t="n">
        <v>100</v>
      </c>
      <c r="S719" t="inlineStr">
        <is>
          <t>research</t>
        </is>
      </c>
      <c r="T719" s="5" t="inlineStr">
        <is>
          <t>The 17-year-old scored in the Super Cup and Emery rates him, but he picked up an injury late in that match and is out until at least September. Cut rather than removed because Emery is clearly willing to use him and the striker depth behind Watkins is thin.</t>
        </is>
      </c>
      <c r="U719" s="6" t="n">
        <v>85</v>
      </c>
      <c r="V719" s="2" t="n"/>
      <c r="W719" s="7">
        <f>IF(N(U719)&lt;=0,0,MIN(Assumptions!$B$15,N(R719)/N(U719)))</f>
        <v/>
      </c>
      <c r="X719" s="6" t="n">
        <v>0.273</v>
      </c>
      <c r="Y719" s="3" t="n"/>
      <c r="Z719" t="inlineStr"/>
      <c r="AA719" s="3" t="n">
        <v>1</v>
      </c>
      <c r="AB719" s="3" t="n"/>
      <c r="AC719" s="3" t="n"/>
      <c r="AD719" s="3" t="n"/>
      <c r="AE719" s="3" t="n"/>
      <c r="AF719" s="3" t="n">
        <v>0</v>
      </c>
      <c r="AG719" s="3" t="n"/>
      <c r="AH719" s="3" t="n"/>
      <c r="AI719" s="3" t="n">
        <v>2.7451</v>
      </c>
      <c r="AJ719" s="3" t="n">
        <v>1.3575</v>
      </c>
      <c r="AK719" s="3" t="n">
        <v>-0.174691292596322</v>
      </c>
      <c r="AL719" s="6" t="n">
        <v>0</v>
      </c>
      <c r="AM719" s="3" t="n">
        <v>0</v>
      </c>
      <c r="AN719" s="3" t="n">
        <v>0</v>
      </c>
      <c r="AO719" s="3" t="n">
        <v>0</v>
      </c>
      <c r="AP719" s="3">
        <f>N(X719)*N(BI719)</f>
        <v/>
      </c>
      <c r="AQ719" s="3" t="n">
        <v>0</v>
      </c>
      <c r="AR719" s="3" t="n">
        <v>0</v>
      </c>
      <c r="AS719" s="3" t="n">
        <v>-0</v>
      </c>
      <c r="AT719" s="3" t="n">
        <v>-0.174691292596322</v>
      </c>
      <c r="AU719" s="3">
        <f>SUM(AN719:AT719)</f>
        <v/>
      </c>
      <c r="AV719" s="7">
        <f>IF(OR(N(W719)&lt;=0,N(BG719)=0),0,N(W719)*IF(N(R719)/N(W719)&gt;=60,N(BG719),1))</f>
        <v/>
      </c>
      <c r="AW719" s="7">
        <f>N(W719)*N(AF719)*N(BH719)</f>
        <v/>
      </c>
      <c r="AX719" s="7">
        <f>N(AL719)*(Assumptions!$B$13*N(BJ719)-(1-Assumptions!$B$13)*Assumptions!$B$14)+N(AM719)</f>
        <v/>
      </c>
      <c r="AY719" s="7">
        <f>N(AU719)*N(R719)/90+N(AV719)+N(AW719)+N(AX719)</f>
        <v/>
      </c>
      <c r="AZ719" s="3">
        <f>IF(N(R719)&lt;=0,0,(N(AY719)-N(AX719))*90/N(R719))</f>
        <v/>
      </c>
      <c r="BA719" s="7">
        <f>IFERROR(AY719-VLOOKUP($E719,Assumptions!$A$40:$C$43,3,FALSE),"")</f>
        <v/>
      </c>
      <c r="BB719" s="3">
        <f>IFERROR(BA719/H719,"")</f>
        <v/>
      </c>
      <c r="BC719">
        <f>IF(AND($G719=TRUE,$E719="GKP"),AY719,"")</f>
        <v/>
      </c>
      <c r="BD719">
        <f>IF(AND($G719=TRUE,$E719="DEF"),AY719,"")</f>
        <v/>
      </c>
      <c r="BE719">
        <f>IF(AND($G719=TRUE,$E719="MID"),AY719,"")</f>
        <v/>
      </c>
      <c r="BF719">
        <f>IF(AND($G719=TRUE,$E719="FWD"),AY719,"")</f>
        <v/>
      </c>
      <c r="BG719" t="n">
        <v>2</v>
      </c>
      <c r="BH719" t="n">
        <v>2</v>
      </c>
      <c r="BI719" t="n">
        <v>0</v>
      </c>
      <c r="BJ719" t="n">
        <v>4</v>
      </c>
    </row>
    <row r="720">
      <c r="A720" t="inlineStr">
        <is>
          <t>Zadok Yohanna</t>
        </is>
      </c>
      <c r="B720" t="inlineStr">
        <is>
          <t>BHA</t>
        </is>
      </c>
      <c r="D720" t="b">
        <v>0</v>
      </c>
      <c r="E720" t="inlineStr">
        <is>
          <t>MID</t>
        </is>
      </c>
      <c r="G720" t="b">
        <v>1</v>
      </c>
      <c r="H720" s="2" t="n">
        <v>5</v>
      </c>
      <c r="I720" t="inlineStr">
        <is>
          <t>a</t>
        </is>
      </c>
      <c r="K720" s="2" t="n"/>
      <c r="M720" s="3" t="n">
        <v>162</v>
      </c>
      <c r="N720" s="4" t="n">
        <v>740</v>
      </c>
      <c r="O720" s="4" t="n">
        <v>578</v>
      </c>
      <c r="P720" s="5" t="inlineStr">
        <is>
          <t>medium</t>
        </is>
      </c>
      <c r="Q720" t="inlineStr">
        <is>
          <t>flat</t>
        </is>
      </c>
      <c r="R720" s="6" t="n">
        <v>740</v>
      </c>
      <c r="S720" t="inlineStr">
        <is>
          <t>research</t>
        </is>
      </c>
      <c r="T720" s="5" t="inlineStr">
        <is>
          <t>GBP 21.5m signing from AIK on 15 Jun 2026 on a five-year deal - Brighton beat Chelsea to him - and he came off the bench in both August friendlies. Solio's 162 minutes predates or ignores the signing. Raised but kept modest: he is 18, Hurzeler has only said he 'will be involved' in the first-team squad, and Brighton have a long record of easing teenagers in. The wide-area injuries to Minteh and Mitoma are what make even 740 plausible.</t>
        </is>
      </c>
      <c r="U720" s="6" t="n">
        <v>85</v>
      </c>
      <c r="V720" s="2" t="n"/>
      <c r="W720" s="7">
        <f>IF(N(U720)&lt;=0,0,MIN(Assumptions!$B$15,N(R720)/N(U720)))</f>
        <v/>
      </c>
      <c r="X720" s="6" t="n">
        <v>0.252</v>
      </c>
      <c r="Y720" s="3" t="n"/>
      <c r="Z720" t="inlineStr"/>
      <c r="AA720" s="3" t="n">
        <v>1</v>
      </c>
      <c r="AB720" s="3" t="n"/>
      <c r="AC720" s="3" t="n"/>
      <c r="AD720" s="3" t="n"/>
      <c r="AE720" s="3" t="n"/>
      <c r="AF720" s="3" t="n">
        <v>0</v>
      </c>
      <c r="AG720" s="3" t="n"/>
      <c r="AH720" s="3" t="n"/>
      <c r="AI720" s="3" t="n">
        <v>2.8404</v>
      </c>
      <c r="AJ720" s="3" t="n">
        <v>1.439</v>
      </c>
      <c r="AK720" s="3" t="n">
        <v>-0.2160434166173144</v>
      </c>
      <c r="AL720" s="6" t="n">
        <v>0</v>
      </c>
      <c r="AM720" s="3" t="n">
        <v>0</v>
      </c>
      <c r="AN720" s="3" t="n">
        <v>0</v>
      </c>
      <c r="AO720" s="3" t="n">
        <v>0</v>
      </c>
      <c r="AP720" s="3">
        <f>N(X720)*N(BI720)</f>
        <v/>
      </c>
      <c r="AQ720" s="3" t="n">
        <v>0</v>
      </c>
      <c r="AR720" s="3" t="n">
        <v>0</v>
      </c>
      <c r="AS720" s="3" t="n">
        <v>-0</v>
      </c>
      <c r="AT720" s="3" t="n">
        <v>-0.2160434166173144</v>
      </c>
      <c r="AU720" s="3">
        <f>SUM(AN720:AT720)</f>
        <v/>
      </c>
      <c r="AV720" s="7">
        <f>IF(OR(N(W720)&lt;=0,N(BG720)=0),0,N(W720)*IF(N(R720)/N(W720)&gt;=60,N(BG720),1))</f>
        <v/>
      </c>
      <c r="AW720" s="7">
        <f>N(W720)*N(AF720)*N(BH720)</f>
        <v/>
      </c>
      <c r="AX720" s="7">
        <f>N(AL720)*(Assumptions!$B$13*N(BJ720)-(1-Assumptions!$B$13)*Assumptions!$B$14)+N(AM720)</f>
        <v/>
      </c>
      <c r="AY720" s="7">
        <f>N(AU720)*N(R720)/90+N(AV720)+N(AW720)+N(AX720)</f>
        <v/>
      </c>
      <c r="AZ720" s="3">
        <f>IF(N(R720)&lt;=0,0,(N(AY720)-N(AX720))*90/N(R720))</f>
        <v/>
      </c>
      <c r="BA720" s="7">
        <f>IFERROR(AY720-VLOOKUP($E720,Assumptions!$A$40:$C$43,3,FALSE),"")</f>
        <v/>
      </c>
      <c r="BB720" s="3">
        <f>IFERROR(BA720/H720,"")</f>
        <v/>
      </c>
      <c r="BC720">
        <f>IF(AND($G720=TRUE,$E720="GKP"),AY720,"")</f>
        <v/>
      </c>
      <c r="BD720">
        <f>IF(AND($G720=TRUE,$E720="DEF"),AY720,"")</f>
        <v/>
      </c>
      <c r="BE720">
        <f>IF(AND($G720=TRUE,$E720="MID"),AY720,"")</f>
        <v/>
      </c>
      <c r="BF720">
        <f>IF(AND($G720=TRUE,$E720="FWD"),AY720,"")</f>
        <v/>
      </c>
      <c r="BG720" t="n">
        <v>2</v>
      </c>
      <c r="BH720" t="n">
        <v>2</v>
      </c>
      <c r="BI720" t="n">
        <v>1</v>
      </c>
      <c r="BJ720" t="n">
        <v>5</v>
      </c>
    </row>
  </sheetData>
  <autoFilter ref="A1:BJ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6" customWidth="1" min="1" max="1"/>
    <col width="105" customWidth="1" min="2" max="2"/>
  </cols>
  <sheetData>
    <row r="1">
      <c r="A1" s="11" t="inlineStr">
        <is>
          <t>Scoring (FPL 2026/27, read from the game's own config)</t>
        </is>
      </c>
    </row>
    <row r="3">
      <c r="A3" s="12" t="inlineStr">
        <is>
          <t>Pos</t>
        </is>
      </c>
      <c r="B3" s="12" t="inlineStr">
        <is>
          <t>Goal</t>
        </is>
      </c>
      <c r="C3" s="12" t="inlineStr">
        <is>
          <t>Assist</t>
        </is>
      </c>
      <c r="D3" s="12" t="inlineStr">
        <is>
          <t>Clean sheet</t>
        </is>
      </c>
      <c r="E3" s="12" t="inlineStr">
        <is>
          <t>DefCon</t>
        </is>
      </c>
      <c r="F3" s="12" t="inlineStr">
        <is>
          <t>Appearance 60+</t>
        </is>
      </c>
      <c r="G3" s="12" t="inlineStr">
        <is>
          <t>DefCon threshold</t>
        </is>
      </c>
      <c r="H3" s="12" t="inlineStr">
        <is>
          <t>Saves per point</t>
        </is>
      </c>
      <c r="I3" s="12"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11"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6" t="n">
        <v>0.8294</v>
      </c>
    </row>
    <row r="14">
      <c r="A14" t="inlineStr">
        <is>
          <t>Points for a missed penalty</t>
        </is>
      </c>
      <c r="B14" t="n">
        <v>2</v>
      </c>
    </row>
    <row r="15">
      <c r="A15" t="inlineStr">
        <is>
          <t>Matches in a season</t>
        </is>
      </c>
      <c r="B15" t="n">
        <v>38</v>
      </c>
    </row>
    <row r="17">
      <c r="A17" s="11" t="inlineStr">
        <is>
          <t>Notes</t>
        </is>
      </c>
    </row>
    <row r="18" ht="46" customHeight="1">
      <c r="A18" s="11" t="inlineStr">
        <is>
          <t>xMins</t>
        </is>
      </c>
      <c r="B18" s="13" t="inlineStr">
        <is>
          <t>Your minutes forecast for 2026/27, in the blue cell. Three columns sit behind it. 'xMins Solio' is Solio's raw forecast, which is forward-looking and so already prices injuries and late World Cup returns. 'xMins Solio adjusted' is that figure after the club-by-club research moved it, for the 226 players the research reached; everyone else keeps Solio's number, or 2025/26 minutes where Solio has no view. 'xMins 26/27' starts at the adjusted figure and is yours to overwrite. 'xMins source' says which of the three a row is on, 'Research delta' how far the research moved it, and 'Research reason' why, with the article or podcast it came from. This is the single biggest lever in the model and the one number no dataset can settle.</t>
        </is>
      </c>
    </row>
    <row r="19" ht="46" customHeight="1">
      <c r="A19" s="11" t="inlineStr">
        <is>
          <t>Research</t>
        </is>
      </c>
      <c r="B19" s="13" t="inlineStr">
        <is>
          <t>Green cells mark the 226 players whose minutes the club-by-club research changed. It read what beat writers, local press and club podcasts were saying in the fortnight to 16 August 2026, one club at a time, and every change carries a source URL and a date. Confidence is the researcher's own: high, medium or low. It is a dated snapshot, not a live feed -- it does not know anything that happened after that date, and it cannot see January.</t>
        </is>
      </c>
    </row>
    <row r="20" ht="46" customHeight="1">
      <c r="A20" s="11" t="inlineStr">
        <is>
          <t>Saves</t>
        </is>
      </c>
      <c r="B20" s="13"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1" ht="46" customHeight="1">
      <c r="A21" s="11" t="inlineStr">
        <is>
          <t>Goals conceded</t>
        </is>
      </c>
      <c r="B21" s="13" t="inlineStr">
        <is>
          <t>Goalkeepers and defenders, -1 per 2 conceded, settled every match. Same Poisson treatment: ignoring the per-match floor makes the penalty 57% too harsh.</t>
        </is>
      </c>
    </row>
    <row r="22" ht="46" customHeight="1">
      <c r="A22" s="11" t="inlineStr">
        <is>
          <t>Cards</t>
        </is>
      </c>
      <c r="B22" s="13"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3" ht="46" customHeight="1">
      <c r="A23" s="11" t="inlineStr">
        <is>
          <t>Penalties</t>
        </is>
      </c>
      <c r="B23" s="13"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4" ht="46" customHeight="1">
      <c r="A24" s="11" t="inlineStr">
        <is>
          <t>P(CS)</t>
        </is>
      </c>
      <c r="B24" s="13"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5" ht="46" customHeight="1">
      <c r="A25" s="11" t="inlineStr">
        <is>
          <t>Assist uplift</t>
        </is>
      </c>
      <c r="B25" s="13"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6" ht="46" customHeight="1">
      <c r="A26" s="11" t="inlineStr">
        <is>
          <t>xG source</t>
        </is>
      </c>
      <c r="B26" s="13"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7" ht="46" customHeight="1">
      <c r="A27" s="11" t="inlineStr">
        <is>
          <t>DefCon</t>
        </is>
      </c>
      <c r="B27" s="13"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8" ht="46" customHeight="1">
      <c r="A28" s="11" t="inlineStr">
        <is>
          <t>Mins per start</t>
        </is>
      </c>
      <c r="B28" s="13" t="inlineStr">
        <is>
          <t>Minutes played in matches he started, over starts, from 2025/26 -- with sendings-off dropped from both sides, since a red card is not rotation risk. It is shrunk toward the position mean by 10 starts, which out of sample beats both the raw average (MAE 4.07 against 5.20) and the position mean alone (4.76). 'Mins/start starts' is how many starts it rests on: a small number means the figure is mostly the prior. Editable, because the research knows things the measurement cannot -- a player promoted to nailed is usually hooked less often than he was, and no row from last season can say so. Note the direction: at a fixed xMins, a LOWER figure here means more matches and so more appearance points. The early hook costs you through xMins, not through this column.</t>
        </is>
      </c>
    </row>
    <row r="29" ht="46" customHeight="1">
      <c r="A29" s="11" t="inlineStr">
        <is>
          <t>Bonus</t>
        </is>
      </c>
      <c r="B29" s="13" t="inlineStr">
        <is>
          <t>Bonus per 90 from 2025/26 replayed under the 2026/27 BPS weighting. Modelled as a rate rather than a share of points, so it does not depend on the rest of the model.</t>
        </is>
      </c>
    </row>
    <row r="30" ht="46" customHeight="1">
      <c r="A30" s="11" t="inlineStr">
        <is>
          <t>VORP</t>
        </is>
      </c>
      <c r="B30" s="13"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31" ht="46" customHeight="1">
      <c r="A31" s="11" t="inlineStr">
        <is>
          <t>VORP per £m</t>
        </is>
      </c>
      <c r="B31" s="13" t="inlineStr">
        <is>
          <t>VORP divided by price. Pure VORP measures scarcity alone; this measures scarcity against the £100m budget that still binds you in a normal FPL season.</t>
        </is>
      </c>
    </row>
    <row r="32" ht="46" customHeight="1">
      <c r="A32" s="11" t="inlineStr">
        <is>
          <t>Appearance</t>
        </is>
      </c>
      <c r="B32" s="13"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3" ht="46" customHeight="1">
      <c r="A33" s="11" t="inlineStr">
        <is>
          <t>Moved club</t>
        </is>
      </c>
      <c r="B33" s="13"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4" ht="46" customHeight="1">
      <c r="A34" s="11" t="inlineStr">
        <is>
          <t>Live cells</t>
        </is>
      </c>
      <c r="B34" s="13"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6">
      <c r="A36" s="11" t="inlineStr">
        <is>
          <t>VORP settings</t>
        </is>
      </c>
    </row>
    <row r="38">
      <c r="A38" t="inlineStr">
        <is>
          <t>Teams in league</t>
        </is>
      </c>
      <c r="B38" s="6" t="n">
        <v>8</v>
      </c>
    </row>
    <row r="39">
      <c r="A39" s="12" t="inlineStr">
        <is>
          <t>Position</t>
        </is>
      </c>
      <c r="B39" s="12" t="inlineStr">
        <is>
          <t>Squad slots per team</t>
        </is>
      </c>
      <c r="C39" s="12" t="inlineStr">
        <is>
          <t>Replacement xPts</t>
        </is>
      </c>
    </row>
    <row r="40">
      <c r="A40" t="inlineStr">
        <is>
          <t>GKP</t>
        </is>
      </c>
      <c r="B40" s="6" t="n">
        <v>2</v>
      </c>
      <c r="C40" s="14">
        <f>IFERROR(LARGE('xPts model'!$BC$2:$BC$720,$B$38*B40+1),0)</f>
        <v/>
      </c>
    </row>
    <row r="41">
      <c r="A41" t="inlineStr">
        <is>
          <t>DEF</t>
        </is>
      </c>
      <c r="B41" s="6" t="n">
        <v>5</v>
      </c>
      <c r="C41" s="14">
        <f>IFERROR(LARGE('xPts model'!$BD$2:$BD$720,$B$38*B41+1),0)</f>
        <v/>
      </c>
    </row>
    <row r="42">
      <c r="A42" t="inlineStr">
        <is>
          <t>MID</t>
        </is>
      </c>
      <c r="B42" s="6" t="n">
        <v>5</v>
      </c>
      <c r="C42" s="14">
        <f>IFERROR(LARGE('xPts model'!$BE$2:$BE$720,$B$38*B42+1),0)</f>
        <v/>
      </c>
    </row>
    <row r="43">
      <c r="A43" t="inlineStr">
        <is>
          <t>FWD</t>
        </is>
      </c>
      <c r="B43" s="6" t="n">
        <v>3</v>
      </c>
      <c r="C43" s="14">
        <f>IFERROR(LARGE('xPts model'!$BF$2:$BF$720,$B$38*B43+1),0)</f>
        <v/>
      </c>
    </row>
    <row r="45" ht="46" customHeight="1">
      <c r="A45" s="13"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2026-08-16T19:48:20Z</dcterms:created>
  <dcterms:modified xsi:type="dcterms:W3CDTF">2026-08-16T19:48:21Z</dcterms:modified>
</cp:coreProperties>
</file>